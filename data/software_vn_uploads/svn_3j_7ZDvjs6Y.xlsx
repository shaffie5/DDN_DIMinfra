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Ibrahim juma\Desktop\"/>
    </mc:Choice>
  </mc:AlternateContent>
  <xr:revisionPtr revIDLastSave="0" documentId="13_ncr:1_{6C8FBE27-D3AD-443A-A7AC-A5E765784065}" xr6:coauthVersionLast="47" xr6:coauthVersionMax="47" xr10:uidLastSave="{00000000-0000-0000-0000-000000000000}"/>
  <bookViews>
    <workbookView xWindow="-110" yWindow="-110" windowWidth="23260" windowHeight="14860" tabRatio="653" activeTab="2" xr2:uid="{00000000-000D-0000-FFFF-FFFF00000000}"/>
  </bookViews>
  <sheets>
    <sheet name="algemeen" sheetId="2" r:id="rId1"/>
    <sheet name="Info voor GPP" sheetId="31" r:id="rId2"/>
    <sheet name="grondstoffen" sheetId="5" r:id="rId3"/>
    <sheet name="samenstelling" sheetId="1" r:id="rId4"/>
    <sheet name="studie" sheetId="3" r:id="rId5"/>
    <sheet name="VN1" sheetId="6" r:id="rId6"/>
    <sheet name="VN2" sheetId="10" r:id="rId7"/>
    <sheet name="VN3" sheetId="26" r:id="rId8"/>
    <sheet name="kv_bit" sheetId="11" r:id="rId9"/>
    <sheet name="VM_HR" sheetId="14" r:id="rId10"/>
    <sheet name="ITSR" sheetId="15" r:id="rId11"/>
    <sheet name="spoorv_stijfh_verm" sheetId="16" r:id="rId12"/>
    <sheet name="afdruip_film" sheetId="17" r:id="rId13"/>
    <sheet name="cantabro" sheetId="18" r:id="rId14"/>
    <sheet name="indrukking" sheetId="19" r:id="rId15"/>
    <sheet name="affiniteit" sheetId="22" r:id="rId16"/>
    <sheet name="marshall" sheetId="20" r:id="rId17"/>
    <sheet name="CE-etiket" sheetId="21" state="hidden" r:id="rId18"/>
    <sheet name="DoP" sheetId="23" state="hidden" r:id="rId19"/>
    <sheet name="productiefiche 1" sheetId="9" r:id="rId20"/>
    <sheet name="productiefiche 2" sheetId="12" r:id="rId21"/>
    <sheet name="productiefiche 3" sheetId="13" r:id="rId22"/>
    <sheet name="productiefiche H1" sheetId="27" r:id="rId23"/>
    <sheet name="productiefiche H2" sheetId="28" r:id="rId24"/>
    <sheet name="productiefiche H3" sheetId="29" r:id="rId25"/>
    <sheet name="output wijziging grondstoffen" sheetId="25" r:id="rId26"/>
    <sheet name="output AWK" sheetId="24" state="hidden" r:id="rId27"/>
    <sheet name="berekeningen" sheetId="4" r:id="rId28"/>
    <sheet name="versies" sheetId="30" r:id="rId29"/>
  </sheets>
  <definedNames>
    <definedName name="_xlnm._FilterDatabase" localSheetId="17" hidden="1">'CE-etiket'!$W$11:$AD$75</definedName>
    <definedName name="_xlnm._FilterDatabase" localSheetId="18" hidden="1">DoP!$W$30:$AD$101</definedName>
    <definedName name="_xlnm.Print_Area" localSheetId="12">afdruip_film!$A$1:$T$56</definedName>
    <definedName name="_xlnm.Print_Area" localSheetId="15">affiniteit!$A$1:$T$58</definedName>
    <definedName name="_xlnm.Print_Area" localSheetId="13">cantabro!$A$1:$T$111</definedName>
    <definedName name="_xlnm.Print_Area" localSheetId="18">DoP!$A$1:$U$117</definedName>
    <definedName name="_xlnm.Print_Area" localSheetId="14">indrukking!$A$1:$T$59</definedName>
    <definedName name="_xlnm.Print_Area" localSheetId="10">ITSR!$A$1:$T$190</definedName>
    <definedName name="_xlnm.Print_Area" localSheetId="8">kv_bit!$A$1:$T$51</definedName>
    <definedName name="_xlnm.Print_Area" localSheetId="16">marshall!$A$1:$T$111</definedName>
    <definedName name="_xlnm.Print_Area" localSheetId="26">'output AWK'!$B$2:$E$44</definedName>
    <definedName name="_xlnm.Print_Area" localSheetId="25">'output wijziging grondstoffen'!$A$1:$I$32</definedName>
    <definedName name="_xlnm.Print_Area" localSheetId="19">'productiefiche 1'!$A$1:$M$53</definedName>
    <definedName name="_xlnm.Print_Area" localSheetId="20">'productiefiche 2'!$A$1:$M$53</definedName>
    <definedName name="_xlnm.Print_Area" localSheetId="21">'productiefiche 3'!$A$1:$M$53</definedName>
    <definedName name="_xlnm.Print_Area" localSheetId="22">'productiefiche H1'!$A$1:$AB$30</definedName>
    <definedName name="_xlnm.Print_Area" localSheetId="23">'productiefiche H2'!$A$1:$AB$30</definedName>
    <definedName name="_xlnm.Print_Area" localSheetId="24">'productiefiche H3'!$A$1:$AB$30</definedName>
    <definedName name="_xlnm.Print_Area" localSheetId="11">spoorv_stijfh_verm!$A$1:$T$58</definedName>
    <definedName name="_xlnm.Print_Area" localSheetId="9">VM_HR!$A$1:$T$110</definedName>
    <definedName name="_xlnm.Print_Area" localSheetId="5">'VN1'!$A$1:$T$53</definedName>
    <definedName name="_xlnm.Print_Area" localSheetId="6">'VN2'!$A$1:$Z$68</definedName>
    <definedName name="_xlnm.Print_Area" localSheetId="7">'VN3'!$A$1:$T$103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6" i="31" l="1"/>
  <c r="E40" i="31" l="1"/>
  <c r="D40" i="31"/>
  <c r="C40" i="31"/>
  <c r="C41" i="31"/>
  <c r="C39" i="31"/>
  <c r="I12" i="31"/>
  <c r="G12" i="31"/>
  <c r="E12" i="31"/>
  <c r="I10" i="31"/>
  <c r="G10" i="31"/>
  <c r="E10" i="31"/>
  <c r="I8" i="31"/>
  <c r="G8" i="31"/>
  <c r="E8" i="31"/>
  <c r="D24" i="31" s="1"/>
  <c r="I39" i="31"/>
  <c r="G39" i="31"/>
  <c r="E39" i="31"/>
  <c r="D39" i="31"/>
  <c r="D38" i="31"/>
  <c r="C38" i="31"/>
  <c r="D42" i="31"/>
  <c r="D43" i="31"/>
  <c r="D41" i="31"/>
  <c r="C42" i="31"/>
  <c r="C43" i="31"/>
  <c r="I24" i="31"/>
  <c r="G24" i="31"/>
  <c r="E24" i="31"/>
  <c r="C26" i="31"/>
  <c r="C25" i="31"/>
  <c r="C24" i="31"/>
  <c r="E26" i="31"/>
  <c r="E25" i="31"/>
  <c r="I58" i="31"/>
  <c r="G58" i="31"/>
  <c r="E58" i="31"/>
  <c r="I59" i="31"/>
  <c r="G59" i="31"/>
  <c r="E59" i="31"/>
  <c r="I60" i="31"/>
  <c r="G60" i="31"/>
  <c r="E60" i="31"/>
  <c r="I61" i="31"/>
  <c r="G61" i="31"/>
  <c r="E61" i="31"/>
  <c r="I62" i="31"/>
  <c r="G62" i="31"/>
  <c r="E62" i="31"/>
  <c r="D61" i="31"/>
  <c r="D60" i="31"/>
  <c r="I47" i="31"/>
  <c r="I48" i="31"/>
  <c r="I49" i="31"/>
  <c r="I50" i="31"/>
  <c r="I51" i="31"/>
  <c r="I52" i="31"/>
  <c r="I53" i="31"/>
  <c r="I54" i="31"/>
  <c r="I55" i="31"/>
  <c r="G47" i="31"/>
  <c r="G48" i="31"/>
  <c r="G49" i="31"/>
  <c r="G50" i="31"/>
  <c r="G51" i="31"/>
  <c r="G52" i="31"/>
  <c r="G53" i="31"/>
  <c r="G54" i="31"/>
  <c r="E47" i="31"/>
  <c r="E48" i="31"/>
  <c r="E49" i="31"/>
  <c r="E50" i="31"/>
  <c r="E51" i="31"/>
  <c r="E52" i="31"/>
  <c r="E53" i="31"/>
  <c r="E54" i="31"/>
  <c r="E55" i="31"/>
  <c r="I46" i="31"/>
  <c r="G46" i="31"/>
  <c r="E46" i="31"/>
  <c r="C47" i="31"/>
  <c r="C48" i="31"/>
  <c r="C49" i="31"/>
  <c r="C50" i="31"/>
  <c r="C51" i="31"/>
  <c r="C52" i="31"/>
  <c r="C53" i="31"/>
  <c r="C54" i="31"/>
  <c r="C55" i="31"/>
  <c r="D47" i="31"/>
  <c r="D48" i="31"/>
  <c r="D49" i="31"/>
  <c r="D50" i="31"/>
  <c r="D51" i="31"/>
  <c r="D52" i="31"/>
  <c r="D53" i="31"/>
  <c r="D54" i="31"/>
  <c r="D55" i="31"/>
  <c r="D46" i="31"/>
  <c r="D66" i="31" s="1"/>
  <c r="I44" i="31"/>
  <c r="G44" i="31"/>
  <c r="E44" i="31"/>
  <c r="I38" i="31"/>
  <c r="G38" i="31"/>
  <c r="E38" i="31"/>
  <c r="D30" i="31"/>
  <c r="D31" i="31"/>
  <c r="D32" i="31"/>
  <c r="D33" i="31"/>
  <c r="D34" i="31"/>
  <c r="D35" i="31"/>
  <c r="D36" i="31"/>
  <c r="D37" i="31"/>
  <c r="D29" i="31"/>
  <c r="I18" i="31"/>
  <c r="G18" i="31"/>
  <c r="E18" i="31"/>
  <c r="I9" i="31"/>
  <c r="G9" i="31"/>
  <c r="E9" i="31"/>
  <c r="G17" i="31"/>
  <c r="I17" i="31"/>
  <c r="E17" i="31"/>
  <c r="I13" i="31"/>
  <c r="G13" i="31"/>
  <c r="E13" i="31"/>
  <c r="E4" i="31"/>
  <c r="I7" i="31"/>
  <c r="G7" i="31"/>
  <c r="E7" i="31"/>
  <c r="I6" i="31"/>
  <c r="G6" i="31"/>
  <c r="E6" i="31"/>
  <c r="I4" i="31"/>
  <c r="G4" i="31"/>
  <c r="I2" i="31"/>
  <c r="I5" i="31" s="1"/>
  <c r="G2" i="31"/>
  <c r="G5" i="31" s="1"/>
  <c r="E2" i="31"/>
  <c r="E5" i="31" s="1"/>
  <c r="C18" i="26"/>
  <c r="C19" i="26"/>
  <c r="C20" i="26"/>
  <c r="C37" i="6"/>
  <c r="C36" i="6"/>
  <c r="C35" i="6"/>
  <c r="U310" i="3"/>
  <c r="O310" i="3"/>
  <c r="B83" i="26" l="1"/>
  <c r="P68" i="26" l="1"/>
  <c r="P67" i="26"/>
  <c r="K68" i="26"/>
  <c r="K67" i="26"/>
  <c r="F68" i="26"/>
  <c r="F67" i="26"/>
  <c r="P66" i="26"/>
  <c r="K66" i="26"/>
  <c r="F66" i="26"/>
  <c r="O311" i="3" l="1"/>
  <c r="AQ298" i="3" l="1"/>
  <c r="AQ303" i="3" s="1"/>
  <c r="AQ293" i="3"/>
  <c r="AQ292" i="3"/>
  <c r="AQ308" i="3"/>
  <c r="AQ307" i="3"/>
  <c r="AQ306" i="3"/>
  <c r="AQ305" i="3"/>
  <c r="AQ304" i="3"/>
  <c r="AQ302" i="3"/>
  <c r="AQ301" i="3"/>
  <c r="AQ300" i="3"/>
  <c r="AQ299" i="3"/>
  <c r="AQ294" i="3"/>
  <c r="AQ295" i="3"/>
  <c r="AQ296" i="3"/>
  <c r="K309" i="3"/>
  <c r="K297" i="3"/>
  <c r="K303" i="3"/>
  <c r="K304" i="3"/>
  <c r="K305" i="3"/>
  <c r="K306" i="3"/>
  <c r="K307" i="3"/>
  <c r="K308" i="3"/>
  <c r="K302" i="3"/>
  <c r="K301" i="3"/>
  <c r="K300" i="3"/>
  <c r="K299" i="3"/>
  <c r="K298" i="3"/>
  <c r="K296" i="3"/>
  <c r="K294" i="3"/>
  <c r="E170" i="15" s="1"/>
  <c r="K295" i="3"/>
  <c r="K293" i="3"/>
  <c r="E169" i="15" s="1"/>
  <c r="K292" i="3"/>
  <c r="E168" i="15" s="1"/>
  <c r="C47" i="24"/>
  <c r="E254" i="3"/>
  <c r="E249" i="3"/>
  <c r="E244" i="3"/>
  <c r="AQ309" i="3" l="1"/>
  <c r="AQ297" i="3"/>
  <c r="F317" i="3"/>
  <c r="E260" i="3"/>
  <c r="E259" i="3"/>
  <c r="E258" i="3"/>
  <c r="E257" i="3"/>
  <c r="L47" i="6"/>
  <c r="T46" i="6" l="1"/>
  <c r="L46" i="6"/>
  <c r="T47" i="6"/>
  <c r="R47" i="6"/>
  <c r="R46" i="6"/>
  <c r="AA149" i="3" l="1"/>
  <c r="AA147" i="3"/>
  <c r="AA151" i="3"/>
  <c r="AA150" i="3"/>
  <c r="AA148" i="3"/>
  <c r="AA146" i="3"/>
  <c r="N6" i="6"/>
  <c r="Y125" i="5" l="1"/>
  <c r="Y129" i="5"/>
  <c r="W51" i="4"/>
  <c r="Y123" i="5" s="1"/>
  <c r="W52" i="4"/>
  <c r="Y124" i="5" s="1"/>
  <c r="W53" i="4"/>
  <c r="W54" i="4"/>
  <c r="Y126" i="5" s="1"/>
  <c r="W55" i="4"/>
  <c r="Y127" i="5" s="1"/>
  <c r="W56" i="4"/>
  <c r="Y128" i="5" s="1"/>
  <c r="W57" i="4"/>
  <c r="W58" i="4"/>
  <c r="Y130" i="5" s="1"/>
  <c r="W50" i="4"/>
  <c r="Y122" i="5" s="1"/>
  <c r="F32" i="25"/>
  <c r="N3" i="21" l="1"/>
  <c r="J5" i="23"/>
  <c r="A47" i="6"/>
  <c r="C47" i="6"/>
  <c r="C46" i="6"/>
  <c r="A46" i="6"/>
  <c r="C44" i="6"/>
  <c r="A44" i="6"/>
  <c r="L6" i="6" l="1"/>
  <c r="W49" i="4" l="1"/>
  <c r="Y121" i="5" s="1"/>
  <c r="F74" i="26" l="1"/>
  <c r="K74" i="26"/>
  <c r="P74" i="26"/>
  <c r="N38" i="16"/>
  <c r="K38" i="16"/>
  <c r="H38" i="16"/>
  <c r="C38" i="16"/>
  <c r="N37" i="16"/>
  <c r="K37" i="16"/>
  <c r="H37" i="16"/>
  <c r="C37" i="16"/>
  <c r="N25" i="16"/>
  <c r="K25" i="16"/>
  <c r="H25" i="16"/>
  <c r="C25" i="16"/>
  <c r="N24" i="16"/>
  <c r="K24" i="16"/>
  <c r="H24" i="16"/>
  <c r="C24" i="16"/>
  <c r="A56" i="16"/>
  <c r="B6" i="23" l="1"/>
  <c r="P73" i="26" l="1"/>
  <c r="P72" i="26"/>
  <c r="F73" i="26"/>
  <c r="F72" i="26"/>
  <c r="K73" i="26"/>
  <c r="K72" i="26"/>
  <c r="G22" i="25" l="1"/>
  <c r="G24" i="25"/>
  <c r="G14" i="25" l="1"/>
  <c r="B32" i="14" l="1"/>
  <c r="B31" i="14"/>
  <c r="B30" i="14"/>
  <c r="B29" i="14"/>
  <c r="B28" i="14"/>
  <c r="B27" i="14"/>
  <c r="B26" i="14"/>
  <c r="B25" i="14"/>
  <c r="B24" i="14"/>
  <c r="R37" i="6" l="1"/>
  <c r="P61" i="26" l="1"/>
  <c r="K61" i="26"/>
  <c r="F61" i="26"/>
  <c r="B150" i="3" l="1"/>
  <c r="B146" i="3"/>
  <c r="C27" i="14" l="1"/>
  <c r="D27" i="14"/>
  <c r="E27" i="14"/>
  <c r="F27" i="14"/>
  <c r="C28" i="14"/>
  <c r="D28" i="14"/>
  <c r="E28" i="14"/>
  <c r="F28" i="14"/>
  <c r="C29" i="14"/>
  <c r="D29" i="14"/>
  <c r="E29" i="14"/>
  <c r="F29" i="14"/>
  <c r="C30" i="14"/>
  <c r="D30" i="14"/>
  <c r="E30" i="14"/>
  <c r="F30" i="14"/>
  <c r="C31" i="14"/>
  <c r="D31" i="14"/>
  <c r="E31" i="14"/>
  <c r="F31" i="14"/>
  <c r="C32" i="14"/>
  <c r="D32" i="14"/>
  <c r="E32" i="14"/>
  <c r="F32" i="14"/>
  <c r="C26" i="14"/>
  <c r="D26" i="14"/>
  <c r="E26" i="14"/>
  <c r="F26" i="14"/>
  <c r="C25" i="14"/>
  <c r="D25" i="14"/>
  <c r="E25" i="14"/>
  <c r="F25" i="14"/>
  <c r="F24" i="14"/>
  <c r="E24" i="14"/>
  <c r="D24" i="14"/>
  <c r="C24" i="14"/>
  <c r="C80" i="14" l="1"/>
  <c r="C79" i="14"/>
  <c r="C78" i="14"/>
  <c r="C76" i="14"/>
  <c r="C75" i="14"/>
  <c r="C74" i="14"/>
  <c r="C72" i="14"/>
  <c r="C71" i="14"/>
  <c r="C70" i="14"/>
  <c r="P34" i="14"/>
  <c r="L19" i="14"/>
  <c r="C49" i="14"/>
  <c r="L49" i="14" s="1"/>
  <c r="C48" i="14"/>
  <c r="L48" i="14" s="1"/>
  <c r="C47" i="14"/>
  <c r="L47" i="14" s="1"/>
  <c r="A47" i="14"/>
  <c r="C45" i="14"/>
  <c r="S45" i="14" s="1"/>
  <c r="C44" i="14"/>
  <c r="I44" i="14" s="1"/>
  <c r="C43" i="14"/>
  <c r="A43" i="14"/>
  <c r="C41" i="14"/>
  <c r="L41" i="14" s="1"/>
  <c r="C40" i="14"/>
  <c r="L40" i="14" s="1"/>
  <c r="C39" i="14"/>
  <c r="L39" i="14" s="1"/>
  <c r="S32" i="14"/>
  <c r="S31" i="14"/>
  <c r="S30" i="14"/>
  <c r="K27" i="14"/>
  <c r="K26" i="14" l="1"/>
  <c r="L24" i="14"/>
  <c r="E41" i="14"/>
  <c r="L25" i="14"/>
  <c r="E40" i="14"/>
  <c r="G41" i="14"/>
  <c r="O25" i="14"/>
  <c r="G40" i="14"/>
  <c r="O24" i="14"/>
  <c r="O39" i="14"/>
  <c r="O40" i="14"/>
  <c r="I45" i="14"/>
  <c r="E47" i="14"/>
  <c r="O49" i="14"/>
  <c r="K25" i="14"/>
  <c r="G47" i="14"/>
  <c r="K28" i="14"/>
  <c r="H24" i="14"/>
  <c r="Q24" i="14"/>
  <c r="L26" i="14"/>
  <c r="E48" i="14"/>
  <c r="O27" i="14"/>
  <c r="K24" i="14"/>
  <c r="H25" i="14"/>
  <c r="Q25" i="14"/>
  <c r="O26" i="14"/>
  <c r="O28" i="14"/>
  <c r="K29" i="14"/>
  <c r="E39" i="14"/>
  <c r="O41" i="14"/>
  <c r="I43" i="14"/>
  <c r="S44" i="14"/>
  <c r="O47" i="14"/>
  <c r="G48" i="14"/>
  <c r="E49" i="14"/>
  <c r="H26" i="14"/>
  <c r="Q26" i="14"/>
  <c r="O29" i="14"/>
  <c r="G39" i="14"/>
  <c r="S43" i="14"/>
  <c r="O48" i="14"/>
  <c r="G49" i="14"/>
  <c r="L43" i="14"/>
  <c r="L45" i="14"/>
  <c r="I39" i="14"/>
  <c r="S39" i="14"/>
  <c r="I40" i="14"/>
  <c r="S40" i="14"/>
  <c r="I41" i="14"/>
  <c r="S41" i="14"/>
  <c r="E43" i="14"/>
  <c r="O43" i="14"/>
  <c r="E44" i="14"/>
  <c r="O44" i="14"/>
  <c r="E45" i="14"/>
  <c r="O45" i="14"/>
  <c r="I47" i="14"/>
  <c r="I48" i="14"/>
  <c r="I49" i="14"/>
  <c r="L44" i="14"/>
  <c r="G43" i="14"/>
  <c r="G44" i="14"/>
  <c r="G45" i="14"/>
  <c r="J30" i="14"/>
  <c r="J31" i="14"/>
  <c r="J32" i="14"/>
  <c r="I24" i="14"/>
  <c r="M24" i="14"/>
  <c r="S24" i="14"/>
  <c r="I25" i="14"/>
  <c r="M25" i="14"/>
  <c r="S25" i="14"/>
  <c r="I26" i="14"/>
  <c r="M26" i="14"/>
  <c r="S26" i="14"/>
  <c r="H27" i="14"/>
  <c r="L27" i="14"/>
  <c r="Q27" i="14"/>
  <c r="H28" i="14"/>
  <c r="L28" i="14"/>
  <c r="Q28" i="14"/>
  <c r="H29" i="14"/>
  <c r="L29" i="14"/>
  <c r="Q29" i="14"/>
  <c r="K30" i="14"/>
  <c r="O30" i="14"/>
  <c r="K31" i="14"/>
  <c r="O31" i="14"/>
  <c r="K32" i="14"/>
  <c r="O32" i="14"/>
  <c r="J24" i="14"/>
  <c r="J25" i="14"/>
  <c r="J26" i="14"/>
  <c r="I27" i="14"/>
  <c r="M27" i="14"/>
  <c r="S27" i="14"/>
  <c r="I28" i="14"/>
  <c r="M28" i="14"/>
  <c r="S28" i="14"/>
  <c r="I29" i="14"/>
  <c r="M29" i="14"/>
  <c r="S29" i="14"/>
  <c r="H30" i="14"/>
  <c r="L30" i="14"/>
  <c r="Q30" i="14"/>
  <c r="H31" i="14"/>
  <c r="L31" i="14"/>
  <c r="Q31" i="14"/>
  <c r="H32" i="14"/>
  <c r="L32" i="14"/>
  <c r="Q32" i="14"/>
  <c r="J27" i="14"/>
  <c r="J28" i="14"/>
  <c r="J29" i="14"/>
  <c r="I30" i="14"/>
  <c r="M30" i="14"/>
  <c r="I31" i="14"/>
  <c r="M31" i="14"/>
  <c r="I32" i="14"/>
  <c r="M32" i="14"/>
  <c r="G682" i="3"/>
  <c r="G681" i="3"/>
  <c r="G676" i="3"/>
  <c r="G670" i="3"/>
  <c r="H455" i="3"/>
  <c r="H448" i="3"/>
  <c r="H441" i="3"/>
  <c r="X295" i="3" l="1"/>
  <c r="I295" i="3"/>
  <c r="B216" i="3"/>
  <c r="B215" i="3"/>
  <c r="B214" i="3"/>
  <c r="B213" i="3"/>
  <c r="B212" i="3"/>
  <c r="B211" i="3"/>
  <c r="B210" i="3"/>
  <c r="B199" i="3"/>
  <c r="B198" i="3"/>
  <c r="B197" i="3"/>
  <c r="B196" i="3"/>
  <c r="B195" i="3"/>
  <c r="B194" i="3"/>
  <c r="B193" i="3"/>
  <c r="B182" i="3"/>
  <c r="B181" i="3"/>
  <c r="B180" i="3"/>
  <c r="B179" i="3"/>
  <c r="B178" i="3"/>
  <c r="B177" i="3"/>
  <c r="B176" i="3"/>
  <c r="AK309" i="3" l="1"/>
  <c r="AC309" i="3"/>
  <c r="Q309" i="3"/>
  <c r="D309" i="3"/>
  <c r="AK303" i="3"/>
  <c r="D303" i="3" l="1"/>
  <c r="AK297" i="3"/>
  <c r="AC303" i="3"/>
  <c r="AC297" i="3"/>
  <c r="Q297" i="3"/>
  <c r="Q303" i="3"/>
  <c r="D297" i="3"/>
  <c r="H2" i="4" l="1"/>
  <c r="R181" i="15" l="1"/>
  <c r="Q181" i="15"/>
  <c r="L181" i="15"/>
  <c r="R180" i="15"/>
  <c r="Q180" i="15"/>
  <c r="L180" i="15"/>
  <c r="R179" i="15"/>
  <c r="Q179" i="15"/>
  <c r="L179" i="15"/>
  <c r="R176" i="15"/>
  <c r="Q176" i="15"/>
  <c r="L176" i="15"/>
  <c r="R175" i="15"/>
  <c r="Q175" i="15"/>
  <c r="L175" i="15"/>
  <c r="R174" i="15"/>
  <c r="Q174" i="15"/>
  <c r="L174" i="15"/>
  <c r="R171" i="15"/>
  <c r="Q171" i="15"/>
  <c r="L171" i="15"/>
  <c r="R170" i="15"/>
  <c r="Q170" i="15"/>
  <c r="L170" i="15"/>
  <c r="R169" i="15"/>
  <c r="Q169" i="15"/>
  <c r="L169" i="15"/>
  <c r="L178" i="15"/>
  <c r="L173" i="15"/>
  <c r="L168" i="15"/>
  <c r="C62" i="15"/>
  <c r="B101" i="15"/>
  <c r="I101" i="15" s="1"/>
  <c r="B100" i="15"/>
  <c r="E100" i="15" s="1"/>
  <c r="B99" i="15"/>
  <c r="D99" i="15" s="1"/>
  <c r="B98" i="15"/>
  <c r="L98" i="15" s="1"/>
  <c r="B96" i="15"/>
  <c r="M96" i="15" s="1"/>
  <c r="B95" i="15"/>
  <c r="D95" i="15" s="1"/>
  <c r="B94" i="15"/>
  <c r="H94" i="15" s="1"/>
  <c r="B93" i="15"/>
  <c r="H93" i="15" s="1"/>
  <c r="B91" i="15"/>
  <c r="I91" i="15" s="1"/>
  <c r="B90" i="15"/>
  <c r="H90" i="15" s="1"/>
  <c r="B89" i="15"/>
  <c r="E89" i="15" s="1"/>
  <c r="B88" i="15"/>
  <c r="J88" i="15" s="1"/>
  <c r="B53" i="15"/>
  <c r="B52" i="15"/>
  <c r="B51" i="15"/>
  <c r="B50" i="15"/>
  <c r="B48" i="15"/>
  <c r="B47" i="15"/>
  <c r="B46" i="15"/>
  <c r="B45" i="15"/>
  <c r="B43" i="15"/>
  <c r="B42" i="15"/>
  <c r="B41" i="15"/>
  <c r="B40" i="15"/>
  <c r="C146" i="15"/>
  <c r="C145" i="15"/>
  <c r="C144" i="15"/>
  <c r="C143" i="15"/>
  <c r="C141" i="15"/>
  <c r="C140" i="15"/>
  <c r="C139" i="15"/>
  <c r="C138" i="15"/>
  <c r="C136" i="15"/>
  <c r="C135" i="15"/>
  <c r="C134" i="15"/>
  <c r="C133" i="15"/>
  <c r="K181" i="15"/>
  <c r="K180" i="15"/>
  <c r="K179" i="15"/>
  <c r="K178" i="15"/>
  <c r="K176" i="15"/>
  <c r="K175" i="15"/>
  <c r="K174" i="15"/>
  <c r="K173" i="15"/>
  <c r="K171" i="15"/>
  <c r="K170" i="15"/>
  <c r="K169" i="15"/>
  <c r="K168" i="15"/>
  <c r="I179" i="15"/>
  <c r="H179" i="15"/>
  <c r="C179" i="15"/>
  <c r="B179" i="15"/>
  <c r="I174" i="15"/>
  <c r="H174" i="15"/>
  <c r="C174" i="15"/>
  <c r="B174" i="15"/>
  <c r="I169" i="15"/>
  <c r="H169" i="15"/>
  <c r="C169" i="15"/>
  <c r="B169" i="15"/>
  <c r="B79" i="15"/>
  <c r="B74" i="15"/>
  <c r="B69" i="15"/>
  <c r="H305" i="3"/>
  <c r="H299" i="3"/>
  <c r="H293" i="3"/>
  <c r="B16" i="15" l="1"/>
  <c r="I16" i="15" s="1"/>
  <c r="C111" i="15"/>
  <c r="B21" i="15"/>
  <c r="S21" i="15" s="1"/>
  <c r="C116" i="15"/>
  <c r="B26" i="15"/>
  <c r="S26" i="15" s="1"/>
  <c r="C121" i="15"/>
  <c r="C95" i="15"/>
  <c r="K95" i="15"/>
  <c r="F100" i="15"/>
  <c r="I94" i="15"/>
  <c r="K89" i="15"/>
  <c r="L99" i="15"/>
  <c r="M99" i="15"/>
  <c r="H89" i="15"/>
  <c r="M89" i="15"/>
  <c r="L95" i="15"/>
  <c r="L89" i="15"/>
  <c r="J99" i="15"/>
  <c r="H100" i="15"/>
  <c r="E99" i="15"/>
  <c r="J89" i="15"/>
  <c r="M100" i="15"/>
  <c r="C89" i="15"/>
  <c r="M90" i="15"/>
  <c r="F99" i="15"/>
  <c r="F89" i="15"/>
  <c r="K99" i="15"/>
  <c r="H91" i="15"/>
  <c r="H101" i="15"/>
  <c r="C99" i="15"/>
  <c r="L100" i="15"/>
  <c r="J98" i="15"/>
  <c r="C98" i="15"/>
  <c r="K98" i="15"/>
  <c r="D98" i="15"/>
  <c r="C96" i="15"/>
  <c r="D96" i="15"/>
  <c r="J95" i="15"/>
  <c r="E96" i="15"/>
  <c r="J96" i="15"/>
  <c r="F96" i="15"/>
  <c r="K96" i="15"/>
  <c r="L96" i="15"/>
  <c r="M93" i="15"/>
  <c r="F93" i="15"/>
  <c r="L93" i="15"/>
  <c r="E93" i="15"/>
  <c r="D89" i="15"/>
  <c r="L90" i="15"/>
  <c r="E90" i="15"/>
  <c r="F90" i="15"/>
  <c r="C88" i="15"/>
  <c r="D88" i="15"/>
  <c r="K88" i="15"/>
  <c r="L88" i="15"/>
  <c r="O26" i="15"/>
  <c r="H26" i="15"/>
  <c r="Q26" i="15"/>
  <c r="O16" i="15"/>
  <c r="S16" i="15"/>
  <c r="Q16" i="15"/>
  <c r="E88" i="15"/>
  <c r="M88" i="15"/>
  <c r="I90" i="15"/>
  <c r="C91" i="15"/>
  <c r="K91" i="15"/>
  <c r="I93" i="15"/>
  <c r="C94" i="15"/>
  <c r="K94" i="15"/>
  <c r="E95" i="15"/>
  <c r="M95" i="15"/>
  <c r="E98" i="15"/>
  <c r="M98" i="15"/>
  <c r="I100" i="15"/>
  <c r="C101" i="15"/>
  <c r="K101" i="15"/>
  <c r="F88" i="15"/>
  <c r="J90" i="15"/>
  <c r="D91" i="15"/>
  <c r="L91" i="15"/>
  <c r="J93" i="15"/>
  <c r="D94" i="15"/>
  <c r="L94" i="15"/>
  <c r="F95" i="15"/>
  <c r="H96" i="15"/>
  <c r="F98" i="15"/>
  <c r="H99" i="15"/>
  <c r="J100" i="15"/>
  <c r="D101" i="15"/>
  <c r="L101" i="15"/>
  <c r="J94" i="15"/>
  <c r="I89" i="15"/>
  <c r="C90" i="15"/>
  <c r="K90" i="15"/>
  <c r="E91" i="15"/>
  <c r="M91" i="15"/>
  <c r="C93" i="15"/>
  <c r="K93" i="15"/>
  <c r="E94" i="15"/>
  <c r="M94" i="15"/>
  <c r="I96" i="15"/>
  <c r="I99" i="15"/>
  <c r="C100" i="15"/>
  <c r="K100" i="15"/>
  <c r="E101" i="15"/>
  <c r="M101" i="15"/>
  <c r="H88" i="15"/>
  <c r="D90" i="15"/>
  <c r="F91" i="15"/>
  <c r="N91" i="15"/>
  <c r="D93" i="15"/>
  <c r="F94" i="15"/>
  <c r="H95" i="15"/>
  <c r="H98" i="15"/>
  <c r="D100" i="15"/>
  <c r="F101" i="15"/>
  <c r="J91" i="15"/>
  <c r="J101" i="15"/>
  <c r="I88" i="15"/>
  <c r="G91" i="15"/>
  <c r="I95" i="15"/>
  <c r="I98" i="15"/>
  <c r="C26" i="15"/>
  <c r="K26" i="15"/>
  <c r="F26" i="15"/>
  <c r="M26" i="15"/>
  <c r="J21" i="15"/>
  <c r="K21" i="15"/>
  <c r="L21" i="15"/>
  <c r="M21" i="15"/>
  <c r="F21" i="15"/>
  <c r="C21" i="15"/>
  <c r="E21" i="15"/>
  <c r="O21" i="15"/>
  <c r="H21" i="15"/>
  <c r="Q21" i="15"/>
  <c r="D21" i="15"/>
  <c r="I21" i="15"/>
  <c r="C16" i="15"/>
  <c r="K16" i="15"/>
  <c r="F16" i="15"/>
  <c r="M16" i="15"/>
  <c r="G144" i="15"/>
  <c r="I146" i="15"/>
  <c r="L144" i="15"/>
  <c r="L145" i="15"/>
  <c r="L146" i="15"/>
  <c r="E146" i="15"/>
  <c r="I145" i="15"/>
  <c r="E144" i="15"/>
  <c r="G145" i="15"/>
  <c r="I144" i="15"/>
  <c r="E145" i="15"/>
  <c r="G146" i="15"/>
  <c r="E140" i="15"/>
  <c r="G139" i="15"/>
  <c r="L139" i="15"/>
  <c r="L140" i="15"/>
  <c r="L141" i="15"/>
  <c r="E141" i="15"/>
  <c r="I141" i="15"/>
  <c r="E139" i="15"/>
  <c r="G140" i="15"/>
  <c r="I139" i="15"/>
  <c r="G141" i="15"/>
  <c r="I140" i="15"/>
  <c r="E134" i="15"/>
  <c r="L134" i="15"/>
  <c r="I134" i="15"/>
  <c r="G134" i="15"/>
  <c r="C79" i="15"/>
  <c r="D79" i="15"/>
  <c r="I79" i="15"/>
  <c r="H79" i="15"/>
  <c r="K79" i="15"/>
  <c r="L79" i="15"/>
  <c r="J79" i="15"/>
  <c r="E79" i="15"/>
  <c r="M79" i="15"/>
  <c r="F79" i="15"/>
  <c r="J74" i="15"/>
  <c r="C74" i="15"/>
  <c r="L74" i="15"/>
  <c r="E74" i="15"/>
  <c r="M74" i="15"/>
  <c r="H74" i="15"/>
  <c r="I74" i="15"/>
  <c r="K74" i="15"/>
  <c r="D74" i="15"/>
  <c r="F74" i="15"/>
  <c r="C69" i="15"/>
  <c r="K69" i="15"/>
  <c r="D69" i="15"/>
  <c r="L69" i="15"/>
  <c r="I69" i="15"/>
  <c r="E69" i="15"/>
  <c r="M69" i="15"/>
  <c r="H69" i="15"/>
  <c r="J69" i="15"/>
  <c r="F69" i="15"/>
  <c r="L16" i="15" l="1"/>
  <c r="E16" i="15"/>
  <c r="D26" i="15"/>
  <c r="E26" i="15"/>
  <c r="H16" i="15"/>
  <c r="I26" i="15"/>
  <c r="J16" i="15"/>
  <c r="D16" i="15"/>
  <c r="J26" i="15"/>
  <c r="L26" i="15"/>
  <c r="AN308" i="3" l="1"/>
  <c r="Q118" i="3"/>
  <c r="T118" i="3" s="1"/>
  <c r="J118" i="3"/>
  <c r="Q117" i="3"/>
  <c r="T117" i="3" s="1"/>
  <c r="AM308" i="3" s="1"/>
  <c r="J117" i="3"/>
  <c r="Q116" i="3"/>
  <c r="J116" i="3"/>
  <c r="G101" i="15" s="1"/>
  <c r="Q115" i="3"/>
  <c r="J115" i="3"/>
  <c r="G100" i="15" s="1"/>
  <c r="Q114" i="3"/>
  <c r="N99" i="15" s="1"/>
  <c r="J114" i="3"/>
  <c r="Q113" i="3"/>
  <c r="J113" i="3"/>
  <c r="G98" i="15" s="1"/>
  <c r="Q112" i="3"/>
  <c r="T112" i="3" s="1"/>
  <c r="J112" i="3"/>
  <c r="AF308" i="3" s="1"/>
  <c r="Q111" i="3"/>
  <c r="T111" i="3" s="1"/>
  <c r="J111" i="3"/>
  <c r="AF307" i="3" s="1"/>
  <c r="Q110" i="3"/>
  <c r="T110" i="3" s="1"/>
  <c r="J110" i="3"/>
  <c r="AF306" i="3" s="1"/>
  <c r="Q109" i="3"/>
  <c r="J109" i="3"/>
  <c r="Q88" i="3"/>
  <c r="T88" i="3" s="1"/>
  <c r="J88" i="3"/>
  <c r="Q87" i="3"/>
  <c r="T87" i="3" s="1"/>
  <c r="AM302" i="3" s="1"/>
  <c r="J87" i="3"/>
  <c r="AN302" i="3" s="1"/>
  <c r="Q86" i="3"/>
  <c r="J86" i="3"/>
  <c r="G96" i="15" s="1"/>
  <c r="Q85" i="3"/>
  <c r="J85" i="3"/>
  <c r="G95" i="15" s="1"/>
  <c r="Q84" i="3"/>
  <c r="J84" i="3"/>
  <c r="Q83" i="3"/>
  <c r="J83" i="3"/>
  <c r="G93" i="15" s="1"/>
  <c r="Q82" i="3"/>
  <c r="T82" i="3" s="1"/>
  <c r="J82" i="3"/>
  <c r="AF302" i="3" s="1"/>
  <c r="Q81" i="3"/>
  <c r="T81" i="3" s="1"/>
  <c r="J81" i="3"/>
  <c r="AF301" i="3" s="1"/>
  <c r="Q80" i="3"/>
  <c r="T80" i="3" s="1"/>
  <c r="J80" i="3"/>
  <c r="AF300" i="3" s="1"/>
  <c r="Q79" i="3"/>
  <c r="J79" i="3"/>
  <c r="Q65" i="3"/>
  <c r="T65" i="3" s="1"/>
  <c r="J65" i="3"/>
  <c r="Q58" i="3"/>
  <c r="T58" i="3" s="1"/>
  <c r="J58" i="3"/>
  <c r="Q57" i="3"/>
  <c r="T57" i="3" s="1"/>
  <c r="AM296" i="3" s="1"/>
  <c r="J57" i="3"/>
  <c r="AN296" i="3" s="1"/>
  <c r="Q56" i="3"/>
  <c r="T56" i="3" s="1"/>
  <c r="J56" i="3"/>
  <c r="Q55" i="3"/>
  <c r="J55" i="3"/>
  <c r="G90" i="15" s="1"/>
  <c r="Q54" i="3"/>
  <c r="J54" i="3"/>
  <c r="Q53" i="3"/>
  <c r="J53" i="3"/>
  <c r="G88" i="15" s="1"/>
  <c r="Q52" i="3"/>
  <c r="T52" i="3" s="1"/>
  <c r="J52" i="3"/>
  <c r="AF296" i="3" s="1"/>
  <c r="AN294" i="3" l="1"/>
  <c r="AN301" i="3"/>
  <c r="T53" i="3"/>
  <c r="N88" i="15"/>
  <c r="T55" i="3"/>
  <c r="AM294" i="3" s="1"/>
  <c r="N90" i="15"/>
  <c r="T84" i="3"/>
  <c r="AM299" i="3" s="1"/>
  <c r="N94" i="15"/>
  <c r="T86" i="3"/>
  <c r="AM301" i="3" s="1"/>
  <c r="N96" i="15"/>
  <c r="AN293" i="3"/>
  <c r="G89" i="15"/>
  <c r="AF299" i="3"/>
  <c r="G74" i="15"/>
  <c r="T114" i="3"/>
  <c r="AM305" i="3" s="1"/>
  <c r="T116" i="3"/>
  <c r="AM307" i="3" s="1"/>
  <c r="N101" i="15"/>
  <c r="T54" i="3"/>
  <c r="AM293" i="3" s="1"/>
  <c r="N169" i="15" s="1"/>
  <c r="N89" i="15"/>
  <c r="T79" i="3"/>
  <c r="AE299" i="3" s="1"/>
  <c r="AG299" i="3" s="1"/>
  <c r="N74" i="15"/>
  <c r="T83" i="3"/>
  <c r="AM298" i="3" s="1"/>
  <c r="N93" i="15"/>
  <c r="T85" i="3"/>
  <c r="AM300" i="3" s="1"/>
  <c r="N95" i="15"/>
  <c r="T109" i="3"/>
  <c r="AE305" i="3" s="1"/>
  <c r="N79" i="15"/>
  <c r="T113" i="3"/>
  <c r="AM304" i="3" s="1"/>
  <c r="N98" i="15"/>
  <c r="AN298" i="3"/>
  <c r="AN304" i="3"/>
  <c r="AN307" i="3"/>
  <c r="G97" i="15"/>
  <c r="AF305" i="3"/>
  <c r="G79" i="15"/>
  <c r="G92" i="15"/>
  <c r="AN299" i="3"/>
  <c r="G94" i="15"/>
  <c r="AN305" i="3"/>
  <c r="G99" i="15"/>
  <c r="G102" i="15" s="1"/>
  <c r="T115" i="3"/>
  <c r="AM306" i="3" s="1"/>
  <c r="N100" i="15"/>
  <c r="AN300" i="3"/>
  <c r="AN306" i="3"/>
  <c r="AN309" i="3" s="1"/>
  <c r="N170" i="15"/>
  <c r="N176" i="15"/>
  <c r="AM303" i="3"/>
  <c r="A13" i="29"/>
  <c r="A12" i="29"/>
  <c r="A11" i="29"/>
  <c r="A10" i="29"/>
  <c r="A9" i="29"/>
  <c r="A13" i="28"/>
  <c r="A12" i="28"/>
  <c r="A11" i="28"/>
  <c r="A10" i="28"/>
  <c r="A9" i="28"/>
  <c r="A13" i="27"/>
  <c r="A12" i="27"/>
  <c r="A11" i="27"/>
  <c r="A10" i="27"/>
  <c r="A9" i="27"/>
  <c r="A45" i="13"/>
  <c r="A44" i="13"/>
  <c r="A43" i="13"/>
  <c r="A42" i="13"/>
  <c r="A41" i="13"/>
  <c r="A45" i="12"/>
  <c r="A44" i="12"/>
  <c r="A43" i="12"/>
  <c r="A42" i="12"/>
  <c r="A41" i="12"/>
  <c r="A45" i="9"/>
  <c r="A44" i="9"/>
  <c r="A43" i="9"/>
  <c r="A42" i="9"/>
  <c r="A41" i="9"/>
  <c r="W119" i="2"/>
  <c r="W121" i="2"/>
  <c r="W122" i="2"/>
  <c r="W124" i="2"/>
  <c r="W126" i="2"/>
  <c r="W127" i="2"/>
  <c r="S65" i="10"/>
  <c r="N180" i="15" l="1"/>
  <c r="N175" i="15"/>
  <c r="N181" i="15"/>
  <c r="AN303" i="3"/>
  <c r="N102" i="15"/>
  <c r="N97" i="15"/>
  <c r="N179" i="15"/>
  <c r="N92" i="15"/>
  <c r="AM309" i="3"/>
  <c r="AG305" i="3"/>
  <c r="N174" i="15"/>
  <c r="P69" i="26"/>
  <c r="K69" i="26"/>
  <c r="F69" i="26"/>
  <c r="L78" i="23" l="1"/>
  <c r="M54" i="21"/>
  <c r="E50" i="21"/>
  <c r="E131" i="15"/>
  <c r="A51" i="17" l="1"/>
  <c r="K29" i="17" l="1"/>
  <c r="K10" i="17"/>
  <c r="U406" i="3"/>
  <c r="U405" i="3"/>
  <c r="U404" i="3"/>
  <c r="U403" i="3"/>
  <c r="U400" i="3"/>
  <c r="U399" i="3"/>
  <c r="U398" i="3"/>
  <c r="U397" i="3"/>
  <c r="U394" i="3"/>
  <c r="U393" i="3"/>
  <c r="U392" i="3"/>
  <c r="U391" i="3"/>
  <c r="U377" i="3"/>
  <c r="U376" i="3"/>
  <c r="U375" i="3"/>
  <c r="U374" i="3"/>
  <c r="U371" i="3"/>
  <c r="U370" i="3"/>
  <c r="U369" i="3"/>
  <c r="U368" i="3"/>
  <c r="U365" i="3"/>
  <c r="U364" i="3"/>
  <c r="U363" i="3"/>
  <c r="U362" i="3"/>
  <c r="B413" i="3"/>
  <c r="B382" i="3"/>
  <c r="B353" i="3"/>
  <c r="K87" i="26" l="1"/>
  <c r="K82" i="26"/>
  <c r="A25" i="17" l="1"/>
  <c r="A23" i="19" l="1"/>
  <c r="C181" i="15" l="1"/>
  <c r="C180" i="15"/>
  <c r="C178" i="15"/>
  <c r="C176" i="15"/>
  <c r="C175" i="15"/>
  <c r="C173" i="15"/>
  <c r="C171" i="15"/>
  <c r="C170" i="15"/>
  <c r="C168" i="15"/>
  <c r="J80" i="14"/>
  <c r="J79" i="14"/>
  <c r="J78" i="14"/>
  <c r="J76" i="14"/>
  <c r="J75" i="14"/>
  <c r="J74" i="14"/>
  <c r="J72" i="14"/>
  <c r="J71" i="14"/>
  <c r="J70" i="14"/>
  <c r="G80" i="14"/>
  <c r="G79" i="14"/>
  <c r="G78" i="14"/>
  <c r="G76" i="14"/>
  <c r="G75" i="14"/>
  <c r="G74" i="14"/>
  <c r="G72" i="14"/>
  <c r="G71" i="14"/>
  <c r="G70" i="14"/>
  <c r="W682" i="3"/>
  <c r="W681" i="3"/>
  <c r="W676" i="3"/>
  <c r="W670" i="3"/>
  <c r="N682" i="3"/>
  <c r="N681" i="3"/>
  <c r="N676" i="3"/>
  <c r="N670" i="3"/>
  <c r="Y216" i="3"/>
  <c r="Y215" i="3"/>
  <c r="Y214" i="3"/>
  <c r="Y213" i="3"/>
  <c r="Y212" i="3"/>
  <c r="Y211" i="3"/>
  <c r="Y210" i="3"/>
  <c r="Y209" i="3"/>
  <c r="Y208" i="3"/>
  <c r="Y207" i="3"/>
  <c r="Y206" i="3"/>
  <c r="Y205" i="3"/>
  <c r="Y204" i="3"/>
  <c r="Y203" i="3"/>
  <c r="Y202" i="3"/>
  <c r="Y201" i="3"/>
  <c r="Y200" i="3"/>
  <c r="Y199" i="3"/>
  <c r="Y198" i="3"/>
  <c r="Y197" i="3"/>
  <c r="Y196" i="3"/>
  <c r="Y195" i="3"/>
  <c r="Y194" i="3"/>
  <c r="Y193" i="3"/>
  <c r="Y192" i="3"/>
  <c r="Y191" i="3"/>
  <c r="Y190" i="3"/>
  <c r="Y189" i="3"/>
  <c r="Y188" i="3"/>
  <c r="Y187" i="3"/>
  <c r="Y186" i="3"/>
  <c r="Y185" i="3"/>
  <c r="Y184" i="3"/>
  <c r="Y183" i="3"/>
  <c r="Y182" i="3"/>
  <c r="Y181" i="3"/>
  <c r="Y180" i="3"/>
  <c r="Y179" i="3"/>
  <c r="Y178" i="3"/>
  <c r="Y177" i="3"/>
  <c r="Y176" i="3"/>
  <c r="Y175" i="3"/>
  <c r="Y174" i="3"/>
  <c r="Y173" i="3"/>
  <c r="Y172" i="3"/>
  <c r="Y171" i="3"/>
  <c r="Y170" i="3"/>
  <c r="Y169" i="3"/>
  <c r="Y168" i="3"/>
  <c r="Y167" i="3"/>
  <c r="Y166" i="3"/>
  <c r="C79" i="20" l="1"/>
  <c r="C24" i="22"/>
  <c r="D53" i="19"/>
  <c r="M57" i="19"/>
  <c r="L57" i="19"/>
  <c r="L55" i="19"/>
  <c r="L54" i="19"/>
  <c r="L53" i="19"/>
  <c r="L40" i="19"/>
  <c r="L39" i="19"/>
  <c r="L38" i="19"/>
  <c r="L37" i="19"/>
  <c r="L36" i="19"/>
  <c r="L35" i="19"/>
  <c r="A34" i="19"/>
  <c r="L33" i="19"/>
  <c r="J28" i="19"/>
  <c r="L13" i="19"/>
  <c r="L12" i="19"/>
  <c r="L11" i="19"/>
  <c r="L10" i="19"/>
  <c r="L9" i="19"/>
  <c r="L8" i="19"/>
  <c r="L7" i="19"/>
  <c r="L6" i="19"/>
  <c r="L5" i="19"/>
  <c r="L4" i="19"/>
  <c r="L3" i="19"/>
  <c r="B85" i="18"/>
  <c r="D26" i="17"/>
  <c r="H6" i="17"/>
  <c r="H25" i="17"/>
  <c r="S56" i="16"/>
  <c r="S55" i="16"/>
  <c r="S54" i="16"/>
  <c r="M54" i="16"/>
  <c r="K54" i="16"/>
  <c r="F54" i="16"/>
  <c r="E54" i="16"/>
  <c r="D54" i="16"/>
  <c r="L51" i="16"/>
  <c r="L50" i="16"/>
  <c r="L49" i="16"/>
  <c r="L48" i="16"/>
  <c r="L47" i="16"/>
  <c r="L46" i="16"/>
  <c r="L45" i="16"/>
  <c r="L44" i="16"/>
  <c r="L43" i="16"/>
  <c r="A39" i="16"/>
  <c r="P33" i="16"/>
  <c r="P32" i="16"/>
  <c r="F31" i="16"/>
  <c r="F30" i="16"/>
  <c r="A26" i="16"/>
  <c r="P20" i="16"/>
  <c r="P19" i="16"/>
  <c r="F18" i="16"/>
  <c r="F17" i="16"/>
  <c r="H12" i="16"/>
  <c r="E13" i="16"/>
  <c r="P10" i="16"/>
  <c r="P9" i="16"/>
  <c r="P8" i="16"/>
  <c r="P7" i="16"/>
  <c r="P6" i="16"/>
  <c r="P5" i="16"/>
  <c r="P4" i="16"/>
  <c r="P3" i="16"/>
  <c r="J151" i="15"/>
  <c r="B83" i="14"/>
  <c r="L12" i="11"/>
  <c r="A33" i="6" l="1"/>
  <c r="P58" i="1"/>
  <c r="P57" i="1"/>
  <c r="AA13" i="29"/>
  <c r="AA12" i="29"/>
  <c r="AA11" i="29"/>
  <c r="AA10" i="29"/>
  <c r="AA9" i="29"/>
  <c r="K48" i="13"/>
  <c r="H48" i="13"/>
  <c r="F48" i="13"/>
  <c r="C48" i="13"/>
  <c r="A48" i="13"/>
  <c r="T13" i="29"/>
  <c r="T12" i="29"/>
  <c r="T11" i="29"/>
  <c r="T10" i="29"/>
  <c r="T9" i="29"/>
  <c r="M45" i="13"/>
  <c r="M44" i="13"/>
  <c r="M43" i="13"/>
  <c r="M42" i="13"/>
  <c r="M41" i="13"/>
  <c r="G13" i="29"/>
  <c r="G12" i="29"/>
  <c r="G11" i="29"/>
  <c r="G10" i="29"/>
  <c r="G9" i="29"/>
  <c r="E45" i="13"/>
  <c r="E44" i="13"/>
  <c r="E43" i="13"/>
  <c r="E42" i="13"/>
  <c r="E41" i="13"/>
  <c r="Y16" i="29"/>
  <c r="Y16" i="28"/>
  <c r="Y16" i="27"/>
  <c r="A22" i="13"/>
  <c r="A22" i="12"/>
  <c r="A22" i="9"/>
  <c r="A89" i="26"/>
  <c r="A82" i="26"/>
  <c r="B44" i="24" l="1"/>
  <c r="B43" i="24"/>
  <c r="B42" i="24"/>
  <c r="B41" i="24"/>
  <c r="B40" i="24"/>
  <c r="B39" i="24"/>
  <c r="B38" i="24"/>
  <c r="B37" i="24"/>
  <c r="B36" i="24"/>
  <c r="B35" i="24"/>
  <c r="B34" i="24"/>
  <c r="B33" i="24"/>
  <c r="E14" i="11"/>
  <c r="T24" i="11"/>
  <c r="S24" i="11"/>
  <c r="R24" i="11"/>
  <c r="Q24" i="11"/>
  <c r="P24" i="11"/>
  <c r="O24" i="11"/>
  <c r="N24" i="11"/>
  <c r="M24" i="11"/>
  <c r="L24" i="11"/>
  <c r="K24" i="11"/>
  <c r="J24" i="11"/>
  <c r="I24" i="11"/>
  <c r="H24" i="11"/>
  <c r="G24" i="11"/>
  <c r="F24" i="11"/>
  <c r="E24" i="11"/>
  <c r="E7" i="24"/>
  <c r="E6" i="24"/>
  <c r="E5" i="24"/>
  <c r="E4" i="24"/>
  <c r="E3" i="24"/>
  <c r="D7" i="24"/>
  <c r="D6" i="24"/>
  <c r="D5" i="24"/>
  <c r="D4" i="24"/>
  <c r="D3" i="24"/>
  <c r="C3" i="24"/>
  <c r="C7" i="24"/>
  <c r="C6" i="24"/>
  <c r="C5" i="24"/>
  <c r="C4" i="24"/>
  <c r="M72" i="21" l="1"/>
  <c r="M73" i="21"/>
  <c r="M74" i="21"/>
  <c r="M71" i="21"/>
  <c r="M70" i="21"/>
  <c r="M69" i="21"/>
  <c r="M68" i="21"/>
  <c r="M67" i="21"/>
  <c r="M65" i="21"/>
  <c r="M75" i="21"/>
  <c r="M66" i="21"/>
  <c r="M64" i="21"/>
  <c r="M63" i="21"/>
  <c r="M53" i="21"/>
  <c r="M57" i="21"/>
  <c r="M62" i="21"/>
  <c r="M61" i="21"/>
  <c r="M59" i="21"/>
  <c r="M55" i="21"/>
  <c r="M60" i="21"/>
  <c r="M58" i="21"/>
  <c r="M52" i="21"/>
  <c r="M51" i="21"/>
  <c r="M47" i="21"/>
  <c r="M46" i="21"/>
  <c r="M45" i="21"/>
  <c r="M44" i="21"/>
  <c r="M43" i="21"/>
  <c r="M42" i="21"/>
  <c r="M40" i="21"/>
  <c r="M41" i="21"/>
  <c r="P32" i="21"/>
  <c r="M32" i="21"/>
  <c r="M30" i="21"/>
  <c r="P28" i="21"/>
  <c r="M28" i="21"/>
  <c r="J9" i="21"/>
  <c r="K75" i="21"/>
  <c r="J75" i="21"/>
  <c r="A75" i="21"/>
  <c r="K65" i="21"/>
  <c r="J65" i="21" s="1"/>
  <c r="K70" i="21"/>
  <c r="J70" i="21" s="1"/>
  <c r="K69" i="21"/>
  <c r="J69" i="21" s="1"/>
  <c r="K74" i="21"/>
  <c r="J74" i="21" s="1"/>
  <c r="K73" i="21"/>
  <c r="J73" i="21" s="1"/>
  <c r="K72" i="21"/>
  <c r="J72" i="21" s="1"/>
  <c r="K71" i="21"/>
  <c r="J71" i="21" s="1"/>
  <c r="K68" i="21"/>
  <c r="J68" i="21" s="1"/>
  <c r="K67" i="21"/>
  <c r="J67" i="21" s="1"/>
  <c r="K66" i="21"/>
  <c r="J66" i="21" s="1"/>
  <c r="K64" i="21"/>
  <c r="J64" i="21" s="1"/>
  <c r="K63" i="21"/>
  <c r="J63" i="21" s="1"/>
  <c r="K62" i="21"/>
  <c r="J62" i="21" s="1"/>
  <c r="K61" i="21"/>
  <c r="J61" i="21" s="1"/>
  <c r="K60" i="21"/>
  <c r="J60" i="21" s="1"/>
  <c r="K59" i="21"/>
  <c r="J59" i="21" s="1"/>
  <c r="K57" i="21"/>
  <c r="A57" i="21" s="1"/>
  <c r="J57" i="21"/>
  <c r="K56" i="21"/>
  <c r="A56" i="21" s="1"/>
  <c r="J56" i="21"/>
  <c r="K55" i="21"/>
  <c r="J55" i="21"/>
  <c r="A55" i="21"/>
  <c r="K54" i="21"/>
  <c r="B54" i="21"/>
  <c r="A53" i="21"/>
  <c r="K51" i="21"/>
  <c r="A51" i="21" s="1"/>
  <c r="J51" i="21"/>
  <c r="K50" i="21"/>
  <c r="J50" i="21"/>
  <c r="K49" i="21"/>
  <c r="J49" i="21"/>
  <c r="K48" i="21"/>
  <c r="J48" i="21"/>
  <c r="E48" i="21"/>
  <c r="K47" i="21"/>
  <c r="J47" i="21"/>
  <c r="K46" i="21"/>
  <c r="J46" i="21"/>
  <c r="E46" i="21"/>
  <c r="K44" i="21"/>
  <c r="J44" i="21"/>
  <c r="K43" i="21"/>
  <c r="J43" i="21"/>
  <c r="K42" i="21"/>
  <c r="J42" i="21"/>
  <c r="K40" i="21"/>
  <c r="J40" i="21"/>
  <c r="A40" i="21"/>
  <c r="K39" i="21"/>
  <c r="K38" i="21"/>
  <c r="J38" i="21"/>
  <c r="A38" i="21"/>
  <c r="K37" i="21"/>
  <c r="J37" i="21"/>
  <c r="K36" i="21"/>
  <c r="J36" i="21"/>
  <c r="A36" i="21"/>
  <c r="K35" i="21"/>
  <c r="J35" i="21"/>
  <c r="K34" i="21"/>
  <c r="J34" i="21"/>
  <c r="K33" i="21"/>
  <c r="J33" i="21"/>
  <c r="K32" i="21"/>
  <c r="J32" i="21"/>
  <c r="K31" i="21"/>
  <c r="J31" i="21"/>
  <c r="A30" i="21"/>
  <c r="K29" i="21"/>
  <c r="J29" i="21"/>
  <c r="A29" i="21"/>
  <c r="H7" i="21"/>
  <c r="Q84" i="23"/>
  <c r="Q100" i="23"/>
  <c r="Q83" i="23"/>
  <c r="H83" i="23" s="1"/>
  <c r="Q86" i="23"/>
  <c r="Q85" i="23"/>
  <c r="Q90" i="23"/>
  <c r="Q99" i="23"/>
  <c r="Q98" i="23"/>
  <c r="P98" i="23" s="1"/>
  <c r="Q82" i="23"/>
  <c r="P75" i="23"/>
  <c r="P74" i="23"/>
  <c r="Q81" i="23"/>
  <c r="Q93" i="23"/>
  <c r="Q91" i="23"/>
  <c r="P162" i="15"/>
  <c r="E39" i="17"/>
  <c r="E35" i="17"/>
  <c r="E31" i="17"/>
  <c r="E30" i="17"/>
  <c r="E29" i="17"/>
  <c r="G41" i="17"/>
  <c r="G40" i="17"/>
  <c r="G37" i="17"/>
  <c r="G36" i="17"/>
  <c r="G33" i="17"/>
  <c r="G32" i="17"/>
  <c r="G29" i="17"/>
  <c r="I41" i="17"/>
  <c r="I40" i="17"/>
  <c r="I37" i="17"/>
  <c r="I36" i="17"/>
  <c r="I33" i="17"/>
  <c r="I32" i="17"/>
  <c r="I29" i="17"/>
  <c r="K41" i="17"/>
  <c r="K40" i="17"/>
  <c r="K37" i="17"/>
  <c r="K36" i="17"/>
  <c r="K33" i="17"/>
  <c r="K32" i="17"/>
  <c r="K30" i="17"/>
  <c r="M30" i="17"/>
  <c r="M29" i="17"/>
  <c r="O41" i="17"/>
  <c r="O40" i="17"/>
  <c r="O37" i="17"/>
  <c r="O36" i="17"/>
  <c r="O33" i="17"/>
  <c r="O32" i="17"/>
  <c r="O30" i="17"/>
  <c r="O29" i="17"/>
  <c r="S30" i="17"/>
  <c r="S29" i="17"/>
  <c r="D27" i="17"/>
  <c r="D8" i="17"/>
  <c r="M56" i="21" s="1"/>
  <c r="P83" i="23"/>
  <c r="P61" i="18"/>
  <c r="P60" i="18"/>
  <c r="P59" i="18"/>
  <c r="A59" i="18"/>
  <c r="A60" i="18"/>
  <c r="O82" i="18"/>
  <c r="O81" i="18"/>
  <c r="O80" i="18"/>
  <c r="O79" i="18"/>
  <c r="O78" i="18"/>
  <c r="O77" i="18"/>
  <c r="O76" i="18"/>
  <c r="O75" i="18"/>
  <c r="O74" i="18"/>
  <c r="O73" i="18"/>
  <c r="O72" i="18"/>
  <c r="O71" i="18"/>
  <c r="O70" i="18"/>
  <c r="O69" i="18"/>
  <c r="O68" i="18"/>
  <c r="O67" i="18"/>
  <c r="O66" i="18"/>
  <c r="O65" i="18"/>
  <c r="P4" i="20"/>
  <c r="A4" i="20"/>
  <c r="A36" i="19"/>
  <c r="A33" i="16"/>
  <c r="A20" i="16"/>
  <c r="B85" i="26"/>
  <c r="A84" i="26"/>
  <c r="A61" i="21" l="1"/>
  <c r="A46" i="21"/>
  <c r="B64" i="21"/>
  <c r="A62" i="21"/>
  <c r="A42" i="21"/>
  <c r="A44" i="21"/>
  <c r="A70" i="21"/>
  <c r="A59" i="21"/>
  <c r="A66" i="21"/>
  <c r="A69" i="21"/>
  <c r="A68" i="21"/>
  <c r="A71" i="21"/>
  <c r="A72" i="21"/>
  <c r="A73" i="21"/>
  <c r="A74" i="21"/>
  <c r="A67" i="21"/>
  <c r="A65" i="21"/>
  <c r="P4" i="21"/>
  <c r="N4" i="21"/>
  <c r="N2" i="21"/>
  <c r="O4" i="21"/>
  <c r="O15" i="23"/>
  <c r="N15" i="23"/>
  <c r="M15" i="23"/>
  <c r="M14" i="23"/>
  <c r="M13" i="23"/>
  <c r="K1" i="23"/>
  <c r="H60" i="23"/>
  <c r="B60" i="23"/>
  <c r="B66" i="23"/>
  <c r="Q87" i="23"/>
  <c r="H87" i="23" s="1"/>
  <c r="K88" i="26"/>
  <c r="A88" i="26"/>
  <c r="A87" i="26"/>
  <c r="A86" i="26"/>
  <c r="F3" i="4"/>
  <c r="I51" i="11" s="1"/>
  <c r="N2" i="4"/>
  <c r="M2" i="4"/>
  <c r="L2" i="4"/>
  <c r="J29" i="19" s="1"/>
  <c r="K2" i="4"/>
  <c r="J2" i="4"/>
  <c r="B53" i="17" s="1"/>
  <c r="I2" i="4"/>
  <c r="G2" i="4"/>
  <c r="F2" i="4"/>
  <c r="G3" i="4" s="1"/>
  <c r="A49" i="17"/>
  <c r="M49" i="17"/>
  <c r="I51" i="17"/>
  <c r="Q47" i="17"/>
  <c r="P87" i="23" l="1"/>
  <c r="Q2" i="4"/>
  <c r="I110" i="14"/>
  <c r="I53" i="14"/>
  <c r="H3" i="4"/>
  <c r="O2" i="4"/>
  <c r="J62" i="15" s="1"/>
  <c r="U17" i="29"/>
  <c r="AB17" i="29"/>
  <c r="AA17" i="29"/>
  <c r="Z17" i="29"/>
  <c r="Y17" i="29"/>
  <c r="X17" i="29"/>
  <c r="W17" i="29"/>
  <c r="V17" i="29"/>
  <c r="T17" i="29"/>
  <c r="S17" i="29"/>
  <c r="R17" i="29"/>
  <c r="Q17" i="29"/>
  <c r="P17" i="29"/>
  <c r="O17" i="29"/>
  <c r="A15" i="29"/>
  <c r="T16" i="29"/>
  <c r="S16" i="29"/>
  <c r="R16" i="29"/>
  <c r="Q16" i="29"/>
  <c r="P16" i="29"/>
  <c r="O16" i="29"/>
  <c r="V13" i="29"/>
  <c r="V12" i="29"/>
  <c r="V11" i="29"/>
  <c r="V10" i="29"/>
  <c r="V9" i="29"/>
  <c r="U1" i="29"/>
  <c r="E2" i="28"/>
  <c r="E1" i="28"/>
  <c r="E2" i="29"/>
  <c r="E1" i="29"/>
  <c r="L6" i="29"/>
  <c r="L5" i="29"/>
  <c r="L4" i="29"/>
  <c r="E4" i="29"/>
  <c r="E3" i="29"/>
  <c r="AB17" i="27"/>
  <c r="AA17" i="27"/>
  <c r="Z17" i="27"/>
  <c r="Y17" i="27"/>
  <c r="X17" i="27"/>
  <c r="W17" i="27"/>
  <c r="V17" i="27"/>
  <c r="U17" i="27"/>
  <c r="T17" i="27"/>
  <c r="S17" i="27"/>
  <c r="R17" i="27"/>
  <c r="Q17" i="27"/>
  <c r="P17" i="27"/>
  <c r="O17" i="27"/>
  <c r="AB17" i="28"/>
  <c r="AA17" i="28"/>
  <c r="Z17" i="28"/>
  <c r="Y17" i="28"/>
  <c r="X17" i="28"/>
  <c r="W17" i="28"/>
  <c r="V17" i="28"/>
  <c r="U17" i="28"/>
  <c r="T17" i="28"/>
  <c r="S17" i="28"/>
  <c r="R17" i="28"/>
  <c r="Q17" i="28"/>
  <c r="P17" i="28"/>
  <c r="O17" i="28"/>
  <c r="A15" i="28"/>
  <c r="A15" i="27"/>
  <c r="T16" i="28"/>
  <c r="S16" i="28"/>
  <c r="R16" i="28"/>
  <c r="Q16" i="28"/>
  <c r="P16" i="28"/>
  <c r="O16" i="28"/>
  <c r="AA13" i="28"/>
  <c r="AA12" i="28"/>
  <c r="AA11" i="28"/>
  <c r="AA10" i="28"/>
  <c r="V13" i="28"/>
  <c r="V12" i="28"/>
  <c r="V11" i="28"/>
  <c r="V10" i="28"/>
  <c r="AA9" i="28"/>
  <c r="V9" i="28"/>
  <c r="T13" i="28"/>
  <c r="T12" i="28"/>
  <c r="T11" i="28"/>
  <c r="T10" i="28"/>
  <c r="T9" i="28"/>
  <c r="G13" i="28"/>
  <c r="G12" i="28"/>
  <c r="G11" i="28"/>
  <c r="G10" i="28"/>
  <c r="G9" i="28"/>
  <c r="U1" i="28"/>
  <c r="L6" i="28"/>
  <c r="L5" i="28"/>
  <c r="L4" i="28"/>
  <c r="E4" i="28"/>
  <c r="E3" i="28"/>
  <c r="V13" i="27"/>
  <c r="V12" i="27"/>
  <c r="V11" i="27"/>
  <c r="V10" i="27"/>
  <c r="V9" i="27"/>
  <c r="AA13" i="27"/>
  <c r="AA12" i="27"/>
  <c r="AA11" i="27"/>
  <c r="AA10" i="27"/>
  <c r="AA9" i="27"/>
  <c r="L6" i="27"/>
  <c r="L5" i="27"/>
  <c r="L4" i="27"/>
  <c r="T13" i="27"/>
  <c r="G13" i="27"/>
  <c r="T12" i="27"/>
  <c r="G12" i="27"/>
  <c r="T11" i="27"/>
  <c r="G11" i="27"/>
  <c r="T10" i="27"/>
  <c r="G10" i="27"/>
  <c r="T9" i="27"/>
  <c r="G9" i="27"/>
  <c r="T16" i="27"/>
  <c r="S16" i="27"/>
  <c r="R16" i="27"/>
  <c r="Q16" i="27"/>
  <c r="P16" i="27"/>
  <c r="O16" i="27"/>
  <c r="E4" i="27"/>
  <c r="E3" i="27"/>
  <c r="E2" i="27"/>
  <c r="E1" i="27"/>
  <c r="U1" i="27"/>
  <c r="A92" i="26" l="1"/>
  <c r="G93" i="26"/>
  <c r="G95" i="26"/>
  <c r="B94" i="26"/>
  <c r="J93" i="26"/>
  <c r="J94" i="26"/>
  <c r="B95" i="26"/>
  <c r="G94" i="26"/>
  <c r="B93" i="26"/>
  <c r="A96" i="26"/>
  <c r="I3" i="4"/>
  <c r="I58" i="16" s="1"/>
  <c r="I62" i="15"/>
  <c r="I190" i="15"/>
  <c r="I126" i="15"/>
  <c r="J54" i="20"/>
  <c r="J55" i="18"/>
  <c r="J126" i="15"/>
  <c r="J103" i="26"/>
  <c r="J53" i="6"/>
  <c r="J58" i="22"/>
  <c r="J56" i="17"/>
  <c r="J110" i="14"/>
  <c r="J50" i="26"/>
  <c r="J111" i="20"/>
  <c r="J190" i="15"/>
  <c r="A18" i="10"/>
  <c r="J59" i="19"/>
  <c r="J58" i="16"/>
  <c r="J53" i="14"/>
  <c r="A52" i="10"/>
  <c r="J111" i="18"/>
  <c r="J51" i="11"/>
  <c r="J3" i="4"/>
  <c r="G21" i="25"/>
  <c r="G16" i="25"/>
  <c r="G15" i="25"/>
  <c r="G13" i="25"/>
  <c r="G9" i="25"/>
  <c r="G8" i="25"/>
  <c r="G7" i="25"/>
  <c r="G6" i="25"/>
  <c r="G5" i="25"/>
  <c r="B127" i="4"/>
  <c r="B128" i="4"/>
  <c r="B137" i="4"/>
  <c r="B136" i="4"/>
  <c r="B135" i="4"/>
  <c r="B134" i="4"/>
  <c r="B133" i="4"/>
  <c r="B132" i="4"/>
  <c r="B131" i="4"/>
  <c r="B130" i="4"/>
  <c r="B129" i="4"/>
  <c r="K3" i="4" l="1"/>
  <c r="I56" i="17"/>
  <c r="D132" i="4"/>
  <c r="D137" i="4"/>
  <c r="D136" i="4"/>
  <c r="D128" i="4"/>
  <c r="D133" i="4"/>
  <c r="D134" i="4"/>
  <c r="D130" i="4"/>
  <c r="D131" i="4"/>
  <c r="D135" i="4"/>
  <c r="D129" i="4"/>
  <c r="C103" i="26"/>
  <c r="K101" i="26"/>
  <c r="A101" i="26"/>
  <c r="K100" i="26"/>
  <c r="A100" i="26"/>
  <c r="K99" i="26"/>
  <c r="A99" i="26"/>
  <c r="K81" i="26"/>
  <c r="R78" i="26"/>
  <c r="J78" i="26"/>
  <c r="P75" i="26"/>
  <c r="K75" i="26"/>
  <c r="F75" i="26"/>
  <c r="P71" i="26"/>
  <c r="K71" i="26"/>
  <c r="F71" i="26"/>
  <c r="P65" i="26"/>
  <c r="K65" i="26"/>
  <c r="F65" i="26"/>
  <c r="P62" i="26"/>
  <c r="K62" i="26"/>
  <c r="F62" i="26"/>
  <c r="P60" i="26"/>
  <c r="K60" i="26"/>
  <c r="F60" i="26"/>
  <c r="P58" i="26"/>
  <c r="K58" i="26"/>
  <c r="F58" i="26"/>
  <c r="P57" i="26"/>
  <c r="K57" i="26"/>
  <c r="F57" i="26"/>
  <c r="P56" i="26"/>
  <c r="K56" i="26"/>
  <c r="F56" i="26"/>
  <c r="P55" i="26"/>
  <c r="K55" i="26"/>
  <c r="F55" i="26"/>
  <c r="P54" i="26"/>
  <c r="K54" i="26"/>
  <c r="F54" i="26"/>
  <c r="P53" i="26"/>
  <c r="K53" i="26"/>
  <c r="F53" i="26"/>
  <c r="P52" i="26"/>
  <c r="K52" i="26"/>
  <c r="F52" i="26"/>
  <c r="C50" i="26"/>
  <c r="D48" i="26"/>
  <c r="C27" i="26"/>
  <c r="A27" i="26"/>
  <c r="C17" i="26"/>
  <c r="B17" i="26"/>
  <c r="T16" i="26"/>
  <c r="S16" i="26"/>
  <c r="R16" i="26"/>
  <c r="Q16" i="26"/>
  <c r="P16" i="26"/>
  <c r="O16" i="26"/>
  <c r="N16" i="26"/>
  <c r="M16" i="26"/>
  <c r="L16" i="26"/>
  <c r="K16" i="26"/>
  <c r="J16" i="26"/>
  <c r="I16" i="26"/>
  <c r="H16" i="26"/>
  <c r="G16" i="26"/>
  <c r="F16" i="26"/>
  <c r="E16" i="26"/>
  <c r="C16" i="26"/>
  <c r="B16" i="26"/>
  <c r="A16" i="26"/>
  <c r="B15" i="26"/>
  <c r="T14" i="26"/>
  <c r="S14" i="26"/>
  <c r="R14" i="26"/>
  <c r="Q14" i="26"/>
  <c r="P14" i="26"/>
  <c r="O14" i="26"/>
  <c r="N14" i="26"/>
  <c r="M14" i="26"/>
  <c r="L14" i="26"/>
  <c r="K14" i="26"/>
  <c r="J14" i="26"/>
  <c r="I14" i="26"/>
  <c r="H14" i="26"/>
  <c r="G14" i="26"/>
  <c r="F14" i="26"/>
  <c r="E14" i="26"/>
  <c r="C14" i="26"/>
  <c r="B14" i="26"/>
  <c r="A14" i="26"/>
  <c r="T13" i="26"/>
  <c r="S13" i="26"/>
  <c r="R13" i="26"/>
  <c r="Q13" i="26"/>
  <c r="P13" i="26"/>
  <c r="O13" i="26"/>
  <c r="N13" i="26"/>
  <c r="M13" i="26"/>
  <c r="L13" i="26"/>
  <c r="K13" i="26"/>
  <c r="J13" i="26"/>
  <c r="I13" i="26"/>
  <c r="H13" i="26"/>
  <c r="G13" i="26"/>
  <c r="F13" i="26"/>
  <c r="E13" i="26"/>
  <c r="C13" i="26"/>
  <c r="B13" i="26"/>
  <c r="A13" i="26"/>
  <c r="T12" i="26"/>
  <c r="S12" i="26"/>
  <c r="R12" i="26"/>
  <c r="Q12" i="26"/>
  <c r="P12" i="26"/>
  <c r="O12" i="26"/>
  <c r="N12" i="26"/>
  <c r="M12" i="26"/>
  <c r="L12" i="26"/>
  <c r="K12" i="26"/>
  <c r="J12" i="26"/>
  <c r="I12" i="26"/>
  <c r="H12" i="26"/>
  <c r="G12" i="26"/>
  <c r="F12" i="26"/>
  <c r="E12" i="26"/>
  <c r="C12" i="26"/>
  <c r="B12" i="26"/>
  <c r="A12" i="26"/>
  <c r="T11" i="26"/>
  <c r="S11" i="26"/>
  <c r="R11" i="26"/>
  <c r="Q11" i="26"/>
  <c r="P11" i="26"/>
  <c r="O11" i="26"/>
  <c r="N11" i="26"/>
  <c r="M11" i="26"/>
  <c r="L11" i="26"/>
  <c r="K11" i="26"/>
  <c r="J11" i="26"/>
  <c r="I11" i="26"/>
  <c r="H11" i="26"/>
  <c r="G11" i="26"/>
  <c r="F11" i="26"/>
  <c r="E11" i="26"/>
  <c r="C11" i="26"/>
  <c r="B11" i="26"/>
  <c r="A11" i="26"/>
  <c r="B10" i="26"/>
  <c r="T9" i="26"/>
  <c r="S9" i="26"/>
  <c r="R9" i="26"/>
  <c r="Q9" i="26"/>
  <c r="P9" i="26"/>
  <c r="O9" i="26"/>
  <c r="N9" i="26"/>
  <c r="M9" i="26"/>
  <c r="L9" i="26"/>
  <c r="K9" i="26"/>
  <c r="J9" i="26"/>
  <c r="I9" i="26"/>
  <c r="H9" i="26"/>
  <c r="G9" i="26"/>
  <c r="F9" i="26"/>
  <c r="E9" i="26"/>
  <c r="C9" i="26"/>
  <c r="B9" i="26"/>
  <c r="A9" i="26"/>
  <c r="T8" i="26"/>
  <c r="S8" i="26"/>
  <c r="R8" i="26"/>
  <c r="Q8" i="26"/>
  <c r="P8" i="26"/>
  <c r="O8" i="26"/>
  <c r="N8" i="26"/>
  <c r="M8" i="26"/>
  <c r="L8" i="26"/>
  <c r="K8" i="26"/>
  <c r="J8" i="26"/>
  <c r="I8" i="26"/>
  <c r="H8" i="26"/>
  <c r="G8" i="26"/>
  <c r="F8" i="26"/>
  <c r="E8" i="26"/>
  <c r="C8" i="26"/>
  <c r="B8" i="26"/>
  <c r="A8" i="26"/>
  <c r="B7" i="26"/>
  <c r="B6" i="26"/>
  <c r="B5" i="26"/>
  <c r="F49" i="2"/>
  <c r="L3" i="4" l="1"/>
  <c r="I111" i="18"/>
  <c r="I55" i="18"/>
  <c r="W18" i="10"/>
  <c r="AM27" i="1"/>
  <c r="X26" i="4" s="1"/>
  <c r="AM26" i="1"/>
  <c r="W17" i="10" s="1"/>
  <c r="E8" i="25"/>
  <c r="C28" i="24"/>
  <c r="C19" i="24"/>
  <c r="C17" i="24"/>
  <c r="C12" i="24"/>
  <c r="J25" i="23"/>
  <c r="M3" i="4" l="1"/>
  <c r="I59" i="19"/>
  <c r="B111" i="23"/>
  <c r="B110" i="23"/>
  <c r="P79" i="23"/>
  <c r="P100" i="23"/>
  <c r="H93" i="23"/>
  <c r="Q92" i="23"/>
  <c r="P92" i="23" s="1"/>
  <c r="H91" i="23"/>
  <c r="Q77" i="23"/>
  <c r="Q76" i="23"/>
  <c r="P77" i="23"/>
  <c r="P76" i="23"/>
  <c r="H68" i="23"/>
  <c r="G18" i="23"/>
  <c r="G19" i="23"/>
  <c r="G20" i="23"/>
  <c r="Q69" i="23"/>
  <c r="Q68" i="23"/>
  <c r="P68" i="23"/>
  <c r="Q101" i="23"/>
  <c r="P101" i="23"/>
  <c r="H101" i="23"/>
  <c r="Q67" i="23"/>
  <c r="P67" i="23"/>
  <c r="H99" i="23"/>
  <c r="Q66" i="23"/>
  <c r="P66" i="23"/>
  <c r="H66" i="23"/>
  <c r="H98" i="23"/>
  <c r="Q65" i="23"/>
  <c r="P65" i="23"/>
  <c r="Q97" i="23"/>
  <c r="Q64" i="23"/>
  <c r="P64" i="23"/>
  <c r="Q96" i="23"/>
  <c r="Q63" i="23"/>
  <c r="P63" i="23"/>
  <c r="Q95" i="23"/>
  <c r="Q62" i="23"/>
  <c r="P62" i="23"/>
  <c r="Q94" i="23"/>
  <c r="Q61" i="23"/>
  <c r="P61" i="23"/>
  <c r="I90" i="23"/>
  <c r="Q59" i="23"/>
  <c r="P59" i="23"/>
  <c r="H59" i="23"/>
  <c r="Q89" i="23"/>
  <c r="P89" i="23" s="1"/>
  <c r="Q88" i="23"/>
  <c r="H88" i="23" s="1"/>
  <c r="P86" i="23"/>
  <c r="P85" i="23"/>
  <c r="H84" i="23"/>
  <c r="P84" i="23"/>
  <c r="P82" i="23"/>
  <c r="H82" i="23"/>
  <c r="I81" i="23"/>
  <c r="H80" i="23"/>
  <c r="Q79" i="23"/>
  <c r="H79" i="23" s="1"/>
  <c r="Q78" i="23"/>
  <c r="P78" i="23"/>
  <c r="L76" i="23"/>
  <c r="Q75" i="23"/>
  <c r="Q74" i="23"/>
  <c r="L74" i="23"/>
  <c r="Q73" i="23"/>
  <c r="P73" i="23"/>
  <c r="Q72" i="23"/>
  <c r="P72" i="23"/>
  <c r="Q71" i="23"/>
  <c r="P71" i="23"/>
  <c r="Q70" i="23"/>
  <c r="P70" i="23"/>
  <c r="H70" i="23"/>
  <c r="B9" i="23"/>
  <c r="C15" i="23"/>
  <c r="C14" i="23"/>
  <c r="C13" i="23"/>
  <c r="P94" i="23" l="1"/>
  <c r="B94" i="23"/>
  <c r="H97" i="23"/>
  <c r="B97" i="23"/>
  <c r="H95" i="23"/>
  <c r="B95" i="23"/>
  <c r="P96" i="23"/>
  <c r="B96" i="23"/>
  <c r="N3" i="4"/>
  <c r="I58" i="22"/>
  <c r="H100" i="23"/>
  <c r="P93" i="23"/>
  <c r="P91" i="23"/>
  <c r="H92" i="23"/>
  <c r="P97" i="23"/>
  <c r="H74" i="23"/>
  <c r="H71" i="23"/>
  <c r="H73" i="23"/>
  <c r="H85" i="23"/>
  <c r="H94" i="23"/>
  <c r="P90" i="23"/>
  <c r="P88" i="23"/>
  <c r="P95" i="23"/>
  <c r="H96" i="23"/>
  <c r="P99" i="23"/>
  <c r="C111" i="20"/>
  <c r="C54" i="20"/>
  <c r="M56" i="20"/>
  <c r="F681" i="3"/>
  <c r="F680" i="3"/>
  <c r="F679" i="3"/>
  <c r="F678" i="3"/>
  <c r="F675" i="3"/>
  <c r="F674" i="3"/>
  <c r="F673" i="3"/>
  <c r="F672" i="3"/>
  <c r="L660" i="3" s="1"/>
  <c r="F669" i="3"/>
  <c r="F668" i="3"/>
  <c r="F667" i="3"/>
  <c r="F666" i="3"/>
  <c r="E690" i="3"/>
  <c r="E689" i="3"/>
  <c r="E688" i="3"/>
  <c r="E30" i="20"/>
  <c r="E29" i="20"/>
  <c r="P26" i="20"/>
  <c r="A26" i="20"/>
  <c r="P5" i="20"/>
  <c r="C58" i="22"/>
  <c r="C59" i="19"/>
  <c r="C111" i="18"/>
  <c r="C55" i="18"/>
  <c r="F63" i="18"/>
  <c r="T9" i="14"/>
  <c r="P57" i="18"/>
  <c r="A57" i="18"/>
  <c r="E33" i="18"/>
  <c r="E32" i="18"/>
  <c r="G455" i="3"/>
  <c r="G454" i="3"/>
  <c r="G453" i="3"/>
  <c r="G452" i="3"/>
  <c r="G451" i="3"/>
  <c r="G450" i="3"/>
  <c r="G448" i="3"/>
  <c r="G447" i="3"/>
  <c r="G446" i="3"/>
  <c r="G445" i="3"/>
  <c r="G444" i="3"/>
  <c r="G443" i="3"/>
  <c r="L426" i="3" s="1"/>
  <c r="G441" i="3"/>
  <c r="G440" i="3"/>
  <c r="G439" i="3"/>
  <c r="G438" i="3"/>
  <c r="G437" i="3"/>
  <c r="G436" i="3"/>
  <c r="P29" i="18"/>
  <c r="A29" i="18"/>
  <c r="P5" i="18"/>
  <c r="C56" i="17"/>
  <c r="M4" i="17"/>
  <c r="C58" i="16"/>
  <c r="A51" i="16"/>
  <c r="A50" i="16"/>
  <c r="A32" i="16"/>
  <c r="A19" i="16"/>
  <c r="A4" i="16"/>
  <c r="P4" i="15"/>
  <c r="A4" i="15"/>
  <c r="L167" i="15"/>
  <c r="L166" i="15"/>
  <c r="C167" i="15"/>
  <c r="C166" i="15"/>
  <c r="C190" i="15"/>
  <c r="G152" i="15"/>
  <c r="E152" i="15"/>
  <c r="E132" i="15"/>
  <c r="A130" i="15"/>
  <c r="A107" i="15"/>
  <c r="E108" i="15"/>
  <c r="E109" i="15"/>
  <c r="A104" i="15"/>
  <c r="P104" i="15"/>
  <c r="H308" i="3"/>
  <c r="H307" i="3"/>
  <c r="H306" i="3"/>
  <c r="H304" i="3"/>
  <c r="H302" i="3"/>
  <c r="H301" i="3"/>
  <c r="H300" i="3"/>
  <c r="H298" i="3"/>
  <c r="L280" i="3" s="1"/>
  <c r="T108" i="15" s="1"/>
  <c r="H296" i="3"/>
  <c r="H295" i="3"/>
  <c r="H294" i="3"/>
  <c r="H292" i="3"/>
  <c r="C126" i="15"/>
  <c r="B81" i="15"/>
  <c r="K81" i="15" s="1"/>
  <c r="B80" i="15"/>
  <c r="H80" i="15" s="1"/>
  <c r="B78" i="15"/>
  <c r="H78" i="15" s="1"/>
  <c r="B76" i="15"/>
  <c r="I76" i="15" s="1"/>
  <c r="B75" i="15"/>
  <c r="L75" i="15" s="1"/>
  <c r="B73" i="15"/>
  <c r="I73" i="15" s="1"/>
  <c r="B71" i="15"/>
  <c r="B70" i="15"/>
  <c r="B68" i="15"/>
  <c r="Q1" i="15"/>
  <c r="C110" i="14"/>
  <c r="C53" i="14"/>
  <c r="R9" i="14"/>
  <c r="P58" i="14"/>
  <c r="P59" i="14"/>
  <c r="A58" i="14"/>
  <c r="H253" i="3"/>
  <c r="H252" i="3"/>
  <c r="H251" i="3"/>
  <c r="H250" i="3"/>
  <c r="H248" i="3"/>
  <c r="H247" i="3"/>
  <c r="H246" i="3"/>
  <c r="H245" i="3"/>
  <c r="H243" i="3"/>
  <c r="H242" i="3"/>
  <c r="H241" i="3"/>
  <c r="H240" i="3"/>
  <c r="A34" i="14"/>
  <c r="Q17" i="14"/>
  <c r="B148" i="3"/>
  <c r="H682" i="3"/>
  <c r="H681" i="3"/>
  <c r="H676" i="3"/>
  <c r="H670" i="3"/>
  <c r="B682" i="3"/>
  <c r="B681" i="3"/>
  <c r="B676" i="3"/>
  <c r="B670" i="3"/>
  <c r="F455" i="3"/>
  <c r="F448" i="3"/>
  <c r="F441" i="3"/>
  <c r="AE308" i="3"/>
  <c r="AG308" i="3" s="1"/>
  <c r="AE307" i="3"/>
  <c r="AG307" i="3" s="1"/>
  <c r="AE306" i="3"/>
  <c r="AG306" i="3" s="1"/>
  <c r="AE302" i="3"/>
  <c r="AG302" i="3" s="1"/>
  <c r="AE301" i="3"/>
  <c r="AG301" i="3" s="1"/>
  <c r="AE300" i="3"/>
  <c r="AG300" i="3" s="1"/>
  <c r="AE296" i="3"/>
  <c r="AG296" i="3" s="1"/>
  <c r="Q140" i="15" l="1"/>
  <c r="Q141" i="15"/>
  <c r="Q145" i="15"/>
  <c r="Q146" i="15"/>
  <c r="Q139" i="15"/>
  <c r="Q144" i="15"/>
  <c r="I132" i="15"/>
  <c r="Q134" i="15"/>
  <c r="I54" i="20"/>
  <c r="I111" i="20"/>
  <c r="T29" i="20"/>
  <c r="G30" i="20"/>
  <c r="P27" i="20"/>
  <c r="Q30" i="20"/>
  <c r="I30" i="20"/>
  <c r="T32" i="18"/>
  <c r="G33" i="18"/>
  <c r="A30" i="18"/>
  <c r="A27" i="20"/>
  <c r="I33" i="18"/>
  <c r="P30" i="18"/>
  <c r="Q33" i="18"/>
  <c r="Q109" i="15"/>
  <c r="T131" i="15"/>
  <c r="F152" i="15" s="1"/>
  <c r="G109" i="15"/>
  <c r="G132" i="15"/>
  <c r="Q132" i="15"/>
  <c r="I109" i="15"/>
  <c r="P105" i="15"/>
  <c r="A105" i="15"/>
  <c r="H76" i="15"/>
  <c r="C76" i="15"/>
  <c r="N76" i="15"/>
  <c r="M76" i="15"/>
  <c r="L76" i="15"/>
  <c r="G76" i="15"/>
  <c r="H81" i="15"/>
  <c r="I75" i="15"/>
  <c r="N81" i="15"/>
  <c r="D75" i="15"/>
  <c r="G80" i="15"/>
  <c r="C75" i="15"/>
  <c r="M75" i="15"/>
  <c r="D80" i="15"/>
  <c r="E75" i="15"/>
  <c r="K75" i="15"/>
  <c r="L80" i="15"/>
  <c r="H75" i="15"/>
  <c r="N75" i="15"/>
  <c r="G75" i="15"/>
  <c r="G81" i="15"/>
  <c r="C80" i="15"/>
  <c r="K80" i="15"/>
  <c r="D81" i="15"/>
  <c r="L81" i="15"/>
  <c r="N80" i="15"/>
  <c r="C81" i="15"/>
  <c r="D78" i="15"/>
  <c r="L78" i="15"/>
  <c r="E76" i="15"/>
  <c r="K76" i="15"/>
  <c r="C78" i="15"/>
  <c r="K78" i="15"/>
  <c r="D76" i="15"/>
  <c r="C73" i="15"/>
  <c r="H73" i="15"/>
  <c r="M73" i="15"/>
  <c r="E73" i="15"/>
  <c r="K73" i="15"/>
  <c r="L73" i="15"/>
  <c r="D73" i="15"/>
  <c r="E68" i="15"/>
  <c r="M68" i="15"/>
  <c r="I70" i="15"/>
  <c r="M70" i="15"/>
  <c r="E71" i="15"/>
  <c r="I71" i="15"/>
  <c r="M71" i="15"/>
  <c r="C68" i="15"/>
  <c r="K68" i="15"/>
  <c r="C70" i="15"/>
  <c r="K70" i="15"/>
  <c r="C71" i="15"/>
  <c r="K71" i="15"/>
  <c r="F73" i="15"/>
  <c r="J73" i="15"/>
  <c r="F75" i="15"/>
  <c r="J75" i="15"/>
  <c r="F76" i="15"/>
  <c r="J76" i="15"/>
  <c r="E78" i="15"/>
  <c r="I78" i="15"/>
  <c r="M78" i="15"/>
  <c r="E80" i="15"/>
  <c r="I80" i="15"/>
  <c r="M80" i="15"/>
  <c r="E81" i="15"/>
  <c r="I81" i="15"/>
  <c r="M81" i="15"/>
  <c r="F68" i="15"/>
  <c r="J68" i="15"/>
  <c r="F70" i="15"/>
  <c r="J70" i="15"/>
  <c r="F71" i="15"/>
  <c r="J71" i="15"/>
  <c r="I68" i="15"/>
  <c r="E70" i="15"/>
  <c r="D68" i="15"/>
  <c r="H68" i="15"/>
  <c r="L68" i="15"/>
  <c r="D70" i="15"/>
  <c r="H70" i="15"/>
  <c r="L70" i="15"/>
  <c r="D71" i="15"/>
  <c r="H71" i="15"/>
  <c r="L71" i="15"/>
  <c r="F78" i="15"/>
  <c r="J78" i="15"/>
  <c r="F80" i="15"/>
  <c r="J80" i="15"/>
  <c r="F81" i="15"/>
  <c r="J81" i="15"/>
  <c r="L227" i="3"/>
  <c r="I455" i="3"/>
  <c r="I448" i="3"/>
  <c r="I441" i="3"/>
  <c r="N254" i="3"/>
  <c r="J81" i="14" s="1"/>
  <c r="L254" i="3"/>
  <c r="G81" i="14" s="1"/>
  <c r="N249" i="3"/>
  <c r="J77" i="14" s="1"/>
  <c r="L249" i="3"/>
  <c r="G77" i="14" s="1"/>
  <c r="L244" i="3"/>
  <c r="G73" i="14" s="1"/>
  <c r="N244" i="3"/>
  <c r="J73" i="14" s="1"/>
  <c r="G108" i="4"/>
  <c r="X216" i="3"/>
  <c r="W216" i="3"/>
  <c r="V216" i="3"/>
  <c r="S216" i="3"/>
  <c r="X215" i="3"/>
  <c r="W215" i="3"/>
  <c r="V215" i="3"/>
  <c r="S215" i="3"/>
  <c r="X214" i="3"/>
  <c r="W214" i="3"/>
  <c r="V214" i="3"/>
  <c r="S214" i="3"/>
  <c r="X213" i="3"/>
  <c r="W213" i="3"/>
  <c r="V213" i="3"/>
  <c r="S213" i="3"/>
  <c r="X212" i="3"/>
  <c r="W212" i="3"/>
  <c r="V212" i="3"/>
  <c r="S212" i="3"/>
  <c r="W211" i="3"/>
  <c r="V211" i="3"/>
  <c r="S211" i="3"/>
  <c r="X211" i="3" s="1"/>
  <c r="X210" i="3"/>
  <c r="W210" i="3"/>
  <c r="V210" i="3"/>
  <c r="S210" i="3"/>
  <c r="X209" i="3"/>
  <c r="W209" i="3"/>
  <c r="V209" i="3"/>
  <c r="S209" i="3"/>
  <c r="X208" i="3"/>
  <c r="W208" i="3"/>
  <c r="V208" i="3"/>
  <c r="S208" i="3"/>
  <c r="O146" i="15" s="1"/>
  <c r="W207" i="3"/>
  <c r="V207" i="3"/>
  <c r="S207" i="3"/>
  <c r="O145" i="15" s="1"/>
  <c r="X206" i="3"/>
  <c r="W206" i="3"/>
  <c r="V206" i="3"/>
  <c r="S206" i="3"/>
  <c r="O144" i="15" s="1"/>
  <c r="W205" i="3"/>
  <c r="V205" i="3"/>
  <c r="S205" i="3"/>
  <c r="X205" i="3" s="1"/>
  <c r="X204" i="3"/>
  <c r="W204" i="3"/>
  <c r="V204" i="3"/>
  <c r="S204" i="3"/>
  <c r="X203" i="3"/>
  <c r="W203" i="3"/>
  <c r="V203" i="3"/>
  <c r="S203" i="3"/>
  <c r="X202" i="3"/>
  <c r="W202" i="3"/>
  <c r="V202" i="3"/>
  <c r="S202" i="3"/>
  <c r="W201" i="3"/>
  <c r="V201" i="3"/>
  <c r="S201" i="3"/>
  <c r="X201" i="3" s="1"/>
  <c r="X200" i="3"/>
  <c r="W200" i="3"/>
  <c r="V200" i="3"/>
  <c r="S200" i="3"/>
  <c r="X199" i="3"/>
  <c r="W199" i="3"/>
  <c r="V199" i="3"/>
  <c r="S199" i="3"/>
  <c r="X198" i="3"/>
  <c r="W198" i="3"/>
  <c r="V198" i="3"/>
  <c r="S198" i="3"/>
  <c r="X197" i="3"/>
  <c r="W197" i="3"/>
  <c r="V197" i="3"/>
  <c r="S197" i="3"/>
  <c r="X196" i="3"/>
  <c r="W196" i="3"/>
  <c r="V196" i="3"/>
  <c r="S196" i="3"/>
  <c r="W195" i="3"/>
  <c r="V195" i="3"/>
  <c r="S195" i="3"/>
  <c r="X195" i="3" s="1"/>
  <c r="X194" i="3"/>
  <c r="W194" i="3"/>
  <c r="V194" i="3"/>
  <c r="S194" i="3"/>
  <c r="W193" i="3"/>
  <c r="V193" i="3"/>
  <c r="S193" i="3"/>
  <c r="X193" i="3" s="1"/>
  <c r="X182" i="3"/>
  <c r="W182" i="3"/>
  <c r="V182" i="3"/>
  <c r="S182" i="3"/>
  <c r="X181" i="3"/>
  <c r="W181" i="3"/>
  <c r="V181" i="3"/>
  <c r="S181" i="3"/>
  <c r="X180" i="3"/>
  <c r="W180" i="3"/>
  <c r="V180" i="3"/>
  <c r="S180" i="3"/>
  <c r="X179" i="3"/>
  <c r="W179" i="3"/>
  <c r="V179" i="3"/>
  <c r="S179" i="3"/>
  <c r="W178" i="3"/>
  <c r="V178" i="3"/>
  <c r="S178" i="3"/>
  <c r="X178" i="3" s="1"/>
  <c r="W177" i="3"/>
  <c r="V177" i="3"/>
  <c r="S177" i="3"/>
  <c r="X177" i="3" s="1"/>
  <c r="W176" i="3"/>
  <c r="V176" i="3"/>
  <c r="S176" i="3"/>
  <c r="X176" i="3" s="1"/>
  <c r="X175" i="3"/>
  <c r="W175" i="3"/>
  <c r="V175" i="3"/>
  <c r="S175" i="3"/>
  <c r="X174" i="3"/>
  <c r="W174" i="3"/>
  <c r="V174" i="3"/>
  <c r="S174" i="3"/>
  <c r="V173" i="3"/>
  <c r="S173" i="3"/>
  <c r="X173" i="3" s="1"/>
  <c r="W172" i="3"/>
  <c r="V172" i="3"/>
  <c r="S172" i="3"/>
  <c r="W171" i="3"/>
  <c r="V171" i="3"/>
  <c r="S171" i="3"/>
  <c r="X171" i="3" s="1"/>
  <c r="X192" i="3"/>
  <c r="X191" i="3"/>
  <c r="X187" i="3"/>
  <c r="X186" i="3"/>
  <c r="X170" i="3"/>
  <c r="X169" i="3"/>
  <c r="W192" i="3"/>
  <c r="W191" i="3"/>
  <c r="W190" i="3"/>
  <c r="W189" i="3"/>
  <c r="W188" i="3"/>
  <c r="W187" i="3"/>
  <c r="W186" i="3"/>
  <c r="W185" i="3"/>
  <c r="W184" i="3"/>
  <c r="W183" i="3"/>
  <c r="W170" i="3"/>
  <c r="W169" i="3"/>
  <c r="W168" i="3"/>
  <c r="W167" i="3"/>
  <c r="W166" i="3"/>
  <c r="V192" i="3"/>
  <c r="V191" i="3"/>
  <c r="V190" i="3"/>
  <c r="V189" i="3"/>
  <c r="V188" i="3"/>
  <c r="V187" i="3"/>
  <c r="V186" i="3"/>
  <c r="V185" i="3"/>
  <c r="V184" i="3"/>
  <c r="V183" i="3"/>
  <c r="V170" i="3"/>
  <c r="V169" i="3"/>
  <c r="V168" i="3"/>
  <c r="V167" i="3"/>
  <c r="V166" i="3"/>
  <c r="S192" i="3"/>
  <c r="S191" i="3"/>
  <c r="O141" i="15" s="1"/>
  <c r="S190" i="3"/>
  <c r="O140" i="15" s="1"/>
  <c r="S189" i="3"/>
  <c r="O139" i="15" s="1"/>
  <c r="S188" i="3"/>
  <c r="X188" i="3" s="1"/>
  <c r="S187" i="3"/>
  <c r="S186" i="3"/>
  <c r="S185" i="3"/>
  <c r="X185" i="3" s="1"/>
  <c r="S184" i="3"/>
  <c r="X184" i="3" s="1"/>
  <c r="S183" i="3"/>
  <c r="X183" i="3" s="1"/>
  <c r="S170" i="3"/>
  <c r="S169" i="3"/>
  <c r="S168" i="3"/>
  <c r="X168" i="3" s="1"/>
  <c r="S167" i="3"/>
  <c r="X167" i="3" s="1"/>
  <c r="S166" i="3"/>
  <c r="X166" i="3" s="1"/>
  <c r="Q127" i="3"/>
  <c r="T127" i="3" s="1"/>
  <c r="J127" i="3"/>
  <c r="Q126" i="3"/>
  <c r="T126" i="3" s="1"/>
  <c r="J126" i="3"/>
  <c r="Q97" i="3"/>
  <c r="T97" i="3" s="1"/>
  <c r="J97" i="3"/>
  <c r="Q96" i="3"/>
  <c r="T96" i="3" s="1"/>
  <c r="J96" i="3"/>
  <c r="Q67" i="3"/>
  <c r="T67" i="3" s="1"/>
  <c r="J67" i="3"/>
  <c r="Q66" i="3"/>
  <c r="T66" i="3" s="1"/>
  <c r="J66" i="3"/>
  <c r="Q64" i="3"/>
  <c r="T64" i="3" s="1"/>
  <c r="J64" i="3"/>
  <c r="Q63" i="3"/>
  <c r="T63" i="3" s="1"/>
  <c r="J63" i="3"/>
  <c r="Q121" i="3"/>
  <c r="T121" i="3" s="1"/>
  <c r="J121" i="3"/>
  <c r="Q120" i="3"/>
  <c r="T120" i="3" s="1"/>
  <c r="J120" i="3"/>
  <c r="Q119" i="3"/>
  <c r="T119" i="3" s="1"/>
  <c r="J119" i="3"/>
  <c r="Q108" i="3"/>
  <c r="T108" i="3" s="1"/>
  <c r="AE304" i="3" s="1"/>
  <c r="J108" i="3"/>
  <c r="AF304" i="3" s="1"/>
  <c r="AF309" i="3" s="1"/>
  <c r="Q107" i="3"/>
  <c r="T107" i="3" s="1"/>
  <c r="S308" i="3" s="1"/>
  <c r="U308" i="3" s="1"/>
  <c r="AH308" i="3" s="1"/>
  <c r="J107" i="3"/>
  <c r="T308" i="3" s="1"/>
  <c r="Q106" i="3"/>
  <c r="T106" i="3" s="1"/>
  <c r="S307" i="3" s="1"/>
  <c r="J106" i="3"/>
  <c r="T307" i="3" s="1"/>
  <c r="Q105" i="3"/>
  <c r="T105" i="3" s="1"/>
  <c r="S306" i="3" s="1"/>
  <c r="J105" i="3"/>
  <c r="T306" i="3" s="1"/>
  <c r="Q125" i="3"/>
  <c r="T125" i="3" s="1"/>
  <c r="J125" i="3"/>
  <c r="Q124" i="3"/>
  <c r="T124" i="3" s="1"/>
  <c r="J124" i="3"/>
  <c r="Q123" i="3"/>
  <c r="T123" i="3" s="1"/>
  <c r="J123" i="3"/>
  <c r="Q122" i="3"/>
  <c r="T122" i="3" s="1"/>
  <c r="J122" i="3"/>
  <c r="Q95" i="3"/>
  <c r="T95" i="3" s="1"/>
  <c r="J95" i="3"/>
  <c r="Q94" i="3"/>
  <c r="T94" i="3" s="1"/>
  <c r="J94" i="3"/>
  <c r="Q93" i="3"/>
  <c r="T93" i="3" s="1"/>
  <c r="J93" i="3"/>
  <c r="Q92" i="3"/>
  <c r="T92" i="3" s="1"/>
  <c r="J92" i="3"/>
  <c r="Q91" i="3"/>
  <c r="T91" i="3" s="1"/>
  <c r="J91" i="3"/>
  <c r="Q90" i="3"/>
  <c r="T90" i="3" s="1"/>
  <c r="J90" i="3"/>
  <c r="Q89" i="3"/>
  <c r="T89" i="3" s="1"/>
  <c r="J89" i="3"/>
  <c r="Q78" i="3"/>
  <c r="T78" i="3" s="1"/>
  <c r="AE298" i="3" s="1"/>
  <c r="AE303" i="3" s="1"/>
  <c r="J78" i="3"/>
  <c r="AF298" i="3" s="1"/>
  <c r="AF303" i="3" s="1"/>
  <c r="Q77" i="3"/>
  <c r="T77" i="3" s="1"/>
  <c r="S302" i="3" s="1"/>
  <c r="U302" i="3" s="1"/>
  <c r="AH302" i="3" s="1"/>
  <c r="J77" i="3"/>
  <c r="T302" i="3" s="1"/>
  <c r="Q76" i="3"/>
  <c r="T76" i="3" s="1"/>
  <c r="S301" i="3" s="1"/>
  <c r="U301" i="3" s="1"/>
  <c r="AH301" i="3" s="1"/>
  <c r="R76" i="15" s="1"/>
  <c r="J76" i="3"/>
  <c r="T301" i="3" s="1"/>
  <c r="Q75" i="3"/>
  <c r="T75" i="3" s="1"/>
  <c r="S300" i="3" s="1"/>
  <c r="J75" i="3"/>
  <c r="T300" i="3" s="1"/>
  <c r="Q51" i="3"/>
  <c r="T51" i="3" s="1"/>
  <c r="J51" i="3"/>
  <c r="H213" i="3" s="1"/>
  <c r="Q50" i="3"/>
  <c r="T50" i="3" s="1"/>
  <c r="AE294" i="3" s="1"/>
  <c r="J50" i="3"/>
  <c r="Q49" i="3"/>
  <c r="J49" i="3"/>
  <c r="Q48" i="3"/>
  <c r="T48" i="3" s="1"/>
  <c r="I176" i="3" s="1"/>
  <c r="J48" i="3"/>
  <c r="H210" i="3" s="1"/>
  <c r="Q47" i="3"/>
  <c r="T47" i="3" s="1"/>
  <c r="J47" i="3"/>
  <c r="Q46" i="3"/>
  <c r="T46" i="3" s="1"/>
  <c r="J46" i="3"/>
  <c r="H208" i="3" s="1"/>
  <c r="Q45" i="3"/>
  <c r="T45" i="3" s="1"/>
  <c r="J45" i="3"/>
  <c r="Q62" i="3"/>
  <c r="T62" i="3" s="1"/>
  <c r="J62" i="3"/>
  <c r="Q61" i="3"/>
  <c r="T61" i="3" s="1"/>
  <c r="I182" i="3" s="1"/>
  <c r="J61" i="3"/>
  <c r="H216" i="3" s="1"/>
  <c r="Q60" i="3"/>
  <c r="T60" i="3" s="1"/>
  <c r="I215" i="3" s="1"/>
  <c r="J60" i="3"/>
  <c r="H215" i="3" s="1"/>
  <c r="Q59" i="3"/>
  <c r="T59" i="3" s="1"/>
  <c r="I214" i="3" s="1"/>
  <c r="J59" i="3"/>
  <c r="H214" i="3" s="1"/>
  <c r="N58" i="1"/>
  <c r="N57" i="1"/>
  <c r="N56" i="1"/>
  <c r="A39" i="19"/>
  <c r="P3" i="20"/>
  <c r="L3" i="22"/>
  <c r="J48" i="19"/>
  <c r="J47" i="19"/>
  <c r="J46" i="19"/>
  <c r="J49" i="19"/>
  <c r="J45" i="19"/>
  <c r="J44" i="19"/>
  <c r="J43" i="19"/>
  <c r="J42" i="19"/>
  <c r="B607" i="3"/>
  <c r="B603" i="3"/>
  <c r="P3" i="18"/>
  <c r="D7" i="17"/>
  <c r="A9" i="16"/>
  <c r="A6" i="16"/>
  <c r="A7" i="16"/>
  <c r="P163" i="15"/>
  <c r="P3" i="15"/>
  <c r="A59" i="14"/>
  <c r="P57" i="14"/>
  <c r="A6" i="14"/>
  <c r="B140" i="3"/>
  <c r="A7" i="14" s="1"/>
  <c r="N5" i="14"/>
  <c r="A5" i="14"/>
  <c r="A4" i="14"/>
  <c r="A3" i="14"/>
  <c r="A19" i="14"/>
  <c r="L4" i="11"/>
  <c r="L19" i="11"/>
  <c r="A9" i="11"/>
  <c r="A10" i="11"/>
  <c r="A19" i="11"/>
  <c r="A5" i="11"/>
  <c r="A8" i="11"/>
  <c r="L8" i="11"/>
  <c r="L5" i="11"/>
  <c r="D51" i="4"/>
  <c r="I173" i="3" l="1"/>
  <c r="S294" i="3"/>
  <c r="X189" i="3"/>
  <c r="U306" i="3"/>
  <c r="AH306" i="3" s="1"/>
  <c r="R80" i="15" s="1"/>
  <c r="X190" i="3"/>
  <c r="X207" i="3"/>
  <c r="I196" i="3"/>
  <c r="N78" i="15"/>
  <c r="N82" i="15" s="1"/>
  <c r="J63" i="14"/>
  <c r="E63" i="14"/>
  <c r="W173" i="3"/>
  <c r="H207" i="3"/>
  <c r="T294" i="3"/>
  <c r="AG304" i="3"/>
  <c r="U300" i="3"/>
  <c r="AH300" i="3" s="1"/>
  <c r="R75" i="15" s="1"/>
  <c r="U307" i="3"/>
  <c r="AH307" i="3" s="1"/>
  <c r="R81" i="15" s="1"/>
  <c r="AE309" i="3"/>
  <c r="AG298" i="3"/>
  <c r="G73" i="15"/>
  <c r="G77" i="15" s="1"/>
  <c r="H212" i="3"/>
  <c r="AF294" i="3"/>
  <c r="AG294" i="3" s="1"/>
  <c r="N70" i="15"/>
  <c r="N73" i="15"/>
  <c r="N77" i="15" s="1"/>
  <c r="H209" i="3"/>
  <c r="T296" i="3"/>
  <c r="H211" i="3"/>
  <c r="AF293" i="3"/>
  <c r="G69" i="15"/>
  <c r="I209" i="3"/>
  <c r="S296" i="3"/>
  <c r="U296" i="3" s="1"/>
  <c r="AH296" i="3" s="1"/>
  <c r="T49" i="3"/>
  <c r="AE293" i="3" s="1"/>
  <c r="N69" i="15"/>
  <c r="J66" i="14"/>
  <c r="J62" i="14"/>
  <c r="I191" i="3"/>
  <c r="X172" i="3"/>
  <c r="O134" i="15"/>
  <c r="G70" i="15"/>
  <c r="G78" i="15"/>
  <c r="G82" i="15" s="1"/>
  <c r="J61" i="14"/>
  <c r="E64" i="14"/>
  <c r="A62" i="14"/>
  <c r="E65" i="14"/>
  <c r="J65" i="14"/>
  <c r="J60" i="14"/>
  <c r="E62" i="14"/>
  <c r="A60" i="14"/>
  <c r="E66" i="14"/>
  <c r="E60" i="14"/>
  <c r="J64" i="14"/>
  <c r="E61" i="14"/>
  <c r="P35" i="14"/>
  <c r="Q45" i="14"/>
  <c r="Q49" i="14"/>
  <c r="Q47" i="14"/>
  <c r="Q43" i="14"/>
  <c r="Q48" i="14"/>
  <c r="Q39" i="14"/>
  <c r="Q44" i="14"/>
  <c r="Q41" i="14"/>
  <c r="Q40" i="14"/>
  <c r="M31" i="21"/>
  <c r="Q38" i="14"/>
  <c r="G38" i="14"/>
  <c r="I38" i="14"/>
  <c r="T37" i="14"/>
  <c r="A35" i="14"/>
  <c r="H173" i="3"/>
  <c r="H196" i="3"/>
  <c r="I193" i="3"/>
  <c r="I198" i="3"/>
  <c r="I174" i="3"/>
  <c r="H191" i="3"/>
  <c r="Z178" i="3"/>
  <c r="H193" i="3"/>
  <c r="H198" i="3"/>
  <c r="H174" i="3"/>
  <c r="H176" i="3"/>
  <c r="H182" i="3"/>
  <c r="I190" i="3"/>
  <c r="Z172" i="3"/>
  <c r="I179" i="3"/>
  <c r="I197" i="3"/>
  <c r="H192" i="3"/>
  <c r="Z173" i="3"/>
  <c r="X294" i="3" s="1"/>
  <c r="Z176" i="3"/>
  <c r="I177" i="3"/>
  <c r="H179" i="3"/>
  <c r="I180" i="3"/>
  <c r="I194" i="3"/>
  <c r="H197" i="3"/>
  <c r="I192" i="3"/>
  <c r="Z171" i="3"/>
  <c r="X292" i="3" s="1"/>
  <c r="I175" i="3"/>
  <c r="H177" i="3"/>
  <c r="I178" i="3"/>
  <c r="H180" i="3"/>
  <c r="I181" i="3"/>
  <c r="H194" i="3"/>
  <c r="I195" i="3"/>
  <c r="I199" i="3"/>
  <c r="I207" i="3"/>
  <c r="I208" i="3"/>
  <c r="I210" i="3"/>
  <c r="I213" i="3"/>
  <c r="I216" i="3"/>
  <c r="H190" i="3"/>
  <c r="H175" i="3"/>
  <c r="Z177" i="3"/>
  <c r="H178" i="3"/>
  <c r="H181" i="3"/>
  <c r="H195" i="3"/>
  <c r="H199" i="3"/>
  <c r="Z213" i="3"/>
  <c r="Z214" i="3"/>
  <c r="Z215" i="3"/>
  <c r="Z216" i="3"/>
  <c r="Z193" i="3"/>
  <c r="Z194" i="3"/>
  <c r="Z195" i="3"/>
  <c r="Z196" i="3"/>
  <c r="Z197" i="3"/>
  <c r="Z198" i="3"/>
  <c r="Z199" i="3"/>
  <c r="Z200" i="3"/>
  <c r="S47" i="14" s="1"/>
  <c r="Z201" i="3"/>
  <c r="S48" i="14" s="1"/>
  <c r="Z202" i="3"/>
  <c r="S49" i="14" s="1"/>
  <c r="Z203" i="3"/>
  <c r="Z204" i="3"/>
  <c r="I308" i="3" s="1"/>
  <c r="Z205" i="3"/>
  <c r="X304" i="3" s="1"/>
  <c r="Z206" i="3"/>
  <c r="Z207" i="3"/>
  <c r="Z208" i="3"/>
  <c r="Z209" i="3"/>
  <c r="X308" i="3" s="1"/>
  <c r="Z210" i="3"/>
  <c r="Z211" i="3"/>
  <c r="Z212" i="3"/>
  <c r="Z182" i="3"/>
  <c r="Z180" i="3"/>
  <c r="Z181" i="3"/>
  <c r="Z179" i="3"/>
  <c r="Z174" i="3"/>
  <c r="Z175" i="3"/>
  <c r="X296" i="3" s="1"/>
  <c r="U294" i="3" l="1"/>
  <c r="AH294" i="3" s="1"/>
  <c r="R70" i="15" s="1"/>
  <c r="AG293" i="3"/>
  <c r="G678" i="3"/>
  <c r="I250" i="3"/>
  <c r="I307" i="3"/>
  <c r="I253" i="3"/>
  <c r="G679" i="3"/>
  <c r="I251" i="3"/>
  <c r="I252" i="3"/>
  <c r="G680" i="3"/>
  <c r="S144" i="15"/>
  <c r="X305" i="3"/>
  <c r="I306" i="3"/>
  <c r="I305" i="3"/>
  <c r="S146" i="15"/>
  <c r="X307" i="3"/>
  <c r="I304" i="3"/>
  <c r="S145" i="15"/>
  <c r="X306" i="3"/>
  <c r="X293" i="3"/>
  <c r="S134" i="15"/>
  <c r="B504" i="3"/>
  <c r="B503" i="3"/>
  <c r="B412" i="3"/>
  <c r="J6" i="21"/>
  <c r="F19" i="22"/>
  <c r="A19" i="22"/>
  <c r="F18" i="22"/>
  <c r="A18" i="22"/>
  <c r="A17" i="22"/>
  <c r="I16" i="22"/>
  <c r="D16" i="22"/>
  <c r="A16" i="22"/>
  <c r="I15" i="22"/>
  <c r="D15" i="22"/>
  <c r="A15" i="22"/>
  <c r="I14" i="22"/>
  <c r="D14" i="22"/>
  <c r="A14" i="22"/>
  <c r="I13" i="22"/>
  <c r="D13" i="22"/>
  <c r="A13" i="22"/>
  <c r="I12" i="22"/>
  <c r="D12" i="22"/>
  <c r="I11" i="22"/>
  <c r="D11" i="22"/>
  <c r="L9" i="22"/>
  <c r="A9" i="22"/>
  <c r="L8" i="22"/>
  <c r="A8" i="22"/>
  <c r="L7" i="22"/>
  <c r="A7" i="22"/>
  <c r="L6" i="22"/>
  <c r="A6" i="22"/>
  <c r="L5" i="22"/>
  <c r="A5" i="22"/>
  <c r="L4" i="22"/>
  <c r="A4" i="22"/>
  <c r="Q1" i="22"/>
  <c r="D645" i="3"/>
  <c r="D17" i="22" s="1"/>
  <c r="G645" i="3"/>
  <c r="I17" i="22" s="1"/>
  <c r="Y13" i="10"/>
  <c r="Y8" i="10"/>
  <c r="Y7" i="10"/>
  <c r="AR17" i="1"/>
  <c r="AR16" i="1"/>
  <c r="Y12" i="10" s="1"/>
  <c r="AR15" i="1"/>
  <c r="Y11" i="10" s="1"/>
  <c r="AR14" i="1"/>
  <c r="Y10" i="10" s="1"/>
  <c r="AR13" i="1"/>
  <c r="Y9" i="10" s="1"/>
  <c r="AR12" i="1"/>
  <c r="AR11" i="1"/>
  <c r="AR10" i="1"/>
  <c r="Y6" i="10" s="1"/>
  <c r="AR9" i="1"/>
  <c r="Y5" i="10" s="1"/>
  <c r="AR8" i="1"/>
  <c r="Y4" i="10" s="1"/>
  <c r="D9" i="4"/>
  <c r="J34" i="10"/>
  <c r="BE58" i="1"/>
  <c r="X34" i="10" s="1"/>
  <c r="BA58" i="1"/>
  <c r="S34" i="10" s="1"/>
  <c r="AZ58" i="1"/>
  <c r="AY58" i="1"/>
  <c r="AX58" i="1"/>
  <c r="AW58" i="1"/>
  <c r="AV58" i="1"/>
  <c r="AU58" i="1"/>
  <c r="BE57" i="1"/>
  <c r="X33" i="10" s="1"/>
  <c r="BA57" i="1"/>
  <c r="S33" i="10" s="1"/>
  <c r="AZ57" i="1"/>
  <c r="AY57" i="1"/>
  <c r="AX57" i="1"/>
  <c r="AW57" i="1"/>
  <c r="AV57" i="1"/>
  <c r="AU57" i="1"/>
  <c r="BE56" i="1"/>
  <c r="X32" i="10" s="1"/>
  <c r="AZ56" i="1"/>
  <c r="AY56" i="1"/>
  <c r="AX56" i="1"/>
  <c r="Y58" i="1"/>
  <c r="Y57" i="1"/>
  <c r="Y56" i="1"/>
  <c r="AC58" i="1"/>
  <c r="M13" i="4" s="1"/>
  <c r="AC57" i="1"/>
  <c r="M12" i="4" s="1"/>
  <c r="AC56" i="1"/>
  <c r="M11" i="4" s="1"/>
  <c r="P56" i="1"/>
  <c r="A10" i="21"/>
  <c r="G8" i="21"/>
  <c r="B4" i="21"/>
  <c r="B3" i="21"/>
  <c r="M9" i="21"/>
  <c r="B2" i="21"/>
  <c r="Q60" i="20"/>
  <c r="Q58" i="20"/>
  <c r="P75" i="20"/>
  <c r="P70" i="20"/>
  <c r="P65" i="20"/>
  <c r="O75" i="20"/>
  <c r="O74" i="20"/>
  <c r="O73" i="20"/>
  <c r="O72" i="20"/>
  <c r="O71" i="20"/>
  <c r="O70" i="20"/>
  <c r="O69" i="20"/>
  <c r="O68" i="20"/>
  <c r="O67" i="20"/>
  <c r="O66" i="20"/>
  <c r="O65" i="20"/>
  <c r="O64" i="20"/>
  <c r="O63" i="20"/>
  <c r="O62" i="20"/>
  <c r="O61" i="20"/>
  <c r="N75" i="20"/>
  <c r="N74" i="20"/>
  <c r="N73" i="20"/>
  <c r="N72" i="20"/>
  <c r="N71" i="20"/>
  <c r="N70" i="20"/>
  <c r="N69" i="20"/>
  <c r="N68" i="20"/>
  <c r="N67" i="20"/>
  <c r="N66" i="20"/>
  <c r="N65" i="20"/>
  <c r="N64" i="20"/>
  <c r="N63" i="20"/>
  <c r="N62" i="20"/>
  <c r="N61" i="20"/>
  <c r="N34" i="10" l="1"/>
  <c r="J33" i="10"/>
  <c r="I254" i="3"/>
  <c r="S50" i="14" s="1"/>
  <c r="X309" i="3"/>
  <c r="G683" i="3"/>
  <c r="S45" i="20" s="1"/>
  <c r="I309" i="3"/>
  <c r="N33" i="10"/>
  <c r="M132" i="1"/>
  <c r="M131" i="1"/>
  <c r="E23" i="11"/>
  <c r="E4" i="26"/>
  <c r="E30" i="26"/>
  <c r="G12" i="21"/>
  <c r="K42" i="23"/>
  <c r="N32" i="10"/>
  <c r="AG146" i="5"/>
  <c r="M130" i="1"/>
  <c r="J32" i="10"/>
  <c r="M74" i="20"/>
  <c r="M73" i="20"/>
  <c r="M72" i="20"/>
  <c r="M71" i="20"/>
  <c r="M69" i="20"/>
  <c r="M68" i="20"/>
  <c r="M67" i="20"/>
  <c r="M66" i="20"/>
  <c r="M64" i="20"/>
  <c r="M63" i="20"/>
  <c r="M62" i="20"/>
  <c r="M61" i="20"/>
  <c r="M58" i="20"/>
  <c r="L75" i="20"/>
  <c r="G74" i="20"/>
  <c r="G73" i="20"/>
  <c r="G72" i="20"/>
  <c r="G71" i="20"/>
  <c r="G69" i="20"/>
  <c r="G68" i="20"/>
  <c r="G67" i="20"/>
  <c r="G66" i="20"/>
  <c r="G64" i="20"/>
  <c r="G63" i="20"/>
  <c r="G62" i="20"/>
  <c r="G61" i="20"/>
  <c r="G58" i="20"/>
  <c r="E59" i="20"/>
  <c r="E58" i="20"/>
  <c r="C74" i="20"/>
  <c r="C73" i="20"/>
  <c r="C72" i="20"/>
  <c r="C71" i="20"/>
  <c r="C69" i="20"/>
  <c r="C68" i="20"/>
  <c r="C67" i="20"/>
  <c r="C66" i="20"/>
  <c r="C64" i="20"/>
  <c r="C63" i="20"/>
  <c r="C62" i="20"/>
  <c r="C61" i="20"/>
  <c r="A56" i="20"/>
  <c r="Q1" i="20"/>
  <c r="A45" i="16"/>
  <c r="A46" i="16"/>
  <c r="A47" i="16"/>
  <c r="A48" i="16"/>
  <c r="A44" i="16"/>
  <c r="Q41" i="16"/>
  <c r="A55" i="19"/>
  <c r="A54" i="19"/>
  <c r="A57" i="19"/>
  <c r="Q51" i="19"/>
  <c r="K12" i="21" l="1"/>
  <c r="H12" i="21"/>
  <c r="O42" i="23"/>
  <c r="L42" i="23"/>
  <c r="C38" i="20"/>
  <c r="B17" i="20"/>
  <c r="C37" i="20"/>
  <c r="B16" i="20"/>
  <c r="C31" i="20"/>
  <c r="B10" i="20"/>
  <c r="C36" i="20"/>
  <c r="B15" i="20"/>
  <c r="C41" i="20"/>
  <c r="B20" i="20"/>
  <c r="C34" i="20"/>
  <c r="B13" i="20"/>
  <c r="C39" i="20"/>
  <c r="B18" i="20"/>
  <c r="C44" i="20"/>
  <c r="B23" i="20"/>
  <c r="C33" i="20"/>
  <c r="B12" i="20"/>
  <c r="C43" i="20"/>
  <c r="B22" i="20"/>
  <c r="C32" i="20"/>
  <c r="B11" i="20"/>
  <c r="C42" i="20"/>
  <c r="B21" i="20"/>
  <c r="A43" i="19"/>
  <c r="A44" i="19"/>
  <c r="A45" i="19"/>
  <c r="A46" i="19"/>
  <c r="A47" i="19"/>
  <c r="A48" i="19"/>
  <c r="A49" i="19"/>
  <c r="A42" i="19"/>
  <c r="A35" i="19"/>
  <c r="A37" i="19"/>
  <c r="A38" i="19"/>
  <c r="A40" i="19"/>
  <c r="Q31" i="19"/>
  <c r="E23" i="19"/>
  <c r="F23" i="19"/>
  <c r="G23" i="19"/>
  <c r="H23" i="19"/>
  <c r="I23" i="19"/>
  <c r="J23" i="19"/>
  <c r="K23" i="19"/>
  <c r="L23" i="19"/>
  <c r="M23" i="19"/>
  <c r="E24" i="19"/>
  <c r="F24" i="19"/>
  <c r="G24" i="19"/>
  <c r="H24" i="19"/>
  <c r="I24" i="19"/>
  <c r="J24" i="19"/>
  <c r="K24" i="19"/>
  <c r="L24" i="19"/>
  <c r="M24" i="19"/>
  <c r="E25" i="19"/>
  <c r="F25" i="19"/>
  <c r="G25" i="19"/>
  <c r="H25" i="19"/>
  <c r="I25" i="19"/>
  <c r="J25" i="19"/>
  <c r="K25" i="19"/>
  <c r="L25" i="19"/>
  <c r="M25" i="19"/>
  <c r="E21" i="19"/>
  <c r="F21" i="19"/>
  <c r="G21" i="19"/>
  <c r="H21" i="19"/>
  <c r="I21" i="19"/>
  <c r="J21" i="19"/>
  <c r="K21" i="19"/>
  <c r="L21" i="19"/>
  <c r="M21" i="19"/>
  <c r="F20" i="19"/>
  <c r="G20" i="19"/>
  <c r="H20" i="19"/>
  <c r="I20" i="19"/>
  <c r="J20" i="19"/>
  <c r="K20" i="19"/>
  <c r="L20" i="19"/>
  <c r="M20" i="19"/>
  <c r="E20" i="19"/>
  <c r="E18" i="19"/>
  <c r="F18" i="19"/>
  <c r="G18" i="19"/>
  <c r="H18" i="19"/>
  <c r="I18" i="19"/>
  <c r="J18" i="19"/>
  <c r="K18" i="19"/>
  <c r="L18" i="19"/>
  <c r="M18" i="19"/>
  <c r="F17" i="19"/>
  <c r="G17" i="19"/>
  <c r="H17" i="19"/>
  <c r="I17" i="19"/>
  <c r="J17" i="19"/>
  <c r="K17" i="19"/>
  <c r="L17" i="19"/>
  <c r="M17" i="19"/>
  <c r="E17" i="19"/>
  <c r="C24" i="19"/>
  <c r="C23" i="19"/>
  <c r="C21" i="19"/>
  <c r="C20" i="19"/>
  <c r="C18" i="19"/>
  <c r="C17" i="19"/>
  <c r="F16" i="19"/>
  <c r="G16" i="19"/>
  <c r="H16" i="19"/>
  <c r="I16" i="19"/>
  <c r="J16" i="19"/>
  <c r="K16" i="19"/>
  <c r="L16" i="19"/>
  <c r="M16" i="19"/>
  <c r="E16" i="19"/>
  <c r="E15" i="19"/>
  <c r="A5" i="19"/>
  <c r="A7" i="19"/>
  <c r="A8" i="19"/>
  <c r="A9" i="19"/>
  <c r="A10" i="19"/>
  <c r="A11" i="19"/>
  <c r="A12" i="19"/>
  <c r="A13" i="19"/>
  <c r="A4" i="19"/>
  <c r="Q1" i="19"/>
  <c r="K81" i="18"/>
  <c r="I81" i="18"/>
  <c r="K80" i="18"/>
  <c r="I80" i="18"/>
  <c r="K79" i="18"/>
  <c r="I79" i="18"/>
  <c r="K78" i="18"/>
  <c r="I78" i="18"/>
  <c r="K77" i="18"/>
  <c r="I77" i="18"/>
  <c r="K75" i="18"/>
  <c r="I75" i="18"/>
  <c r="K74" i="18"/>
  <c r="I74" i="18"/>
  <c r="K73" i="18"/>
  <c r="I73" i="18"/>
  <c r="K72" i="18"/>
  <c r="I72" i="18"/>
  <c r="K71" i="18"/>
  <c r="I71" i="18"/>
  <c r="K69" i="18"/>
  <c r="I69" i="18"/>
  <c r="K68" i="18"/>
  <c r="I68" i="18"/>
  <c r="K67" i="18"/>
  <c r="I67" i="18"/>
  <c r="K66" i="18"/>
  <c r="I66" i="18"/>
  <c r="K65" i="18"/>
  <c r="I65" i="18"/>
  <c r="L455" i="3"/>
  <c r="B455" i="3"/>
  <c r="L448" i="3"/>
  <c r="B448" i="3"/>
  <c r="L441" i="3"/>
  <c r="B441" i="3"/>
  <c r="D254" i="3"/>
  <c r="D249" i="3"/>
  <c r="D244" i="3"/>
  <c r="D456" i="3"/>
  <c r="D449" i="3"/>
  <c r="D442" i="3"/>
  <c r="C81" i="18"/>
  <c r="C80" i="18"/>
  <c r="C79" i="18"/>
  <c r="C78" i="18"/>
  <c r="C77" i="18"/>
  <c r="C75" i="18"/>
  <c r="C74" i="18"/>
  <c r="C73" i="18"/>
  <c r="C72" i="18"/>
  <c r="C71" i="18"/>
  <c r="C69" i="18"/>
  <c r="C68" i="18"/>
  <c r="C67" i="18"/>
  <c r="C66" i="18"/>
  <c r="C65" i="18"/>
  <c r="A4" i="18"/>
  <c r="P4" i="18"/>
  <c r="A61" i="18"/>
  <c r="P58" i="18"/>
  <c r="A58" i="18"/>
  <c r="Q1" i="18"/>
  <c r="C41" i="17"/>
  <c r="C40" i="17"/>
  <c r="C39" i="17"/>
  <c r="C37" i="17"/>
  <c r="C36" i="17"/>
  <c r="C35" i="17"/>
  <c r="C33" i="17"/>
  <c r="C32" i="17"/>
  <c r="C31" i="17"/>
  <c r="A27" i="17"/>
  <c r="O22" i="17"/>
  <c r="K22" i="17"/>
  <c r="I22" i="17"/>
  <c r="G22" i="17"/>
  <c r="O21" i="17"/>
  <c r="K21" i="17"/>
  <c r="I21" i="17"/>
  <c r="G21" i="17"/>
  <c r="O18" i="17"/>
  <c r="K18" i="17"/>
  <c r="I18" i="17"/>
  <c r="G18" i="17"/>
  <c r="O17" i="17"/>
  <c r="K17" i="17"/>
  <c r="I17" i="17"/>
  <c r="G17" i="17"/>
  <c r="O14" i="17"/>
  <c r="K14" i="17"/>
  <c r="I14" i="17"/>
  <c r="G14" i="17"/>
  <c r="O13" i="17"/>
  <c r="K13" i="17"/>
  <c r="I13" i="17"/>
  <c r="G13" i="17"/>
  <c r="S11" i="17"/>
  <c r="S10" i="17"/>
  <c r="O11" i="17"/>
  <c r="O10" i="17"/>
  <c r="M11" i="17"/>
  <c r="M10" i="17"/>
  <c r="K11" i="17"/>
  <c r="I10" i="17"/>
  <c r="G10" i="17"/>
  <c r="E20" i="17"/>
  <c r="E16" i="17"/>
  <c r="E12" i="17"/>
  <c r="E11" i="17"/>
  <c r="E10" i="17"/>
  <c r="C22" i="17"/>
  <c r="C21" i="17"/>
  <c r="C20" i="17"/>
  <c r="C18" i="17"/>
  <c r="C17" i="17"/>
  <c r="C16" i="17"/>
  <c r="C14" i="17"/>
  <c r="C13" i="17"/>
  <c r="C12" i="17"/>
  <c r="A6" i="17"/>
  <c r="M3" i="17"/>
  <c r="A4" i="17"/>
  <c r="A8" i="17"/>
  <c r="A3" i="17"/>
  <c r="Q1" i="17"/>
  <c r="A31" i="16"/>
  <c r="Q28" i="16"/>
  <c r="A18" i="16"/>
  <c r="Q15" i="16"/>
  <c r="A10" i="16"/>
  <c r="A8" i="16"/>
  <c r="A5" i="16"/>
  <c r="Q1" i="16"/>
  <c r="I181" i="15"/>
  <c r="H181" i="15"/>
  <c r="B181" i="15"/>
  <c r="B28" i="15" s="1"/>
  <c r="I180" i="15"/>
  <c r="H180" i="15"/>
  <c r="B180" i="15"/>
  <c r="B27" i="15" s="1"/>
  <c r="R178" i="15"/>
  <c r="Q178" i="15"/>
  <c r="I178" i="15"/>
  <c r="H178" i="15"/>
  <c r="B178" i="15"/>
  <c r="C120" i="15" s="1"/>
  <c r="I176" i="15"/>
  <c r="H176" i="15"/>
  <c r="B176" i="15"/>
  <c r="B23" i="15" s="1"/>
  <c r="I175" i="15"/>
  <c r="H175" i="15"/>
  <c r="B175" i="15"/>
  <c r="B22" i="15" s="1"/>
  <c r="R173" i="15"/>
  <c r="Q173" i="15"/>
  <c r="I173" i="15"/>
  <c r="H173" i="15"/>
  <c r="B173" i="15"/>
  <c r="R168" i="15"/>
  <c r="Q168" i="15"/>
  <c r="I171" i="15"/>
  <c r="I170" i="15"/>
  <c r="I168" i="15"/>
  <c r="H171" i="15"/>
  <c r="H170" i="15"/>
  <c r="H168" i="15"/>
  <c r="B171" i="15"/>
  <c r="B18" i="15" s="1"/>
  <c r="B170" i="15"/>
  <c r="B17" i="15" s="1"/>
  <c r="B168" i="15"/>
  <c r="S160" i="15"/>
  <c r="P161" i="15"/>
  <c r="P160" i="15"/>
  <c r="A161" i="15"/>
  <c r="A163" i="15"/>
  <c r="A160" i="15"/>
  <c r="P5" i="15"/>
  <c r="O28" i="15" l="1"/>
  <c r="S28" i="15"/>
  <c r="Q28" i="15"/>
  <c r="I28" i="15"/>
  <c r="H28" i="15"/>
  <c r="M28" i="15"/>
  <c r="C28" i="15"/>
  <c r="K28" i="15"/>
  <c r="L28" i="15"/>
  <c r="J28" i="15"/>
  <c r="D28" i="15"/>
  <c r="F28" i="15"/>
  <c r="E28" i="15"/>
  <c r="O17" i="15"/>
  <c r="S17" i="15"/>
  <c r="Q17" i="15"/>
  <c r="I17" i="15"/>
  <c r="H17" i="15"/>
  <c r="C17" i="15"/>
  <c r="E17" i="15"/>
  <c r="K17" i="15"/>
  <c r="J17" i="15"/>
  <c r="L17" i="15"/>
  <c r="F17" i="15"/>
  <c r="D17" i="15"/>
  <c r="M17" i="15"/>
  <c r="S23" i="15"/>
  <c r="L23" i="15"/>
  <c r="D23" i="15"/>
  <c r="O23" i="15"/>
  <c r="M23" i="15"/>
  <c r="K23" i="15"/>
  <c r="J23" i="15"/>
  <c r="H23" i="15"/>
  <c r="I23" i="15"/>
  <c r="E23" i="15"/>
  <c r="C23" i="15"/>
  <c r="Q23" i="15"/>
  <c r="F23" i="15"/>
  <c r="O18" i="15"/>
  <c r="I18" i="15"/>
  <c r="H18" i="15"/>
  <c r="S18" i="15"/>
  <c r="Q18" i="15"/>
  <c r="M18" i="15"/>
  <c r="K18" i="15"/>
  <c r="C18" i="15"/>
  <c r="G18" i="15"/>
  <c r="L18" i="15"/>
  <c r="N18" i="15"/>
  <c r="J18" i="15"/>
  <c r="E18" i="15"/>
  <c r="D18" i="15"/>
  <c r="F18" i="15"/>
  <c r="O27" i="15"/>
  <c r="Q27" i="15"/>
  <c r="I27" i="15"/>
  <c r="H27" i="15"/>
  <c r="S27" i="15"/>
  <c r="C27" i="15"/>
  <c r="E27" i="15"/>
  <c r="K27" i="15"/>
  <c r="J27" i="15"/>
  <c r="L27" i="15"/>
  <c r="F27" i="15"/>
  <c r="D27" i="15"/>
  <c r="M27" i="15"/>
  <c r="S22" i="15"/>
  <c r="M22" i="15"/>
  <c r="L22" i="15"/>
  <c r="O22" i="15"/>
  <c r="E22" i="15"/>
  <c r="Q22" i="15"/>
  <c r="I22" i="15"/>
  <c r="H22" i="15"/>
  <c r="F22" i="15"/>
  <c r="J22" i="15"/>
  <c r="D22" i="15"/>
  <c r="C22" i="15"/>
  <c r="K22" i="15"/>
  <c r="E136" i="15"/>
  <c r="I136" i="15"/>
  <c r="G136" i="15"/>
  <c r="O136" i="15"/>
  <c r="L136" i="15"/>
  <c r="Q136" i="15"/>
  <c r="E135" i="15"/>
  <c r="S135" i="15"/>
  <c r="G135" i="15"/>
  <c r="O135" i="15"/>
  <c r="L135" i="15"/>
  <c r="I135" i="15"/>
  <c r="Q135" i="15"/>
  <c r="H41" i="15"/>
  <c r="Q111" i="15"/>
  <c r="O111" i="15"/>
  <c r="L111" i="15"/>
  <c r="I111" i="15"/>
  <c r="G111" i="15"/>
  <c r="E111" i="15"/>
  <c r="H51" i="15"/>
  <c r="O51" i="15"/>
  <c r="L51" i="15"/>
  <c r="M41" i="15"/>
  <c r="L41" i="15"/>
  <c r="G39" i="20"/>
  <c r="L39" i="20"/>
  <c r="Q39" i="20"/>
  <c r="E39" i="20"/>
  <c r="O39" i="20"/>
  <c r="I39" i="20"/>
  <c r="O41" i="20"/>
  <c r="I41" i="20"/>
  <c r="G41" i="20"/>
  <c r="S41" i="20"/>
  <c r="Q41" i="20"/>
  <c r="L41" i="20"/>
  <c r="E41" i="20"/>
  <c r="L38" i="20"/>
  <c r="O38" i="20"/>
  <c r="I38" i="20"/>
  <c r="E38" i="20"/>
  <c r="G38" i="20"/>
  <c r="Q38" i="20"/>
  <c r="D18" i="20"/>
  <c r="K18" i="20"/>
  <c r="O18" i="20"/>
  <c r="F18" i="20"/>
  <c r="E18" i="20"/>
  <c r="C18" i="20"/>
  <c r="H18" i="20"/>
  <c r="M18" i="20"/>
  <c r="Q18" i="20"/>
  <c r="L18" i="20"/>
  <c r="J18" i="20"/>
  <c r="I18" i="20"/>
  <c r="S18" i="20"/>
  <c r="E20" i="20"/>
  <c r="K20" i="20"/>
  <c r="L20" i="20"/>
  <c r="O20" i="20"/>
  <c r="D20" i="20"/>
  <c r="J20" i="20"/>
  <c r="H20" i="20"/>
  <c r="F20" i="20"/>
  <c r="M20" i="20"/>
  <c r="C20" i="20"/>
  <c r="S20" i="20"/>
  <c r="Q20" i="20"/>
  <c r="I20" i="20"/>
  <c r="S17" i="20"/>
  <c r="K17" i="20"/>
  <c r="D17" i="20"/>
  <c r="L17" i="20"/>
  <c r="E17" i="20"/>
  <c r="M17" i="20"/>
  <c r="O17" i="20"/>
  <c r="H17" i="20"/>
  <c r="Q17" i="20"/>
  <c r="I17" i="20"/>
  <c r="C17" i="20"/>
  <c r="J17" i="20"/>
  <c r="F17" i="20"/>
  <c r="O42" i="20"/>
  <c r="L42" i="20"/>
  <c r="S42" i="20"/>
  <c r="Q42" i="20"/>
  <c r="E42" i="20"/>
  <c r="I42" i="20"/>
  <c r="G42" i="20"/>
  <c r="O43" i="20"/>
  <c r="L43" i="20"/>
  <c r="I43" i="20"/>
  <c r="G43" i="20"/>
  <c r="E43" i="20"/>
  <c r="S43" i="20"/>
  <c r="Q43" i="20"/>
  <c r="O44" i="20"/>
  <c r="S44" i="20"/>
  <c r="Q44" i="20"/>
  <c r="I44" i="20"/>
  <c r="G44" i="20"/>
  <c r="L44" i="20"/>
  <c r="E44" i="20"/>
  <c r="O34" i="20"/>
  <c r="L34" i="20"/>
  <c r="Q34" i="20"/>
  <c r="I34" i="20"/>
  <c r="G34" i="20"/>
  <c r="E34" i="20"/>
  <c r="M21" i="20"/>
  <c r="H21" i="20"/>
  <c r="L21" i="20"/>
  <c r="Q21" i="20"/>
  <c r="F21" i="20"/>
  <c r="K21" i="20"/>
  <c r="O21" i="20"/>
  <c r="E21" i="20"/>
  <c r="D21" i="20"/>
  <c r="I21" i="20"/>
  <c r="S21" i="20"/>
  <c r="J21" i="20"/>
  <c r="C21" i="20"/>
  <c r="S22" i="20"/>
  <c r="Q22" i="20"/>
  <c r="C22" i="20"/>
  <c r="M22" i="20"/>
  <c r="H22" i="20"/>
  <c r="D22" i="20"/>
  <c r="L22" i="20"/>
  <c r="K22" i="20"/>
  <c r="O22" i="20"/>
  <c r="J22" i="20"/>
  <c r="E22" i="20"/>
  <c r="I22" i="20"/>
  <c r="F22" i="20"/>
  <c r="N23" i="20"/>
  <c r="C23" i="20"/>
  <c r="F23" i="20"/>
  <c r="S23" i="20"/>
  <c r="Q23" i="20"/>
  <c r="O23" i="20"/>
  <c r="K23" i="20"/>
  <c r="I23" i="20"/>
  <c r="M23" i="20"/>
  <c r="G23" i="20"/>
  <c r="E23" i="20"/>
  <c r="D23" i="20"/>
  <c r="H23" i="20"/>
  <c r="J23" i="20"/>
  <c r="L23" i="20"/>
  <c r="O13" i="20"/>
  <c r="F13" i="20"/>
  <c r="H13" i="20"/>
  <c r="S13" i="20"/>
  <c r="L13" i="20"/>
  <c r="E13" i="20"/>
  <c r="J13" i="20"/>
  <c r="Q13" i="20"/>
  <c r="I13" i="20"/>
  <c r="C13" i="20"/>
  <c r="M13" i="20"/>
  <c r="K13" i="20"/>
  <c r="D13" i="20"/>
  <c r="B17" i="18"/>
  <c r="K17" i="18" s="1"/>
  <c r="C41" i="18"/>
  <c r="B26" i="18"/>
  <c r="K26" i="18" s="1"/>
  <c r="C50" i="18"/>
  <c r="B16" i="18"/>
  <c r="S16" i="18" s="1"/>
  <c r="C40" i="18"/>
  <c r="B25" i="18"/>
  <c r="J25" i="18" s="1"/>
  <c r="C49" i="18"/>
  <c r="B10" i="18"/>
  <c r="H10" i="18" s="1"/>
  <c r="C34" i="18"/>
  <c r="B14" i="18"/>
  <c r="J14" i="18" s="1"/>
  <c r="C38" i="18"/>
  <c r="B19" i="18"/>
  <c r="L19" i="18" s="1"/>
  <c r="C43" i="18"/>
  <c r="B24" i="18"/>
  <c r="O24" i="18" s="1"/>
  <c r="C48" i="18"/>
  <c r="Q48" i="18" s="1"/>
  <c r="B12" i="18"/>
  <c r="F12" i="18" s="1"/>
  <c r="C36" i="18"/>
  <c r="B22" i="18"/>
  <c r="C22" i="18" s="1"/>
  <c r="C46" i="18"/>
  <c r="B11" i="18"/>
  <c r="M11" i="18" s="1"/>
  <c r="C35" i="18"/>
  <c r="B20" i="18"/>
  <c r="M20" i="18" s="1"/>
  <c r="C44" i="18"/>
  <c r="B13" i="18"/>
  <c r="F13" i="18" s="1"/>
  <c r="C37" i="18"/>
  <c r="B18" i="18"/>
  <c r="O18" i="18" s="1"/>
  <c r="C42" i="18"/>
  <c r="Q42" i="18" s="1"/>
  <c r="B23" i="18"/>
  <c r="J23" i="18" s="1"/>
  <c r="C47" i="18"/>
  <c r="H42" i="15"/>
  <c r="I43" i="15"/>
  <c r="L47" i="15"/>
  <c r="K53" i="15"/>
  <c r="O40" i="15"/>
  <c r="D48" i="15"/>
  <c r="G52" i="15"/>
  <c r="B15" i="15"/>
  <c r="Q15" i="15" s="1"/>
  <c r="C110" i="15"/>
  <c r="Q110" i="15" s="1"/>
  <c r="B20" i="15"/>
  <c r="L20" i="15" s="1"/>
  <c r="C115" i="15"/>
  <c r="Q115" i="15" s="1"/>
  <c r="C118" i="15"/>
  <c r="Q118" i="15" s="1"/>
  <c r="C122" i="15"/>
  <c r="Q122" i="15" s="1"/>
  <c r="C112" i="15"/>
  <c r="Q112" i="15" s="1"/>
  <c r="C117" i="15"/>
  <c r="Q117" i="15" s="1"/>
  <c r="B25" i="15"/>
  <c r="I25" i="15" s="1"/>
  <c r="Q120" i="15"/>
  <c r="C123" i="15"/>
  <c r="Q123" i="15" s="1"/>
  <c r="C113" i="15"/>
  <c r="Q113" i="15" s="1"/>
  <c r="Q55" i="14"/>
  <c r="Q1" i="14"/>
  <c r="Z151" i="3"/>
  <c r="Z150" i="3"/>
  <c r="Z149" i="3"/>
  <c r="Z148" i="3"/>
  <c r="Z147" i="3"/>
  <c r="Z146" i="3"/>
  <c r="Y151" i="3"/>
  <c r="Y149" i="3"/>
  <c r="J140" i="3"/>
  <c r="Y147" i="3" s="1"/>
  <c r="E38" i="14"/>
  <c r="E37" i="14"/>
  <c r="R10" i="14"/>
  <c r="I10" i="14"/>
  <c r="F10" i="14"/>
  <c r="C10" i="14"/>
  <c r="C9" i="14"/>
  <c r="N4" i="14"/>
  <c r="N3" i="14"/>
  <c r="I1" i="13"/>
  <c r="I1" i="12"/>
  <c r="I1" i="9"/>
  <c r="D18" i="13"/>
  <c r="D18" i="12"/>
  <c r="D18" i="9"/>
  <c r="D25" i="13"/>
  <c r="D24" i="13"/>
  <c r="D23" i="13"/>
  <c r="D22" i="13"/>
  <c r="D21" i="13"/>
  <c r="D20" i="13"/>
  <c r="D19" i="13"/>
  <c r="D17" i="13"/>
  <c r="D16" i="13"/>
  <c r="D15" i="13"/>
  <c r="D14" i="13"/>
  <c r="D13" i="13"/>
  <c r="D12" i="13"/>
  <c r="C17" i="13"/>
  <c r="C16" i="13"/>
  <c r="C15" i="13"/>
  <c r="C14" i="13"/>
  <c r="C13" i="13"/>
  <c r="C12" i="13"/>
  <c r="I3" i="13"/>
  <c r="D3" i="13"/>
  <c r="A53" i="13"/>
  <c r="A52" i="13"/>
  <c r="A51" i="13"/>
  <c r="I4" i="13"/>
  <c r="D4" i="13"/>
  <c r="K48" i="12"/>
  <c r="H48" i="12"/>
  <c r="F48" i="12"/>
  <c r="C48" i="12"/>
  <c r="A48" i="12"/>
  <c r="M45" i="12"/>
  <c r="M44" i="12"/>
  <c r="M43" i="12"/>
  <c r="M42" i="12"/>
  <c r="M41" i="12"/>
  <c r="E45" i="12"/>
  <c r="E44" i="12"/>
  <c r="E43" i="12"/>
  <c r="E42" i="12"/>
  <c r="E41" i="12"/>
  <c r="D25" i="12"/>
  <c r="D24" i="12"/>
  <c r="D23" i="12"/>
  <c r="D22" i="12"/>
  <c r="D21" i="12"/>
  <c r="D20" i="12"/>
  <c r="D19" i="12"/>
  <c r="D17" i="12"/>
  <c r="D16" i="12"/>
  <c r="D15" i="12"/>
  <c r="D14" i="12"/>
  <c r="D13" i="12"/>
  <c r="D12" i="12"/>
  <c r="C17" i="12"/>
  <c r="C16" i="12"/>
  <c r="C15" i="12"/>
  <c r="C14" i="12"/>
  <c r="C13" i="12"/>
  <c r="C12" i="12"/>
  <c r="I3" i="12"/>
  <c r="D3" i="12"/>
  <c r="A53" i="12"/>
  <c r="A52" i="12"/>
  <c r="A51" i="12"/>
  <c r="I4" i="12"/>
  <c r="D4" i="12"/>
  <c r="A53" i="9"/>
  <c r="A52" i="9"/>
  <c r="A51" i="9"/>
  <c r="K48" i="9"/>
  <c r="H48" i="9"/>
  <c r="F48" i="9"/>
  <c r="C48" i="9"/>
  <c r="A48" i="9"/>
  <c r="D25" i="9"/>
  <c r="D24" i="9"/>
  <c r="D23" i="9"/>
  <c r="D22" i="9"/>
  <c r="D21" i="9"/>
  <c r="D20" i="9"/>
  <c r="D19" i="9"/>
  <c r="D17" i="9"/>
  <c r="D16" i="9"/>
  <c r="D15" i="9"/>
  <c r="D14" i="9"/>
  <c r="D13" i="9"/>
  <c r="D12" i="9"/>
  <c r="C17" i="9"/>
  <c r="C16" i="9"/>
  <c r="C15" i="9"/>
  <c r="C14" i="9"/>
  <c r="C13" i="9"/>
  <c r="C12" i="9"/>
  <c r="D4" i="9"/>
  <c r="M45" i="9"/>
  <c r="M44" i="9"/>
  <c r="M43" i="9"/>
  <c r="M42" i="9"/>
  <c r="M41" i="9"/>
  <c r="E42" i="9"/>
  <c r="E43" i="9"/>
  <c r="E44" i="9"/>
  <c r="E45" i="9"/>
  <c r="E41" i="9"/>
  <c r="I4" i="9"/>
  <c r="I3" i="9"/>
  <c r="D3" i="9"/>
  <c r="C51" i="11"/>
  <c r="L10" i="11"/>
  <c r="L9" i="11"/>
  <c r="X66" i="10"/>
  <c r="W66" i="10"/>
  <c r="P65" i="10"/>
  <c r="O65" i="10"/>
  <c r="X59" i="10"/>
  <c r="W59" i="10"/>
  <c r="N68" i="10"/>
  <c r="D48" i="10"/>
  <c r="D47" i="10"/>
  <c r="D45" i="10"/>
  <c r="A38" i="10"/>
  <c r="O68" i="10"/>
  <c r="C40" i="10"/>
  <c r="D40" i="10"/>
  <c r="E40" i="10"/>
  <c r="H40" i="10"/>
  <c r="K40" i="10"/>
  <c r="O40" i="10"/>
  <c r="Q40" i="10"/>
  <c r="S40" i="10"/>
  <c r="U40" i="10"/>
  <c r="W40" i="10"/>
  <c r="Y40" i="10"/>
  <c r="C41" i="10"/>
  <c r="D41" i="10"/>
  <c r="S41" i="10"/>
  <c r="U41" i="10"/>
  <c r="W41" i="10"/>
  <c r="C42" i="10"/>
  <c r="D42" i="10"/>
  <c r="E42" i="10"/>
  <c r="H42" i="10"/>
  <c r="K42" i="10"/>
  <c r="O42" i="10"/>
  <c r="Q42" i="10"/>
  <c r="S42" i="10"/>
  <c r="U42" i="10"/>
  <c r="W42" i="10"/>
  <c r="Y42" i="10"/>
  <c r="C43" i="10"/>
  <c r="D43" i="10"/>
  <c r="E43" i="10"/>
  <c r="H43" i="10"/>
  <c r="K43" i="10"/>
  <c r="O43" i="10"/>
  <c r="Q43" i="10"/>
  <c r="S43" i="10"/>
  <c r="U43" i="10"/>
  <c r="W43" i="10"/>
  <c r="Y43" i="10"/>
  <c r="C44" i="10"/>
  <c r="C45" i="10"/>
  <c r="E45" i="10"/>
  <c r="H45" i="10"/>
  <c r="K45" i="10"/>
  <c r="O45" i="10"/>
  <c r="Q45" i="10"/>
  <c r="S45" i="10"/>
  <c r="U45" i="10"/>
  <c r="W45" i="10"/>
  <c r="Y45" i="10"/>
  <c r="C46" i="10"/>
  <c r="C47" i="10"/>
  <c r="E47" i="10"/>
  <c r="H47" i="10"/>
  <c r="K47" i="10"/>
  <c r="O47" i="10"/>
  <c r="Q47" i="10"/>
  <c r="S47" i="10"/>
  <c r="U47" i="10"/>
  <c r="W47" i="10"/>
  <c r="Y47" i="10"/>
  <c r="C48" i="10"/>
  <c r="E48" i="10"/>
  <c r="H48" i="10"/>
  <c r="K48" i="10"/>
  <c r="O48" i="10"/>
  <c r="Q48" i="10"/>
  <c r="S48" i="10"/>
  <c r="U48" i="10"/>
  <c r="W48" i="10"/>
  <c r="Y48" i="10"/>
  <c r="Y39" i="10"/>
  <c r="W39" i="10"/>
  <c r="U39" i="10"/>
  <c r="S39" i="10"/>
  <c r="Q39" i="10"/>
  <c r="D39" i="10"/>
  <c r="C39" i="10"/>
  <c r="A4" i="10"/>
  <c r="C33" i="10"/>
  <c r="D33" i="10"/>
  <c r="C34" i="10"/>
  <c r="D34" i="10"/>
  <c r="D32" i="10"/>
  <c r="C32" i="10"/>
  <c r="C26" i="10"/>
  <c r="D26" i="10"/>
  <c r="G26" i="10"/>
  <c r="K26" i="10"/>
  <c r="M26" i="10"/>
  <c r="O26" i="10"/>
  <c r="Q26" i="10"/>
  <c r="S26" i="10"/>
  <c r="U26" i="10"/>
  <c r="V26" i="10"/>
  <c r="W26" i="10"/>
  <c r="X26" i="10"/>
  <c r="C27" i="10"/>
  <c r="D27" i="10"/>
  <c r="G27" i="10"/>
  <c r="K27" i="10"/>
  <c r="M27" i="10"/>
  <c r="O27" i="10"/>
  <c r="Q27" i="10"/>
  <c r="S27" i="10"/>
  <c r="U27" i="10"/>
  <c r="V27" i="10"/>
  <c r="W27" i="10"/>
  <c r="X27" i="10"/>
  <c r="C29" i="1"/>
  <c r="C18" i="10"/>
  <c r="D18" i="10"/>
  <c r="E18" i="10"/>
  <c r="H18" i="10"/>
  <c r="K18" i="10"/>
  <c r="N18" i="10"/>
  <c r="Q18" i="10"/>
  <c r="S18" i="10"/>
  <c r="U18" i="10"/>
  <c r="C20" i="10"/>
  <c r="C17" i="10"/>
  <c r="C5" i="10"/>
  <c r="C6" i="10"/>
  <c r="C7" i="10"/>
  <c r="D7" i="10"/>
  <c r="E7" i="10"/>
  <c r="G7" i="10"/>
  <c r="C32" i="13" s="1"/>
  <c r="I7" i="10"/>
  <c r="K7" i="10"/>
  <c r="N7" i="10"/>
  <c r="Q7" i="10"/>
  <c r="S7" i="10"/>
  <c r="T7" i="10"/>
  <c r="U7" i="10"/>
  <c r="V7" i="10"/>
  <c r="W7" i="10"/>
  <c r="X7" i="10"/>
  <c r="C8" i="10"/>
  <c r="D8" i="10"/>
  <c r="E8" i="10"/>
  <c r="G8" i="10"/>
  <c r="C33" i="12" s="1"/>
  <c r="I8" i="10"/>
  <c r="K8" i="10"/>
  <c r="N8" i="10"/>
  <c r="Q8" i="10"/>
  <c r="S8" i="10"/>
  <c r="T8" i="10"/>
  <c r="U8" i="10"/>
  <c r="V8" i="10"/>
  <c r="W8" i="10"/>
  <c r="X8" i="10"/>
  <c r="C9" i="10"/>
  <c r="C10" i="10"/>
  <c r="C11" i="10"/>
  <c r="C12" i="10"/>
  <c r="C13" i="10"/>
  <c r="D13" i="10"/>
  <c r="E13" i="10"/>
  <c r="G13" i="10"/>
  <c r="C38" i="9" s="1"/>
  <c r="I13" i="10"/>
  <c r="K13" i="10"/>
  <c r="N13" i="10"/>
  <c r="Q13" i="10"/>
  <c r="S13" i="10"/>
  <c r="T13" i="10"/>
  <c r="U13" i="10"/>
  <c r="V13" i="10"/>
  <c r="W13" i="10"/>
  <c r="X13" i="10"/>
  <c r="C4" i="10"/>
  <c r="U20" i="10" l="1"/>
  <c r="Q20" i="10"/>
  <c r="D20" i="10"/>
  <c r="N20" i="10"/>
  <c r="E20" i="10"/>
  <c r="K51" i="15"/>
  <c r="D51" i="15"/>
  <c r="L46" i="15"/>
  <c r="E46" i="15"/>
  <c r="O46" i="15"/>
  <c r="H46" i="15"/>
  <c r="E41" i="15"/>
  <c r="Q41" i="15"/>
  <c r="D41" i="15"/>
  <c r="S41" i="15"/>
  <c r="S51" i="15"/>
  <c r="Q51" i="15"/>
  <c r="E51" i="15"/>
  <c r="I51" i="15"/>
  <c r="M51" i="15"/>
  <c r="J51" i="15"/>
  <c r="F51" i="15"/>
  <c r="C51" i="15"/>
  <c r="M46" i="15"/>
  <c r="Q46" i="15"/>
  <c r="J46" i="15"/>
  <c r="I46" i="15"/>
  <c r="C46" i="15"/>
  <c r="S46" i="15"/>
  <c r="F46" i="15"/>
  <c r="D46" i="15"/>
  <c r="K46" i="15"/>
  <c r="I41" i="15"/>
  <c r="F41" i="15"/>
  <c r="J41" i="15"/>
  <c r="C41" i="15"/>
  <c r="O41" i="15"/>
  <c r="K41" i="15"/>
  <c r="Q121" i="15"/>
  <c r="O121" i="15"/>
  <c r="L121" i="15"/>
  <c r="G121" i="15"/>
  <c r="S121" i="15"/>
  <c r="I121" i="15"/>
  <c r="E121" i="15"/>
  <c r="Q116" i="15"/>
  <c r="O116" i="15"/>
  <c r="L116" i="15"/>
  <c r="I116" i="15"/>
  <c r="G116" i="15"/>
  <c r="E116" i="15"/>
  <c r="A33" i="13"/>
  <c r="I16" i="28"/>
  <c r="I16" i="29"/>
  <c r="I16" i="27"/>
  <c r="A38" i="13"/>
  <c r="N16" i="29"/>
  <c r="N16" i="27"/>
  <c r="N16" i="28"/>
  <c r="A32" i="13"/>
  <c r="H16" i="28"/>
  <c r="H16" i="27"/>
  <c r="H16" i="29"/>
  <c r="Y146" i="3"/>
  <c r="L48" i="18"/>
  <c r="I48" i="18"/>
  <c r="J47" i="15"/>
  <c r="C14" i="18"/>
  <c r="N48" i="15"/>
  <c r="Y150" i="3"/>
  <c r="O24" i="20"/>
  <c r="G48" i="18"/>
  <c r="G42" i="18"/>
  <c r="E22" i="18"/>
  <c r="I42" i="18"/>
  <c r="Q11" i="18"/>
  <c r="J19" i="18"/>
  <c r="C12" i="18"/>
  <c r="J17" i="18"/>
  <c r="M26" i="18"/>
  <c r="I14" i="18"/>
  <c r="D24" i="18"/>
  <c r="D20" i="18"/>
  <c r="S26" i="18"/>
  <c r="C18" i="18"/>
  <c r="H20" i="18"/>
  <c r="L22" i="18"/>
  <c r="H24" i="18"/>
  <c r="K14" i="18"/>
  <c r="L20" i="18"/>
  <c r="O26" i="18"/>
  <c r="I18" i="18"/>
  <c r="K22" i="18"/>
  <c r="H25" i="18"/>
  <c r="D18" i="18"/>
  <c r="F22" i="18"/>
  <c r="F24" i="18"/>
  <c r="M14" i="18"/>
  <c r="L25" i="18"/>
  <c r="E20" i="18"/>
  <c r="O42" i="18"/>
  <c r="E23" i="18"/>
  <c r="S13" i="18"/>
  <c r="D10" i="18"/>
  <c r="H12" i="18"/>
  <c r="Q10" i="18"/>
  <c r="H16" i="18"/>
  <c r="I11" i="18"/>
  <c r="F17" i="18"/>
  <c r="O23" i="18"/>
  <c r="D13" i="18"/>
  <c r="L12" i="18"/>
  <c r="H19" i="18"/>
  <c r="E10" i="18"/>
  <c r="E16" i="18"/>
  <c r="H11" i="18"/>
  <c r="E42" i="18"/>
  <c r="I23" i="18"/>
  <c r="C13" i="18"/>
  <c r="H23" i="18"/>
  <c r="Q12" i="18"/>
  <c r="S19" i="18"/>
  <c r="K10" i="18"/>
  <c r="O16" i="18"/>
  <c r="S11" i="18"/>
  <c r="S17" i="18"/>
  <c r="Q18" i="18"/>
  <c r="E18" i="18"/>
  <c r="J22" i="18"/>
  <c r="S22" i="18"/>
  <c r="C24" i="18"/>
  <c r="H14" i="18"/>
  <c r="I25" i="18"/>
  <c r="K25" i="18"/>
  <c r="K20" i="18"/>
  <c r="S20" i="18"/>
  <c r="F26" i="18"/>
  <c r="L26" i="18"/>
  <c r="K18" i="18"/>
  <c r="M18" i="18"/>
  <c r="H22" i="18"/>
  <c r="J24" i="18"/>
  <c r="E24" i="18"/>
  <c r="L14" i="18"/>
  <c r="M25" i="18"/>
  <c r="O25" i="18"/>
  <c r="O20" i="18"/>
  <c r="J26" i="18"/>
  <c r="Q26" i="18"/>
  <c r="S18" i="18"/>
  <c r="L18" i="18"/>
  <c r="H18" i="18"/>
  <c r="Q22" i="18"/>
  <c r="I22" i="18"/>
  <c r="O22" i="18"/>
  <c r="M24" i="18"/>
  <c r="I24" i="18"/>
  <c r="K24" i="18"/>
  <c r="S24" i="18"/>
  <c r="F14" i="18"/>
  <c r="S14" i="18"/>
  <c r="Q14" i="18"/>
  <c r="O14" i="18"/>
  <c r="S25" i="18"/>
  <c r="Q25" i="18"/>
  <c r="F25" i="18"/>
  <c r="Q20" i="18"/>
  <c r="F20" i="18"/>
  <c r="I20" i="18"/>
  <c r="E26" i="18"/>
  <c r="D26" i="18"/>
  <c r="C26" i="18"/>
  <c r="J18" i="18"/>
  <c r="F18" i="18"/>
  <c r="D22" i="18"/>
  <c r="M22" i="18"/>
  <c r="Q24" i="18"/>
  <c r="L24" i="18"/>
  <c r="E14" i="18"/>
  <c r="D14" i="18"/>
  <c r="E25" i="18"/>
  <c r="D25" i="18"/>
  <c r="C25" i="18"/>
  <c r="C20" i="18"/>
  <c r="J20" i="18"/>
  <c r="I26" i="18"/>
  <c r="H26" i="18"/>
  <c r="O47" i="18"/>
  <c r="Q47" i="18"/>
  <c r="G47" i="18"/>
  <c r="I47" i="18"/>
  <c r="L47" i="18"/>
  <c r="E47" i="18"/>
  <c r="I37" i="18"/>
  <c r="E37" i="18"/>
  <c r="L37" i="18"/>
  <c r="O37" i="18"/>
  <c r="Q37" i="18"/>
  <c r="G37" i="18"/>
  <c r="Q35" i="18"/>
  <c r="O35" i="18"/>
  <c r="I35" i="18"/>
  <c r="G35" i="18"/>
  <c r="L35" i="18"/>
  <c r="E35" i="18"/>
  <c r="O36" i="18"/>
  <c r="Q36" i="18"/>
  <c r="I36" i="18"/>
  <c r="L36" i="18"/>
  <c r="E36" i="18"/>
  <c r="G36" i="18"/>
  <c r="Q43" i="18"/>
  <c r="I43" i="18"/>
  <c r="O43" i="18"/>
  <c r="L43" i="18"/>
  <c r="E43" i="18"/>
  <c r="G43" i="18"/>
  <c r="Q34" i="18"/>
  <c r="O34" i="18"/>
  <c r="L34" i="18"/>
  <c r="E34" i="18"/>
  <c r="G34" i="18"/>
  <c r="I34" i="18"/>
  <c r="E41" i="18"/>
  <c r="Q41" i="18"/>
  <c r="O41" i="18"/>
  <c r="G41" i="18"/>
  <c r="I41" i="18"/>
  <c r="L41" i="18"/>
  <c r="M13" i="18"/>
  <c r="Q13" i="18"/>
  <c r="I13" i="18"/>
  <c r="O12" i="18"/>
  <c r="M12" i="18"/>
  <c r="S12" i="18"/>
  <c r="F19" i="18"/>
  <c r="M19" i="18"/>
  <c r="D19" i="18"/>
  <c r="C10" i="18"/>
  <c r="M10" i="18"/>
  <c r="O10" i="18"/>
  <c r="F16" i="18"/>
  <c r="M16" i="18"/>
  <c r="E11" i="18"/>
  <c r="Q17" i="18"/>
  <c r="D17" i="18"/>
  <c r="H17" i="18"/>
  <c r="M23" i="18"/>
  <c r="S23" i="18"/>
  <c r="K23" i="18"/>
  <c r="E13" i="18"/>
  <c r="L13" i="18"/>
  <c r="O13" i="18"/>
  <c r="J13" i="18"/>
  <c r="D12" i="18"/>
  <c r="E12" i="18"/>
  <c r="K12" i="18"/>
  <c r="O19" i="18"/>
  <c r="I19" i="18"/>
  <c r="K19" i="18"/>
  <c r="Q19" i="18"/>
  <c r="F10" i="18"/>
  <c r="L10" i="18"/>
  <c r="I10" i="18"/>
  <c r="I16" i="18"/>
  <c r="C16" i="18"/>
  <c r="J16" i="18"/>
  <c r="O11" i="18"/>
  <c r="D11" i="18"/>
  <c r="K11" i="18"/>
  <c r="E17" i="18"/>
  <c r="M17" i="18"/>
  <c r="I17" i="18"/>
  <c r="C17" i="18"/>
  <c r="L42" i="18"/>
  <c r="E48" i="18"/>
  <c r="O48" i="18"/>
  <c r="E40" i="18"/>
  <c r="Q40" i="18"/>
  <c r="G40" i="18"/>
  <c r="L40" i="18"/>
  <c r="I40" i="18"/>
  <c r="O40" i="18"/>
  <c r="O44" i="18"/>
  <c r="E44" i="18"/>
  <c r="Q44" i="18"/>
  <c r="G44" i="18"/>
  <c r="I44" i="18"/>
  <c r="L44" i="18"/>
  <c r="O46" i="18"/>
  <c r="Q46" i="18"/>
  <c r="E46" i="18"/>
  <c r="I46" i="18"/>
  <c r="G46" i="18"/>
  <c r="L46" i="18"/>
  <c r="Q38" i="18"/>
  <c r="O38" i="18"/>
  <c r="E38" i="18"/>
  <c r="I38" i="18"/>
  <c r="G38" i="18"/>
  <c r="L38" i="18"/>
  <c r="I49" i="18"/>
  <c r="O49" i="18"/>
  <c r="Q49" i="18"/>
  <c r="L49" i="18"/>
  <c r="E49" i="18"/>
  <c r="G49" i="18"/>
  <c r="O50" i="18"/>
  <c r="E50" i="18"/>
  <c r="Q50" i="18"/>
  <c r="G50" i="18"/>
  <c r="I50" i="18"/>
  <c r="L50" i="18"/>
  <c r="F23" i="18"/>
  <c r="D23" i="18"/>
  <c r="C23" i="18"/>
  <c r="Q16" i="18"/>
  <c r="D16" i="18"/>
  <c r="L11" i="18"/>
  <c r="C11" i="18"/>
  <c r="Q23" i="18"/>
  <c r="L23" i="18"/>
  <c r="H13" i="18"/>
  <c r="K13" i="18"/>
  <c r="I12" i="18"/>
  <c r="J12" i="18"/>
  <c r="E19" i="18"/>
  <c r="C19" i="18"/>
  <c r="S10" i="18"/>
  <c r="J10" i="18"/>
  <c r="K16" i="18"/>
  <c r="L16" i="18"/>
  <c r="J11" i="18"/>
  <c r="F11" i="18"/>
  <c r="O17" i="18"/>
  <c r="L17" i="18"/>
  <c r="Y148" i="3"/>
  <c r="C42" i="15"/>
  <c r="D40" i="15"/>
  <c r="J48" i="15"/>
  <c r="I15" i="15"/>
  <c r="G47" i="15"/>
  <c r="E40" i="15"/>
  <c r="L42" i="15"/>
  <c r="Q25" i="15"/>
  <c r="D42" i="15"/>
  <c r="H47" i="15"/>
  <c r="S48" i="15"/>
  <c r="Q40" i="15"/>
  <c r="E25" i="15"/>
  <c r="K42" i="15"/>
  <c r="M47" i="15"/>
  <c r="H48" i="15"/>
  <c r="O52" i="15"/>
  <c r="F42" i="15"/>
  <c r="O42" i="15"/>
  <c r="Q47" i="15"/>
  <c r="K47" i="15"/>
  <c r="K48" i="15"/>
  <c r="E48" i="15"/>
  <c r="S40" i="15"/>
  <c r="I40" i="15"/>
  <c r="G42" i="15"/>
  <c r="I42" i="15"/>
  <c r="D47" i="15"/>
  <c r="O47" i="15"/>
  <c r="M48" i="15"/>
  <c r="O48" i="15"/>
  <c r="H40" i="15"/>
  <c r="K15" i="15"/>
  <c r="M42" i="15"/>
  <c r="S42" i="15"/>
  <c r="E42" i="15"/>
  <c r="Q42" i="15"/>
  <c r="S47" i="15"/>
  <c r="I47" i="15"/>
  <c r="N47" i="15"/>
  <c r="I48" i="15"/>
  <c r="G48" i="15"/>
  <c r="Q48" i="15"/>
  <c r="C40" i="15"/>
  <c r="F40" i="15"/>
  <c r="J40" i="15"/>
  <c r="L40" i="15"/>
  <c r="L15" i="15"/>
  <c r="L25" i="15"/>
  <c r="J42" i="15"/>
  <c r="N42" i="15"/>
  <c r="F47" i="15"/>
  <c r="E47" i="15"/>
  <c r="C47" i="15"/>
  <c r="F48" i="15"/>
  <c r="C48" i="15"/>
  <c r="L48" i="15"/>
  <c r="M40" i="15"/>
  <c r="K40" i="15"/>
  <c r="K43" i="15"/>
  <c r="F50" i="15"/>
  <c r="H53" i="15"/>
  <c r="K50" i="15"/>
  <c r="D43" i="15"/>
  <c r="I52" i="15"/>
  <c r="H45" i="15"/>
  <c r="O53" i="15"/>
  <c r="H50" i="15"/>
  <c r="S52" i="15"/>
  <c r="Q45" i="15"/>
  <c r="S20" i="15"/>
  <c r="J53" i="15"/>
  <c r="E50" i="15"/>
  <c r="O43" i="15"/>
  <c r="Q52" i="15"/>
  <c r="M45" i="15"/>
  <c r="O143" i="15"/>
  <c r="L143" i="15"/>
  <c r="G143" i="15"/>
  <c r="I143" i="15"/>
  <c r="Q143" i="15"/>
  <c r="S143" i="15"/>
  <c r="E143" i="15"/>
  <c r="M20" i="15"/>
  <c r="Q20" i="15"/>
  <c r="E53" i="15"/>
  <c r="S50" i="15"/>
  <c r="M43" i="15"/>
  <c r="J43" i="15"/>
  <c r="M52" i="15"/>
  <c r="J52" i="15"/>
  <c r="H52" i="15"/>
  <c r="C52" i="15"/>
  <c r="C45" i="15"/>
  <c r="E45" i="15"/>
  <c r="O45" i="15"/>
  <c r="K45" i="15"/>
  <c r="F20" i="15"/>
  <c r="D20" i="15"/>
  <c r="M53" i="15"/>
  <c r="G53" i="15"/>
  <c r="I53" i="15"/>
  <c r="C53" i="15"/>
  <c r="J50" i="15"/>
  <c r="L50" i="15"/>
  <c r="O50" i="15"/>
  <c r="Q50" i="15"/>
  <c r="C43" i="15"/>
  <c r="H43" i="15"/>
  <c r="L43" i="15"/>
  <c r="Q43" i="15"/>
  <c r="E52" i="15"/>
  <c r="N52" i="15"/>
  <c r="L52" i="15"/>
  <c r="J45" i="15"/>
  <c r="L45" i="15"/>
  <c r="I45" i="15"/>
  <c r="S45" i="15"/>
  <c r="Q138" i="15"/>
  <c r="L138" i="15"/>
  <c r="E138" i="15"/>
  <c r="O138" i="15"/>
  <c r="G138" i="15"/>
  <c r="I138" i="15"/>
  <c r="G133" i="15"/>
  <c r="L133" i="15"/>
  <c r="I133" i="15"/>
  <c r="O133" i="15"/>
  <c r="Q133" i="15"/>
  <c r="E133" i="15"/>
  <c r="Q53" i="15"/>
  <c r="D53" i="15"/>
  <c r="L53" i="15"/>
  <c r="C50" i="15"/>
  <c r="D50" i="15"/>
  <c r="F43" i="15"/>
  <c r="O20" i="15"/>
  <c r="J20" i="15"/>
  <c r="F53" i="15"/>
  <c r="S53" i="15"/>
  <c r="N53" i="15"/>
  <c r="M50" i="15"/>
  <c r="I50" i="15"/>
  <c r="S43" i="15"/>
  <c r="E43" i="15"/>
  <c r="F52" i="15"/>
  <c r="K52" i="15"/>
  <c r="D52" i="15"/>
  <c r="F45" i="15"/>
  <c r="D45" i="15"/>
  <c r="J25" i="15"/>
  <c r="K25" i="15"/>
  <c r="M25" i="15"/>
  <c r="E15" i="15"/>
  <c r="C15" i="15"/>
  <c r="H15" i="15"/>
  <c r="D25" i="15"/>
  <c r="H25" i="15"/>
  <c r="O25" i="15"/>
  <c r="S25" i="15"/>
  <c r="J15" i="15"/>
  <c r="S15" i="15"/>
  <c r="D15" i="15"/>
  <c r="O15" i="15"/>
  <c r="M15" i="15"/>
  <c r="F15" i="15"/>
  <c r="F25" i="15"/>
  <c r="C25" i="15"/>
  <c r="L113" i="15"/>
  <c r="I113" i="15"/>
  <c r="O113" i="15"/>
  <c r="E113" i="15"/>
  <c r="G113" i="15"/>
  <c r="I112" i="15"/>
  <c r="O112" i="15"/>
  <c r="G112" i="15"/>
  <c r="L112" i="15"/>
  <c r="E112" i="15"/>
  <c r="I118" i="15"/>
  <c r="E118" i="15"/>
  <c r="G118" i="15"/>
  <c r="L118" i="15"/>
  <c r="O118" i="15"/>
  <c r="E20" i="15"/>
  <c r="C20" i="15"/>
  <c r="H20" i="15"/>
  <c r="L120" i="15"/>
  <c r="G120" i="15"/>
  <c r="S120" i="15"/>
  <c r="I120" i="15"/>
  <c r="O120" i="15"/>
  <c r="E120" i="15"/>
  <c r="G110" i="15"/>
  <c r="L110" i="15"/>
  <c r="O110" i="15"/>
  <c r="E110" i="15"/>
  <c r="I110" i="15"/>
  <c r="G123" i="15"/>
  <c r="L123" i="15"/>
  <c r="O123" i="15"/>
  <c r="E123" i="15"/>
  <c r="S123" i="15"/>
  <c r="I123" i="15"/>
  <c r="G117" i="15"/>
  <c r="O117" i="15"/>
  <c r="E117" i="15"/>
  <c r="I117" i="15"/>
  <c r="L117" i="15"/>
  <c r="O122" i="15"/>
  <c r="E122" i="15"/>
  <c r="I122" i="15"/>
  <c r="L122" i="15"/>
  <c r="G122" i="15"/>
  <c r="S122" i="15"/>
  <c r="O115" i="15"/>
  <c r="E115" i="15"/>
  <c r="L115" i="15"/>
  <c r="G115" i="15"/>
  <c r="I115" i="15"/>
  <c r="I20" i="15"/>
  <c r="K20" i="15"/>
  <c r="A38" i="9"/>
  <c r="C32" i="12"/>
  <c r="C32" i="9"/>
  <c r="C38" i="12"/>
  <c r="C33" i="13"/>
  <c r="C33" i="9"/>
  <c r="A32" i="12"/>
  <c r="A38" i="12"/>
  <c r="C38" i="13"/>
  <c r="A33" i="9"/>
  <c r="A33" i="12"/>
  <c r="A32" i="9"/>
  <c r="D683" i="3"/>
  <c r="D677" i="3"/>
  <c r="D671" i="3"/>
  <c r="U682" i="3"/>
  <c r="U676" i="3"/>
  <c r="U670" i="3"/>
  <c r="R683" i="3"/>
  <c r="R677" i="3"/>
  <c r="R671" i="3"/>
  <c r="F490" i="3"/>
  <c r="E19" i="19" s="1"/>
  <c r="P682" i="3"/>
  <c r="P676" i="3"/>
  <c r="P670" i="3"/>
  <c r="I682" i="3"/>
  <c r="I676" i="3"/>
  <c r="I670" i="3"/>
  <c r="AM9" i="1"/>
  <c r="T5" i="10" s="1"/>
  <c r="AN9" i="1"/>
  <c r="U5" i="10" s="1"/>
  <c r="AO9" i="1"/>
  <c r="V5" i="10" s="1"/>
  <c r="AP9" i="1"/>
  <c r="W5" i="10" s="1"/>
  <c r="AQ9" i="1"/>
  <c r="X5" i="10" s="1"/>
  <c r="AM10" i="1"/>
  <c r="T6" i="10" s="1"/>
  <c r="AN10" i="1"/>
  <c r="U6" i="10" s="1"/>
  <c r="AO10" i="1"/>
  <c r="V6" i="10" s="1"/>
  <c r="AP10" i="1"/>
  <c r="W6" i="10" s="1"/>
  <c r="AQ10" i="1"/>
  <c r="X6" i="10" s="1"/>
  <c r="AM11" i="1"/>
  <c r="AN11" i="1"/>
  <c r="AO11" i="1"/>
  <c r="AP11" i="1"/>
  <c r="AQ11" i="1"/>
  <c r="AM12" i="1"/>
  <c r="AN12" i="1"/>
  <c r="AO12" i="1"/>
  <c r="AP12" i="1"/>
  <c r="AQ12" i="1"/>
  <c r="AM13" i="1"/>
  <c r="T9" i="10" s="1"/>
  <c r="AN13" i="1"/>
  <c r="U9" i="10" s="1"/>
  <c r="AO13" i="1"/>
  <c r="V9" i="10" s="1"/>
  <c r="AP13" i="1"/>
  <c r="W9" i="10" s="1"/>
  <c r="AQ13" i="1"/>
  <c r="X9" i="10" s="1"/>
  <c r="AM14" i="1"/>
  <c r="T10" i="10" s="1"/>
  <c r="AN14" i="1"/>
  <c r="U10" i="10" s="1"/>
  <c r="AO14" i="1"/>
  <c r="V10" i="10" s="1"/>
  <c r="AP14" i="1"/>
  <c r="W10" i="10" s="1"/>
  <c r="AQ14" i="1"/>
  <c r="X10" i="10" s="1"/>
  <c r="AM15" i="1"/>
  <c r="T11" i="10" s="1"/>
  <c r="AN15" i="1"/>
  <c r="U11" i="10" s="1"/>
  <c r="AO15" i="1"/>
  <c r="V11" i="10" s="1"/>
  <c r="AP15" i="1"/>
  <c r="W11" i="10" s="1"/>
  <c r="AQ15" i="1"/>
  <c r="X11" i="10" s="1"/>
  <c r="AM16" i="1"/>
  <c r="T12" i="10" s="1"/>
  <c r="AN16" i="1"/>
  <c r="U12" i="10" s="1"/>
  <c r="AO16" i="1"/>
  <c r="V12" i="10" s="1"/>
  <c r="AP16" i="1"/>
  <c r="W12" i="10" s="1"/>
  <c r="AQ16" i="1"/>
  <c r="X12" i="10" s="1"/>
  <c r="AM17" i="1"/>
  <c r="AN17" i="1"/>
  <c r="AO17" i="1"/>
  <c r="AP17" i="1"/>
  <c r="AQ17" i="1"/>
  <c r="AQ8" i="1"/>
  <c r="X4" i="10" s="1"/>
  <c r="AP8" i="1"/>
  <c r="W4" i="10" s="1"/>
  <c r="AO8" i="1"/>
  <c r="V4" i="10" s="1"/>
  <c r="AN8" i="1"/>
  <c r="U4" i="10" s="1"/>
  <c r="AM8" i="1"/>
  <c r="T4" i="10" s="1"/>
  <c r="C53" i="6"/>
  <c r="O51" i="6"/>
  <c r="L51" i="6"/>
  <c r="G51" i="6"/>
  <c r="T49" i="6"/>
  <c r="R49" i="6"/>
  <c r="L49" i="6"/>
  <c r="T48" i="6"/>
  <c r="R48" i="6"/>
  <c r="L48" i="6"/>
  <c r="S45" i="6"/>
  <c r="T45" i="6" s="1"/>
  <c r="F459" i="3"/>
  <c r="G413" i="3"/>
  <c r="G412" i="3"/>
  <c r="S39" i="6"/>
  <c r="L39" i="6" s="1"/>
  <c r="R38" i="6"/>
  <c r="L38" i="6" s="1"/>
  <c r="Q37" i="6"/>
  <c r="R36" i="6"/>
  <c r="E154" i="3"/>
  <c r="D68" i="3"/>
  <c r="S31" i="6"/>
  <c r="T31" i="6" s="1"/>
  <c r="S30" i="6"/>
  <c r="T30" i="6" s="1"/>
  <c r="G33" i="6"/>
  <c r="G34" i="6"/>
  <c r="C42" i="6"/>
  <c r="C41" i="6"/>
  <c r="C39" i="6"/>
  <c r="C34" i="6"/>
  <c r="C33" i="6"/>
  <c r="C31" i="6"/>
  <c r="A42" i="6"/>
  <c r="A41" i="6"/>
  <c r="A40" i="6"/>
  <c r="A39" i="6"/>
  <c r="A38" i="6"/>
  <c r="A37" i="6"/>
  <c r="A36" i="6"/>
  <c r="A35" i="6"/>
  <c r="A34" i="6"/>
  <c r="A31" i="6"/>
  <c r="N5" i="6"/>
  <c r="L5" i="6"/>
  <c r="D7" i="6"/>
  <c r="D6" i="6"/>
  <c r="D5" i="6"/>
  <c r="D8" i="6"/>
  <c r="A4" i="6"/>
  <c r="A3" i="6"/>
  <c r="A2" i="6"/>
  <c r="Q4" i="6"/>
  <c r="Q3" i="6"/>
  <c r="Q2" i="6"/>
  <c r="O4" i="6"/>
  <c r="O3" i="6"/>
  <c r="O2" i="6"/>
  <c r="J4" i="6"/>
  <c r="J3" i="6"/>
  <c r="J2" i="6"/>
  <c r="J5" i="4"/>
  <c r="G5" i="4"/>
  <c r="D5" i="4"/>
  <c r="I5" i="23" s="1"/>
  <c r="J69" i="2"/>
  <c r="C27" i="1"/>
  <c r="A30" i="6" s="1"/>
  <c r="C26" i="1"/>
  <c r="C17" i="1"/>
  <c r="C16" i="1"/>
  <c r="C15" i="1"/>
  <c r="H26" i="6" s="1"/>
  <c r="C14" i="1"/>
  <c r="C13" i="1"/>
  <c r="A24" i="6" s="1"/>
  <c r="C12" i="1"/>
  <c r="C11" i="1"/>
  <c r="A22" i="6" s="1"/>
  <c r="C10" i="1"/>
  <c r="C9" i="1"/>
  <c r="C8" i="1"/>
  <c r="F578" i="3"/>
  <c r="L55" i="16" s="1"/>
  <c r="D578" i="3"/>
  <c r="E55" i="16" s="1"/>
  <c r="AB44" i="1"/>
  <c r="AD44" i="1"/>
  <c r="AF44" i="1"/>
  <c r="AH44" i="1"/>
  <c r="AB45" i="1"/>
  <c r="AD45" i="1"/>
  <c r="AF45" i="1"/>
  <c r="AH45" i="1"/>
  <c r="AH43" i="1"/>
  <c r="X25" i="10" s="1"/>
  <c r="AF43" i="1"/>
  <c r="AD43" i="1"/>
  <c r="V25" i="10" s="1"/>
  <c r="AB43" i="1"/>
  <c r="U25" i="10" s="1"/>
  <c r="D407" i="3"/>
  <c r="O406" i="3"/>
  <c r="N406" i="3"/>
  <c r="L406" i="3"/>
  <c r="O405" i="3"/>
  <c r="N405" i="3"/>
  <c r="L405" i="3"/>
  <c r="O404" i="3"/>
  <c r="S41" i="17" s="1"/>
  <c r="N404" i="3"/>
  <c r="V404" i="3" s="1"/>
  <c r="Q41" i="17" s="1"/>
  <c r="L404" i="3"/>
  <c r="M41" i="17" s="1"/>
  <c r="O403" i="3"/>
  <c r="S40" i="17" s="1"/>
  <c r="N403" i="3"/>
  <c r="V403" i="3" s="1"/>
  <c r="Q40" i="17" s="1"/>
  <c r="L403" i="3"/>
  <c r="M40" i="17" s="1"/>
  <c r="D401" i="3"/>
  <c r="O400" i="3"/>
  <c r="N400" i="3"/>
  <c r="L400" i="3"/>
  <c r="O399" i="3"/>
  <c r="N399" i="3"/>
  <c r="L399" i="3"/>
  <c r="O398" i="3"/>
  <c r="S37" i="17" s="1"/>
  <c r="N398" i="3"/>
  <c r="V398" i="3" s="1"/>
  <c r="Q37" i="17" s="1"/>
  <c r="L398" i="3"/>
  <c r="M37" i="17" s="1"/>
  <c r="O397" i="3"/>
  <c r="S36" i="17" s="1"/>
  <c r="N397" i="3"/>
  <c r="V397" i="3" s="1"/>
  <c r="Q36" i="17" s="1"/>
  <c r="L397" i="3"/>
  <c r="M36" i="17" s="1"/>
  <c r="D395" i="3"/>
  <c r="O394" i="3"/>
  <c r="N394" i="3"/>
  <c r="L394" i="3"/>
  <c r="O393" i="3"/>
  <c r="N393" i="3"/>
  <c r="L393" i="3"/>
  <c r="O392" i="3"/>
  <c r="S33" i="17" s="1"/>
  <c r="N392" i="3"/>
  <c r="V392" i="3" s="1"/>
  <c r="Q33" i="17" s="1"/>
  <c r="L392" i="3"/>
  <c r="M33" i="17" s="1"/>
  <c r="O391" i="3"/>
  <c r="S32" i="17" s="1"/>
  <c r="N391" i="3"/>
  <c r="V391" i="3" s="1"/>
  <c r="Q32" i="17" s="1"/>
  <c r="L391" i="3"/>
  <c r="M32" i="17" s="1"/>
  <c r="N502" i="3"/>
  <c r="M502" i="3"/>
  <c r="L502" i="3"/>
  <c r="K502" i="3"/>
  <c r="J502" i="3"/>
  <c r="I502" i="3"/>
  <c r="H502" i="3"/>
  <c r="G502" i="3"/>
  <c r="F502" i="3"/>
  <c r="N496" i="3"/>
  <c r="M22" i="19" s="1"/>
  <c r="M496" i="3"/>
  <c r="L22" i="19" s="1"/>
  <c r="L496" i="3"/>
  <c r="K496" i="3"/>
  <c r="J496" i="3"/>
  <c r="I22" i="19" s="1"/>
  <c r="I496" i="3"/>
  <c r="H22" i="19" s="1"/>
  <c r="H496" i="3"/>
  <c r="G22" i="19" s="1"/>
  <c r="G496" i="3"/>
  <c r="F22" i="19" s="1"/>
  <c r="F496" i="3"/>
  <c r="E22" i="19" s="1"/>
  <c r="N490" i="3"/>
  <c r="M19" i="19" s="1"/>
  <c r="M490" i="3"/>
  <c r="L19" i="19" s="1"/>
  <c r="L490" i="3"/>
  <c r="K19" i="19" s="1"/>
  <c r="K490" i="3"/>
  <c r="J19" i="19" s="1"/>
  <c r="J490" i="3"/>
  <c r="I19" i="19" s="1"/>
  <c r="I490" i="3"/>
  <c r="H19" i="19" s="1"/>
  <c r="H490" i="3"/>
  <c r="G19" i="19" s="1"/>
  <c r="G490" i="3"/>
  <c r="F19" i="19" s="1"/>
  <c r="L9" i="21" l="1"/>
  <c r="D38" i="3"/>
  <c r="A24" i="14" s="1"/>
  <c r="D98" i="3"/>
  <c r="A27" i="14"/>
  <c r="D86" i="3"/>
  <c r="AI301" i="3" s="1"/>
  <c r="D80" i="3"/>
  <c r="AA300" i="3" s="1"/>
  <c r="D88" i="3"/>
  <c r="D84" i="3"/>
  <c r="AI299" i="3" s="1"/>
  <c r="D82" i="3"/>
  <c r="AA302" i="3" s="1"/>
  <c r="D87" i="3"/>
  <c r="AI302" i="3" s="1"/>
  <c r="D85" i="3"/>
  <c r="AI300" i="3" s="1"/>
  <c r="D83" i="3"/>
  <c r="AI298" i="3" s="1"/>
  <c r="D81" i="3"/>
  <c r="AA301" i="3" s="1"/>
  <c r="D79" i="3"/>
  <c r="AA299" i="3" s="1"/>
  <c r="W25" i="10"/>
  <c r="E5" i="25"/>
  <c r="O27" i="18"/>
  <c r="O15" i="18"/>
  <c r="O21" i="18"/>
  <c r="O44" i="15"/>
  <c r="O49" i="15"/>
  <c r="O54" i="15"/>
  <c r="O24" i="15"/>
  <c r="O19" i="15"/>
  <c r="O29" i="15"/>
  <c r="L92" i="4"/>
  <c r="B672" i="3"/>
  <c r="B245" i="3"/>
  <c r="A74" i="14" s="1"/>
  <c r="B298" i="3"/>
  <c r="D97" i="3"/>
  <c r="D96" i="3"/>
  <c r="D78" i="3"/>
  <c r="AA298" i="3" s="1"/>
  <c r="D92" i="3"/>
  <c r="D76" i="3"/>
  <c r="O301" i="3" s="1"/>
  <c r="D90" i="3"/>
  <c r="D94" i="3"/>
  <c r="D75" i="3"/>
  <c r="O300" i="3" s="1"/>
  <c r="D89" i="3"/>
  <c r="D93" i="3"/>
  <c r="D77" i="3"/>
  <c r="O302" i="3" s="1"/>
  <c r="D91" i="3"/>
  <c r="D95" i="3"/>
  <c r="B583" i="3"/>
  <c r="P55" i="16" s="1"/>
  <c r="I2" i="6"/>
  <c r="E5" i="27" s="1"/>
  <c r="I4" i="6"/>
  <c r="I3" i="6"/>
  <c r="U678" i="3"/>
  <c r="P71" i="20" s="1"/>
  <c r="M75" i="20"/>
  <c r="U673" i="3"/>
  <c r="P67" i="20" s="1"/>
  <c r="M70" i="20"/>
  <c r="E503" i="3"/>
  <c r="J22" i="19"/>
  <c r="E504" i="3"/>
  <c r="S44" i="6" s="1"/>
  <c r="K22" i="19"/>
  <c r="U668" i="3"/>
  <c r="P63" i="20" s="1"/>
  <c r="M65" i="20"/>
  <c r="C26" i="6"/>
  <c r="A26" i="6"/>
  <c r="D4" i="10"/>
  <c r="A19" i="6"/>
  <c r="D5" i="10"/>
  <c r="A27" i="6"/>
  <c r="D12" i="10"/>
  <c r="D11" i="10"/>
  <c r="A28" i="6"/>
  <c r="A20" i="6"/>
  <c r="G26" i="6"/>
  <c r="D9" i="10"/>
  <c r="I681" i="3"/>
  <c r="E74" i="20" s="1"/>
  <c r="D6" i="10"/>
  <c r="G25" i="6"/>
  <c r="D10" i="10"/>
  <c r="Q74" i="20"/>
  <c r="I74" i="20"/>
  <c r="A23" i="6"/>
  <c r="G27" i="6"/>
  <c r="A21" i="6"/>
  <c r="C27" i="6"/>
  <c r="H27" i="6"/>
  <c r="S124" i="15"/>
  <c r="B396" i="3"/>
  <c r="B367" i="3"/>
  <c r="U672" i="3"/>
  <c r="P66" i="20" s="1"/>
  <c r="U680" i="3"/>
  <c r="P73" i="20" s="1"/>
  <c r="P13" i="6"/>
  <c r="Q13" i="6" s="1"/>
  <c r="D7" i="4"/>
  <c r="E7" i="4" s="1"/>
  <c r="U675" i="3"/>
  <c r="P69" i="20" s="1"/>
  <c r="U681" i="3"/>
  <c r="P74" i="20" s="1"/>
  <c r="U667" i="3"/>
  <c r="P62" i="20" s="1"/>
  <c r="U666" i="3"/>
  <c r="P61" i="20" s="1"/>
  <c r="P681" i="3"/>
  <c r="L74" i="20" s="1"/>
  <c r="U669" i="3"/>
  <c r="P64" i="20" s="1"/>
  <c r="U674" i="3"/>
  <c r="P68" i="20" s="1"/>
  <c r="U679" i="3"/>
  <c r="P72" i="20" s="1"/>
  <c r="D17" i="10"/>
  <c r="A29" i="6"/>
  <c r="H25" i="6"/>
  <c r="A25" i="6"/>
  <c r="C25" i="6"/>
  <c r="U395" i="3"/>
  <c r="U407" i="3"/>
  <c r="G7" i="4"/>
  <c r="H7" i="4" s="1"/>
  <c r="D8" i="24" s="1"/>
  <c r="L45" i="6"/>
  <c r="J7" i="4"/>
  <c r="K7" i="4" s="1"/>
  <c r="E8" i="24" s="1"/>
  <c r="U401" i="3"/>
  <c r="T37" i="6"/>
  <c r="T38" i="6"/>
  <c r="L36" i="6"/>
  <c r="T39" i="6"/>
  <c r="Q36" i="6"/>
  <c r="T36" i="6"/>
  <c r="N401" i="3"/>
  <c r="O395" i="3"/>
  <c r="S34" i="17" s="1"/>
  <c r="L86" i="4"/>
  <c r="O407" i="3"/>
  <c r="S42" i="17" s="1"/>
  <c r="B409" i="3"/>
  <c r="K86" i="4"/>
  <c r="O401" i="3"/>
  <c r="S38" i="17" s="1"/>
  <c r="N407" i="3"/>
  <c r="K85" i="4"/>
  <c r="K87" i="4"/>
  <c r="L85" i="4"/>
  <c r="L87" i="4"/>
  <c r="N395" i="3"/>
  <c r="D502" i="3"/>
  <c r="D496" i="3"/>
  <c r="D490" i="3"/>
  <c r="B447" i="3"/>
  <c r="B446" i="3"/>
  <c r="B445" i="3"/>
  <c r="B443" i="3"/>
  <c r="L454" i="3"/>
  <c r="M81" i="18" s="1"/>
  <c r="L453" i="3"/>
  <c r="M80" i="18" s="1"/>
  <c r="L452" i="3"/>
  <c r="M79" i="18" s="1"/>
  <c r="L451" i="3"/>
  <c r="M78" i="18" s="1"/>
  <c r="L450" i="3"/>
  <c r="M77" i="18" s="1"/>
  <c r="L447" i="3"/>
  <c r="M75" i="18" s="1"/>
  <c r="L446" i="3"/>
  <c r="M74" i="18" s="1"/>
  <c r="L445" i="3"/>
  <c r="M73" i="18" s="1"/>
  <c r="L444" i="3"/>
  <c r="M72" i="18" s="1"/>
  <c r="L443" i="3"/>
  <c r="M71" i="18" s="1"/>
  <c r="L440" i="3"/>
  <c r="M69" i="18" s="1"/>
  <c r="L439" i="3"/>
  <c r="M68" i="18" s="1"/>
  <c r="L438" i="3"/>
  <c r="M67" i="18" s="1"/>
  <c r="L437" i="3"/>
  <c r="M66" i="18" s="1"/>
  <c r="L436" i="3"/>
  <c r="M65" i="18" s="1"/>
  <c r="D378" i="3"/>
  <c r="D372" i="3"/>
  <c r="D366" i="3"/>
  <c r="N362" i="3"/>
  <c r="V362" i="3" s="1"/>
  <c r="Q13" i="17" s="1"/>
  <c r="N363" i="3"/>
  <c r="V363" i="3" s="1"/>
  <c r="Q14" i="17" s="1"/>
  <c r="N364" i="3"/>
  <c r="N365" i="3"/>
  <c r="J4" i="23" l="1"/>
  <c r="C8" i="24"/>
  <c r="A30" i="14"/>
  <c r="B200" i="3"/>
  <c r="B250" i="3"/>
  <c r="A78" i="14" s="1"/>
  <c r="D5" i="13"/>
  <c r="E5" i="29"/>
  <c r="E6" i="28"/>
  <c r="E6" i="29"/>
  <c r="E6" i="27"/>
  <c r="D5" i="12"/>
  <c r="E5" i="28"/>
  <c r="T13" i="6"/>
  <c r="A49" i="6"/>
  <c r="A66" i="20"/>
  <c r="A15" i="20" s="1"/>
  <c r="O16" i="20"/>
  <c r="I16" i="20"/>
  <c r="D16" i="20"/>
  <c r="Q16" i="20"/>
  <c r="K16" i="20"/>
  <c r="E16" i="20"/>
  <c r="S16" i="20"/>
  <c r="L16" i="20"/>
  <c r="M16" i="20"/>
  <c r="H16" i="20"/>
  <c r="C16" i="20"/>
  <c r="J16" i="20"/>
  <c r="F16" i="20"/>
  <c r="L37" i="20"/>
  <c r="Q37" i="20"/>
  <c r="E37" i="20"/>
  <c r="G37" i="20"/>
  <c r="I37" i="20"/>
  <c r="O37" i="20"/>
  <c r="Q12" i="20"/>
  <c r="K12" i="20"/>
  <c r="E12" i="20"/>
  <c r="S12" i="20"/>
  <c r="L12" i="20"/>
  <c r="M12" i="20"/>
  <c r="H12" i="20"/>
  <c r="C12" i="20"/>
  <c r="O12" i="20"/>
  <c r="I12" i="20"/>
  <c r="D12" i="20"/>
  <c r="J12" i="20"/>
  <c r="F12" i="20"/>
  <c r="O33" i="20"/>
  <c r="Q33" i="20"/>
  <c r="E33" i="20"/>
  <c r="I33" i="20"/>
  <c r="G33" i="20"/>
  <c r="L33" i="20"/>
  <c r="A71" i="18"/>
  <c r="A53" i="6"/>
  <c r="A62" i="15" s="1"/>
  <c r="D5" i="9"/>
  <c r="L503" i="3"/>
  <c r="A29" i="19" s="1"/>
  <c r="D49" i="6"/>
  <c r="I5" i="12"/>
  <c r="G49" i="6"/>
  <c r="I5" i="13"/>
  <c r="G28" i="19"/>
  <c r="A28" i="19"/>
  <c r="F28" i="19"/>
  <c r="S43" i="6"/>
  <c r="L43" i="6" s="1"/>
  <c r="A27" i="19"/>
  <c r="G27" i="19"/>
  <c r="F27" i="19"/>
  <c r="V407" i="3"/>
  <c r="Q42" i="17" s="1"/>
  <c r="V395" i="3"/>
  <c r="Q34" i="17" s="1"/>
  <c r="V401" i="3"/>
  <c r="Q38" i="17" s="1"/>
  <c r="A35" i="17"/>
  <c r="E401" i="3"/>
  <c r="A16" i="17"/>
  <c r="E372" i="3"/>
  <c r="I5" i="9"/>
  <c r="F92" i="4"/>
  <c r="G92" i="4" s="1"/>
  <c r="F91" i="4"/>
  <c r="G91" i="4" s="1"/>
  <c r="P44" i="6"/>
  <c r="O44" i="6"/>
  <c r="Q44" i="6"/>
  <c r="T44" i="6"/>
  <c r="K88" i="4"/>
  <c r="L88" i="4"/>
  <c r="L442" i="3"/>
  <c r="M70" i="18" s="1"/>
  <c r="L449" i="3"/>
  <c r="M76" i="18" s="1"/>
  <c r="L456" i="3"/>
  <c r="M82" i="18" s="1"/>
  <c r="N366" i="3"/>
  <c r="H85" i="4"/>
  <c r="G85" i="4"/>
  <c r="O377" i="3"/>
  <c r="O376" i="3"/>
  <c r="O375" i="3"/>
  <c r="S22" i="17" s="1"/>
  <c r="O374" i="3"/>
  <c r="S21" i="17" s="1"/>
  <c r="O371" i="3"/>
  <c r="O370" i="3"/>
  <c r="O369" i="3"/>
  <c r="S18" i="17" s="1"/>
  <c r="O368" i="3"/>
  <c r="S17" i="17" s="1"/>
  <c r="O365" i="3"/>
  <c r="O364" i="3"/>
  <c r="O363" i="3"/>
  <c r="S14" i="17" s="1"/>
  <c r="O362" i="3"/>
  <c r="S13" i="17" s="1"/>
  <c r="N377" i="3"/>
  <c r="N376" i="3"/>
  <c r="N375" i="3"/>
  <c r="V375" i="3" s="1"/>
  <c r="Q22" i="17" s="1"/>
  <c r="N374" i="3"/>
  <c r="V374" i="3" s="1"/>
  <c r="Q21" i="17" s="1"/>
  <c r="N371" i="3"/>
  <c r="N370" i="3"/>
  <c r="N369" i="3"/>
  <c r="V369" i="3" s="1"/>
  <c r="Q18" i="17" s="1"/>
  <c r="N368" i="3"/>
  <c r="V368" i="3" s="1"/>
  <c r="Q17" i="17" s="1"/>
  <c r="L377" i="3"/>
  <c r="L376" i="3"/>
  <c r="L375" i="3"/>
  <c r="M22" i="17" s="1"/>
  <c r="L374" i="3"/>
  <c r="M21" i="17" s="1"/>
  <c r="L371" i="3"/>
  <c r="L370" i="3"/>
  <c r="L369" i="3"/>
  <c r="M18" i="17" s="1"/>
  <c r="L368" i="3"/>
  <c r="M17" i="17" s="1"/>
  <c r="L365" i="3"/>
  <c r="L364" i="3"/>
  <c r="L363" i="3"/>
  <c r="M14" i="17" s="1"/>
  <c r="L362" i="3"/>
  <c r="M13" i="17" s="1"/>
  <c r="H87" i="4" l="1"/>
  <c r="H86" i="4"/>
  <c r="P47" i="17"/>
  <c r="A50" i="26"/>
  <c r="A103" i="26"/>
  <c r="K89" i="26"/>
  <c r="K83" i="26"/>
  <c r="P41" i="16"/>
  <c r="E32" i="25"/>
  <c r="P1" i="17"/>
  <c r="A51" i="11"/>
  <c r="P31" i="19"/>
  <c r="P1" i="20"/>
  <c r="P1" i="22"/>
  <c r="A35" i="10"/>
  <c r="P55" i="14"/>
  <c r="P1" i="16"/>
  <c r="P1" i="18"/>
  <c r="P51" i="19"/>
  <c r="P1" i="14"/>
  <c r="P15" i="16"/>
  <c r="A58" i="22"/>
  <c r="A190" i="15"/>
  <c r="A53" i="14"/>
  <c r="P17" i="14"/>
  <c r="P1" i="15"/>
  <c r="A110" i="14"/>
  <c r="A111" i="20"/>
  <c r="A59" i="19"/>
  <c r="A56" i="17"/>
  <c r="A58" i="16"/>
  <c r="A126" i="15"/>
  <c r="A54" i="20"/>
  <c r="A111" i="18"/>
  <c r="A55" i="18"/>
  <c r="A36" i="20"/>
  <c r="A16" i="18"/>
  <c r="A40" i="18"/>
  <c r="A1" i="10"/>
  <c r="P28" i="16"/>
  <c r="P1" i="19"/>
  <c r="F29" i="19"/>
  <c r="G29" i="19"/>
  <c r="T43" i="6"/>
  <c r="P43" i="6"/>
  <c r="Q43" i="6"/>
  <c r="G93" i="4"/>
  <c r="B685" i="3" s="1"/>
  <c r="U366" i="3"/>
  <c r="V366" i="3" s="1"/>
  <c r="Q15" i="17" s="1"/>
  <c r="U372" i="3"/>
  <c r="U378" i="3"/>
  <c r="B408" i="3"/>
  <c r="N372" i="3"/>
  <c r="N378" i="3"/>
  <c r="O366" i="3"/>
  <c r="S15" i="17" s="1"/>
  <c r="O372" i="3"/>
  <c r="S19" i="17" s="1"/>
  <c r="O378" i="3"/>
  <c r="S23" i="17" s="1"/>
  <c r="B380" i="3"/>
  <c r="G86" i="4"/>
  <c r="G87" i="4"/>
  <c r="V372" i="3" l="1"/>
  <c r="Q19" i="17" s="1"/>
  <c r="H88" i="4"/>
  <c r="V378" i="3"/>
  <c r="Q23" i="17" s="1"/>
  <c r="AR301" i="3"/>
  <c r="P176" i="15" s="1"/>
  <c r="N173" i="15"/>
  <c r="N178" i="15"/>
  <c r="G88" i="4"/>
  <c r="Z192" i="3"/>
  <c r="X302" i="3" s="1"/>
  <c r="AR306" i="3" l="1"/>
  <c r="P180" i="15" s="1"/>
  <c r="AR308" i="3"/>
  <c r="AR300" i="3"/>
  <c r="P175" i="15" s="1"/>
  <c r="AR302" i="3"/>
  <c r="AR307" i="3"/>
  <c r="P181" i="15" s="1"/>
  <c r="AR304" i="3"/>
  <c r="P178" i="15" s="1"/>
  <c r="AR305" i="3"/>
  <c r="P179" i="15" s="1"/>
  <c r="AR298" i="3"/>
  <c r="P173" i="15" s="1"/>
  <c r="AR299" i="3"/>
  <c r="P174" i="15" s="1"/>
  <c r="B379" i="3"/>
  <c r="Y309" i="3"/>
  <c r="S147" i="15"/>
  <c r="N177" i="15"/>
  <c r="N182" i="15"/>
  <c r="D87" i="4" l="1"/>
  <c r="E155" i="15"/>
  <c r="Q104" i="3" l="1"/>
  <c r="J104" i="3"/>
  <c r="Q103" i="3"/>
  <c r="J103" i="3"/>
  <c r="Q102" i="3"/>
  <c r="T102" i="3" s="1"/>
  <c r="F308" i="3" s="1"/>
  <c r="J102" i="3"/>
  <c r="G308" i="3" s="1"/>
  <c r="Q101" i="3"/>
  <c r="J101" i="3"/>
  <c r="Q100" i="3"/>
  <c r="J100" i="3"/>
  <c r="Q99" i="3"/>
  <c r="J99" i="3"/>
  <c r="Q98" i="3"/>
  <c r="N30" i="14" s="1"/>
  <c r="J98" i="3"/>
  <c r="Q74" i="3"/>
  <c r="J74" i="3"/>
  <c r="Q73" i="3"/>
  <c r="J73" i="3"/>
  <c r="Q72" i="3"/>
  <c r="T72" i="3" s="1"/>
  <c r="J72" i="3"/>
  <c r="Q71" i="3"/>
  <c r="N23" i="15" s="1"/>
  <c r="J71" i="3"/>
  <c r="Q70" i="3"/>
  <c r="J70" i="3"/>
  <c r="Q69" i="3"/>
  <c r="J69" i="3"/>
  <c r="Q68" i="3"/>
  <c r="N27" i="14" s="1"/>
  <c r="J68" i="3"/>
  <c r="Q44" i="3"/>
  <c r="J44" i="3"/>
  <c r="Q43" i="3"/>
  <c r="T43" i="3" s="1"/>
  <c r="J43" i="3"/>
  <c r="Q42" i="3"/>
  <c r="T42" i="3" s="1"/>
  <c r="J42" i="3"/>
  <c r="Q41" i="3"/>
  <c r="J41" i="3"/>
  <c r="G13" i="20" s="1"/>
  <c r="Q40" i="3"/>
  <c r="J40" i="3"/>
  <c r="Q39" i="3"/>
  <c r="J39" i="3"/>
  <c r="Q38" i="3"/>
  <c r="N24" i="14" s="1"/>
  <c r="J38" i="3"/>
  <c r="G24" i="14" s="1"/>
  <c r="J19" i="3"/>
  <c r="J26" i="11" s="1"/>
  <c r="I19" i="3"/>
  <c r="I26" i="11" s="1"/>
  <c r="H19" i="3"/>
  <c r="H26" i="11" s="1"/>
  <c r="G19" i="3"/>
  <c r="G26" i="11" s="1"/>
  <c r="F19" i="3"/>
  <c r="F26" i="11" s="1"/>
  <c r="E19" i="3"/>
  <c r="E26" i="11" s="1"/>
  <c r="N26" i="14" l="1"/>
  <c r="N17" i="15"/>
  <c r="T44" i="3"/>
  <c r="S293" i="3" s="1"/>
  <c r="N41" i="15"/>
  <c r="N16" i="20"/>
  <c r="N28" i="14"/>
  <c r="N21" i="15"/>
  <c r="T73" i="3"/>
  <c r="S298" i="3" s="1"/>
  <c r="N45" i="15"/>
  <c r="G293" i="3"/>
  <c r="G25" i="14"/>
  <c r="G16" i="15"/>
  <c r="G29" i="14"/>
  <c r="F247" i="3"/>
  <c r="G22" i="15"/>
  <c r="T299" i="3"/>
  <c r="G46" i="15"/>
  <c r="G31" i="14"/>
  <c r="G26" i="15"/>
  <c r="F251" i="3"/>
  <c r="T304" i="3"/>
  <c r="G50" i="15"/>
  <c r="N25" i="14"/>
  <c r="N16" i="15"/>
  <c r="N17" i="20"/>
  <c r="N29" i="14"/>
  <c r="N22" i="15"/>
  <c r="T74" i="3"/>
  <c r="S299" i="3" s="1"/>
  <c r="N46" i="15"/>
  <c r="N21" i="20"/>
  <c r="N31" i="14"/>
  <c r="N26" i="15"/>
  <c r="T101" i="3"/>
  <c r="N28" i="15"/>
  <c r="T103" i="3"/>
  <c r="S304" i="3" s="1"/>
  <c r="N50" i="15"/>
  <c r="AN292" i="3"/>
  <c r="AN297" i="3" s="1"/>
  <c r="G27" i="14"/>
  <c r="F253" i="3"/>
  <c r="G28" i="15"/>
  <c r="G26" i="14"/>
  <c r="G17" i="15"/>
  <c r="T293" i="3"/>
  <c r="G41" i="15"/>
  <c r="G299" i="3"/>
  <c r="G28" i="14"/>
  <c r="G21" i="15"/>
  <c r="F246" i="3"/>
  <c r="F248" i="3"/>
  <c r="G23" i="15"/>
  <c r="T298" i="3"/>
  <c r="G45" i="15"/>
  <c r="G49" i="15" s="1"/>
  <c r="G20" i="20"/>
  <c r="G30" i="14"/>
  <c r="F250" i="3"/>
  <c r="G22" i="20"/>
  <c r="G32" i="14"/>
  <c r="F252" i="3"/>
  <c r="G27" i="15"/>
  <c r="T305" i="3"/>
  <c r="G51" i="15"/>
  <c r="N32" i="14"/>
  <c r="N27" i="15"/>
  <c r="T104" i="3"/>
  <c r="S305" i="3" s="1"/>
  <c r="N51" i="15"/>
  <c r="G21" i="20"/>
  <c r="G305" i="3"/>
  <c r="G16" i="20"/>
  <c r="AF295" i="3"/>
  <c r="AN295" i="3"/>
  <c r="G302" i="3"/>
  <c r="H675" i="3"/>
  <c r="I675" i="3" s="1"/>
  <c r="N675" i="3" s="1"/>
  <c r="W675" i="3" s="1"/>
  <c r="G18" i="20"/>
  <c r="T71" i="3"/>
  <c r="I186" i="3" s="1"/>
  <c r="N18" i="20"/>
  <c r="G17" i="20"/>
  <c r="N12" i="18"/>
  <c r="N12" i="20"/>
  <c r="N25" i="15"/>
  <c r="N20" i="20"/>
  <c r="N22" i="20"/>
  <c r="G12" i="18"/>
  <c r="G12" i="20"/>
  <c r="T41" i="3"/>
  <c r="F296" i="3" s="1"/>
  <c r="N13" i="20"/>
  <c r="N24" i="18"/>
  <c r="N22" i="18"/>
  <c r="N14" i="18"/>
  <c r="N23" i="18"/>
  <c r="N10" i="18"/>
  <c r="N13" i="18"/>
  <c r="N26" i="18"/>
  <c r="N25" i="18"/>
  <c r="N11" i="18"/>
  <c r="G26" i="18"/>
  <c r="G24" i="18"/>
  <c r="G11" i="18"/>
  <c r="G25" i="18"/>
  <c r="G10" i="18"/>
  <c r="G14" i="18"/>
  <c r="G13" i="18"/>
  <c r="G23" i="18"/>
  <c r="G22" i="18"/>
  <c r="N20" i="18"/>
  <c r="N19" i="18"/>
  <c r="N18" i="18"/>
  <c r="N17" i="18"/>
  <c r="N16" i="18"/>
  <c r="G18" i="18"/>
  <c r="G16" i="18"/>
  <c r="G20" i="18"/>
  <c r="G17" i="18"/>
  <c r="G19" i="18"/>
  <c r="N68" i="15"/>
  <c r="N20" i="15"/>
  <c r="N40" i="15"/>
  <c r="T99" i="3"/>
  <c r="H672" i="3"/>
  <c r="G68" i="15"/>
  <c r="G20" i="15"/>
  <c r="G40" i="15"/>
  <c r="H679" i="3"/>
  <c r="G306" i="3"/>
  <c r="N15" i="15"/>
  <c r="T40" i="3"/>
  <c r="F295" i="3" s="1"/>
  <c r="N71" i="15"/>
  <c r="N43" i="15"/>
  <c r="T39" i="3"/>
  <c r="T70" i="3"/>
  <c r="F301" i="3" s="1"/>
  <c r="H666" i="3"/>
  <c r="G15" i="15"/>
  <c r="H668" i="3"/>
  <c r="I668" i="3" s="1"/>
  <c r="N668" i="3" s="1"/>
  <c r="W668" i="3" s="1"/>
  <c r="H673" i="3"/>
  <c r="G71" i="15"/>
  <c r="G43" i="15"/>
  <c r="H678" i="3"/>
  <c r="G304" i="3"/>
  <c r="G25" i="15"/>
  <c r="H680" i="3"/>
  <c r="G307" i="3"/>
  <c r="G294" i="3"/>
  <c r="H667" i="3"/>
  <c r="I667" i="3" s="1"/>
  <c r="N667" i="3" s="1"/>
  <c r="W667" i="3" s="1"/>
  <c r="G296" i="3"/>
  <c r="H669" i="3"/>
  <c r="G301" i="3"/>
  <c r="H674" i="3"/>
  <c r="I674" i="3" s="1"/>
  <c r="N674" i="3" s="1"/>
  <c r="W674" i="3" s="1"/>
  <c r="T292" i="3"/>
  <c r="T297" i="3" s="1"/>
  <c r="G292" i="3"/>
  <c r="F242" i="3"/>
  <c r="G295" i="3"/>
  <c r="T295" i="3"/>
  <c r="G300" i="3"/>
  <c r="AF292" i="3"/>
  <c r="AF297" i="3" s="1"/>
  <c r="G298" i="3"/>
  <c r="F243" i="3"/>
  <c r="F245" i="3"/>
  <c r="F240" i="3"/>
  <c r="F241" i="3"/>
  <c r="H200" i="3"/>
  <c r="H183" i="3"/>
  <c r="H202" i="3"/>
  <c r="H185" i="3"/>
  <c r="H204" i="3"/>
  <c r="H187" i="3"/>
  <c r="H206" i="3"/>
  <c r="H172" i="3"/>
  <c r="H189" i="3"/>
  <c r="I205" i="3"/>
  <c r="I188" i="3"/>
  <c r="I171" i="3"/>
  <c r="H201" i="3"/>
  <c r="H184" i="3"/>
  <c r="H203" i="3"/>
  <c r="H186" i="3"/>
  <c r="H169" i="3"/>
  <c r="H205" i="3"/>
  <c r="H171" i="3"/>
  <c r="H188" i="3"/>
  <c r="I187" i="3"/>
  <c r="I204" i="3"/>
  <c r="I206" i="3"/>
  <c r="I172" i="3"/>
  <c r="I189" i="3"/>
  <c r="H168" i="3"/>
  <c r="H170" i="3"/>
  <c r="H167" i="3"/>
  <c r="H166" i="3"/>
  <c r="T98" i="3"/>
  <c r="F304" i="3" s="1"/>
  <c r="T68" i="3"/>
  <c r="AM292" i="3" s="1"/>
  <c r="AM297" i="3" s="1"/>
  <c r="A173" i="15"/>
  <c r="A93" i="15" s="1"/>
  <c r="T69" i="3"/>
  <c r="T100" i="3"/>
  <c r="T38" i="3"/>
  <c r="J86" i="4"/>
  <c r="B526" i="3"/>
  <c r="A24" i="16" s="1"/>
  <c r="B549" i="3"/>
  <c r="A37" i="16" s="1"/>
  <c r="B491" i="3"/>
  <c r="A20" i="19" s="1"/>
  <c r="B341" i="3"/>
  <c r="A13" i="16" s="1"/>
  <c r="F86" i="4"/>
  <c r="C86" i="4"/>
  <c r="D65" i="3"/>
  <c r="Z170" i="3"/>
  <c r="I296" i="3" s="1"/>
  <c r="Z183" i="3"/>
  <c r="Z185" i="3"/>
  <c r="Z187" i="3"/>
  <c r="I302" i="3" s="1"/>
  <c r="Z188" i="3"/>
  <c r="Z190" i="3"/>
  <c r="Z169" i="3"/>
  <c r="Z184" i="3"/>
  <c r="Z186" i="3"/>
  <c r="Z189" i="3"/>
  <c r="Z191" i="3"/>
  <c r="D69" i="3"/>
  <c r="D73" i="3"/>
  <c r="O298" i="3" s="1"/>
  <c r="D71" i="3"/>
  <c r="B248" i="3" s="1"/>
  <c r="D70" i="3"/>
  <c r="B247" i="3" s="1"/>
  <c r="D72" i="3"/>
  <c r="D74" i="3"/>
  <c r="O299" i="3" s="1"/>
  <c r="C26" i="4"/>
  <c r="C147" i="1"/>
  <c r="C146" i="1"/>
  <c r="B157" i="1"/>
  <c r="B156" i="1"/>
  <c r="B155" i="1"/>
  <c r="B154" i="1"/>
  <c r="B153" i="1"/>
  <c r="B150" i="1"/>
  <c r="B149" i="1"/>
  <c r="B148" i="1"/>
  <c r="B147" i="1"/>
  <c r="B146" i="1"/>
  <c r="B145" i="1"/>
  <c r="O129" i="1"/>
  <c r="O128" i="1"/>
  <c r="G129" i="1"/>
  <c r="G128" i="1"/>
  <c r="B108" i="1"/>
  <c r="C35" i="4" s="1"/>
  <c r="B105" i="1"/>
  <c r="B134" i="1" s="1"/>
  <c r="C105" i="1"/>
  <c r="B106" i="1"/>
  <c r="B135" i="1" s="1"/>
  <c r="C106" i="1"/>
  <c r="B107" i="1"/>
  <c r="C34" i="4" s="1"/>
  <c r="C104" i="1"/>
  <c r="B104" i="1"/>
  <c r="B133" i="1" s="1"/>
  <c r="B102" i="1"/>
  <c r="B131" i="1" s="1"/>
  <c r="B103" i="1"/>
  <c r="B132" i="1" s="1"/>
  <c r="C12" i="4"/>
  <c r="C13" i="4"/>
  <c r="C11" i="4"/>
  <c r="B101" i="1"/>
  <c r="C28" i="4" s="1"/>
  <c r="E100" i="1"/>
  <c r="B100" i="1"/>
  <c r="C27" i="4" s="1"/>
  <c r="B99" i="1"/>
  <c r="B127" i="1" s="1"/>
  <c r="B98" i="1"/>
  <c r="B89" i="1"/>
  <c r="A6" i="26" s="1"/>
  <c r="B90" i="1"/>
  <c r="B91" i="1"/>
  <c r="C18" i="4" s="1"/>
  <c r="B92" i="1"/>
  <c r="C19" i="4" s="1"/>
  <c r="B93" i="1"/>
  <c r="A10" i="26" s="1"/>
  <c r="B94" i="1"/>
  <c r="C21" i="4" s="1"/>
  <c r="B95" i="1"/>
  <c r="C22" i="4" s="1"/>
  <c r="B96" i="1"/>
  <c r="C23" i="4" s="1"/>
  <c r="B97" i="1"/>
  <c r="C24" i="4" s="1"/>
  <c r="B88" i="1"/>
  <c r="AS77" i="1"/>
  <c r="AQ77" i="1"/>
  <c r="O157" i="1" s="1"/>
  <c r="AO77" i="1"/>
  <c r="M157" i="1" s="1"/>
  <c r="AM77" i="1"/>
  <c r="Q157" i="1" s="1"/>
  <c r="U77" i="1"/>
  <c r="K157" i="1" s="1"/>
  <c r="S77" i="1"/>
  <c r="Q77" i="1"/>
  <c r="N77" i="1"/>
  <c r="K77" i="1"/>
  <c r="H77" i="1"/>
  <c r="H157" i="1" s="1"/>
  <c r="E77" i="1"/>
  <c r="E157" i="1" s="1"/>
  <c r="AS76" i="1"/>
  <c r="AQ76" i="1"/>
  <c r="O156" i="1" s="1"/>
  <c r="AO76" i="1"/>
  <c r="M156" i="1" s="1"/>
  <c r="AM76" i="1"/>
  <c r="Q156" i="1" s="1"/>
  <c r="U76" i="1"/>
  <c r="K156" i="1" s="1"/>
  <c r="S76" i="1"/>
  <c r="Q76" i="1"/>
  <c r="N76" i="1"/>
  <c r="K76" i="1"/>
  <c r="H76" i="1"/>
  <c r="H156" i="1" s="1"/>
  <c r="E76" i="1"/>
  <c r="E156" i="1" s="1"/>
  <c r="AS75" i="1"/>
  <c r="Y46" i="10" s="1"/>
  <c r="AQ75" i="1"/>
  <c r="O155" i="1" s="1"/>
  <c r="AO75" i="1"/>
  <c r="AM75" i="1"/>
  <c r="U46" i="10" s="1"/>
  <c r="U75" i="1"/>
  <c r="S75" i="1"/>
  <c r="Q46" i="10" s="1"/>
  <c r="Q75" i="1"/>
  <c r="O46" i="10" s="1"/>
  <c r="N75" i="1"/>
  <c r="K75" i="1"/>
  <c r="H75" i="1"/>
  <c r="H46" i="10" s="1"/>
  <c r="E75" i="1"/>
  <c r="AS74" i="1"/>
  <c r="O137" i="1" s="1"/>
  <c r="AQ74" i="1"/>
  <c r="O154" i="1" s="1"/>
  <c r="AO74" i="1"/>
  <c r="M154" i="1" s="1"/>
  <c r="AM74" i="1"/>
  <c r="AL74" i="1"/>
  <c r="AK74" i="1"/>
  <c r="AJ74" i="1"/>
  <c r="AI74" i="1"/>
  <c r="AH74" i="1"/>
  <c r="AG74" i="1"/>
  <c r="AF74" i="1"/>
  <c r="AE74" i="1"/>
  <c r="AD74" i="1"/>
  <c r="AC74" i="1"/>
  <c r="AB74" i="1"/>
  <c r="AA74" i="1"/>
  <c r="Z74" i="1"/>
  <c r="Y74" i="1"/>
  <c r="X74" i="1"/>
  <c r="W74" i="1"/>
  <c r="U74" i="1"/>
  <c r="K154" i="1" s="1"/>
  <c r="S74" i="1"/>
  <c r="Q74" i="1"/>
  <c r="N74" i="1"/>
  <c r="K74" i="1"/>
  <c r="H74" i="1"/>
  <c r="H108" i="1" s="1"/>
  <c r="E74" i="1"/>
  <c r="E154" i="1" s="1"/>
  <c r="AS73" i="1"/>
  <c r="Y44" i="10" s="1"/>
  <c r="AQ73" i="1"/>
  <c r="O153" i="1" s="1"/>
  <c r="AO73" i="1"/>
  <c r="W44" i="10" s="1"/>
  <c r="AM73" i="1"/>
  <c r="U44" i="10" s="1"/>
  <c r="AL73" i="1"/>
  <c r="AK73" i="1"/>
  <c r="AJ73" i="1"/>
  <c r="AI73" i="1"/>
  <c r="AH73" i="1"/>
  <c r="AG73" i="1"/>
  <c r="AF73" i="1"/>
  <c r="AE73" i="1"/>
  <c r="AD73" i="1"/>
  <c r="AC73" i="1"/>
  <c r="AB73" i="1"/>
  <c r="AA73" i="1"/>
  <c r="Z73" i="1"/>
  <c r="Y73" i="1"/>
  <c r="X73" i="1"/>
  <c r="W73" i="1"/>
  <c r="U73" i="1"/>
  <c r="S73" i="1"/>
  <c r="Q44" i="10" s="1"/>
  <c r="Q73" i="1"/>
  <c r="O44" i="10" s="1"/>
  <c r="N73" i="1"/>
  <c r="K73" i="1"/>
  <c r="H73" i="1"/>
  <c r="H44" i="10" s="1"/>
  <c r="E73" i="1"/>
  <c r="AS72" i="1"/>
  <c r="O135" i="1" s="1"/>
  <c r="AL72" i="1"/>
  <c r="AK72" i="1"/>
  <c r="AJ72" i="1"/>
  <c r="AI72" i="1"/>
  <c r="AH72" i="1"/>
  <c r="AG72" i="1"/>
  <c r="AF72" i="1"/>
  <c r="AE72" i="1"/>
  <c r="AD72" i="1"/>
  <c r="AC72" i="1"/>
  <c r="AB72" i="1"/>
  <c r="AA72" i="1"/>
  <c r="Z72" i="1"/>
  <c r="Y72" i="1"/>
  <c r="X72" i="1"/>
  <c r="W72" i="1"/>
  <c r="S72" i="1"/>
  <c r="Q72" i="1"/>
  <c r="N72" i="1"/>
  <c r="K72" i="1"/>
  <c r="H72" i="1"/>
  <c r="H106" i="1" s="1"/>
  <c r="E72" i="1"/>
  <c r="G135" i="1" s="1"/>
  <c r="AS71" i="1"/>
  <c r="O134" i="1" s="1"/>
  <c r="AL71" i="1"/>
  <c r="AK71" i="1"/>
  <c r="AJ71" i="1"/>
  <c r="AI71" i="1"/>
  <c r="AH71" i="1"/>
  <c r="AG71" i="1"/>
  <c r="AF71" i="1"/>
  <c r="AE71" i="1"/>
  <c r="AD71" i="1"/>
  <c r="AC71" i="1"/>
  <c r="AB71" i="1"/>
  <c r="AA71" i="1"/>
  <c r="Z71" i="1"/>
  <c r="Y71" i="1"/>
  <c r="X71" i="1"/>
  <c r="W71" i="1"/>
  <c r="S71" i="1"/>
  <c r="Q71" i="1"/>
  <c r="N71" i="1"/>
  <c r="K71" i="1"/>
  <c r="H71" i="1"/>
  <c r="H105" i="1" s="1"/>
  <c r="E71" i="1"/>
  <c r="E105" i="1" s="1"/>
  <c r="AS70" i="1"/>
  <c r="AL70" i="1"/>
  <c r="AK70" i="1"/>
  <c r="AJ70" i="1"/>
  <c r="AI70" i="1"/>
  <c r="AH70" i="1"/>
  <c r="AG70" i="1"/>
  <c r="AF70" i="1"/>
  <c r="AE70" i="1"/>
  <c r="AD70" i="1"/>
  <c r="AC70" i="1"/>
  <c r="AB70" i="1"/>
  <c r="AA70" i="1"/>
  <c r="Z70" i="1"/>
  <c r="Y70" i="1"/>
  <c r="X70" i="1"/>
  <c r="W70" i="1"/>
  <c r="S70" i="1"/>
  <c r="Q70" i="1"/>
  <c r="O41" i="10" s="1"/>
  <c r="N70" i="1"/>
  <c r="K70" i="1"/>
  <c r="H70" i="1"/>
  <c r="E70" i="1"/>
  <c r="W120" i="2" s="1"/>
  <c r="Q69" i="1"/>
  <c r="Q68" i="1"/>
  <c r="O39" i="10" s="1"/>
  <c r="N69" i="1"/>
  <c r="K69" i="1"/>
  <c r="H69" i="1"/>
  <c r="E69" i="1"/>
  <c r="N68" i="1"/>
  <c r="K68" i="1"/>
  <c r="H68" i="1"/>
  <c r="E68" i="1"/>
  <c r="W118" i="2" s="1"/>
  <c r="AT58" i="1"/>
  <c r="AS58" i="1"/>
  <c r="AR58" i="1"/>
  <c r="AQ58" i="1"/>
  <c r="AP58" i="1"/>
  <c r="AO58" i="1"/>
  <c r="AN58" i="1"/>
  <c r="AM58" i="1"/>
  <c r="AL58" i="1"/>
  <c r="AK58" i="1"/>
  <c r="D30" i="4" s="1"/>
  <c r="AJ58" i="1"/>
  <c r="AI58" i="1"/>
  <c r="AH58" i="1"/>
  <c r="AG58" i="1"/>
  <c r="O150" i="1" s="1"/>
  <c r="AE58" i="1"/>
  <c r="AA58" i="1"/>
  <c r="W58" i="1"/>
  <c r="H34" i="10" s="1"/>
  <c r="U58" i="1"/>
  <c r="S58" i="1"/>
  <c r="Q58" i="1"/>
  <c r="K58" i="1"/>
  <c r="H58" i="1"/>
  <c r="E58" i="1"/>
  <c r="AT57" i="1"/>
  <c r="AS57" i="1"/>
  <c r="AR57" i="1"/>
  <c r="AQ57" i="1"/>
  <c r="AP57" i="1"/>
  <c r="AO57" i="1"/>
  <c r="AN57" i="1"/>
  <c r="AM57" i="1"/>
  <c r="AL57" i="1"/>
  <c r="AK57" i="1"/>
  <c r="D29" i="4" s="1"/>
  <c r="AJ57" i="1"/>
  <c r="AI57" i="1"/>
  <c r="AH57" i="1"/>
  <c r="AG57" i="1"/>
  <c r="O149" i="1" s="1"/>
  <c r="AE57" i="1"/>
  <c r="AA57" i="1"/>
  <c r="W57" i="1"/>
  <c r="H33" i="10" s="1"/>
  <c r="U57" i="1"/>
  <c r="S57" i="1"/>
  <c r="Q57" i="1"/>
  <c r="K57" i="1"/>
  <c r="H57" i="1"/>
  <c r="G36" i="6" s="1"/>
  <c r="E57" i="1"/>
  <c r="BA56" i="1"/>
  <c r="S32" i="10" s="1"/>
  <c r="AW56" i="1"/>
  <c r="AV56" i="1"/>
  <c r="AU56" i="1"/>
  <c r="AT56" i="1"/>
  <c r="AS56" i="1"/>
  <c r="AR56" i="1"/>
  <c r="AQ56" i="1"/>
  <c r="AP56" i="1"/>
  <c r="AO56" i="1"/>
  <c r="AN56" i="1"/>
  <c r="AM56" i="1"/>
  <c r="AL56" i="1"/>
  <c r="AK56" i="1"/>
  <c r="D28" i="4" s="1"/>
  <c r="AJ56" i="1"/>
  <c r="AI56" i="1"/>
  <c r="AH56" i="1"/>
  <c r="AG56" i="1"/>
  <c r="O148" i="1" s="1"/>
  <c r="AE56" i="1"/>
  <c r="AA56" i="1"/>
  <c r="K148" i="1" s="1"/>
  <c r="W56" i="1"/>
  <c r="H32" i="10" s="1"/>
  <c r="U56" i="1"/>
  <c r="S56" i="1"/>
  <c r="Q56" i="1"/>
  <c r="K56" i="1"/>
  <c r="H56" i="1"/>
  <c r="J130" i="1" s="1"/>
  <c r="E56" i="1"/>
  <c r="Y45" i="1"/>
  <c r="Q147" i="1" s="1"/>
  <c r="W45" i="1"/>
  <c r="O147" i="1" s="1"/>
  <c r="U45" i="1"/>
  <c r="M147" i="1" s="1"/>
  <c r="S45" i="1"/>
  <c r="K147" i="1" s="1"/>
  <c r="Q45" i="1"/>
  <c r="N45" i="1"/>
  <c r="K45" i="1"/>
  <c r="H45" i="1"/>
  <c r="E45" i="1"/>
  <c r="E147" i="1" s="1"/>
  <c r="Y44" i="1"/>
  <c r="Q146" i="1" s="1"/>
  <c r="W44" i="1"/>
  <c r="O146" i="1" s="1"/>
  <c r="U44" i="1"/>
  <c r="M146" i="1" s="1"/>
  <c r="G61" i="4" s="1"/>
  <c r="S44" i="1"/>
  <c r="K146" i="1" s="1"/>
  <c r="Q44" i="1"/>
  <c r="N44" i="1"/>
  <c r="K44" i="1"/>
  <c r="H44" i="1"/>
  <c r="E44" i="1"/>
  <c r="E146" i="1" s="1"/>
  <c r="Y43" i="1"/>
  <c r="W43" i="1"/>
  <c r="U43" i="1"/>
  <c r="S43" i="1"/>
  <c r="K145" i="1" s="1"/>
  <c r="Q43" i="1"/>
  <c r="K25" i="10" s="1"/>
  <c r="N43" i="1"/>
  <c r="K43" i="1"/>
  <c r="H43" i="1"/>
  <c r="E113" i="2" s="1"/>
  <c r="E43" i="1"/>
  <c r="AL27" i="1"/>
  <c r="AK27" i="1"/>
  <c r="AJ27" i="1"/>
  <c r="AI27" i="1"/>
  <c r="AH27" i="1"/>
  <c r="AG27" i="1"/>
  <c r="AF27" i="1"/>
  <c r="AE27" i="1"/>
  <c r="AD27" i="1"/>
  <c r="AC27" i="1"/>
  <c r="AB27" i="1"/>
  <c r="AA27" i="1"/>
  <c r="Z27" i="1"/>
  <c r="Y27" i="1"/>
  <c r="X27" i="1"/>
  <c r="W27" i="1"/>
  <c r="U27" i="1"/>
  <c r="O127" i="1" s="1"/>
  <c r="S27" i="1"/>
  <c r="Q27" i="1"/>
  <c r="N27" i="1"/>
  <c r="K27" i="1"/>
  <c r="H27" i="1"/>
  <c r="E27" i="1"/>
  <c r="G127" i="1" s="1"/>
  <c r="AL26" i="1"/>
  <c r="AK26" i="1"/>
  <c r="AJ26" i="1"/>
  <c r="AI26" i="1"/>
  <c r="AH26" i="1"/>
  <c r="AG26" i="1"/>
  <c r="AF26" i="1"/>
  <c r="AE26" i="1"/>
  <c r="AD26" i="1"/>
  <c r="AC26" i="1"/>
  <c r="AB26" i="1"/>
  <c r="AA26" i="1"/>
  <c r="Z26" i="1"/>
  <c r="Y26" i="1"/>
  <c r="X26" i="1"/>
  <c r="W26" i="1"/>
  <c r="U26" i="1"/>
  <c r="S26" i="1"/>
  <c r="S17" i="10" s="1"/>
  <c r="Q26" i="1"/>
  <c r="Q17" i="10" s="1"/>
  <c r="N26" i="1"/>
  <c r="N17" i="10" s="1"/>
  <c r="K26" i="1"/>
  <c r="K17" i="10" s="1"/>
  <c r="H26" i="1"/>
  <c r="E26" i="1"/>
  <c r="G126" i="1" s="1"/>
  <c r="AL17" i="1"/>
  <c r="AK17" i="1"/>
  <c r="AJ17" i="1"/>
  <c r="AI17" i="1"/>
  <c r="AH17" i="1"/>
  <c r="AG17" i="1"/>
  <c r="AF17" i="1"/>
  <c r="AE17" i="1"/>
  <c r="AD17" i="1"/>
  <c r="AC17" i="1"/>
  <c r="AB17" i="1"/>
  <c r="AA17" i="1"/>
  <c r="Z17" i="1"/>
  <c r="Y17" i="1"/>
  <c r="X17" i="1"/>
  <c r="W17" i="1"/>
  <c r="AL16" i="1"/>
  <c r="AK16" i="1"/>
  <c r="AJ16" i="1"/>
  <c r="AI16" i="1"/>
  <c r="AH16" i="1"/>
  <c r="AG16" i="1"/>
  <c r="AF16" i="1"/>
  <c r="AE16" i="1"/>
  <c r="AD16" i="1"/>
  <c r="AC16" i="1"/>
  <c r="AB16" i="1"/>
  <c r="AA16" i="1"/>
  <c r="Z16" i="1"/>
  <c r="Y16" i="1"/>
  <c r="X16" i="1"/>
  <c r="W16" i="1"/>
  <c r="AL15" i="1"/>
  <c r="AK15" i="1"/>
  <c r="AJ15" i="1"/>
  <c r="AI15" i="1"/>
  <c r="AH15" i="1"/>
  <c r="AG15" i="1"/>
  <c r="AF15" i="1"/>
  <c r="AE15" i="1"/>
  <c r="AD15" i="1"/>
  <c r="AC15" i="1"/>
  <c r="AB15" i="1"/>
  <c r="AA15" i="1"/>
  <c r="Z15" i="1"/>
  <c r="Y15" i="1"/>
  <c r="X15" i="1"/>
  <c r="W15" i="1"/>
  <c r="AL14" i="1"/>
  <c r="AK14" i="1"/>
  <c r="AJ14" i="1"/>
  <c r="AI14" i="1"/>
  <c r="AH14" i="1"/>
  <c r="AG14" i="1"/>
  <c r="AF14" i="1"/>
  <c r="AE14" i="1"/>
  <c r="AD14" i="1"/>
  <c r="AC14" i="1"/>
  <c r="AB14" i="1"/>
  <c r="AA14" i="1"/>
  <c r="Z14" i="1"/>
  <c r="Y14" i="1"/>
  <c r="X14" i="1"/>
  <c r="W14" i="1"/>
  <c r="AL13" i="1"/>
  <c r="AK13" i="1"/>
  <c r="AJ13" i="1"/>
  <c r="AI13" i="1"/>
  <c r="AH13" i="1"/>
  <c r="AG13" i="1"/>
  <c r="AF13" i="1"/>
  <c r="AE13" i="1"/>
  <c r="AD13" i="1"/>
  <c r="AC13" i="1"/>
  <c r="AB13" i="1"/>
  <c r="AA13" i="1"/>
  <c r="Z13" i="1"/>
  <c r="Y13" i="1"/>
  <c r="X13" i="1"/>
  <c r="W13" i="1"/>
  <c r="AL12" i="1"/>
  <c r="AK12" i="1"/>
  <c r="AJ12" i="1"/>
  <c r="AI12" i="1"/>
  <c r="AH12" i="1"/>
  <c r="AG12" i="1"/>
  <c r="AF12" i="1"/>
  <c r="AE12" i="1"/>
  <c r="AD12" i="1"/>
  <c r="AC12" i="1"/>
  <c r="AB12" i="1"/>
  <c r="AA12" i="1"/>
  <c r="Z12" i="1"/>
  <c r="Y12" i="1"/>
  <c r="X12" i="1"/>
  <c r="W12" i="1"/>
  <c r="AL11" i="1"/>
  <c r="AK11" i="1"/>
  <c r="AJ11" i="1"/>
  <c r="AI11" i="1"/>
  <c r="AH11" i="1"/>
  <c r="AG11" i="1"/>
  <c r="AF11" i="1"/>
  <c r="AE11" i="1"/>
  <c r="AD11" i="1"/>
  <c r="AC11" i="1"/>
  <c r="AB11" i="1"/>
  <c r="AA11" i="1"/>
  <c r="Z11" i="1"/>
  <c r="Y11" i="1"/>
  <c r="X11" i="1"/>
  <c r="W11" i="1"/>
  <c r="AL10" i="1"/>
  <c r="AK10" i="1"/>
  <c r="AJ10" i="1"/>
  <c r="AI10" i="1"/>
  <c r="AH10" i="1"/>
  <c r="AG10" i="1"/>
  <c r="AF10" i="1"/>
  <c r="AE10" i="1"/>
  <c r="AD10" i="1"/>
  <c r="AC10" i="1"/>
  <c r="AB10" i="1"/>
  <c r="AA10" i="1"/>
  <c r="Z10" i="1"/>
  <c r="Y10" i="1"/>
  <c r="X10" i="1"/>
  <c r="W10" i="1"/>
  <c r="AL9" i="1"/>
  <c r="AK9" i="1"/>
  <c r="AJ9" i="1"/>
  <c r="AI9" i="1"/>
  <c r="AH9" i="1"/>
  <c r="AG9" i="1"/>
  <c r="AF9" i="1"/>
  <c r="AE9" i="1"/>
  <c r="AD9" i="1"/>
  <c r="AC9" i="1"/>
  <c r="AB9" i="1"/>
  <c r="AA9" i="1"/>
  <c r="Z9" i="1"/>
  <c r="Y9" i="1"/>
  <c r="X9" i="1"/>
  <c r="W9" i="1"/>
  <c r="AL8" i="1"/>
  <c r="AK8" i="1"/>
  <c r="AJ8" i="1"/>
  <c r="AI8" i="1"/>
  <c r="AH8" i="1"/>
  <c r="AG8" i="1"/>
  <c r="AF8" i="1"/>
  <c r="AE8" i="1"/>
  <c r="AD8" i="1"/>
  <c r="AC8" i="1"/>
  <c r="AB8" i="1"/>
  <c r="AA8" i="1"/>
  <c r="Z8" i="1"/>
  <c r="Y8" i="1"/>
  <c r="X8" i="1"/>
  <c r="W8" i="1"/>
  <c r="U9" i="1"/>
  <c r="U10" i="1"/>
  <c r="U11" i="1"/>
  <c r="U12" i="1"/>
  <c r="U13" i="1"/>
  <c r="U14" i="1"/>
  <c r="U15" i="1"/>
  <c r="U16" i="1"/>
  <c r="U17" i="1"/>
  <c r="U8" i="1"/>
  <c r="S9" i="1"/>
  <c r="S5" i="10" s="1"/>
  <c r="S10" i="1"/>
  <c r="S6" i="10" s="1"/>
  <c r="S11" i="1"/>
  <c r="S12" i="1"/>
  <c r="S13" i="1"/>
  <c r="S9" i="10" s="1"/>
  <c r="S14" i="1"/>
  <c r="S10" i="10" s="1"/>
  <c r="S15" i="1"/>
  <c r="S11" i="10" s="1"/>
  <c r="S16" i="1"/>
  <c r="S12" i="10" s="1"/>
  <c r="S17" i="1"/>
  <c r="S8" i="1"/>
  <c r="S4" i="10" s="1"/>
  <c r="Q9" i="1"/>
  <c r="Q5" i="10" s="1"/>
  <c r="Q10" i="1"/>
  <c r="Q6" i="10" s="1"/>
  <c r="Q11" i="1"/>
  <c r="Q12" i="1"/>
  <c r="Q13" i="1"/>
  <c r="Q9" i="10" s="1"/>
  <c r="Q14" i="1"/>
  <c r="Q10" i="10" s="1"/>
  <c r="Q15" i="1"/>
  <c r="Q11" i="10" s="1"/>
  <c r="Q16" i="1"/>
  <c r="Q12" i="10" s="1"/>
  <c r="Q17" i="1"/>
  <c r="Q8" i="1"/>
  <c r="Q4" i="10" s="1"/>
  <c r="N9" i="1"/>
  <c r="N10" i="1"/>
  <c r="N11" i="1"/>
  <c r="N12" i="1"/>
  <c r="N13" i="1"/>
  <c r="N14" i="1"/>
  <c r="N15" i="1"/>
  <c r="N16" i="1"/>
  <c r="N17" i="1"/>
  <c r="N8" i="1"/>
  <c r="K9" i="1"/>
  <c r="K5" i="10" s="1"/>
  <c r="K10" i="1"/>
  <c r="K6" i="10" s="1"/>
  <c r="K11" i="1"/>
  <c r="K12" i="1"/>
  <c r="K13" i="1"/>
  <c r="K9" i="10" s="1"/>
  <c r="K14" i="1"/>
  <c r="K10" i="10" s="1"/>
  <c r="K15" i="1"/>
  <c r="K11" i="10" s="1"/>
  <c r="K16" i="1"/>
  <c r="K12" i="10" s="1"/>
  <c r="K17" i="1"/>
  <c r="K8" i="1"/>
  <c r="K4" i="10" s="1"/>
  <c r="I9" i="1"/>
  <c r="I10" i="1"/>
  <c r="I11" i="1"/>
  <c r="I12" i="1"/>
  <c r="I13" i="1"/>
  <c r="I14" i="1"/>
  <c r="I10" i="10" s="1"/>
  <c r="I15" i="1"/>
  <c r="I11" i="10" s="1"/>
  <c r="I16" i="1"/>
  <c r="I12" i="10" s="1"/>
  <c r="I17" i="1"/>
  <c r="I8" i="1"/>
  <c r="H9" i="1"/>
  <c r="H10" i="1"/>
  <c r="H11" i="1"/>
  <c r="H12" i="1"/>
  <c r="H13" i="1"/>
  <c r="H14" i="1"/>
  <c r="H15" i="1"/>
  <c r="H16" i="1"/>
  <c r="H17" i="1"/>
  <c r="E9" i="1"/>
  <c r="E10" i="1"/>
  <c r="E11" i="1"/>
  <c r="E12" i="1"/>
  <c r="E13" i="1"/>
  <c r="E14" i="1"/>
  <c r="E15" i="1"/>
  <c r="E16" i="1"/>
  <c r="E17" i="1"/>
  <c r="E8" i="1"/>
  <c r="H8" i="1"/>
  <c r="G170" i="1"/>
  <c r="G171" i="1" s="1"/>
  <c r="C37" i="31" l="1"/>
  <c r="C36" i="31"/>
  <c r="N4" i="10"/>
  <c r="E29" i="31"/>
  <c r="I29" i="31"/>
  <c r="G29" i="31"/>
  <c r="C34" i="31"/>
  <c r="C31" i="31"/>
  <c r="N9" i="10"/>
  <c r="I34" i="31"/>
  <c r="E34" i="31"/>
  <c r="G34" i="31"/>
  <c r="C29" i="31"/>
  <c r="N5" i="10"/>
  <c r="I30" i="31"/>
  <c r="E30" i="31"/>
  <c r="G30" i="31"/>
  <c r="C33" i="31"/>
  <c r="N11" i="10"/>
  <c r="G36" i="31"/>
  <c r="I36" i="31"/>
  <c r="E36" i="31"/>
  <c r="C30" i="31"/>
  <c r="E33" i="31"/>
  <c r="G33" i="31"/>
  <c r="I33" i="31"/>
  <c r="N6" i="10"/>
  <c r="G31" i="31"/>
  <c r="I31" i="31"/>
  <c r="E31" i="31"/>
  <c r="C35" i="31"/>
  <c r="N12" i="10"/>
  <c r="E37" i="31"/>
  <c r="G37" i="31"/>
  <c r="I37" i="31"/>
  <c r="C32" i="31"/>
  <c r="N10" i="10"/>
  <c r="G35" i="31"/>
  <c r="I35" i="31"/>
  <c r="E35" i="31"/>
  <c r="G32" i="31"/>
  <c r="I32" i="31"/>
  <c r="E32" i="31"/>
  <c r="E21" i="25"/>
  <c r="G132" i="1"/>
  <c r="H103" i="1"/>
  <c r="E34" i="10"/>
  <c r="G37" i="6"/>
  <c r="K150" i="1"/>
  <c r="L34" i="10"/>
  <c r="O132" i="1"/>
  <c r="R34" i="10"/>
  <c r="M150" i="1"/>
  <c r="G65" i="4" s="1"/>
  <c r="P34" i="10"/>
  <c r="C25" i="4"/>
  <c r="A15" i="26"/>
  <c r="B21" i="26"/>
  <c r="A21" i="26"/>
  <c r="C31" i="4"/>
  <c r="W33" i="4"/>
  <c r="AK33" i="4"/>
  <c r="AF33" i="4"/>
  <c r="S44" i="10"/>
  <c r="K153" i="1"/>
  <c r="C45" i="6"/>
  <c r="W125" i="2"/>
  <c r="W46" i="10"/>
  <c r="M155" i="1"/>
  <c r="P23" i="26"/>
  <c r="H23" i="26"/>
  <c r="O23" i="26"/>
  <c r="G23" i="26"/>
  <c r="N23" i="26"/>
  <c r="F23" i="26"/>
  <c r="M23" i="26"/>
  <c r="E23" i="26"/>
  <c r="T23" i="26"/>
  <c r="L23" i="26"/>
  <c r="C23" i="26"/>
  <c r="I23" i="26"/>
  <c r="S23" i="26"/>
  <c r="K23" i="26"/>
  <c r="B23" i="26"/>
  <c r="Q23" i="26"/>
  <c r="R23" i="26"/>
  <c r="J23" i="26"/>
  <c r="A23" i="26"/>
  <c r="M134" i="1"/>
  <c r="W32" i="4"/>
  <c r="AK32" i="4"/>
  <c r="AF32" i="4"/>
  <c r="C15" i="4"/>
  <c r="A5" i="26"/>
  <c r="C17" i="4"/>
  <c r="A7" i="26"/>
  <c r="E153" i="1"/>
  <c r="C43" i="6"/>
  <c r="W123" i="2"/>
  <c r="AK35" i="4"/>
  <c r="AF35" i="4"/>
  <c r="W35" i="4"/>
  <c r="S22" i="26"/>
  <c r="K22" i="26"/>
  <c r="B22" i="26"/>
  <c r="R22" i="26"/>
  <c r="J22" i="26"/>
  <c r="A22" i="26"/>
  <c r="Q22" i="26"/>
  <c r="I22" i="26"/>
  <c r="T22" i="26"/>
  <c r="P22" i="26"/>
  <c r="H22" i="26"/>
  <c r="C22" i="26"/>
  <c r="O22" i="26"/>
  <c r="G22" i="26"/>
  <c r="N22" i="26"/>
  <c r="F22" i="26"/>
  <c r="M22" i="26"/>
  <c r="E22" i="26"/>
  <c r="L22" i="26"/>
  <c r="U299" i="3"/>
  <c r="AH299" i="3" s="1"/>
  <c r="R74" i="15" s="1"/>
  <c r="N54" i="15"/>
  <c r="U298" i="3"/>
  <c r="AH298" i="3" s="1"/>
  <c r="R73" i="15" s="1"/>
  <c r="S303" i="3"/>
  <c r="G24" i="20"/>
  <c r="F254" i="3"/>
  <c r="T303" i="3"/>
  <c r="S309" i="3"/>
  <c r="U304" i="3"/>
  <c r="AH304" i="3" s="1"/>
  <c r="R78" i="15" s="1"/>
  <c r="U293" i="3"/>
  <c r="AH293" i="3" s="1"/>
  <c r="R69" i="15" s="1"/>
  <c r="G54" i="15"/>
  <c r="U305" i="3"/>
  <c r="AH305" i="3" s="1"/>
  <c r="R79" i="15" s="1"/>
  <c r="T309" i="3"/>
  <c r="N49" i="15"/>
  <c r="B299" i="3"/>
  <c r="B246" i="3"/>
  <c r="W16" i="29"/>
  <c r="W16" i="28"/>
  <c r="W16" i="27"/>
  <c r="AF26" i="4"/>
  <c r="AK26" i="4"/>
  <c r="W26" i="4"/>
  <c r="V16" i="27"/>
  <c r="V16" i="29"/>
  <c r="V16" i="28"/>
  <c r="G673" i="3"/>
  <c r="I246" i="3"/>
  <c r="S34" i="20"/>
  <c r="I243" i="3"/>
  <c r="G669" i="3"/>
  <c r="I300" i="3"/>
  <c r="I247" i="3"/>
  <c r="G674" i="3"/>
  <c r="G675" i="3"/>
  <c r="I248" i="3"/>
  <c r="G309" i="3"/>
  <c r="V309" i="3" s="1"/>
  <c r="P82" i="15" s="1"/>
  <c r="H445" i="3"/>
  <c r="H447" i="3"/>
  <c r="H446" i="3"/>
  <c r="G672" i="3"/>
  <c r="H444" i="3"/>
  <c r="I245" i="3"/>
  <c r="H443" i="3"/>
  <c r="G297" i="3"/>
  <c r="I299" i="3"/>
  <c r="S116" i="15"/>
  <c r="I298" i="3"/>
  <c r="S39" i="20"/>
  <c r="I301" i="3"/>
  <c r="X298" i="3"/>
  <c r="S138" i="15"/>
  <c r="G303" i="3"/>
  <c r="S139" i="15"/>
  <c r="X299" i="3"/>
  <c r="S141" i="15"/>
  <c r="X301" i="3"/>
  <c r="S140" i="15"/>
  <c r="X300" i="3"/>
  <c r="S38" i="20"/>
  <c r="S37" i="20"/>
  <c r="S136" i="15"/>
  <c r="F306" i="3"/>
  <c r="F305" i="3"/>
  <c r="E179" i="15" s="1"/>
  <c r="AM295" i="3"/>
  <c r="N171" i="15" s="1"/>
  <c r="F299" i="3"/>
  <c r="E174" i="15" s="1"/>
  <c r="F294" i="3"/>
  <c r="F293" i="3"/>
  <c r="B673" i="3"/>
  <c r="AI295" i="3"/>
  <c r="AA295" i="3"/>
  <c r="D114" i="3"/>
  <c r="AI305" i="3" s="1"/>
  <c r="D118" i="3"/>
  <c r="D116" i="3"/>
  <c r="AI307" i="3" s="1"/>
  <c r="D112" i="3"/>
  <c r="AA308" i="3" s="1"/>
  <c r="D110" i="3"/>
  <c r="AA306" i="3" s="1"/>
  <c r="D117" i="3"/>
  <c r="AI308" i="3" s="1"/>
  <c r="D113" i="3"/>
  <c r="AI304" i="3" s="1"/>
  <c r="D115" i="3"/>
  <c r="AI306" i="3" s="1"/>
  <c r="D111" i="3"/>
  <c r="AA307" i="3" s="1"/>
  <c r="D109" i="3"/>
  <c r="AA305" i="3" s="1"/>
  <c r="E176" i="15"/>
  <c r="B666" i="3"/>
  <c r="A61" i="20" s="1"/>
  <c r="D53" i="3"/>
  <c r="AI292" i="3" s="1"/>
  <c r="D58" i="3"/>
  <c r="D56" i="3"/>
  <c r="D54" i="3"/>
  <c r="AI293" i="3" s="1"/>
  <c r="D52" i="3"/>
  <c r="AA296" i="3" s="1"/>
  <c r="D57" i="3"/>
  <c r="AI296" i="3" s="1"/>
  <c r="D55" i="3"/>
  <c r="AI294" i="3" s="1"/>
  <c r="AF18" i="4"/>
  <c r="W18" i="4"/>
  <c r="AK18" i="4"/>
  <c r="AF24" i="4"/>
  <c r="W24" i="4"/>
  <c r="AK24" i="4"/>
  <c r="AF19" i="4"/>
  <c r="W19" i="4"/>
  <c r="AK19" i="4"/>
  <c r="E102" i="1"/>
  <c r="H102" i="1"/>
  <c r="E33" i="10"/>
  <c r="M149" i="1"/>
  <c r="G64" i="4" s="1"/>
  <c r="P33" i="10"/>
  <c r="K149" i="1"/>
  <c r="L33" i="10"/>
  <c r="O131" i="1"/>
  <c r="R33" i="10"/>
  <c r="AB16" i="29"/>
  <c r="AB16" i="28"/>
  <c r="AB16" i="27"/>
  <c r="AA16" i="27"/>
  <c r="AA16" i="29"/>
  <c r="AA16" i="28"/>
  <c r="Z16" i="27"/>
  <c r="Z16" i="29"/>
  <c r="Z16" i="28"/>
  <c r="S46" i="10"/>
  <c r="K155" i="1"/>
  <c r="E46" i="10"/>
  <c r="I203" i="3"/>
  <c r="H39" i="10"/>
  <c r="C22" i="24"/>
  <c r="C33" i="4"/>
  <c r="I169" i="3"/>
  <c r="F302" i="3"/>
  <c r="H146" i="1"/>
  <c r="D21" i="24"/>
  <c r="H145" i="1"/>
  <c r="C21" i="24"/>
  <c r="H147" i="1"/>
  <c r="E21" i="24"/>
  <c r="U17" i="10"/>
  <c r="J126" i="1"/>
  <c r="C20" i="24"/>
  <c r="E112" i="2"/>
  <c r="D20" i="24"/>
  <c r="E69" i="20"/>
  <c r="B302" i="3"/>
  <c r="B675" i="3"/>
  <c r="N29" i="15"/>
  <c r="I185" i="3"/>
  <c r="N24" i="20"/>
  <c r="S43" i="18"/>
  <c r="S44" i="18"/>
  <c r="S42" i="18"/>
  <c r="G27" i="18"/>
  <c r="G15" i="18"/>
  <c r="N27" i="18"/>
  <c r="N21" i="18"/>
  <c r="I679" i="3"/>
  <c r="G21" i="18"/>
  <c r="N15" i="18"/>
  <c r="S41" i="18"/>
  <c r="S117" i="15"/>
  <c r="S118" i="15"/>
  <c r="S115" i="15"/>
  <c r="S133" i="15"/>
  <c r="A138" i="15"/>
  <c r="A154" i="15"/>
  <c r="A73" i="15"/>
  <c r="A115" i="15"/>
  <c r="I202" i="3"/>
  <c r="G44" i="15"/>
  <c r="G19" i="15"/>
  <c r="I170" i="3"/>
  <c r="F307" i="3"/>
  <c r="I201" i="3"/>
  <c r="G29" i="15"/>
  <c r="N19" i="15"/>
  <c r="N72" i="15"/>
  <c r="G72" i="15"/>
  <c r="N24" i="15"/>
  <c r="G24" i="15"/>
  <c r="N44" i="15"/>
  <c r="B678" i="3"/>
  <c r="B304" i="3"/>
  <c r="A20" i="15"/>
  <c r="A45" i="15"/>
  <c r="B301" i="3"/>
  <c r="B674" i="3"/>
  <c r="AE292" i="3"/>
  <c r="AE297" i="3" s="1"/>
  <c r="F298" i="3"/>
  <c r="S292" i="3"/>
  <c r="S297" i="3" s="1"/>
  <c r="F292" i="3"/>
  <c r="S295" i="3"/>
  <c r="U295" i="3" s="1"/>
  <c r="AE295" i="3"/>
  <c r="F300" i="3"/>
  <c r="L93" i="4"/>
  <c r="B292" i="3"/>
  <c r="L91" i="4"/>
  <c r="O295" i="3"/>
  <c r="B300" i="3"/>
  <c r="F249" i="3"/>
  <c r="I167" i="3"/>
  <c r="I168" i="3"/>
  <c r="F244" i="3"/>
  <c r="I184" i="3"/>
  <c r="I669" i="3"/>
  <c r="B240" i="3"/>
  <c r="I166" i="3"/>
  <c r="I183" i="3"/>
  <c r="I200" i="3"/>
  <c r="B183" i="3"/>
  <c r="I678" i="3"/>
  <c r="N678" i="3" s="1"/>
  <c r="W678" i="3" s="1"/>
  <c r="B166" i="3"/>
  <c r="D127" i="3"/>
  <c r="D126" i="3"/>
  <c r="D67" i="3"/>
  <c r="D66" i="3"/>
  <c r="D64" i="3"/>
  <c r="D63" i="3"/>
  <c r="D103" i="3"/>
  <c r="D107" i="3"/>
  <c r="D121" i="3"/>
  <c r="D125" i="3"/>
  <c r="D102" i="3"/>
  <c r="D106" i="3"/>
  <c r="D120" i="3"/>
  <c r="D124" i="3"/>
  <c r="D100" i="3"/>
  <c r="D104" i="3"/>
  <c r="B373" i="3" s="1"/>
  <c r="D108" i="3"/>
  <c r="AA304" i="3" s="1"/>
  <c r="D122" i="3"/>
  <c r="D101" i="3"/>
  <c r="D105" i="3"/>
  <c r="D119" i="3"/>
  <c r="D123" i="3"/>
  <c r="D48" i="3"/>
  <c r="AA292" i="3" s="1"/>
  <c r="D59" i="3"/>
  <c r="D47" i="3"/>
  <c r="D51" i="3"/>
  <c r="D62" i="3"/>
  <c r="D46" i="3"/>
  <c r="B174" i="3" s="1"/>
  <c r="D50" i="3"/>
  <c r="AA294" i="3" s="1"/>
  <c r="D61" i="3"/>
  <c r="D45" i="3"/>
  <c r="D49" i="3"/>
  <c r="AA293" i="3" s="1"/>
  <c r="D60" i="3"/>
  <c r="B582" i="3"/>
  <c r="P54" i="16" s="1"/>
  <c r="B584" i="3"/>
  <c r="P56" i="16" s="1"/>
  <c r="P32" i="10"/>
  <c r="M148" i="1"/>
  <c r="G63" i="4" s="1"/>
  <c r="O130" i="1"/>
  <c r="R32" i="10"/>
  <c r="L32" i="10"/>
  <c r="H149" i="1"/>
  <c r="J137" i="1"/>
  <c r="G136" i="1"/>
  <c r="H101" i="1"/>
  <c r="E149" i="1"/>
  <c r="E64" i="4" s="1"/>
  <c r="X54" i="10"/>
  <c r="R54" i="10"/>
  <c r="S54" i="10"/>
  <c r="W54" i="10"/>
  <c r="Y54" i="10"/>
  <c r="T54" i="10"/>
  <c r="B137" i="1"/>
  <c r="C29" i="4"/>
  <c r="M136" i="1"/>
  <c r="C30" i="4"/>
  <c r="C20" i="4"/>
  <c r="K44" i="10"/>
  <c r="B130" i="1"/>
  <c r="B136" i="1"/>
  <c r="G137" i="1"/>
  <c r="E150" i="1"/>
  <c r="E65" i="4" s="1"/>
  <c r="H150" i="1"/>
  <c r="C32" i="4"/>
  <c r="B126" i="1"/>
  <c r="T53" i="10"/>
  <c r="R53" i="10"/>
  <c r="Y53" i="10"/>
  <c r="S53" i="10"/>
  <c r="W53" i="10"/>
  <c r="X53" i="10"/>
  <c r="J131" i="1"/>
  <c r="H155" i="1"/>
  <c r="C16" i="4"/>
  <c r="H28" i="6"/>
  <c r="O133" i="1"/>
  <c r="Y41" i="10"/>
  <c r="E63" i="20"/>
  <c r="H23" i="6"/>
  <c r="E145" i="1"/>
  <c r="E60" i="4" s="1"/>
  <c r="D25" i="10"/>
  <c r="Q145" i="1"/>
  <c r="S25" i="10"/>
  <c r="E32" i="10"/>
  <c r="G35" i="6"/>
  <c r="E41" i="10"/>
  <c r="I672" i="3"/>
  <c r="N672" i="3" s="1"/>
  <c r="W672" i="3" s="1"/>
  <c r="E68" i="20"/>
  <c r="E62" i="20"/>
  <c r="G25" i="10"/>
  <c r="K41" i="10"/>
  <c r="J136" i="1"/>
  <c r="K39" i="10"/>
  <c r="G131" i="1"/>
  <c r="J132" i="1"/>
  <c r="M126" i="1"/>
  <c r="M137" i="1"/>
  <c r="H153" i="1"/>
  <c r="M153" i="1"/>
  <c r="G66" i="4" s="1"/>
  <c r="A19" i="12"/>
  <c r="A19" i="13"/>
  <c r="A19" i="9"/>
  <c r="H17" i="10"/>
  <c r="G29" i="6"/>
  <c r="O145" i="1"/>
  <c r="Q25" i="10"/>
  <c r="A25" i="12"/>
  <c r="A25" i="9"/>
  <c r="A25" i="13"/>
  <c r="I680" i="3"/>
  <c r="N680" i="3" s="1"/>
  <c r="W680" i="3" s="1"/>
  <c r="E98" i="1"/>
  <c r="E17" i="10"/>
  <c r="C29" i="6"/>
  <c r="H99" i="1"/>
  <c r="A20" i="13"/>
  <c r="A20" i="9"/>
  <c r="A20" i="12"/>
  <c r="G30" i="6"/>
  <c r="M145" i="1"/>
  <c r="G60" i="4" s="1"/>
  <c r="O25" i="10"/>
  <c r="A24" i="13"/>
  <c r="A24" i="9"/>
  <c r="A24" i="12"/>
  <c r="E39" i="10"/>
  <c r="C38" i="6"/>
  <c r="H22" i="6"/>
  <c r="C30" i="6"/>
  <c r="M25" i="10"/>
  <c r="A23" i="12"/>
  <c r="A23" i="9"/>
  <c r="A23" i="13"/>
  <c r="H104" i="1"/>
  <c r="H41" i="10"/>
  <c r="M133" i="1"/>
  <c r="Q41" i="10"/>
  <c r="E107" i="1"/>
  <c r="E44" i="10"/>
  <c r="B453" i="3"/>
  <c r="B440" i="3"/>
  <c r="B454" i="3"/>
  <c r="B450" i="3"/>
  <c r="B451" i="3"/>
  <c r="B452" i="3"/>
  <c r="B439" i="3"/>
  <c r="I673" i="3"/>
  <c r="N673" i="3" s="1"/>
  <c r="W673" i="3" s="1"/>
  <c r="I666" i="3"/>
  <c r="N666" i="3" s="1"/>
  <c r="W666" i="3" s="1"/>
  <c r="G130" i="1"/>
  <c r="E111" i="2"/>
  <c r="E155" i="1"/>
  <c r="E68" i="4" s="1"/>
  <c r="Q155" i="1"/>
  <c r="K46" i="10"/>
  <c r="J127" i="1"/>
  <c r="J133" i="1"/>
  <c r="M127" i="1"/>
  <c r="O126" i="1"/>
  <c r="E148" i="1"/>
  <c r="E63" i="4" s="1"/>
  <c r="H148" i="1"/>
  <c r="H154" i="1"/>
  <c r="G68" i="4"/>
  <c r="AB148" i="3"/>
  <c r="B390" i="3"/>
  <c r="B361" i="3"/>
  <c r="O136" i="1"/>
  <c r="E93" i="1"/>
  <c r="E9" i="10"/>
  <c r="C24" i="6"/>
  <c r="H94" i="1"/>
  <c r="G10" i="10"/>
  <c r="H90" i="1"/>
  <c r="C7" i="26" s="1"/>
  <c r="G6" i="10"/>
  <c r="G21" i="6"/>
  <c r="E88" i="1"/>
  <c r="E4" i="10"/>
  <c r="C19" i="6"/>
  <c r="H95" i="1"/>
  <c r="G11" i="10"/>
  <c r="I9" i="10"/>
  <c r="H24" i="6"/>
  <c r="H88" i="1"/>
  <c r="C5" i="26" s="1"/>
  <c r="G4" i="10"/>
  <c r="G19" i="6"/>
  <c r="E95" i="1"/>
  <c r="E11" i="10"/>
  <c r="H96" i="1"/>
  <c r="G12" i="10"/>
  <c r="H92" i="1"/>
  <c r="G23" i="6"/>
  <c r="I4" i="10"/>
  <c r="H19" i="6"/>
  <c r="I6" i="10"/>
  <c r="H21" i="6"/>
  <c r="E97" i="1"/>
  <c r="C28" i="6"/>
  <c r="E89" i="1"/>
  <c r="E5" i="10"/>
  <c r="C20" i="6"/>
  <c r="E94" i="1"/>
  <c r="E10" i="10"/>
  <c r="E90" i="1"/>
  <c r="E6" i="10"/>
  <c r="C21" i="6"/>
  <c r="I5" i="10"/>
  <c r="H20" i="6"/>
  <c r="E96" i="1"/>
  <c r="E12" i="10"/>
  <c r="E92" i="1"/>
  <c r="C23" i="6"/>
  <c r="H97" i="1"/>
  <c r="G28" i="6"/>
  <c r="H93" i="1"/>
  <c r="C10" i="26" s="1"/>
  <c r="G9" i="10"/>
  <c r="G24" i="6"/>
  <c r="H89" i="1"/>
  <c r="C6" i="26" s="1"/>
  <c r="G5" i="10"/>
  <c r="G20" i="6"/>
  <c r="H91" i="1"/>
  <c r="G22" i="6"/>
  <c r="E91" i="1"/>
  <c r="C22" i="6"/>
  <c r="E104" i="1"/>
  <c r="C21" i="26" s="1"/>
  <c r="C40" i="6"/>
  <c r="G134" i="1"/>
  <c r="G133" i="1"/>
  <c r="J135" i="1"/>
  <c r="M135" i="1"/>
  <c r="J134" i="1"/>
  <c r="B129" i="1"/>
  <c r="Z168" i="3"/>
  <c r="B485" i="3"/>
  <c r="A17" i="19" s="1"/>
  <c r="J85" i="4"/>
  <c r="B497" i="3"/>
  <c r="J87" i="4"/>
  <c r="B444" i="3"/>
  <c r="B436" i="3"/>
  <c r="D41" i="3"/>
  <c r="D43" i="3"/>
  <c r="B171" i="3" s="1"/>
  <c r="D40" i="3"/>
  <c r="B668" i="3" s="1"/>
  <c r="C85" i="4"/>
  <c r="F85" i="4"/>
  <c r="C87" i="4"/>
  <c r="F87" i="4"/>
  <c r="D44" i="3"/>
  <c r="D42" i="3"/>
  <c r="D39" i="3"/>
  <c r="Z167" i="3"/>
  <c r="D99" i="3"/>
  <c r="E106" i="1"/>
  <c r="E99" i="1"/>
  <c r="H107" i="1"/>
  <c r="E108" i="1"/>
  <c r="E103" i="1"/>
  <c r="H98" i="1"/>
  <c r="C15" i="26" s="1"/>
  <c r="E101" i="1"/>
  <c r="AO24" i="4"/>
  <c r="AO23" i="4"/>
  <c r="AO22" i="4"/>
  <c r="AO21" i="4"/>
  <c r="AO20" i="4"/>
  <c r="AO19" i="4"/>
  <c r="AO18" i="4"/>
  <c r="AO17" i="4"/>
  <c r="AO16" i="4"/>
  <c r="AO15" i="4"/>
  <c r="G70" i="4"/>
  <c r="G69" i="4"/>
  <c r="G67" i="4"/>
  <c r="E70" i="4"/>
  <c r="E69" i="4"/>
  <c r="E67" i="4"/>
  <c r="E66" i="4"/>
  <c r="D55" i="4"/>
  <c r="D56" i="4"/>
  <c r="D57" i="4"/>
  <c r="D58" i="4"/>
  <c r="D54" i="4"/>
  <c r="G62" i="4"/>
  <c r="E62" i="4"/>
  <c r="E61" i="4"/>
  <c r="H62" i="4"/>
  <c r="H61" i="4"/>
  <c r="E108" i="2"/>
  <c r="E107" i="2"/>
  <c r="E106" i="2"/>
  <c r="I12" i="4"/>
  <c r="I13" i="4"/>
  <c r="I11" i="4"/>
  <c r="F13" i="4"/>
  <c r="S9" i="4"/>
  <c r="R9" i="4"/>
  <c r="Q9" i="4"/>
  <c r="P9" i="4"/>
  <c r="O9" i="4"/>
  <c r="N9" i="4"/>
  <c r="M9" i="4"/>
  <c r="L9" i="4"/>
  <c r="K9" i="4"/>
  <c r="J9" i="4"/>
  <c r="I9" i="4"/>
  <c r="H9" i="4"/>
  <c r="G9" i="4"/>
  <c r="F9" i="4"/>
  <c r="E9" i="4"/>
  <c r="N115" i="2"/>
  <c r="D26" i="13" s="1"/>
  <c r="K115" i="2"/>
  <c r="D26" i="12" s="1"/>
  <c r="H115" i="2"/>
  <c r="D26" i="9" s="1"/>
  <c r="L131" i="2"/>
  <c r="I131" i="2"/>
  <c r="F131" i="2"/>
  <c r="L124" i="2"/>
  <c r="I124" i="2"/>
  <c r="F124" i="2"/>
  <c r="L117" i="2"/>
  <c r="I117" i="2"/>
  <c r="F117" i="2"/>
  <c r="L95" i="2"/>
  <c r="I95" i="2"/>
  <c r="F95" i="2"/>
  <c r="L92" i="2"/>
  <c r="I92" i="2"/>
  <c r="F92" i="2"/>
  <c r="G61" i="2"/>
  <c r="F61" i="2"/>
  <c r="E61" i="2"/>
  <c r="V303" i="3" l="1"/>
  <c r="AT303" i="3"/>
  <c r="A20" i="17"/>
  <c r="E378" i="3"/>
  <c r="I249" i="3"/>
  <c r="S46" i="14" s="1"/>
  <c r="B305" i="3"/>
  <c r="AT309" i="3" s="1"/>
  <c r="B201" i="3"/>
  <c r="B251" i="3"/>
  <c r="B203" i="3"/>
  <c r="B253" i="3"/>
  <c r="B202" i="3"/>
  <c r="B252" i="3"/>
  <c r="B204" i="3"/>
  <c r="B308" i="3"/>
  <c r="B205" i="3"/>
  <c r="O304" i="3"/>
  <c r="B207" i="3"/>
  <c r="O306" i="3"/>
  <c r="B402" i="3"/>
  <c r="B206" i="3"/>
  <c r="O305" i="3"/>
  <c r="B208" i="3"/>
  <c r="O307" i="3"/>
  <c r="B209" i="3"/>
  <c r="O308" i="3"/>
  <c r="I293" i="3"/>
  <c r="I241" i="3"/>
  <c r="G667" i="3"/>
  <c r="O292" i="3"/>
  <c r="I294" i="3"/>
  <c r="I242" i="3"/>
  <c r="G668" i="3"/>
  <c r="H438" i="3"/>
  <c r="B175" i="3"/>
  <c r="O296" i="3"/>
  <c r="B172" i="3"/>
  <c r="O293" i="3"/>
  <c r="B173" i="3"/>
  <c r="O294" i="3"/>
  <c r="A39" i="14"/>
  <c r="A70" i="14"/>
  <c r="A168" i="15"/>
  <c r="A88" i="15" s="1"/>
  <c r="AU309" i="3"/>
  <c r="AU297" i="3"/>
  <c r="F297" i="3"/>
  <c r="AU303" i="3"/>
  <c r="F303" i="3"/>
  <c r="F309" i="3"/>
  <c r="X303" i="3"/>
  <c r="S142" i="15" s="1"/>
  <c r="I303" i="3"/>
  <c r="G246" i="3"/>
  <c r="J246" i="3" s="1"/>
  <c r="G247" i="3"/>
  <c r="J247" i="3" s="1"/>
  <c r="G248" i="3"/>
  <c r="J248" i="3" s="1"/>
  <c r="B241" i="3"/>
  <c r="B293" i="3"/>
  <c r="E64" i="20"/>
  <c r="N669" i="3"/>
  <c r="E72" i="20"/>
  <c r="N679" i="3"/>
  <c r="W679" i="3" s="1"/>
  <c r="Q72" i="20" s="1"/>
  <c r="AG292" i="3"/>
  <c r="AG295" i="3"/>
  <c r="AH295" i="3" s="1"/>
  <c r="R71" i="15" s="1"/>
  <c r="S12" i="14"/>
  <c r="O12" i="14"/>
  <c r="I12" i="14"/>
  <c r="A12" i="14"/>
  <c r="C12" i="14"/>
  <c r="F12" i="14"/>
  <c r="F16" i="27"/>
  <c r="F16" i="29"/>
  <c r="F16" i="28"/>
  <c r="L16" i="29"/>
  <c r="L16" i="27"/>
  <c r="L16" i="28"/>
  <c r="K16" i="29"/>
  <c r="K16" i="27"/>
  <c r="K16" i="28"/>
  <c r="M16" i="28"/>
  <c r="M16" i="29"/>
  <c r="M16" i="27"/>
  <c r="E16" i="28"/>
  <c r="E16" i="29"/>
  <c r="E16" i="27"/>
  <c r="J16" i="28"/>
  <c r="J16" i="29"/>
  <c r="J16" i="27"/>
  <c r="G16" i="29"/>
  <c r="G16" i="27"/>
  <c r="G16" i="28"/>
  <c r="K4" i="26"/>
  <c r="K23" i="11"/>
  <c r="K30" i="26"/>
  <c r="G18" i="21"/>
  <c r="H23" i="11"/>
  <c r="H30" i="26"/>
  <c r="H4" i="26"/>
  <c r="G15" i="21"/>
  <c r="L23" i="11"/>
  <c r="L30" i="26"/>
  <c r="L4" i="26"/>
  <c r="G19" i="21"/>
  <c r="P23" i="11"/>
  <c r="P30" i="26"/>
  <c r="P4" i="26"/>
  <c r="G23" i="21"/>
  <c r="T23" i="11"/>
  <c r="T30" i="26"/>
  <c r="T4" i="26"/>
  <c r="F27" i="21"/>
  <c r="G30" i="26"/>
  <c r="G23" i="11"/>
  <c r="G4" i="26"/>
  <c r="G14" i="21"/>
  <c r="S4" i="26"/>
  <c r="S23" i="11"/>
  <c r="S30" i="26"/>
  <c r="F26" i="21"/>
  <c r="I23" i="11"/>
  <c r="I30" i="26"/>
  <c r="I4" i="26"/>
  <c r="G16" i="21"/>
  <c r="M23" i="11"/>
  <c r="M30" i="26"/>
  <c r="M4" i="26"/>
  <c r="G20" i="21"/>
  <c r="Q23" i="11"/>
  <c r="Q30" i="26"/>
  <c r="Q4" i="26"/>
  <c r="G24" i="21"/>
  <c r="O30" i="26"/>
  <c r="O23" i="11"/>
  <c r="O4" i="26"/>
  <c r="G22" i="21"/>
  <c r="F30" i="26"/>
  <c r="F4" i="26"/>
  <c r="F23" i="11"/>
  <c r="G13" i="21"/>
  <c r="J30" i="26"/>
  <c r="J4" i="26"/>
  <c r="J23" i="11"/>
  <c r="G17" i="21"/>
  <c r="N30" i="26"/>
  <c r="N4" i="26"/>
  <c r="N23" i="11"/>
  <c r="G21" i="21"/>
  <c r="R30" i="26"/>
  <c r="R4" i="26"/>
  <c r="R23" i="11"/>
  <c r="G25" i="21"/>
  <c r="K51" i="23"/>
  <c r="O51" i="23" s="1"/>
  <c r="K55" i="23"/>
  <c r="O55" i="23" s="1"/>
  <c r="K44" i="23"/>
  <c r="L44" i="23" s="1"/>
  <c r="J56" i="23"/>
  <c r="L56" i="23" s="1"/>
  <c r="K50" i="23"/>
  <c r="L50" i="23" s="1"/>
  <c r="K45" i="23"/>
  <c r="O45" i="23" s="1"/>
  <c r="K49" i="23"/>
  <c r="L49" i="23" s="1"/>
  <c r="J57" i="23"/>
  <c r="L57" i="23" s="1"/>
  <c r="E28" i="4"/>
  <c r="K43" i="23"/>
  <c r="O28" i="4"/>
  <c r="K53" i="23"/>
  <c r="I28" i="4"/>
  <c r="K47" i="23"/>
  <c r="H28" i="4"/>
  <c r="K46" i="23"/>
  <c r="P28" i="4"/>
  <c r="K54" i="23"/>
  <c r="J28" i="4"/>
  <c r="K48" i="23"/>
  <c r="N28" i="4"/>
  <c r="K52" i="23"/>
  <c r="I69" i="20"/>
  <c r="Q69" i="20"/>
  <c r="G677" i="3"/>
  <c r="S40" i="20" s="1"/>
  <c r="F677" i="3"/>
  <c r="A71" i="20"/>
  <c r="A20" i="20" s="1"/>
  <c r="H449" i="3"/>
  <c r="S36" i="18"/>
  <c r="S33" i="20"/>
  <c r="A10" i="20"/>
  <c r="A31" i="20"/>
  <c r="M93" i="4"/>
  <c r="E180" i="15"/>
  <c r="S40" i="18"/>
  <c r="S113" i="15"/>
  <c r="S112" i="15"/>
  <c r="E181" i="15"/>
  <c r="E178" i="15"/>
  <c r="M92" i="4"/>
  <c r="P77" i="15"/>
  <c r="B680" i="3"/>
  <c r="B307" i="3"/>
  <c r="B679" i="3"/>
  <c r="B306" i="3"/>
  <c r="A178" i="15"/>
  <c r="B294" i="3"/>
  <c r="B667" i="3"/>
  <c r="A65" i="18"/>
  <c r="F446" i="3"/>
  <c r="I446" i="3" s="1"/>
  <c r="G74" i="18" s="1"/>
  <c r="E449" i="3"/>
  <c r="B296" i="3"/>
  <c r="B669" i="3"/>
  <c r="V297" i="3"/>
  <c r="U292" i="3"/>
  <c r="B242" i="3"/>
  <c r="B295" i="3"/>
  <c r="E175" i="15"/>
  <c r="B243" i="3"/>
  <c r="B188" i="3"/>
  <c r="B192" i="3"/>
  <c r="B187" i="3"/>
  <c r="B190" i="3"/>
  <c r="B185" i="3"/>
  <c r="B168" i="3"/>
  <c r="H154" i="3"/>
  <c r="C25" i="24" s="1"/>
  <c r="B189" i="3"/>
  <c r="B186" i="3"/>
  <c r="B169" i="3"/>
  <c r="B437" i="3"/>
  <c r="B184" i="3"/>
  <c r="B167" i="3"/>
  <c r="B191" i="3"/>
  <c r="E71" i="20"/>
  <c r="AB151" i="3"/>
  <c r="B170" i="3"/>
  <c r="AB149" i="3"/>
  <c r="P13" i="4"/>
  <c r="Q13" i="4" s="1"/>
  <c r="P11" i="4"/>
  <c r="Q11" i="4" s="1"/>
  <c r="P12" i="4"/>
  <c r="Q12" i="4" s="1"/>
  <c r="C149" i="1" s="1"/>
  <c r="M30" i="4"/>
  <c r="M29" i="4"/>
  <c r="AP146" i="5"/>
  <c r="L29" i="4"/>
  <c r="AO146" i="5"/>
  <c r="L30" i="4"/>
  <c r="G30" i="4"/>
  <c r="G29" i="4"/>
  <c r="AJ146" i="5"/>
  <c r="K29" i="4"/>
  <c r="AN146" i="5"/>
  <c r="K30" i="4"/>
  <c r="O30" i="4"/>
  <c r="O29" i="4"/>
  <c r="AR146" i="5"/>
  <c r="S30" i="4"/>
  <c r="S29" i="4"/>
  <c r="AV146" i="5"/>
  <c r="S28" i="4"/>
  <c r="L28" i="4"/>
  <c r="K28" i="4"/>
  <c r="E30" i="4"/>
  <c r="E29" i="4"/>
  <c r="AH146" i="5"/>
  <c r="I30" i="4"/>
  <c r="AL146" i="5"/>
  <c r="I29" i="4"/>
  <c r="Q30" i="4"/>
  <c r="Q29" i="4"/>
  <c r="AT146" i="5"/>
  <c r="Q28" i="4"/>
  <c r="H29" i="4"/>
  <c r="AK146" i="5"/>
  <c r="H30" i="4"/>
  <c r="P29" i="4"/>
  <c r="AS146" i="5"/>
  <c r="P30" i="4"/>
  <c r="F29" i="4"/>
  <c r="AI146" i="5"/>
  <c r="F30" i="4"/>
  <c r="J29" i="4"/>
  <c r="J30" i="4"/>
  <c r="AM146" i="5"/>
  <c r="AQ146" i="5"/>
  <c r="N29" i="4"/>
  <c r="N30" i="4"/>
  <c r="R29" i="4"/>
  <c r="AU146" i="5"/>
  <c r="R30" i="4"/>
  <c r="R28" i="4"/>
  <c r="M28" i="4"/>
  <c r="G28" i="4"/>
  <c r="F28" i="4"/>
  <c r="A37" i="13"/>
  <c r="A37" i="12"/>
  <c r="A37" i="9"/>
  <c r="A36" i="13"/>
  <c r="A36" i="9"/>
  <c r="A36" i="12"/>
  <c r="I62" i="20"/>
  <c r="Q62" i="20"/>
  <c r="A35" i="13"/>
  <c r="A35" i="9"/>
  <c r="A35" i="12"/>
  <c r="E61" i="20"/>
  <c r="C34" i="9"/>
  <c r="C34" i="12"/>
  <c r="C34" i="13"/>
  <c r="A30" i="13"/>
  <c r="A30" i="9"/>
  <c r="A30" i="12"/>
  <c r="C37" i="12"/>
  <c r="C37" i="9"/>
  <c r="C37" i="13"/>
  <c r="A29" i="13"/>
  <c r="A29" i="12"/>
  <c r="A29" i="9"/>
  <c r="A34" i="13"/>
  <c r="A34" i="9"/>
  <c r="A34" i="12"/>
  <c r="I68" i="20"/>
  <c r="Q68" i="20"/>
  <c r="E66" i="20"/>
  <c r="I71" i="20"/>
  <c r="C30" i="9"/>
  <c r="C30" i="13"/>
  <c r="C30" i="12"/>
  <c r="C29" i="12"/>
  <c r="C29" i="13"/>
  <c r="C29" i="9"/>
  <c r="C36" i="9"/>
  <c r="C36" i="13"/>
  <c r="C36" i="12"/>
  <c r="C35" i="12"/>
  <c r="C35" i="13"/>
  <c r="C35" i="9"/>
  <c r="A31" i="13"/>
  <c r="A31" i="9"/>
  <c r="A31" i="12"/>
  <c r="C31" i="12"/>
  <c r="C31" i="13"/>
  <c r="C31" i="9"/>
  <c r="E67" i="20"/>
  <c r="A77" i="18"/>
  <c r="E456" i="3"/>
  <c r="E73" i="20"/>
  <c r="I63" i="20"/>
  <c r="Q63" i="20"/>
  <c r="A12" i="17"/>
  <c r="E366" i="3"/>
  <c r="J412" i="3" s="1"/>
  <c r="S40" i="6" s="1"/>
  <c r="T40" i="6" s="1"/>
  <c r="E407" i="3"/>
  <c r="A39" i="17"/>
  <c r="E395" i="3"/>
  <c r="J413" i="3" s="1"/>
  <c r="S41" i="6" s="1"/>
  <c r="A31" i="17"/>
  <c r="E171" i="15"/>
  <c r="P24" i="6"/>
  <c r="T24" i="6" s="1"/>
  <c r="P19" i="6"/>
  <c r="T19" i="6" s="1"/>
  <c r="P23" i="6"/>
  <c r="Q23" i="6" s="1"/>
  <c r="O27" i="6"/>
  <c r="T27" i="6" s="1"/>
  <c r="P14" i="6"/>
  <c r="Q14" i="6" s="1"/>
  <c r="P18" i="6"/>
  <c r="T18" i="6" s="1"/>
  <c r="P22" i="6"/>
  <c r="T22" i="6" s="1"/>
  <c r="P26" i="6"/>
  <c r="T26" i="6" s="1"/>
  <c r="P17" i="6"/>
  <c r="Q17" i="6" s="1"/>
  <c r="P21" i="6"/>
  <c r="T21" i="6" s="1"/>
  <c r="P25" i="6"/>
  <c r="T25" i="6" s="1"/>
  <c r="P16" i="6"/>
  <c r="T16" i="6" s="1"/>
  <c r="P20" i="6"/>
  <c r="Q20" i="6" s="1"/>
  <c r="O28" i="6"/>
  <c r="Q28" i="6" s="1"/>
  <c r="P15" i="6"/>
  <c r="Q15" i="6" s="1"/>
  <c r="B438" i="3"/>
  <c r="F16" i="3"/>
  <c r="H16" i="3"/>
  <c r="J16" i="3"/>
  <c r="L16" i="3"/>
  <c r="N16" i="3"/>
  <c r="P16" i="3"/>
  <c r="R16" i="3"/>
  <c r="T16" i="3"/>
  <c r="E16" i="3"/>
  <c r="G16" i="3"/>
  <c r="I16" i="3"/>
  <c r="K16" i="3"/>
  <c r="M16" i="3"/>
  <c r="O16" i="3"/>
  <c r="Q16" i="3"/>
  <c r="S16" i="3"/>
  <c r="W25" i="1"/>
  <c r="W155" i="5"/>
  <c r="AK120" i="5"/>
  <c r="W61" i="5"/>
  <c r="W7" i="5"/>
  <c r="K87" i="1"/>
  <c r="Y25" i="1"/>
  <c r="Y155" i="5"/>
  <c r="AM120" i="5"/>
  <c r="Y61" i="5"/>
  <c r="Y7" i="5"/>
  <c r="M87" i="1"/>
  <c r="AA25" i="1"/>
  <c r="AA155" i="5"/>
  <c r="AO120" i="5"/>
  <c r="AA61" i="5"/>
  <c r="AA7" i="5"/>
  <c r="O87" i="1"/>
  <c r="AC25" i="1"/>
  <c r="AC155" i="5"/>
  <c r="AQ120" i="5"/>
  <c r="AC61" i="5"/>
  <c r="AC7" i="5"/>
  <c r="Q87" i="1"/>
  <c r="AE25" i="1"/>
  <c r="AE155" i="5"/>
  <c r="AS120" i="5"/>
  <c r="AE61" i="5"/>
  <c r="AE7" i="5"/>
  <c r="S87" i="1"/>
  <c r="AG25" i="1"/>
  <c r="AG155" i="5"/>
  <c r="AU120" i="5"/>
  <c r="AG61" i="5"/>
  <c r="AG7" i="5"/>
  <c r="U87" i="1"/>
  <c r="AI25" i="1"/>
  <c r="AI155" i="5"/>
  <c r="AW120" i="5"/>
  <c r="AI61" i="5"/>
  <c r="AI7" i="5"/>
  <c r="B118" i="1"/>
  <c r="C53" i="10" s="1"/>
  <c r="W87" i="1"/>
  <c r="AK25" i="1"/>
  <c r="AK155" i="5"/>
  <c r="AY120" i="5"/>
  <c r="AK61" i="5"/>
  <c r="AK7" i="5"/>
  <c r="B120" i="1"/>
  <c r="C55" i="10" s="1"/>
  <c r="Y87" i="1"/>
  <c r="X7" i="1"/>
  <c r="L87" i="1"/>
  <c r="X155" i="5"/>
  <c r="AL120" i="5"/>
  <c r="X61" i="5"/>
  <c r="X7" i="5"/>
  <c r="Z7" i="1"/>
  <c r="N87" i="1"/>
  <c r="Z155" i="5"/>
  <c r="AN120" i="5"/>
  <c r="Z61" i="5"/>
  <c r="Z7" i="5"/>
  <c r="AB7" i="1"/>
  <c r="P87" i="1"/>
  <c r="AB155" i="5"/>
  <c r="AP120" i="5"/>
  <c r="AB61" i="5"/>
  <c r="AB7" i="5"/>
  <c r="AD7" i="1"/>
  <c r="R87" i="1"/>
  <c r="AD155" i="5"/>
  <c r="AR120" i="5"/>
  <c r="AD61" i="5"/>
  <c r="AD7" i="5"/>
  <c r="AF7" i="1"/>
  <c r="T87" i="1"/>
  <c r="AF155" i="5"/>
  <c r="AT120" i="5"/>
  <c r="AF61" i="5"/>
  <c r="AF7" i="5"/>
  <c r="AH7" i="1"/>
  <c r="B117" i="1"/>
  <c r="C52" i="10" s="1"/>
  <c r="V87" i="1"/>
  <c r="AH155" i="5"/>
  <c r="AV120" i="5"/>
  <c r="AH61" i="5"/>
  <c r="AH7" i="5"/>
  <c r="AJ25" i="1"/>
  <c r="B119" i="1"/>
  <c r="C54" i="10" s="1"/>
  <c r="X87" i="1"/>
  <c r="AJ155" i="5"/>
  <c r="AX120" i="5"/>
  <c r="AJ61" i="5"/>
  <c r="AJ7" i="5"/>
  <c r="AL25" i="1"/>
  <c r="Z87" i="1"/>
  <c r="AL155" i="5"/>
  <c r="AZ120" i="5"/>
  <c r="AL61" i="5"/>
  <c r="AL7" i="5"/>
  <c r="S15" i="4"/>
  <c r="T5" i="26" s="1"/>
  <c r="Q15" i="4"/>
  <c r="R5" i="26" s="1"/>
  <c r="O15" i="4"/>
  <c r="P5" i="26" s="1"/>
  <c r="M15" i="4"/>
  <c r="N5" i="26" s="1"/>
  <c r="K15" i="4"/>
  <c r="L5" i="26" s="1"/>
  <c r="I15" i="4"/>
  <c r="J5" i="26" s="1"/>
  <c r="G15" i="4"/>
  <c r="H5" i="26" s="1"/>
  <c r="E15" i="4"/>
  <c r="F5" i="26" s="1"/>
  <c r="R24" i="4"/>
  <c r="Y97" i="1" s="1"/>
  <c r="P24" i="4"/>
  <c r="W97" i="1" s="1"/>
  <c r="N24" i="4"/>
  <c r="U97" i="1" s="1"/>
  <c r="L24" i="4"/>
  <c r="S97" i="1" s="1"/>
  <c r="J24" i="4"/>
  <c r="Q97" i="1" s="1"/>
  <c r="H24" i="4"/>
  <c r="O97" i="1" s="1"/>
  <c r="F24" i="4"/>
  <c r="M97" i="1" s="1"/>
  <c r="D24" i="4"/>
  <c r="K97" i="1" s="1"/>
  <c r="R23" i="4"/>
  <c r="Y96" i="1" s="1"/>
  <c r="P23" i="4"/>
  <c r="W96" i="1" s="1"/>
  <c r="N23" i="4"/>
  <c r="U96" i="1" s="1"/>
  <c r="L23" i="4"/>
  <c r="S96" i="1" s="1"/>
  <c r="J23" i="4"/>
  <c r="Q96" i="1" s="1"/>
  <c r="H23" i="4"/>
  <c r="O96" i="1" s="1"/>
  <c r="F23" i="4"/>
  <c r="M96" i="1" s="1"/>
  <c r="D23" i="4"/>
  <c r="K96" i="1" s="1"/>
  <c r="R22" i="4"/>
  <c r="Y95" i="1" s="1"/>
  <c r="P22" i="4"/>
  <c r="W95" i="1" s="1"/>
  <c r="N22" i="4"/>
  <c r="U95" i="1" s="1"/>
  <c r="L22" i="4"/>
  <c r="S95" i="1" s="1"/>
  <c r="J22" i="4"/>
  <c r="Q95" i="1" s="1"/>
  <c r="H22" i="4"/>
  <c r="O95" i="1" s="1"/>
  <c r="F22" i="4"/>
  <c r="M95" i="1" s="1"/>
  <c r="D22" i="4"/>
  <c r="K95" i="1" s="1"/>
  <c r="R21" i="4"/>
  <c r="Y94" i="1" s="1"/>
  <c r="P21" i="4"/>
  <c r="W94" i="1" s="1"/>
  <c r="N21" i="4"/>
  <c r="U94" i="1" s="1"/>
  <c r="L21" i="4"/>
  <c r="S94" i="1" s="1"/>
  <c r="J21" i="4"/>
  <c r="Q94" i="1" s="1"/>
  <c r="H21" i="4"/>
  <c r="O94" i="1" s="1"/>
  <c r="F21" i="4"/>
  <c r="M94" i="1" s="1"/>
  <c r="D21" i="4"/>
  <c r="K94" i="1" s="1"/>
  <c r="R20" i="4"/>
  <c r="S10" i="26" s="1"/>
  <c r="P20" i="4"/>
  <c r="Q10" i="26" s="1"/>
  <c r="N20" i="4"/>
  <c r="O10" i="26" s="1"/>
  <c r="L20" i="4"/>
  <c r="M10" i="26" s="1"/>
  <c r="J20" i="4"/>
  <c r="K10" i="26" s="1"/>
  <c r="H20" i="4"/>
  <c r="I10" i="26" s="1"/>
  <c r="F20" i="4"/>
  <c r="G10" i="26" s="1"/>
  <c r="D20" i="4"/>
  <c r="E10" i="26" s="1"/>
  <c r="R19" i="4"/>
  <c r="Y92" i="1" s="1"/>
  <c r="P19" i="4"/>
  <c r="W92" i="1" s="1"/>
  <c r="N19" i="4"/>
  <c r="U92" i="1" s="1"/>
  <c r="L19" i="4"/>
  <c r="S92" i="1" s="1"/>
  <c r="J19" i="4"/>
  <c r="Q92" i="1" s="1"/>
  <c r="H19" i="4"/>
  <c r="O92" i="1" s="1"/>
  <c r="F19" i="4"/>
  <c r="M92" i="1" s="1"/>
  <c r="D19" i="4"/>
  <c r="K92" i="1" s="1"/>
  <c r="R18" i="4"/>
  <c r="Y91" i="1" s="1"/>
  <c r="P18" i="4"/>
  <c r="W91" i="1" s="1"/>
  <c r="N18" i="4"/>
  <c r="U91" i="1" s="1"/>
  <c r="L18" i="4"/>
  <c r="S91" i="1" s="1"/>
  <c r="J18" i="4"/>
  <c r="Q91" i="1" s="1"/>
  <c r="H18" i="4"/>
  <c r="O91" i="1" s="1"/>
  <c r="F18" i="4"/>
  <c r="M91" i="1" s="1"/>
  <c r="D18" i="4"/>
  <c r="K91" i="1" s="1"/>
  <c r="R17" i="4"/>
  <c r="S7" i="26" s="1"/>
  <c r="P17" i="4"/>
  <c r="Q7" i="26" s="1"/>
  <c r="N17" i="4"/>
  <c r="O7" i="26" s="1"/>
  <c r="L17" i="4"/>
  <c r="M7" i="26" s="1"/>
  <c r="J17" i="4"/>
  <c r="K7" i="26" s="1"/>
  <c r="H17" i="4"/>
  <c r="I7" i="26" s="1"/>
  <c r="F17" i="4"/>
  <c r="G7" i="26" s="1"/>
  <c r="D17" i="4"/>
  <c r="E7" i="26" s="1"/>
  <c r="R16" i="4"/>
  <c r="S6" i="26" s="1"/>
  <c r="P16" i="4"/>
  <c r="Q6" i="26" s="1"/>
  <c r="N16" i="4"/>
  <c r="O6" i="26" s="1"/>
  <c r="L16" i="4"/>
  <c r="M6" i="26" s="1"/>
  <c r="J16" i="4"/>
  <c r="K6" i="26" s="1"/>
  <c r="H16" i="4"/>
  <c r="I6" i="26" s="1"/>
  <c r="F16" i="4"/>
  <c r="G6" i="26" s="1"/>
  <c r="D16" i="4"/>
  <c r="E6" i="26" s="1"/>
  <c r="S25" i="4"/>
  <c r="T15" i="26" s="1"/>
  <c r="Q25" i="4"/>
  <c r="R15" i="26" s="1"/>
  <c r="O25" i="4"/>
  <c r="P15" i="26" s="1"/>
  <c r="M25" i="4"/>
  <c r="N15" i="26" s="1"/>
  <c r="K25" i="4"/>
  <c r="L15" i="26" s="1"/>
  <c r="I25" i="4"/>
  <c r="J15" i="26" s="1"/>
  <c r="G25" i="4"/>
  <c r="H15" i="26" s="1"/>
  <c r="E25" i="4"/>
  <c r="F15" i="26" s="1"/>
  <c r="R26" i="4"/>
  <c r="Y99" i="1" s="1"/>
  <c r="P26" i="4"/>
  <c r="W99" i="1" s="1"/>
  <c r="N26" i="4"/>
  <c r="U99" i="1" s="1"/>
  <c r="L26" i="4"/>
  <c r="S99" i="1" s="1"/>
  <c r="J26" i="4"/>
  <c r="Q99" i="1" s="1"/>
  <c r="H26" i="4"/>
  <c r="O99" i="1" s="1"/>
  <c r="F26" i="4"/>
  <c r="M99" i="1" s="1"/>
  <c r="D26" i="4"/>
  <c r="K99" i="1" s="1"/>
  <c r="S27" i="4"/>
  <c r="T17" i="26" s="1"/>
  <c r="Q27" i="4"/>
  <c r="R17" i="26" s="1"/>
  <c r="O27" i="4"/>
  <c r="P17" i="26" s="1"/>
  <c r="M27" i="4"/>
  <c r="N17" i="26" s="1"/>
  <c r="K27" i="4"/>
  <c r="L17" i="26" s="1"/>
  <c r="I27" i="4"/>
  <c r="J17" i="26" s="1"/>
  <c r="G27" i="4"/>
  <c r="H17" i="26" s="1"/>
  <c r="E27" i="4"/>
  <c r="F17" i="26" s="1"/>
  <c r="S31" i="4"/>
  <c r="T21" i="26" s="1"/>
  <c r="Q31" i="4"/>
  <c r="R21" i="26" s="1"/>
  <c r="O31" i="4"/>
  <c r="P21" i="26" s="1"/>
  <c r="M31" i="4"/>
  <c r="N21" i="26" s="1"/>
  <c r="K31" i="4"/>
  <c r="L21" i="26" s="1"/>
  <c r="I31" i="4"/>
  <c r="J21" i="26" s="1"/>
  <c r="G31" i="4"/>
  <c r="H21" i="26" s="1"/>
  <c r="E31" i="4"/>
  <c r="F21" i="26" s="1"/>
  <c r="R33" i="4"/>
  <c r="Y106" i="1" s="1"/>
  <c r="P33" i="4"/>
  <c r="W106" i="1" s="1"/>
  <c r="N33" i="4"/>
  <c r="U106" i="1" s="1"/>
  <c r="L33" i="4"/>
  <c r="S106" i="1" s="1"/>
  <c r="J33" i="4"/>
  <c r="Q106" i="1" s="1"/>
  <c r="H33" i="4"/>
  <c r="O106" i="1" s="1"/>
  <c r="F33" i="4"/>
  <c r="M106" i="1" s="1"/>
  <c r="D33" i="4"/>
  <c r="K106" i="1" s="1"/>
  <c r="R32" i="4"/>
  <c r="Y105" i="1" s="1"/>
  <c r="P32" i="4"/>
  <c r="W105" i="1" s="1"/>
  <c r="N32" i="4"/>
  <c r="U105" i="1" s="1"/>
  <c r="L32" i="4"/>
  <c r="S105" i="1" s="1"/>
  <c r="J32" i="4"/>
  <c r="Q105" i="1" s="1"/>
  <c r="H32" i="4"/>
  <c r="O105" i="1" s="1"/>
  <c r="F32" i="4"/>
  <c r="M105" i="1" s="1"/>
  <c r="D32" i="4"/>
  <c r="K105" i="1" s="1"/>
  <c r="D15" i="4"/>
  <c r="E5" i="26" s="1"/>
  <c r="R15" i="4"/>
  <c r="S5" i="26" s="1"/>
  <c r="P15" i="4"/>
  <c r="Q5" i="26" s="1"/>
  <c r="N15" i="4"/>
  <c r="O5" i="26" s="1"/>
  <c r="L15" i="4"/>
  <c r="M5" i="26" s="1"/>
  <c r="J15" i="4"/>
  <c r="K5" i="26" s="1"/>
  <c r="H15" i="4"/>
  <c r="I5" i="26" s="1"/>
  <c r="F15" i="4"/>
  <c r="G5" i="26" s="1"/>
  <c r="S24" i="4"/>
  <c r="Z97" i="1" s="1"/>
  <c r="Q24" i="4"/>
  <c r="X97" i="1" s="1"/>
  <c r="O24" i="4"/>
  <c r="V97" i="1" s="1"/>
  <c r="M24" i="4"/>
  <c r="T97" i="1" s="1"/>
  <c r="K24" i="4"/>
  <c r="R97" i="1" s="1"/>
  <c r="I24" i="4"/>
  <c r="P97" i="1" s="1"/>
  <c r="G24" i="4"/>
  <c r="N97" i="1" s="1"/>
  <c r="E24" i="4"/>
  <c r="L97" i="1" s="1"/>
  <c r="S23" i="4"/>
  <c r="Z96" i="1" s="1"/>
  <c r="W23" i="4" s="1"/>
  <c r="Q23" i="4"/>
  <c r="X96" i="1" s="1"/>
  <c r="O23" i="4"/>
  <c r="V96" i="1" s="1"/>
  <c r="M23" i="4"/>
  <c r="T96" i="1" s="1"/>
  <c r="K23" i="4"/>
  <c r="R96" i="1" s="1"/>
  <c r="I23" i="4"/>
  <c r="P96" i="1" s="1"/>
  <c r="G23" i="4"/>
  <c r="N96" i="1" s="1"/>
  <c r="E23" i="4"/>
  <c r="L96" i="1" s="1"/>
  <c r="S22" i="4"/>
  <c r="Z95" i="1" s="1"/>
  <c r="W22" i="4" s="1"/>
  <c r="Q22" i="4"/>
  <c r="X95" i="1" s="1"/>
  <c r="O22" i="4"/>
  <c r="V95" i="1" s="1"/>
  <c r="M22" i="4"/>
  <c r="T95" i="1" s="1"/>
  <c r="K22" i="4"/>
  <c r="R95" i="1" s="1"/>
  <c r="I22" i="4"/>
  <c r="P95" i="1" s="1"/>
  <c r="G22" i="4"/>
  <c r="N95" i="1" s="1"/>
  <c r="E22" i="4"/>
  <c r="L95" i="1" s="1"/>
  <c r="S21" i="4"/>
  <c r="Z94" i="1" s="1"/>
  <c r="W21" i="4" s="1"/>
  <c r="Q21" i="4"/>
  <c r="X94" i="1" s="1"/>
  <c r="O21" i="4"/>
  <c r="V94" i="1" s="1"/>
  <c r="M21" i="4"/>
  <c r="T94" i="1" s="1"/>
  <c r="K21" i="4"/>
  <c r="R94" i="1" s="1"/>
  <c r="I21" i="4"/>
  <c r="P94" i="1" s="1"/>
  <c r="G21" i="4"/>
  <c r="N94" i="1" s="1"/>
  <c r="E21" i="4"/>
  <c r="L94" i="1" s="1"/>
  <c r="S20" i="4"/>
  <c r="T10" i="26" s="1"/>
  <c r="Q20" i="4"/>
  <c r="R10" i="26" s="1"/>
  <c r="O20" i="4"/>
  <c r="P10" i="26" s="1"/>
  <c r="M20" i="4"/>
  <c r="N10" i="26" s="1"/>
  <c r="K20" i="4"/>
  <c r="L10" i="26" s="1"/>
  <c r="I20" i="4"/>
  <c r="J10" i="26" s="1"/>
  <c r="G20" i="4"/>
  <c r="H10" i="26" s="1"/>
  <c r="E20" i="4"/>
  <c r="F10" i="26" s="1"/>
  <c r="S19" i="4"/>
  <c r="Z92" i="1" s="1"/>
  <c r="Q19" i="4"/>
  <c r="X92" i="1" s="1"/>
  <c r="O19" i="4"/>
  <c r="V92" i="1" s="1"/>
  <c r="M19" i="4"/>
  <c r="T92" i="1" s="1"/>
  <c r="K19" i="4"/>
  <c r="R92" i="1" s="1"/>
  <c r="I19" i="4"/>
  <c r="P92" i="1" s="1"/>
  <c r="G19" i="4"/>
  <c r="N92" i="1" s="1"/>
  <c r="E19" i="4"/>
  <c r="L92" i="1" s="1"/>
  <c r="S18" i="4"/>
  <c r="Z91" i="1" s="1"/>
  <c r="Q18" i="4"/>
  <c r="X91" i="1" s="1"/>
  <c r="O18" i="4"/>
  <c r="V91" i="1" s="1"/>
  <c r="M18" i="4"/>
  <c r="T91" i="1" s="1"/>
  <c r="K18" i="4"/>
  <c r="R91" i="1" s="1"/>
  <c r="I18" i="4"/>
  <c r="P91" i="1" s="1"/>
  <c r="G18" i="4"/>
  <c r="N91" i="1" s="1"/>
  <c r="E18" i="4"/>
  <c r="L91" i="1" s="1"/>
  <c r="S17" i="4"/>
  <c r="T7" i="26" s="1"/>
  <c r="Q17" i="4"/>
  <c r="R7" i="26" s="1"/>
  <c r="O17" i="4"/>
  <c r="P7" i="26" s="1"/>
  <c r="M17" i="4"/>
  <c r="N7" i="26" s="1"/>
  <c r="K17" i="4"/>
  <c r="L7" i="26" s="1"/>
  <c r="I17" i="4"/>
  <c r="J7" i="26" s="1"/>
  <c r="G17" i="4"/>
  <c r="H7" i="26" s="1"/>
  <c r="E17" i="4"/>
  <c r="F7" i="26" s="1"/>
  <c r="S16" i="4"/>
  <c r="T6" i="26" s="1"/>
  <c r="Q16" i="4"/>
  <c r="R6" i="26" s="1"/>
  <c r="O16" i="4"/>
  <c r="P6" i="26" s="1"/>
  <c r="M16" i="4"/>
  <c r="N6" i="26" s="1"/>
  <c r="K16" i="4"/>
  <c r="L6" i="26" s="1"/>
  <c r="I16" i="4"/>
  <c r="J6" i="26" s="1"/>
  <c r="G16" i="4"/>
  <c r="H6" i="26" s="1"/>
  <c r="E16" i="4"/>
  <c r="F6" i="26" s="1"/>
  <c r="D25" i="4"/>
  <c r="E15" i="26" s="1"/>
  <c r="R25" i="4"/>
  <c r="S15" i="26" s="1"/>
  <c r="P25" i="4"/>
  <c r="Q15" i="26" s="1"/>
  <c r="N25" i="4"/>
  <c r="O15" i="26" s="1"/>
  <c r="L25" i="4"/>
  <c r="M15" i="26" s="1"/>
  <c r="J25" i="4"/>
  <c r="K15" i="26" s="1"/>
  <c r="H25" i="4"/>
  <c r="I15" i="26" s="1"/>
  <c r="F25" i="4"/>
  <c r="G15" i="26" s="1"/>
  <c r="S26" i="4"/>
  <c r="Z99" i="1" s="1"/>
  <c r="C127" i="1" s="1"/>
  <c r="Q26" i="4"/>
  <c r="X99" i="1" s="1"/>
  <c r="O26" i="4"/>
  <c r="V99" i="1" s="1"/>
  <c r="M26" i="4"/>
  <c r="T99" i="1" s="1"/>
  <c r="K26" i="4"/>
  <c r="R99" i="1" s="1"/>
  <c r="I26" i="4"/>
  <c r="P99" i="1" s="1"/>
  <c r="G26" i="4"/>
  <c r="N99" i="1" s="1"/>
  <c r="E26" i="4"/>
  <c r="L99" i="1" s="1"/>
  <c r="D27" i="4"/>
  <c r="E17" i="26" s="1"/>
  <c r="R27" i="4"/>
  <c r="S17" i="26" s="1"/>
  <c r="P27" i="4"/>
  <c r="Q17" i="26" s="1"/>
  <c r="N27" i="4"/>
  <c r="O17" i="26" s="1"/>
  <c r="L27" i="4"/>
  <c r="M17" i="26" s="1"/>
  <c r="J27" i="4"/>
  <c r="K17" i="26" s="1"/>
  <c r="H27" i="4"/>
  <c r="I17" i="26" s="1"/>
  <c r="F27" i="4"/>
  <c r="G17" i="26" s="1"/>
  <c r="D31" i="4"/>
  <c r="E21" i="26" s="1"/>
  <c r="R31" i="4"/>
  <c r="S21" i="26" s="1"/>
  <c r="P31" i="4"/>
  <c r="Q21" i="26" s="1"/>
  <c r="N31" i="4"/>
  <c r="O21" i="26" s="1"/>
  <c r="L31" i="4"/>
  <c r="M21" i="26" s="1"/>
  <c r="J31" i="4"/>
  <c r="K21" i="26" s="1"/>
  <c r="H31" i="4"/>
  <c r="I21" i="26" s="1"/>
  <c r="F31" i="4"/>
  <c r="G21" i="26" s="1"/>
  <c r="S33" i="4"/>
  <c r="Z106" i="1" s="1"/>
  <c r="C135" i="1" s="1"/>
  <c r="Q33" i="4"/>
  <c r="X106" i="1" s="1"/>
  <c r="O33" i="4"/>
  <c r="V106" i="1" s="1"/>
  <c r="M33" i="4"/>
  <c r="T106" i="1" s="1"/>
  <c r="K33" i="4"/>
  <c r="R106" i="1" s="1"/>
  <c r="I33" i="4"/>
  <c r="P106" i="1" s="1"/>
  <c r="G33" i="4"/>
  <c r="N106" i="1" s="1"/>
  <c r="E33" i="4"/>
  <c r="L106" i="1" s="1"/>
  <c r="S32" i="4"/>
  <c r="Z105" i="1" s="1"/>
  <c r="C134" i="1" s="1"/>
  <c r="Q32" i="4"/>
  <c r="X105" i="1" s="1"/>
  <c r="O32" i="4"/>
  <c r="V105" i="1" s="1"/>
  <c r="M32" i="4"/>
  <c r="T105" i="1" s="1"/>
  <c r="K32" i="4"/>
  <c r="R105" i="1" s="1"/>
  <c r="I32" i="4"/>
  <c r="P105" i="1" s="1"/>
  <c r="G32" i="4"/>
  <c r="N105" i="1" s="1"/>
  <c r="E32" i="4"/>
  <c r="L105" i="1" s="1"/>
  <c r="W67" i="1"/>
  <c r="AK67" i="1"/>
  <c r="AI67" i="1"/>
  <c r="AG67" i="1"/>
  <c r="AE67" i="1"/>
  <c r="AC67" i="1"/>
  <c r="AA67" i="1"/>
  <c r="Y67" i="1"/>
  <c r="AK55" i="1"/>
  <c r="AY55" i="1"/>
  <c r="AW55" i="1"/>
  <c r="AU55" i="1"/>
  <c r="AS55" i="1"/>
  <c r="AQ55" i="1"/>
  <c r="AO55" i="1"/>
  <c r="AM55" i="1"/>
  <c r="F12" i="4"/>
  <c r="AL67" i="1"/>
  <c r="AJ67" i="1"/>
  <c r="AH67" i="1"/>
  <c r="AF67" i="1"/>
  <c r="AD67" i="1"/>
  <c r="AB67" i="1"/>
  <c r="Z67" i="1"/>
  <c r="X67" i="1"/>
  <c r="AZ55" i="1"/>
  <c r="AX55" i="1"/>
  <c r="AV55" i="1"/>
  <c r="AT55" i="1"/>
  <c r="AR55" i="1"/>
  <c r="AP55" i="1"/>
  <c r="AN55" i="1"/>
  <c r="AL55" i="1"/>
  <c r="F11" i="4"/>
  <c r="AI7" i="1"/>
  <c r="AG7" i="1"/>
  <c r="AE7" i="1"/>
  <c r="AC7" i="1"/>
  <c r="AA7" i="1"/>
  <c r="Y7" i="1"/>
  <c r="AL7" i="1"/>
  <c r="AJ7" i="1"/>
  <c r="AH25" i="1"/>
  <c r="AF25" i="1"/>
  <c r="AD25" i="1"/>
  <c r="AB25" i="1"/>
  <c r="Z25" i="1"/>
  <c r="X25" i="1"/>
  <c r="W7" i="1"/>
  <c r="AK7" i="1"/>
  <c r="AT297" i="3" l="1"/>
  <c r="N41" i="6"/>
  <c r="T41" i="6"/>
  <c r="I317" i="3"/>
  <c r="A40" i="15"/>
  <c r="A68" i="15"/>
  <c r="A15" i="15"/>
  <c r="A153" i="15"/>
  <c r="A133" i="15"/>
  <c r="A110" i="15"/>
  <c r="Q248" i="3"/>
  <c r="P248" i="3"/>
  <c r="L293" i="3"/>
  <c r="G169" i="15" s="1"/>
  <c r="O246" i="3"/>
  <c r="E75" i="14"/>
  <c r="O248" i="3"/>
  <c r="O247" i="3"/>
  <c r="E76" i="14"/>
  <c r="A155" i="15"/>
  <c r="A98" i="15"/>
  <c r="I211" i="3"/>
  <c r="I212" i="3"/>
  <c r="T182" i="15"/>
  <c r="L308" i="3"/>
  <c r="L305" i="3"/>
  <c r="G179" i="15" s="1"/>
  <c r="AH292" i="3"/>
  <c r="W669" i="3"/>
  <c r="Q64" i="20" s="1"/>
  <c r="I64" i="20"/>
  <c r="L51" i="23"/>
  <c r="K25" i="21"/>
  <c r="H25" i="21"/>
  <c r="K21" i="21"/>
  <c r="H21" i="21"/>
  <c r="K17" i="21"/>
  <c r="H17" i="21"/>
  <c r="K13" i="21"/>
  <c r="H13" i="21"/>
  <c r="K22" i="21"/>
  <c r="H22" i="21"/>
  <c r="K24" i="21"/>
  <c r="H24" i="21"/>
  <c r="K20" i="21"/>
  <c r="H20" i="21"/>
  <c r="K16" i="21"/>
  <c r="H16" i="21"/>
  <c r="K26" i="21"/>
  <c r="H26" i="21"/>
  <c r="K14" i="21"/>
  <c r="H14" i="21"/>
  <c r="K27" i="21"/>
  <c r="H27" i="21"/>
  <c r="K23" i="21"/>
  <c r="H23" i="21"/>
  <c r="K19" i="21"/>
  <c r="H19" i="21"/>
  <c r="K15" i="21"/>
  <c r="H15" i="21"/>
  <c r="K18" i="21"/>
  <c r="H18" i="21"/>
  <c r="O49" i="23"/>
  <c r="O44" i="23"/>
  <c r="L45" i="23"/>
  <c r="L55" i="23"/>
  <c r="O57" i="23"/>
  <c r="O56" i="23"/>
  <c r="O50" i="23"/>
  <c r="L48" i="23"/>
  <c r="O48" i="23"/>
  <c r="L43" i="23"/>
  <c r="O43" i="23"/>
  <c r="L52" i="23"/>
  <c r="O52" i="23"/>
  <c r="O47" i="23"/>
  <c r="L47" i="23"/>
  <c r="L46" i="23"/>
  <c r="O46" i="23"/>
  <c r="O54" i="23"/>
  <c r="L54" i="23"/>
  <c r="O53" i="23"/>
  <c r="L53" i="23"/>
  <c r="F683" i="3"/>
  <c r="A41" i="20"/>
  <c r="F671" i="3"/>
  <c r="S45" i="18"/>
  <c r="I72" i="20"/>
  <c r="N683" i="3"/>
  <c r="P679" i="3" s="1"/>
  <c r="L72" i="20" s="1"/>
  <c r="N15" i="20"/>
  <c r="N19" i="20" s="1"/>
  <c r="Q15" i="20"/>
  <c r="K15" i="20"/>
  <c r="E15" i="20"/>
  <c r="S15" i="20"/>
  <c r="L15" i="20"/>
  <c r="G15" i="20"/>
  <c r="G19" i="20" s="1"/>
  <c r="M15" i="20"/>
  <c r="H15" i="20"/>
  <c r="C15" i="20"/>
  <c r="O15" i="20"/>
  <c r="O19" i="20" s="1"/>
  <c r="I15" i="20"/>
  <c r="D15" i="20"/>
  <c r="J15" i="20"/>
  <c r="F15" i="20"/>
  <c r="L36" i="20"/>
  <c r="O36" i="20"/>
  <c r="Q36" i="20"/>
  <c r="E36" i="20"/>
  <c r="S36" i="20"/>
  <c r="G36" i="20"/>
  <c r="I36" i="20"/>
  <c r="A22" i="18"/>
  <c r="A46" i="18"/>
  <c r="A10" i="18"/>
  <c r="A34" i="18"/>
  <c r="Y303" i="3"/>
  <c r="S119" i="15"/>
  <c r="A120" i="15"/>
  <c r="A143" i="15"/>
  <c r="L304" i="3"/>
  <c r="G178" i="15" s="1"/>
  <c r="E182" i="15"/>
  <c r="L306" i="3"/>
  <c r="G180" i="15" s="1"/>
  <c r="L307" i="3"/>
  <c r="G181" i="15" s="1"/>
  <c r="A78" i="15"/>
  <c r="A25" i="15"/>
  <c r="A50" i="15"/>
  <c r="M91" i="4"/>
  <c r="M94" i="4" s="1"/>
  <c r="B311" i="3" s="1"/>
  <c r="P72" i="15"/>
  <c r="F444" i="3"/>
  <c r="I444" i="3" s="1"/>
  <c r="F443" i="3"/>
  <c r="F445" i="3"/>
  <c r="I445" i="3" s="1"/>
  <c r="G73" i="18" s="1"/>
  <c r="F447" i="3"/>
  <c r="I447" i="3" s="1"/>
  <c r="G75" i="18" s="1"/>
  <c r="N168" i="15"/>
  <c r="L294" i="3"/>
  <c r="G170" i="15" s="1"/>
  <c r="L296" i="3"/>
  <c r="L299" i="3"/>
  <c r="G174" i="15" s="1"/>
  <c r="E173" i="15"/>
  <c r="G245" i="3"/>
  <c r="E442" i="3"/>
  <c r="I459" i="3" s="1"/>
  <c r="AB150" i="3"/>
  <c r="C150" i="1"/>
  <c r="T57" i="10" s="1"/>
  <c r="J13" i="4"/>
  <c r="C103" i="1" s="1"/>
  <c r="J12" i="4"/>
  <c r="C102" i="1" s="1"/>
  <c r="C148" i="1"/>
  <c r="J11" i="4"/>
  <c r="C101" i="1" s="1"/>
  <c r="Q24" i="6"/>
  <c r="T17" i="6"/>
  <c r="T20" i="6"/>
  <c r="T23" i="6"/>
  <c r="Q22" i="6"/>
  <c r="Q25" i="6"/>
  <c r="O40" i="6"/>
  <c r="T14" i="6"/>
  <c r="T15" i="6"/>
  <c r="Q26" i="6"/>
  <c r="Q18" i="6"/>
  <c r="Q16" i="6"/>
  <c r="Q27" i="6"/>
  <c r="T28" i="6"/>
  <c r="Q21" i="6"/>
  <c r="Q19" i="6"/>
  <c r="Q40" i="6"/>
  <c r="N40" i="6"/>
  <c r="Q41" i="6"/>
  <c r="I66" i="20"/>
  <c r="N677" i="3"/>
  <c r="P675" i="3" s="1"/>
  <c r="L69" i="20" s="1"/>
  <c r="I73" i="20"/>
  <c r="Q73" i="20"/>
  <c r="Q71" i="20"/>
  <c r="I61" i="20"/>
  <c r="N671" i="3"/>
  <c r="X56" i="10"/>
  <c r="R56" i="10"/>
  <c r="Y56" i="10"/>
  <c r="S56" i="10"/>
  <c r="T56" i="10"/>
  <c r="W56" i="10"/>
  <c r="I67" i="20"/>
  <c r="Q67" i="20"/>
  <c r="L295" i="3"/>
  <c r="E172" i="15"/>
  <c r="W104" i="1"/>
  <c r="W100" i="1"/>
  <c r="O98" i="1"/>
  <c r="N89" i="1"/>
  <c r="V90" i="1"/>
  <c r="N93" i="1"/>
  <c r="W88" i="1"/>
  <c r="N104" i="1"/>
  <c r="N100" i="1"/>
  <c r="N98" i="1"/>
  <c r="M89" i="1"/>
  <c r="U90" i="1"/>
  <c r="M93" i="1"/>
  <c r="N88" i="1"/>
  <c r="M104" i="1"/>
  <c r="U100" i="1"/>
  <c r="U98" i="1"/>
  <c r="T89" i="1"/>
  <c r="L90" i="1"/>
  <c r="T93" i="1"/>
  <c r="M88" i="1"/>
  <c r="T104" i="1"/>
  <c r="L100" i="1"/>
  <c r="L98" i="1"/>
  <c r="S89" i="1"/>
  <c r="S90" i="1"/>
  <c r="S93" i="1"/>
  <c r="L88" i="1"/>
  <c r="P60" i="10"/>
  <c r="J60" i="10"/>
  <c r="K60" i="10"/>
  <c r="L60" i="10"/>
  <c r="O60" i="10"/>
  <c r="O61" i="10"/>
  <c r="K61" i="10"/>
  <c r="L61" i="10"/>
  <c r="P61" i="10"/>
  <c r="J61" i="10"/>
  <c r="S104" i="1"/>
  <c r="K100" i="1"/>
  <c r="K53" i="10"/>
  <c r="J53" i="10"/>
  <c r="L53" i="10"/>
  <c r="O53" i="10"/>
  <c r="P53" i="10"/>
  <c r="S98" i="1"/>
  <c r="R89" i="1"/>
  <c r="R90" i="1"/>
  <c r="R93" i="1"/>
  <c r="Q104" i="1"/>
  <c r="Y104" i="1"/>
  <c r="Q100" i="1"/>
  <c r="Y100" i="1"/>
  <c r="Q98" i="1"/>
  <c r="Y98" i="1"/>
  <c r="P89" i="1"/>
  <c r="X89" i="1"/>
  <c r="P90" i="1"/>
  <c r="X90" i="1"/>
  <c r="P93" i="1"/>
  <c r="X93" i="1"/>
  <c r="Q88" i="1"/>
  <c r="Y88" i="1"/>
  <c r="P104" i="1"/>
  <c r="X104" i="1"/>
  <c r="P100" i="1"/>
  <c r="X100" i="1"/>
  <c r="P98" i="1"/>
  <c r="X98" i="1"/>
  <c r="O89" i="1"/>
  <c r="W89" i="1"/>
  <c r="O90" i="1"/>
  <c r="W90" i="1"/>
  <c r="O93" i="1"/>
  <c r="W93" i="1"/>
  <c r="P88" i="1"/>
  <c r="X88" i="1"/>
  <c r="O104" i="1"/>
  <c r="O100" i="1"/>
  <c r="W98" i="1"/>
  <c r="V89" i="1"/>
  <c r="N90" i="1"/>
  <c r="V93" i="1"/>
  <c r="O88" i="1"/>
  <c r="V104" i="1"/>
  <c r="V100" i="1"/>
  <c r="V98" i="1"/>
  <c r="U89" i="1"/>
  <c r="M90" i="1"/>
  <c r="U93" i="1"/>
  <c r="AA20" i="4" s="1"/>
  <c r="V88" i="1"/>
  <c r="U104" i="1"/>
  <c r="M100" i="1"/>
  <c r="M98" i="1"/>
  <c r="L89" i="1"/>
  <c r="T90" i="1"/>
  <c r="L93" i="1"/>
  <c r="U88" i="1"/>
  <c r="AA15" i="4" s="1"/>
  <c r="L104" i="1"/>
  <c r="T100" i="1"/>
  <c r="T98" i="1"/>
  <c r="K89" i="1"/>
  <c r="K90" i="1"/>
  <c r="K93" i="1"/>
  <c r="T88" i="1"/>
  <c r="K104" i="1"/>
  <c r="S100" i="1"/>
  <c r="K98" i="1"/>
  <c r="Z89" i="1"/>
  <c r="W16" i="4" s="1"/>
  <c r="Z90" i="1"/>
  <c r="W17" i="4" s="1"/>
  <c r="Z93" i="1"/>
  <c r="W20" i="4" s="1"/>
  <c r="S88" i="1"/>
  <c r="K88" i="1"/>
  <c r="R104" i="1"/>
  <c r="Z104" i="1"/>
  <c r="W31" i="4" s="1"/>
  <c r="R100" i="1"/>
  <c r="Z100" i="1"/>
  <c r="R98" i="1"/>
  <c r="Z98" i="1"/>
  <c r="Q89" i="1"/>
  <c r="Y89" i="1"/>
  <c r="Q90" i="1"/>
  <c r="Y90" i="1"/>
  <c r="Q93" i="1"/>
  <c r="Y93" i="1"/>
  <c r="R88" i="1"/>
  <c r="Z88" i="1"/>
  <c r="L292" i="3"/>
  <c r="AA33" i="4"/>
  <c r="AA32" i="4"/>
  <c r="H64" i="4"/>
  <c r="AA23" i="4"/>
  <c r="AA21" i="4"/>
  <c r="AA19" i="4"/>
  <c r="AA26" i="4"/>
  <c r="AA24" i="4"/>
  <c r="AA22" i="4"/>
  <c r="AA18" i="4"/>
  <c r="W38" i="4" l="1"/>
  <c r="R68" i="15"/>
  <c r="G250" i="3"/>
  <c r="G252" i="3"/>
  <c r="J252" i="3" s="1"/>
  <c r="G251" i="3"/>
  <c r="J251" i="3" s="1"/>
  <c r="G253" i="3"/>
  <c r="J253" i="3" s="1"/>
  <c r="AR294" i="3"/>
  <c r="P170" i="15" s="1"/>
  <c r="AR296" i="3"/>
  <c r="N172" i="15"/>
  <c r="AR293" i="3"/>
  <c r="P169" i="15" s="1"/>
  <c r="D86" i="4"/>
  <c r="E154" i="15"/>
  <c r="S13" i="14"/>
  <c r="O13" i="14"/>
  <c r="A13" i="14"/>
  <c r="I13" i="14"/>
  <c r="C13" i="14"/>
  <c r="F13" i="14"/>
  <c r="P666" i="3"/>
  <c r="L61" i="20" s="1"/>
  <c r="P669" i="3"/>
  <c r="L64" i="20" s="1"/>
  <c r="W15" i="4"/>
  <c r="W37" i="4" s="1"/>
  <c r="W25" i="4"/>
  <c r="W45" i="4" s="1"/>
  <c r="X25" i="4"/>
  <c r="X45" i="4" s="1"/>
  <c r="Y55" i="10"/>
  <c r="AA25" i="4"/>
  <c r="AJ25" i="4" s="1"/>
  <c r="AK25" i="4" s="1"/>
  <c r="AA31" i="4"/>
  <c r="AE31" i="4" s="1"/>
  <c r="AF31" i="4" s="1"/>
  <c r="AA16" i="4"/>
  <c r="AJ16" i="4" s="1"/>
  <c r="AK16" i="4" s="1"/>
  <c r="AA27" i="4"/>
  <c r="AJ27" i="4" s="1"/>
  <c r="AA17" i="4"/>
  <c r="AJ17" i="4" s="1"/>
  <c r="AK17" i="4" s="1"/>
  <c r="C129" i="1"/>
  <c r="P55" i="10" s="1"/>
  <c r="B31" i="26"/>
  <c r="Q18" i="26"/>
  <c r="M18" i="26"/>
  <c r="I18" i="26"/>
  <c r="E18" i="26"/>
  <c r="J43" i="26"/>
  <c r="K43" i="26" s="1"/>
  <c r="N18" i="26"/>
  <c r="A18" i="26"/>
  <c r="T18" i="26"/>
  <c r="P18" i="26"/>
  <c r="L18" i="26"/>
  <c r="H18" i="26"/>
  <c r="J18" i="26"/>
  <c r="L43" i="26"/>
  <c r="S18" i="26"/>
  <c r="O18" i="26"/>
  <c r="K18" i="26"/>
  <c r="G18" i="26"/>
  <c r="B18" i="26"/>
  <c r="R18" i="26"/>
  <c r="F18" i="26"/>
  <c r="L44" i="26"/>
  <c r="R19" i="26"/>
  <c r="N19" i="26"/>
  <c r="J19" i="26"/>
  <c r="F19" i="26"/>
  <c r="A19" i="26"/>
  <c r="S19" i="26"/>
  <c r="K19" i="26"/>
  <c r="J44" i="26"/>
  <c r="K44" i="26" s="1"/>
  <c r="Q19" i="26"/>
  <c r="M19" i="26"/>
  <c r="I19" i="26"/>
  <c r="E19" i="26"/>
  <c r="G19" i="26"/>
  <c r="B32" i="26"/>
  <c r="T19" i="26"/>
  <c r="P19" i="26"/>
  <c r="L19" i="26"/>
  <c r="H19" i="26"/>
  <c r="O19" i="26"/>
  <c r="B19" i="26"/>
  <c r="B33" i="26"/>
  <c r="S20" i="26"/>
  <c r="O20" i="26"/>
  <c r="K20" i="26"/>
  <c r="G20" i="26"/>
  <c r="B20" i="26"/>
  <c r="L20" i="26"/>
  <c r="L45" i="26"/>
  <c r="R20" i="26"/>
  <c r="N20" i="26"/>
  <c r="J20" i="26"/>
  <c r="F20" i="26"/>
  <c r="A20" i="26"/>
  <c r="P20" i="26"/>
  <c r="J45" i="26"/>
  <c r="K45" i="26" s="1"/>
  <c r="Q20" i="26"/>
  <c r="M20" i="26"/>
  <c r="I20" i="26"/>
  <c r="E20" i="26"/>
  <c r="T20" i="26"/>
  <c r="H20" i="26"/>
  <c r="T172" i="15"/>
  <c r="X46" i="4"/>
  <c r="H63" i="4"/>
  <c r="W46" i="4"/>
  <c r="X55" i="10"/>
  <c r="L298" i="3"/>
  <c r="G173" i="15" s="1"/>
  <c r="T177" i="15"/>
  <c r="P680" i="3"/>
  <c r="L73" i="20" s="1"/>
  <c r="H688" i="3"/>
  <c r="H689" i="3"/>
  <c r="AR295" i="3"/>
  <c r="P171" i="15" s="1"/>
  <c r="P678" i="3"/>
  <c r="L71" i="20" s="1"/>
  <c r="I75" i="20"/>
  <c r="I443" i="3"/>
  <c r="E76" i="18"/>
  <c r="O31" i="20"/>
  <c r="L31" i="20"/>
  <c r="Q31" i="20"/>
  <c r="I31" i="20"/>
  <c r="G31" i="20"/>
  <c r="E31" i="20"/>
  <c r="N10" i="20"/>
  <c r="M10" i="20"/>
  <c r="H10" i="20"/>
  <c r="C10" i="20"/>
  <c r="O10" i="20"/>
  <c r="I10" i="20"/>
  <c r="D10" i="20"/>
  <c r="Q10" i="20"/>
  <c r="K10" i="20"/>
  <c r="E10" i="20"/>
  <c r="S10" i="20"/>
  <c r="L10" i="20"/>
  <c r="G10" i="20"/>
  <c r="J10" i="20"/>
  <c r="F10" i="20"/>
  <c r="H257" i="3"/>
  <c r="AR292" i="3"/>
  <c r="P168" i="15" s="1"/>
  <c r="E177" i="15"/>
  <c r="L302" i="3"/>
  <c r="L301" i="3"/>
  <c r="G176" i="15" s="1"/>
  <c r="L300" i="3"/>
  <c r="G175" i="15" s="1"/>
  <c r="G249" i="3"/>
  <c r="J245" i="3"/>
  <c r="R55" i="10"/>
  <c r="L103" i="1"/>
  <c r="R57" i="10"/>
  <c r="H65" i="4"/>
  <c r="Y57" i="10"/>
  <c r="M103" i="1"/>
  <c r="S57" i="10"/>
  <c r="W103" i="1"/>
  <c r="W57" i="10"/>
  <c r="W55" i="10"/>
  <c r="R103" i="1"/>
  <c r="X57" i="10"/>
  <c r="R102" i="1"/>
  <c r="O102" i="1"/>
  <c r="Q102" i="1"/>
  <c r="K103" i="1"/>
  <c r="T103" i="1"/>
  <c r="Z103" i="1"/>
  <c r="S103" i="1"/>
  <c r="X103" i="1"/>
  <c r="Y103" i="1"/>
  <c r="N103" i="1"/>
  <c r="P103" i="1"/>
  <c r="Q103" i="1"/>
  <c r="V103" i="1"/>
  <c r="O103" i="1"/>
  <c r="U103" i="1"/>
  <c r="P102" i="1"/>
  <c r="T102" i="1"/>
  <c r="W102" i="1"/>
  <c r="X102" i="1"/>
  <c r="K102" i="1"/>
  <c r="L102" i="1"/>
  <c r="M102" i="1"/>
  <c r="N102" i="1"/>
  <c r="T55" i="10"/>
  <c r="S102" i="1"/>
  <c r="U102" i="1"/>
  <c r="V102" i="1"/>
  <c r="Y102" i="1"/>
  <c r="Z102" i="1"/>
  <c r="W29" i="4" s="1"/>
  <c r="AC143" i="1"/>
  <c r="S55" i="10"/>
  <c r="W101" i="1"/>
  <c r="U101" i="1"/>
  <c r="AA28" i="4" s="1"/>
  <c r="AE28" i="4" s="1"/>
  <c r="AF28" i="4" s="1"/>
  <c r="T101" i="1"/>
  <c r="Q101" i="1"/>
  <c r="P101" i="1"/>
  <c r="M101" i="1"/>
  <c r="L101" i="1"/>
  <c r="K101" i="1"/>
  <c r="Z101" i="1"/>
  <c r="W28" i="4" s="1"/>
  <c r="Y101" i="1"/>
  <c r="X101" i="1"/>
  <c r="V101" i="1"/>
  <c r="S101" i="1"/>
  <c r="R101" i="1"/>
  <c r="O101" i="1"/>
  <c r="N101" i="1"/>
  <c r="L40" i="6"/>
  <c r="O41" i="6"/>
  <c r="C126" i="1"/>
  <c r="P52" i="10" s="1"/>
  <c r="Q61" i="20"/>
  <c r="W671" i="3"/>
  <c r="Q65" i="20" s="1"/>
  <c r="Q66" i="20"/>
  <c r="W677" i="3"/>
  <c r="Q70" i="20" s="1"/>
  <c r="S42" i="6"/>
  <c r="L42" i="6" s="1"/>
  <c r="C133" i="1"/>
  <c r="P59" i="10" s="1"/>
  <c r="W683" i="3"/>
  <c r="Q75" i="20" s="1"/>
  <c r="P668" i="3"/>
  <c r="L63" i="20" s="1"/>
  <c r="I65" i="20"/>
  <c r="P667" i="3"/>
  <c r="L62" i="20" s="1"/>
  <c r="P672" i="3"/>
  <c r="L66" i="20" s="1"/>
  <c r="I70" i="20"/>
  <c r="P673" i="3"/>
  <c r="L67" i="20" s="1"/>
  <c r="P674" i="3"/>
  <c r="L68" i="20" s="1"/>
  <c r="G171" i="15"/>
  <c r="G168" i="15"/>
  <c r="C128" i="1"/>
  <c r="P54" i="10" s="1"/>
  <c r="AJ20" i="4"/>
  <c r="AK20" i="4" s="1"/>
  <c r="AE20" i="4"/>
  <c r="AF20" i="4" s="1"/>
  <c r="AJ24" i="4"/>
  <c r="AE24" i="4"/>
  <c r="AJ21" i="4"/>
  <c r="AK21" i="4" s="1"/>
  <c r="AE21" i="4"/>
  <c r="AF21" i="4" s="1"/>
  <c r="AJ18" i="4"/>
  <c r="AE18" i="4"/>
  <c r="AJ22" i="4"/>
  <c r="AK22" i="4" s="1"/>
  <c r="AE22" i="4"/>
  <c r="AF22" i="4" s="1"/>
  <c r="AJ26" i="4"/>
  <c r="AE26" i="4"/>
  <c r="AJ15" i="4"/>
  <c r="AK15" i="4" s="1"/>
  <c r="AE15" i="4"/>
  <c r="AF15" i="4" s="1"/>
  <c r="AJ19" i="4"/>
  <c r="AE19" i="4"/>
  <c r="AJ23" i="4"/>
  <c r="AK23" i="4" s="1"/>
  <c r="AE23" i="4"/>
  <c r="AF23" i="4" s="1"/>
  <c r="C132" i="1" l="1"/>
  <c r="O58" i="10" s="1"/>
  <c r="W30" i="4"/>
  <c r="Q253" i="3"/>
  <c r="P253" i="3"/>
  <c r="E74" i="14"/>
  <c r="O253" i="3"/>
  <c r="O251" i="3"/>
  <c r="E79" i="14"/>
  <c r="O252" i="3"/>
  <c r="E80" i="14"/>
  <c r="G254" i="3"/>
  <c r="J250" i="3"/>
  <c r="N19" i="10"/>
  <c r="D19" i="10"/>
  <c r="Q19" i="10"/>
  <c r="U19" i="10"/>
  <c r="E19" i="10"/>
  <c r="AE16" i="4"/>
  <c r="AF16" i="4" s="1"/>
  <c r="C131" i="1"/>
  <c r="K57" i="10" s="1"/>
  <c r="AJ31" i="4"/>
  <c r="AK31" i="4" s="1"/>
  <c r="AE17" i="4"/>
  <c r="AF17" i="4" s="1"/>
  <c r="AE25" i="4"/>
  <c r="AF25" i="4" s="1"/>
  <c r="AE27" i="4"/>
  <c r="AA30" i="4"/>
  <c r="AE30" i="4" s="1"/>
  <c r="AF30" i="4" s="1"/>
  <c r="AA29" i="4"/>
  <c r="AE29" i="4" s="1"/>
  <c r="AF29" i="4" s="1"/>
  <c r="K55" i="10"/>
  <c r="L55" i="10"/>
  <c r="W39" i="4"/>
  <c r="AA124" i="1" s="1"/>
  <c r="W47" i="4"/>
  <c r="AA125" i="1" s="1"/>
  <c r="X47" i="4"/>
  <c r="S32" i="6"/>
  <c r="A32" i="26"/>
  <c r="I44" i="26"/>
  <c r="A31" i="26"/>
  <c r="I43" i="26"/>
  <c r="A33" i="26"/>
  <c r="I45" i="26"/>
  <c r="Q33" i="26"/>
  <c r="F33" i="26"/>
  <c r="C33" i="26"/>
  <c r="S33" i="26"/>
  <c r="P33" i="26"/>
  <c r="M33" i="26"/>
  <c r="J33" i="26"/>
  <c r="G33" i="26"/>
  <c r="D33" i="26"/>
  <c r="T33" i="26"/>
  <c r="N33" i="26"/>
  <c r="K33" i="26"/>
  <c r="H33" i="26"/>
  <c r="E33" i="26"/>
  <c r="R33" i="26"/>
  <c r="O33" i="26"/>
  <c r="L33" i="26"/>
  <c r="I33" i="26"/>
  <c r="J32" i="26"/>
  <c r="F32" i="26"/>
  <c r="Q32" i="26"/>
  <c r="T32" i="26"/>
  <c r="D32" i="26"/>
  <c r="G32" i="26"/>
  <c r="M32" i="26"/>
  <c r="P32" i="26"/>
  <c r="S32" i="26"/>
  <c r="C32" i="26"/>
  <c r="I32" i="26"/>
  <c r="L32" i="26"/>
  <c r="O32" i="26"/>
  <c r="R32" i="26"/>
  <c r="E32" i="26"/>
  <c r="H32" i="26"/>
  <c r="K32" i="26"/>
  <c r="N32" i="26"/>
  <c r="J31" i="26"/>
  <c r="N31" i="26"/>
  <c r="I31" i="26"/>
  <c r="L31" i="26"/>
  <c r="O31" i="26"/>
  <c r="R31" i="26"/>
  <c r="E31" i="26"/>
  <c r="H31" i="26"/>
  <c r="K31" i="26"/>
  <c r="Q31" i="26"/>
  <c r="T31" i="26"/>
  <c r="D31" i="26"/>
  <c r="G31" i="26"/>
  <c r="M31" i="26"/>
  <c r="P31" i="26"/>
  <c r="S31" i="26"/>
  <c r="C31" i="26"/>
  <c r="F31" i="26"/>
  <c r="X68" i="10"/>
  <c r="E7" i="25"/>
  <c r="C24" i="24"/>
  <c r="R34" i="6"/>
  <c r="L34" i="6" s="1"/>
  <c r="C27" i="24"/>
  <c r="H690" i="3"/>
  <c r="G71" i="18"/>
  <c r="I449" i="3"/>
  <c r="G76" i="18" s="1"/>
  <c r="J249" i="3"/>
  <c r="E77" i="14" s="1"/>
  <c r="O245" i="3"/>
  <c r="AJ28" i="4"/>
  <c r="AK28" i="4" s="1"/>
  <c r="S12" i="6"/>
  <c r="C130" i="1"/>
  <c r="J52" i="10"/>
  <c r="O59" i="10"/>
  <c r="O52" i="10"/>
  <c r="K52" i="10"/>
  <c r="J59" i="10"/>
  <c r="L59" i="10"/>
  <c r="L52" i="10"/>
  <c r="K59" i="10"/>
  <c r="T42" i="6"/>
  <c r="C92" i="4"/>
  <c r="D92" i="4" s="1"/>
  <c r="C91" i="4"/>
  <c r="D91" i="4" s="1"/>
  <c r="K54" i="10"/>
  <c r="L54" i="10"/>
  <c r="AP23" i="4"/>
  <c r="AP19" i="4"/>
  <c r="AP15" i="4"/>
  <c r="AP26" i="4"/>
  <c r="AP22" i="4"/>
  <c r="AP18" i="4"/>
  <c r="AP27" i="4"/>
  <c r="AP25" i="4"/>
  <c r="AP21" i="4"/>
  <c r="AP17" i="4"/>
  <c r="AP24" i="4"/>
  <c r="AP20" i="4"/>
  <c r="AP16" i="4"/>
  <c r="E58" i="4"/>
  <c r="F58" i="4" s="1"/>
  <c r="E56" i="4"/>
  <c r="E55" i="4"/>
  <c r="F55" i="4" s="1"/>
  <c r="E57" i="4"/>
  <c r="F57" i="4" s="1"/>
  <c r="E54" i="4"/>
  <c r="K58" i="10" l="1"/>
  <c r="L58" i="10"/>
  <c r="P58" i="10"/>
  <c r="J58" i="10"/>
  <c r="J57" i="10"/>
  <c r="O56" i="10"/>
  <c r="P56" i="10"/>
  <c r="G20" i="25"/>
  <c r="E20" i="25"/>
  <c r="E78" i="14"/>
  <c r="O250" i="3"/>
  <c r="O254" i="3" s="1"/>
  <c r="J254" i="3"/>
  <c r="E81" i="14" s="1"/>
  <c r="T32" i="6"/>
  <c r="L32" i="6"/>
  <c r="S28" i="1"/>
  <c r="S29" i="1"/>
  <c r="AF27" i="4" s="1"/>
  <c r="O57" i="10"/>
  <c r="P57" i="10"/>
  <c r="L57" i="10"/>
  <c r="AJ30" i="4"/>
  <c r="AJ29" i="4"/>
  <c r="AK29" i="4" s="1"/>
  <c r="N11" i="20"/>
  <c r="N14" i="20" s="1"/>
  <c r="S11" i="20"/>
  <c r="L11" i="20"/>
  <c r="G11" i="20"/>
  <c r="G14" i="20" s="1"/>
  <c r="M11" i="20"/>
  <c r="H11" i="20"/>
  <c r="C11" i="20"/>
  <c r="O11" i="20"/>
  <c r="O14" i="20" s="1"/>
  <c r="I11" i="20"/>
  <c r="D11" i="20"/>
  <c r="Q11" i="20"/>
  <c r="K11" i="20"/>
  <c r="E11" i="20"/>
  <c r="J11" i="20"/>
  <c r="F11" i="20"/>
  <c r="O32" i="20"/>
  <c r="L32" i="20"/>
  <c r="E32" i="20"/>
  <c r="S32" i="20"/>
  <c r="Q32" i="20"/>
  <c r="I32" i="20"/>
  <c r="G32" i="20"/>
  <c r="O249" i="3"/>
  <c r="H258" i="3" s="1"/>
  <c r="C26" i="24" s="1"/>
  <c r="J56" i="10"/>
  <c r="K56" i="10"/>
  <c r="L56" i="10"/>
  <c r="AP28" i="4"/>
  <c r="F54" i="4"/>
  <c r="D44" i="10"/>
  <c r="D93" i="4"/>
  <c r="B684" i="3" s="1"/>
  <c r="F56" i="4"/>
  <c r="D46" i="10"/>
  <c r="AP30" i="4" l="1"/>
  <c r="AK30" i="4"/>
  <c r="S20" i="10"/>
  <c r="M129" i="1"/>
  <c r="O55" i="10" s="1"/>
  <c r="W27" i="4"/>
  <c r="AK27" i="4"/>
  <c r="M128" i="1"/>
  <c r="O54" i="10" s="1"/>
  <c r="S19" i="10"/>
  <c r="AP29" i="4"/>
  <c r="C156" i="1"/>
  <c r="G57" i="4"/>
  <c r="C155" i="1"/>
  <c r="A45" i="6" s="1"/>
  <c r="G56" i="4"/>
  <c r="C157" i="1"/>
  <c r="G58" i="4"/>
  <c r="C154" i="1"/>
  <c r="G55" i="4"/>
  <c r="C108" i="1" s="1"/>
  <c r="C153" i="1"/>
  <c r="A43" i="6" s="1"/>
  <c r="G54" i="4"/>
  <c r="C107" i="1" s="1"/>
  <c r="AP37" i="4" l="1"/>
  <c r="C160" i="1"/>
  <c r="C43" i="1"/>
  <c r="B24" i="26"/>
  <c r="A24" i="26"/>
  <c r="C24" i="26"/>
  <c r="T25" i="26"/>
  <c r="P25" i="26"/>
  <c r="L25" i="26"/>
  <c r="H25" i="26"/>
  <c r="C25" i="26"/>
  <c r="M25" i="26"/>
  <c r="S25" i="26"/>
  <c r="O25" i="26"/>
  <c r="K25" i="26"/>
  <c r="G25" i="26"/>
  <c r="B25" i="26"/>
  <c r="Q25" i="26"/>
  <c r="E25" i="26"/>
  <c r="R25" i="26"/>
  <c r="N25" i="26"/>
  <c r="J25" i="26"/>
  <c r="F25" i="26"/>
  <c r="A25" i="26"/>
  <c r="I25" i="26"/>
  <c r="H66" i="4"/>
  <c r="X60" i="10"/>
  <c r="R60" i="10"/>
  <c r="T60" i="10"/>
  <c r="W60" i="10"/>
  <c r="Y60" i="10"/>
  <c r="S60" i="10"/>
  <c r="H70" i="4"/>
  <c r="X64" i="10"/>
  <c r="R64" i="10"/>
  <c r="T64" i="10"/>
  <c r="W64" i="10"/>
  <c r="Y64" i="10"/>
  <c r="S64" i="10"/>
  <c r="H69" i="4"/>
  <c r="T63" i="10"/>
  <c r="R63" i="10"/>
  <c r="S63" i="10"/>
  <c r="W63" i="10"/>
  <c r="X63" i="10"/>
  <c r="Y63" i="10"/>
  <c r="H67" i="4"/>
  <c r="T61" i="10"/>
  <c r="X61" i="10"/>
  <c r="Y61" i="10"/>
  <c r="W61" i="10"/>
  <c r="R61" i="10"/>
  <c r="S61" i="10"/>
  <c r="H68" i="4"/>
  <c r="X62" i="10"/>
  <c r="R62" i="10"/>
  <c r="Y62" i="10"/>
  <c r="S62" i="10"/>
  <c r="T62" i="10"/>
  <c r="W62" i="10"/>
  <c r="G34" i="4"/>
  <c r="H24" i="26" s="1"/>
  <c r="M34" i="4"/>
  <c r="N24" i="26" s="1"/>
  <c r="Q34" i="4"/>
  <c r="R24" i="26" s="1"/>
  <c r="F34" i="4"/>
  <c r="G24" i="26" s="1"/>
  <c r="J34" i="4"/>
  <c r="K24" i="26" s="1"/>
  <c r="N34" i="4"/>
  <c r="O24" i="26" s="1"/>
  <c r="R34" i="4"/>
  <c r="S24" i="26" s="1"/>
  <c r="E34" i="4"/>
  <c r="F24" i="26" s="1"/>
  <c r="I34" i="4"/>
  <c r="J24" i="26" s="1"/>
  <c r="K34" i="4"/>
  <c r="L24" i="26" s="1"/>
  <c r="O34" i="4"/>
  <c r="P24" i="26" s="1"/>
  <c r="S34" i="4"/>
  <c r="T24" i="26" s="1"/>
  <c r="D34" i="4"/>
  <c r="E24" i="26" s="1"/>
  <c r="H34" i="4"/>
  <c r="I24" i="26" s="1"/>
  <c r="L34" i="4"/>
  <c r="M24" i="26" s="1"/>
  <c r="P34" i="4"/>
  <c r="Q24" i="26" s="1"/>
  <c r="E35" i="4"/>
  <c r="L108" i="1" s="1"/>
  <c r="I35" i="4"/>
  <c r="P108" i="1" s="1"/>
  <c r="K35" i="4"/>
  <c r="R108" i="1" s="1"/>
  <c r="O35" i="4"/>
  <c r="V108" i="1" s="1"/>
  <c r="S35" i="4"/>
  <c r="Z108" i="1" s="1"/>
  <c r="D35" i="4"/>
  <c r="K108" i="1" s="1"/>
  <c r="H35" i="4"/>
  <c r="O108" i="1" s="1"/>
  <c r="L35" i="4"/>
  <c r="S108" i="1" s="1"/>
  <c r="P35" i="4"/>
  <c r="W108" i="1" s="1"/>
  <c r="G35" i="4"/>
  <c r="N108" i="1" s="1"/>
  <c r="M35" i="4"/>
  <c r="T108" i="1" s="1"/>
  <c r="Q35" i="4"/>
  <c r="X108" i="1" s="1"/>
  <c r="F35" i="4"/>
  <c r="M108" i="1" s="1"/>
  <c r="J35" i="4"/>
  <c r="Q108" i="1" s="1"/>
  <c r="N35" i="4"/>
  <c r="U108" i="1" s="1"/>
  <c r="AA35" i="4" s="1"/>
  <c r="AE35" i="4" s="1"/>
  <c r="R35" i="4"/>
  <c r="Y108" i="1" s="1"/>
  <c r="C109" i="1"/>
  <c r="B26" i="26" l="1"/>
  <c r="C25" i="10"/>
  <c r="S107" i="1"/>
  <c r="S109" i="1" s="1"/>
  <c r="E10" i="25" s="1"/>
  <c r="Y107" i="1"/>
  <c r="Y109" i="1" s="1"/>
  <c r="X107" i="1"/>
  <c r="X109" i="1" s="1"/>
  <c r="E15" i="25" s="1"/>
  <c r="W107" i="1"/>
  <c r="W109" i="1" s="1"/>
  <c r="E14" i="25" s="1"/>
  <c r="Z107" i="1"/>
  <c r="W34" i="4" s="1"/>
  <c r="L107" i="1"/>
  <c r="L109" i="1" s="1"/>
  <c r="J13" i="21" s="1"/>
  <c r="M107" i="1"/>
  <c r="M109" i="1" s="1"/>
  <c r="J14" i="21" s="1"/>
  <c r="K107" i="1"/>
  <c r="K109" i="1" s="1"/>
  <c r="J12" i="21" s="1"/>
  <c r="P107" i="1"/>
  <c r="P109" i="1" s="1"/>
  <c r="J17" i="21" s="1"/>
  <c r="Q107" i="1"/>
  <c r="Q109" i="1" s="1"/>
  <c r="N107" i="1"/>
  <c r="N109" i="1" s="1"/>
  <c r="J15" i="21" s="1"/>
  <c r="O107" i="1"/>
  <c r="O109" i="1" s="1"/>
  <c r="J16" i="21" s="1"/>
  <c r="R107" i="1"/>
  <c r="R109" i="1" s="1"/>
  <c r="J19" i="21" s="1"/>
  <c r="U107" i="1"/>
  <c r="AA34" i="4" s="1"/>
  <c r="T107" i="1"/>
  <c r="T109" i="1" s="1"/>
  <c r="V107" i="1"/>
  <c r="V109" i="1" s="1"/>
  <c r="E13" i="25" s="1"/>
  <c r="C32" i="6"/>
  <c r="G32" i="6"/>
  <c r="A32" i="6"/>
  <c r="C145" i="1"/>
  <c r="E6" i="25" s="1"/>
  <c r="AJ33" i="4"/>
  <c r="AE33" i="4"/>
  <c r="C137" i="1"/>
  <c r="AJ35" i="4"/>
  <c r="J18" i="21" l="1"/>
  <c r="E9" i="25"/>
  <c r="J21" i="21"/>
  <c r="E11" i="25"/>
  <c r="J20" i="21"/>
  <c r="H79" i="4"/>
  <c r="P26" i="26"/>
  <c r="J23" i="21"/>
  <c r="H82" i="4"/>
  <c r="J24" i="21"/>
  <c r="S26" i="26"/>
  <c r="J26" i="21"/>
  <c r="R26" i="26"/>
  <c r="J25" i="21"/>
  <c r="W41" i="4"/>
  <c r="X16" i="28"/>
  <c r="X16" i="29"/>
  <c r="X16" i="27"/>
  <c r="N49" i="23"/>
  <c r="C135" i="4"/>
  <c r="N47" i="23"/>
  <c r="C133" i="4"/>
  <c r="C136" i="4"/>
  <c r="M26" i="26"/>
  <c r="I26" i="26"/>
  <c r="C132" i="4"/>
  <c r="N42" i="23"/>
  <c r="C127" i="4"/>
  <c r="C128" i="4"/>
  <c r="Q26" i="26"/>
  <c r="N26" i="26"/>
  <c r="H80" i="4"/>
  <c r="N45" i="23"/>
  <c r="C131" i="4"/>
  <c r="C130" i="4"/>
  <c r="J26" i="26"/>
  <c r="K26" i="26"/>
  <c r="C134" i="4"/>
  <c r="F26" i="26"/>
  <c r="C129" i="4"/>
  <c r="L26" i="26"/>
  <c r="G26" i="26"/>
  <c r="E26" i="26"/>
  <c r="H26" i="26"/>
  <c r="N44" i="23"/>
  <c r="C34" i="24"/>
  <c r="N50" i="23"/>
  <c r="G10" i="25"/>
  <c r="C37" i="24"/>
  <c r="N53" i="23"/>
  <c r="C40" i="24"/>
  <c r="N46" i="23"/>
  <c r="C35" i="24"/>
  <c r="N48" i="23"/>
  <c r="C36" i="24"/>
  <c r="N43" i="23"/>
  <c r="C33" i="24"/>
  <c r="N54" i="23"/>
  <c r="C41" i="24"/>
  <c r="N56" i="23"/>
  <c r="C43" i="24"/>
  <c r="N51" i="23"/>
  <c r="G11" i="25"/>
  <c r="C38" i="24"/>
  <c r="N55" i="23"/>
  <c r="C42" i="24"/>
  <c r="C136" i="1"/>
  <c r="J62" i="10" s="1"/>
  <c r="Z109" i="1"/>
  <c r="D46" i="4" s="1"/>
  <c r="X52" i="10"/>
  <c r="R52" i="10"/>
  <c r="Y52" i="10"/>
  <c r="S52" i="10"/>
  <c r="T52" i="10"/>
  <c r="W52" i="10"/>
  <c r="A21" i="9"/>
  <c r="A21" i="13"/>
  <c r="A21" i="12"/>
  <c r="U109" i="1"/>
  <c r="E12" i="25" s="1"/>
  <c r="K63" i="10"/>
  <c r="J63" i="10"/>
  <c r="L63" i="10"/>
  <c r="O63" i="10"/>
  <c r="P63" i="10"/>
  <c r="S18" i="3"/>
  <c r="S27" i="6"/>
  <c r="M18" i="3"/>
  <c r="S21" i="6"/>
  <c r="J18" i="3"/>
  <c r="J25" i="11" s="1"/>
  <c r="S18" i="6"/>
  <c r="F18" i="3"/>
  <c r="F25" i="11" s="1"/>
  <c r="S14" i="6"/>
  <c r="R18" i="3"/>
  <c r="S26" i="6"/>
  <c r="P18" i="3"/>
  <c r="S24" i="6"/>
  <c r="I18" i="3"/>
  <c r="I25" i="11" s="1"/>
  <c r="S17" i="6"/>
  <c r="E18" i="3"/>
  <c r="E25" i="11" s="1"/>
  <c r="S13" i="6"/>
  <c r="N18" i="3"/>
  <c r="S22" i="6"/>
  <c r="L18" i="3"/>
  <c r="S20" i="6"/>
  <c r="H18" i="3"/>
  <c r="H25" i="11" s="1"/>
  <c r="S16" i="6"/>
  <c r="Q18" i="3"/>
  <c r="S25" i="6"/>
  <c r="K18" i="3"/>
  <c r="S19" i="6"/>
  <c r="G18" i="3"/>
  <c r="G25" i="11" s="1"/>
  <c r="S15" i="6"/>
  <c r="H60" i="4"/>
  <c r="M60" i="4" s="1"/>
  <c r="C151" i="1"/>
  <c r="S58" i="10" s="1"/>
  <c r="AJ32" i="4"/>
  <c r="AE32" i="4"/>
  <c r="M151" i="1" l="1"/>
  <c r="X58" i="10" s="1"/>
  <c r="M61" i="4"/>
  <c r="M158" i="1" s="1"/>
  <c r="X65" i="10" s="1"/>
  <c r="J27" i="21"/>
  <c r="Q19" i="3"/>
  <c r="Q26" i="11" s="1"/>
  <c r="Q25" i="11"/>
  <c r="L19" i="3"/>
  <c r="L26" i="11" s="1"/>
  <c r="L25" i="11"/>
  <c r="P19" i="3"/>
  <c r="P26" i="11" s="1"/>
  <c r="P25" i="11"/>
  <c r="M19" i="3"/>
  <c r="M26" i="11" s="1"/>
  <c r="M25" i="11"/>
  <c r="C137" i="4"/>
  <c r="C138" i="4" s="1"/>
  <c r="J22" i="21"/>
  <c r="K19" i="3"/>
  <c r="K26" i="11" s="1"/>
  <c r="K25" i="11"/>
  <c r="N19" i="3"/>
  <c r="N26" i="11" s="1"/>
  <c r="N25" i="11"/>
  <c r="R19" i="3"/>
  <c r="R26" i="11" s="1"/>
  <c r="R25" i="11"/>
  <c r="S19" i="3"/>
  <c r="S26" i="11" s="1"/>
  <c r="S25" i="11"/>
  <c r="Q151" i="1"/>
  <c r="Y58" i="10" s="1"/>
  <c r="K151" i="1"/>
  <c r="K158" i="1" s="1"/>
  <c r="O26" i="26"/>
  <c r="H81" i="4"/>
  <c r="C44" i="24"/>
  <c r="T26" i="26"/>
  <c r="G12" i="25"/>
  <c r="C39" i="24"/>
  <c r="N57" i="23"/>
  <c r="D44" i="4"/>
  <c r="D48" i="4" s="1"/>
  <c r="G182" i="1" s="1"/>
  <c r="S44" i="26" s="1"/>
  <c r="N52" i="23"/>
  <c r="O62" i="10"/>
  <c r="K62" i="10"/>
  <c r="O18" i="3"/>
  <c r="S23" i="6"/>
  <c r="L62" i="10"/>
  <c r="C138" i="1"/>
  <c r="T18" i="3"/>
  <c r="P62" i="10"/>
  <c r="S28" i="6"/>
  <c r="O151" i="1"/>
  <c r="O158" i="1" s="1"/>
  <c r="AJ34" i="4"/>
  <c r="AK34" i="4" s="1"/>
  <c r="AE34" i="4"/>
  <c r="AF34" i="4" s="1"/>
  <c r="P246" i="3" l="1"/>
  <c r="P247" i="3"/>
  <c r="L76" i="14" s="1"/>
  <c r="P245" i="3"/>
  <c r="Q245" i="3" s="1"/>
  <c r="P252" i="3"/>
  <c r="P251" i="3"/>
  <c r="L79" i="14" s="1"/>
  <c r="P250" i="3"/>
  <c r="E137" i="1"/>
  <c r="K64" i="10"/>
  <c r="T19" i="3"/>
  <c r="T26" i="11" s="1"/>
  <c r="T25" i="11"/>
  <c r="O19" i="3"/>
  <c r="O26" i="11" s="1"/>
  <c r="O25" i="11"/>
  <c r="AK41" i="4"/>
  <c r="AF41" i="4"/>
  <c r="Q158" i="1"/>
  <c r="Y65" i="10" s="1"/>
  <c r="D50" i="4"/>
  <c r="E50" i="4" s="1"/>
  <c r="G185" i="1" s="1"/>
  <c r="S47" i="26" s="1"/>
  <c r="G167" i="1"/>
  <c r="F183" i="1" s="1"/>
  <c r="S45" i="26" s="1"/>
  <c r="E134" i="1"/>
  <c r="E126" i="1"/>
  <c r="E135" i="1"/>
  <c r="E128" i="1"/>
  <c r="E129" i="1"/>
  <c r="E132" i="1"/>
  <c r="E131" i="1"/>
  <c r="E133" i="1"/>
  <c r="E136" i="1"/>
  <c r="G169" i="1"/>
  <c r="E130" i="1"/>
  <c r="AA126" i="1"/>
  <c r="E127" i="1"/>
  <c r="W42" i="4"/>
  <c r="D45" i="4"/>
  <c r="M117" i="1" s="1"/>
  <c r="T169" i="1"/>
  <c r="E19" i="25" s="1"/>
  <c r="J139" i="3"/>
  <c r="W58" i="10"/>
  <c r="AE41" i="4"/>
  <c r="AJ41" i="4"/>
  <c r="Q251" i="3" l="1"/>
  <c r="N79" i="14" s="1"/>
  <c r="Q247" i="3"/>
  <c r="N76" i="14" s="1"/>
  <c r="P254" i="3"/>
  <c r="L81" i="14" s="1"/>
  <c r="L78" i="14"/>
  <c r="Q250" i="3"/>
  <c r="Q252" i="3"/>
  <c r="N80" i="14" s="1"/>
  <c r="L80" i="14"/>
  <c r="Q246" i="3"/>
  <c r="N75" i="14" s="1"/>
  <c r="L75" i="14"/>
  <c r="O67" i="10"/>
  <c r="AB129" i="1"/>
  <c r="AB128" i="1"/>
  <c r="AF43" i="4"/>
  <c r="E118" i="1"/>
  <c r="G53" i="10" s="1"/>
  <c r="E119" i="1"/>
  <c r="G54" i="10" s="1"/>
  <c r="E117" i="1"/>
  <c r="G52" i="10" s="1"/>
  <c r="E120" i="1"/>
  <c r="G55" i="10" s="1"/>
  <c r="W43" i="4"/>
  <c r="M138" i="1" s="1"/>
  <c r="AK43" i="4"/>
  <c r="G176" i="1"/>
  <c r="M118" i="1"/>
  <c r="G57" i="10"/>
  <c r="G19" i="25"/>
  <c r="R38" i="26"/>
  <c r="N7" i="14"/>
  <c r="J40" i="4"/>
  <c r="H40" i="4"/>
  <c r="G168" i="1"/>
  <c r="D49" i="4"/>
  <c r="E49" i="4" s="1"/>
  <c r="E51" i="4" s="1"/>
  <c r="G186" i="1" s="1"/>
  <c r="S48" i="26" s="1"/>
  <c r="F40" i="4"/>
  <c r="T171" i="1"/>
  <c r="R40" i="26" s="1"/>
  <c r="W65" i="10"/>
  <c r="E18" i="25" l="1"/>
  <c r="I48" i="4"/>
  <c r="G58" i="10"/>
  <c r="E23" i="25"/>
  <c r="G23" i="25" s="1"/>
  <c r="Q254" i="3"/>
  <c r="N81" i="14" s="1"/>
  <c r="N78" i="14"/>
  <c r="T168" i="1"/>
  <c r="R37" i="26" s="1"/>
  <c r="G18" i="25"/>
  <c r="J38" i="4"/>
  <c r="K80" i="4"/>
  <c r="K79" i="4"/>
  <c r="K81" i="4"/>
  <c r="K82" i="4"/>
  <c r="T167" i="1"/>
  <c r="J39" i="4"/>
  <c r="F47" i="26"/>
  <c r="J28" i="21"/>
  <c r="U18" i="3"/>
  <c r="H39" i="4"/>
  <c r="O64" i="10"/>
  <c r="C74" i="4"/>
  <c r="C76" i="4" s="1"/>
  <c r="H38" i="4"/>
  <c r="E127" i="4"/>
  <c r="F137" i="4" s="1"/>
  <c r="P58" i="23"/>
  <c r="C16" i="24"/>
  <c r="R11" i="6"/>
  <c r="P249" i="3"/>
  <c r="L74" i="14"/>
  <c r="N74" i="14"/>
  <c r="Q249" i="3"/>
  <c r="G184" i="1"/>
  <c r="S46" i="26" s="1"/>
  <c r="F42" i="4"/>
  <c r="N170" i="1" s="1"/>
  <c r="N171" i="1" s="1"/>
  <c r="E17" i="25" l="1"/>
  <c r="AE49" i="4"/>
  <c r="F39" i="4"/>
  <c r="G17" i="25"/>
  <c r="C75" i="4"/>
  <c r="C77" i="4" s="1"/>
  <c r="E24" i="25" s="1"/>
  <c r="F38" i="4"/>
  <c r="R36" i="26"/>
  <c r="H42" i="4"/>
  <c r="J42" i="4" s="1"/>
  <c r="U19" i="3"/>
  <c r="E16" i="11" s="1"/>
  <c r="E15" i="11"/>
  <c r="F133" i="4"/>
  <c r="F136" i="4"/>
  <c r="F135" i="4"/>
  <c r="F134" i="4"/>
  <c r="F132" i="4"/>
  <c r="F128" i="4"/>
  <c r="F130" i="4"/>
  <c r="F131" i="4"/>
  <c r="F129" i="4"/>
  <c r="N6" i="14"/>
  <c r="H259" i="3"/>
  <c r="L77" i="14"/>
  <c r="H260" i="3"/>
  <c r="N77" i="14"/>
  <c r="AB147" i="3"/>
  <c r="Z166" i="3"/>
  <c r="F41" i="4" l="1"/>
  <c r="H454" i="3"/>
  <c r="H450" i="3"/>
  <c r="H440" i="3"/>
  <c r="H436" i="3"/>
  <c r="G666" i="3"/>
  <c r="G671" i="3" s="1"/>
  <c r="S35" i="20" s="1"/>
  <c r="H452" i="3"/>
  <c r="H451" i="3"/>
  <c r="H453" i="3"/>
  <c r="H439" i="3"/>
  <c r="I240" i="3"/>
  <c r="H437" i="3"/>
  <c r="S111" i="15"/>
  <c r="I292" i="3"/>
  <c r="N168" i="1"/>
  <c r="E38" i="26" s="1"/>
  <c r="N167" i="1"/>
  <c r="C13" i="24" s="1"/>
  <c r="N169" i="1"/>
  <c r="E16" i="25" s="1"/>
  <c r="T170" i="1"/>
  <c r="R39" i="26" s="1"/>
  <c r="F138" i="4"/>
  <c r="J138" i="3"/>
  <c r="S47" i="18"/>
  <c r="S37" i="18"/>
  <c r="S34" i="18"/>
  <c r="S38" i="18"/>
  <c r="S35" i="18"/>
  <c r="S46" i="18"/>
  <c r="S48" i="18"/>
  <c r="S50" i="18"/>
  <c r="S49" i="18"/>
  <c r="S31" i="20"/>
  <c r="S110" i="15"/>
  <c r="X297" i="3"/>
  <c r="AB146" i="3"/>
  <c r="I297" i="3" l="1"/>
  <c r="Y297" i="3" s="1"/>
  <c r="G127" i="4"/>
  <c r="E708" i="3" s="1"/>
  <c r="G51" i="17" s="1"/>
  <c r="S11" i="14"/>
  <c r="O11" i="14"/>
  <c r="I11" i="14"/>
  <c r="C11" i="14"/>
  <c r="F11" i="14"/>
  <c r="A11" i="14"/>
  <c r="F12" i="6"/>
  <c r="F13" i="6"/>
  <c r="C14" i="24"/>
  <c r="E37" i="26"/>
  <c r="N177" i="1"/>
  <c r="C15" i="24"/>
  <c r="H442" i="3"/>
  <c r="S39" i="18" s="1"/>
  <c r="H456" i="3"/>
  <c r="F454" i="3"/>
  <c r="I454" i="3" s="1"/>
  <c r="G81" i="18" s="1"/>
  <c r="F453" i="3"/>
  <c r="I453" i="3" s="1"/>
  <c r="G80" i="18" s="1"/>
  <c r="F452" i="3"/>
  <c r="I452" i="3" s="1"/>
  <c r="G79" i="18" s="1"/>
  <c r="F451" i="3"/>
  <c r="I451" i="3" s="1"/>
  <c r="G78" i="18" s="1"/>
  <c r="F436" i="3"/>
  <c r="F450" i="3"/>
  <c r="F439" i="3"/>
  <c r="I439" i="3" s="1"/>
  <c r="G68" i="18" s="1"/>
  <c r="F440" i="3"/>
  <c r="I440" i="3" s="1"/>
  <c r="G69" i="18" s="1"/>
  <c r="F437" i="3"/>
  <c r="I437" i="3" s="1"/>
  <c r="G66" i="18" s="1"/>
  <c r="F438" i="3"/>
  <c r="I438" i="3" s="1"/>
  <c r="G240" i="3"/>
  <c r="J240" i="3" s="1"/>
  <c r="G242" i="3"/>
  <c r="J242" i="3" s="1"/>
  <c r="G241" i="3"/>
  <c r="J241" i="3" s="1"/>
  <c r="G243" i="3"/>
  <c r="J243" i="3" s="1"/>
  <c r="I244" i="3"/>
  <c r="S42" i="14" s="1"/>
  <c r="T34" i="6"/>
  <c r="E4" i="25" l="1"/>
  <c r="G4" i="25" s="1"/>
  <c r="N178" i="1"/>
  <c r="E40" i="26"/>
  <c r="E72" i="14"/>
  <c r="P242" i="3"/>
  <c r="Q242" i="3" s="1"/>
  <c r="E70" i="14"/>
  <c r="P240" i="3"/>
  <c r="Q240" i="3" s="1"/>
  <c r="Q243" i="3"/>
  <c r="P243" i="3"/>
  <c r="P241" i="3"/>
  <c r="Q241" i="3" s="1"/>
  <c r="S114" i="15"/>
  <c r="F14" i="6"/>
  <c r="E39" i="26" s="1"/>
  <c r="F16" i="6"/>
  <c r="S51" i="18"/>
  <c r="I450" i="3"/>
  <c r="E82" i="18"/>
  <c r="I436" i="3"/>
  <c r="I442" i="3" s="1"/>
  <c r="G70" i="18" s="1"/>
  <c r="E70" i="18"/>
  <c r="E153" i="15"/>
  <c r="S137" i="15"/>
  <c r="O241" i="3"/>
  <c r="E71" i="14"/>
  <c r="O242" i="3"/>
  <c r="G244" i="3"/>
  <c r="O243" i="3"/>
  <c r="O240" i="3"/>
  <c r="J244" i="3"/>
  <c r="E73" i="14" s="1"/>
  <c r="R35" i="6"/>
  <c r="G67" i="18"/>
  <c r="G72" i="18"/>
  <c r="L71" i="14" l="1"/>
  <c r="G26" i="25"/>
  <c r="G27" i="25"/>
  <c r="G28" i="25"/>
  <c r="Q244" i="3"/>
  <c r="T35" i="6"/>
  <c r="L35" i="6"/>
  <c r="G77" i="18"/>
  <c r="I456" i="3"/>
  <c r="G82" i="18" s="1"/>
  <c r="D85" i="4"/>
  <c r="D88" i="4" s="1"/>
  <c r="B310" i="3" s="1"/>
  <c r="O244" i="3"/>
  <c r="L72" i="14"/>
  <c r="N72" i="14"/>
  <c r="N71" i="14"/>
  <c r="L70" i="14"/>
  <c r="P244" i="3"/>
  <c r="G65" i="18"/>
  <c r="R33" i="6"/>
  <c r="T33" i="6" l="1"/>
  <c r="L33" i="6"/>
  <c r="L73" i="14"/>
  <c r="N70" i="14"/>
  <c r="N73"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Lacaeyse Dirk</author>
  </authors>
  <commentList>
    <comment ref="C126" authorId="0" shapeId="0" xr:uid="{00000000-0006-0000-1A00-000001000000}">
      <text>
        <r>
          <rPr>
            <b/>
            <sz val="9"/>
            <color indexed="81"/>
            <rFont val="Tahoma"/>
            <family val="2"/>
          </rPr>
          <t>Uitgaande van verondersteld monster van 100 g = %</t>
        </r>
      </text>
    </comment>
  </commentList>
</comments>
</file>

<file path=xl/sharedStrings.xml><?xml version="1.0" encoding="utf-8"?>
<sst xmlns="http://schemas.openxmlformats.org/spreadsheetml/2006/main" count="4708" uniqueCount="1723">
  <si>
    <t>Bedrijfsnaam:</t>
  </si>
  <si>
    <t>Contactpersoon:</t>
  </si>
  <si>
    <t>naam</t>
  </si>
  <si>
    <t>tel.</t>
  </si>
  <si>
    <t>e-mail</t>
  </si>
  <si>
    <t>Adres:</t>
  </si>
  <si>
    <t>postnummer en gemeente</t>
  </si>
  <si>
    <t>straat en nr.</t>
  </si>
  <si>
    <t>ASFALT PRODUCTIE BEDRIJF nv</t>
  </si>
  <si>
    <t>Dendermondsesteenweg 123</t>
  </si>
  <si>
    <t>1234 Brussel</t>
  </si>
  <si>
    <t>02 345 67 89</t>
  </si>
  <si>
    <t>tom.christianen@apb.be</t>
  </si>
  <si>
    <t>Contactpersoon i.v.m. deze verantwoordingsnota.</t>
  </si>
  <si>
    <t>PRODUCTIE-EENHEDEN</t>
  </si>
  <si>
    <t>Identificatienummers:</t>
  </si>
  <si>
    <t>COPRO</t>
  </si>
  <si>
    <t>Asfaltmenginstallatie:</t>
  </si>
  <si>
    <t>merk en bouwjaar</t>
  </si>
  <si>
    <t>productiecapaciteit (ton/h)</t>
  </si>
  <si>
    <t>ABC nv</t>
  </si>
  <si>
    <t>DEF nv</t>
  </si>
  <si>
    <t>GHI nv</t>
  </si>
  <si>
    <t>straat 1</t>
  </si>
  <si>
    <t>straat 2</t>
  </si>
  <si>
    <t>straat 3</t>
  </si>
  <si>
    <t>Jan Molenbaas</t>
  </si>
  <si>
    <t>Piet Molenbaas</t>
  </si>
  <si>
    <t>Jef Molenbaas</t>
  </si>
  <si>
    <t>02 345 00 00</t>
  </si>
  <si>
    <t>03 456 00 00</t>
  </si>
  <si>
    <t>04 789 00 00</t>
  </si>
  <si>
    <t>Ammann 2010</t>
  </si>
  <si>
    <t>Benninghoven 2010</t>
  </si>
  <si>
    <t>Marini 2000</t>
  </si>
  <si>
    <t>Contactpersoon i.v.m. de productie.</t>
  </si>
  <si>
    <t>ALGEMENE GEGEVENS BEDRIJVEN EN INSTALLATIES</t>
  </si>
  <si>
    <t>ALGEMENE GEGEVENS VOORSTUDIE</t>
  </si>
  <si>
    <t>MENGSEL</t>
  </si>
  <si>
    <t>Naam volgens bestek:</t>
  </si>
  <si>
    <t>Naam volgens Europese Norm:</t>
  </si>
  <si>
    <t>Commerciële benaming:</t>
  </si>
  <si>
    <t>Toepassing:</t>
  </si>
  <si>
    <t>Eigen keuze, maar niet in tegenstrijd met officiële benamingen.</t>
  </si>
  <si>
    <t>Waar het mengsel voor gebruikt kan worden.</t>
  </si>
  <si>
    <t>REFERENTIEDOCUMENTEN</t>
  </si>
  <si>
    <t>Europese Norm:</t>
  </si>
  <si>
    <t>Bestek:</t>
  </si>
  <si>
    <t>CODES</t>
  </si>
  <si>
    <t>Code van deze verantwoordingsnota:</t>
  </si>
  <si>
    <t>Code van de verantwoordingsnota die nu vervalt:</t>
  </si>
  <si>
    <t>Productcode:</t>
  </si>
  <si>
    <t>Certificaatnummer:</t>
  </si>
  <si>
    <t>Aantal blz. VN:</t>
  </si>
  <si>
    <t>ASFALTMENGINSTALLATIE</t>
  </si>
  <si>
    <t>Gebruikte centrales:</t>
  </si>
  <si>
    <t>J</t>
  </si>
  <si>
    <t>N</t>
  </si>
  <si>
    <r>
      <rPr>
        <b/>
        <i/>
        <sz val="11"/>
        <color rgb="FFFFC000"/>
        <rFont val="Arial"/>
        <family val="2"/>
      </rPr>
      <t>64</t>
    </r>
    <r>
      <rPr>
        <i/>
        <sz val="11"/>
        <color theme="8" tint="0.59999389629810485"/>
        <rFont val="Arial"/>
        <family val="2"/>
      </rPr>
      <t xml:space="preserve"> voor asfalt en </t>
    </r>
    <r>
      <rPr>
        <b/>
        <i/>
        <sz val="11"/>
        <color rgb="FFFFC000"/>
        <rFont val="Arial"/>
        <family val="2"/>
      </rPr>
      <t>65</t>
    </r>
    <r>
      <rPr>
        <i/>
        <sz val="11"/>
        <color theme="8" tint="0.59999389629810485"/>
        <rFont val="Arial"/>
        <family val="2"/>
      </rPr>
      <t xml:space="preserve"> voor gietasfalt.</t>
    </r>
  </si>
  <si>
    <t>VN van de oorspronkelijke, volledige voorstudie.</t>
  </si>
  <si>
    <t>Van deze verantwoordingsnota:</t>
  </si>
  <si>
    <t>DATUM INDIENING BIJ COPRO</t>
  </si>
  <si>
    <t>BIJLAGEN AAN DE VERANTWOORDINGSNOTA</t>
  </si>
  <si>
    <t>Andere:</t>
  </si>
  <si>
    <t>Pradowin</t>
  </si>
  <si>
    <t>ZEVENREEKS</t>
  </si>
  <si>
    <t>Keuze:</t>
  </si>
  <si>
    <r>
      <rPr>
        <b/>
        <i/>
        <sz val="11"/>
        <color rgb="FFFFC000"/>
        <rFont val="Arial"/>
        <family val="2"/>
      </rPr>
      <t>1</t>
    </r>
    <r>
      <rPr>
        <i/>
        <sz val="11"/>
        <color theme="8" tint="0.59999389629810485"/>
        <rFont val="Arial"/>
        <family val="2"/>
      </rPr>
      <t>,</t>
    </r>
    <r>
      <rPr>
        <b/>
        <i/>
        <sz val="11"/>
        <color rgb="FFFFC000"/>
        <rFont val="Arial"/>
        <family val="2"/>
      </rPr>
      <t xml:space="preserve"> 2</t>
    </r>
    <r>
      <rPr>
        <i/>
        <sz val="11"/>
        <color theme="8" tint="0.59999389629810485"/>
        <rFont val="Arial"/>
        <family val="2"/>
      </rPr>
      <t xml:space="preserve"> of </t>
    </r>
    <r>
      <rPr>
        <b/>
        <i/>
        <sz val="11"/>
        <color rgb="FFFFC000"/>
        <rFont val="Arial"/>
        <family val="2"/>
      </rPr>
      <t>3</t>
    </r>
    <r>
      <rPr>
        <i/>
        <sz val="11"/>
        <color theme="8" tint="0.59999389629810485"/>
        <rFont val="Arial"/>
        <family val="2"/>
      </rPr>
      <t>.</t>
    </r>
  </si>
  <si>
    <t>LAY-OUT VERANTWOORDINGSNOTA</t>
  </si>
  <si>
    <t>Mastiekverdeling vermelden:</t>
  </si>
  <si>
    <t>RECEPTCODE</t>
  </si>
  <si>
    <t>Recept:</t>
  </si>
  <si>
    <t>Receptcode, fiche, nummer, regelingskaart, …</t>
  </si>
  <si>
    <t>AUTOMATISCHE DOSERINGEN</t>
  </si>
  <si>
    <r>
      <rPr>
        <b/>
        <i/>
        <sz val="11"/>
        <color rgb="FFFFC000"/>
        <rFont val="Arial"/>
        <family val="2"/>
      </rPr>
      <t>%</t>
    </r>
    <r>
      <rPr>
        <i/>
        <sz val="11"/>
        <color theme="8" tint="0.59999389629810485"/>
        <rFont val="Arial"/>
        <family val="2"/>
      </rPr>
      <t xml:space="preserve"> of </t>
    </r>
    <r>
      <rPr>
        <b/>
        <i/>
        <sz val="11"/>
        <color rgb="FFFFC000"/>
        <rFont val="Arial"/>
        <family val="2"/>
      </rPr>
      <t>kg</t>
    </r>
    <r>
      <rPr>
        <i/>
        <sz val="11"/>
        <color theme="8" tint="0.59999389629810485"/>
        <rFont val="Arial"/>
        <family val="2"/>
      </rPr>
      <t>.</t>
    </r>
  </si>
  <si>
    <t>Eenheid van de instelwaarde:</t>
  </si>
  <si>
    <t>Aggregaten:</t>
  </si>
  <si>
    <t>hoeveelheid</t>
  </si>
  <si>
    <t>grofst</t>
  </si>
  <si>
    <t>fijnst</t>
  </si>
  <si>
    <t>Asfaltgranulaten:</t>
  </si>
  <si>
    <t>fractie (mm-mm)</t>
  </si>
  <si>
    <t>doseerwijze</t>
  </si>
  <si>
    <t>Teruggewonnen stof:</t>
  </si>
  <si>
    <t>Aanvoervulstof:</t>
  </si>
  <si>
    <t>Bindmiddel:</t>
  </si>
  <si>
    <t>Totaal</t>
  </si>
  <si>
    <t>type menginstallatie</t>
  </si>
  <si>
    <r>
      <rPr>
        <b/>
        <i/>
        <sz val="11"/>
        <color rgb="FFFFC000"/>
        <rFont val="Arial"/>
        <family val="2"/>
      </rPr>
      <t>continu</t>
    </r>
    <r>
      <rPr>
        <i/>
        <sz val="11"/>
        <color theme="8" tint="0.59999389629810485"/>
        <rFont val="Arial"/>
        <family val="2"/>
      </rPr>
      <t xml:space="preserve">, </t>
    </r>
    <r>
      <rPr>
        <b/>
        <i/>
        <sz val="11"/>
        <color rgb="FFFFC000"/>
        <rFont val="Arial"/>
        <family val="2"/>
      </rPr>
      <t>discontinu</t>
    </r>
    <r>
      <rPr>
        <i/>
        <sz val="11"/>
        <color theme="8" tint="0.59999389629810485"/>
        <rFont val="Arial"/>
        <family val="2"/>
      </rPr>
      <t>, ...</t>
    </r>
  </si>
  <si>
    <t>DOSERING VAN TOEVOEGSELS</t>
  </si>
  <si>
    <r>
      <t xml:space="preserve">Bij manuele dosering: x </t>
    </r>
    <r>
      <rPr>
        <b/>
        <i/>
        <sz val="11"/>
        <color rgb="FFFFC000"/>
        <rFont val="Arial"/>
        <family val="2"/>
      </rPr>
      <t>zakjes van</t>
    </r>
    <r>
      <rPr>
        <i/>
        <sz val="11"/>
        <color theme="8" tint="0.59999389629810485"/>
        <rFont val="Arial"/>
        <family val="2"/>
      </rPr>
      <t xml:space="preserve"> y</t>
    </r>
    <r>
      <rPr>
        <b/>
        <i/>
        <sz val="11"/>
        <color rgb="FFFFC000"/>
        <rFont val="Arial"/>
        <family val="2"/>
      </rPr>
      <t xml:space="preserve"> kg op een mengeling van</t>
    </r>
    <r>
      <rPr>
        <i/>
        <sz val="11"/>
        <color theme="8" tint="0.59999389629810485"/>
        <rFont val="Arial"/>
        <family val="2"/>
      </rPr>
      <t xml:space="preserve"> z </t>
    </r>
    <r>
      <rPr>
        <i/>
        <sz val="11"/>
        <color rgb="FFFFC000"/>
        <rFont val="Arial"/>
        <family val="2"/>
      </rPr>
      <t>kg</t>
    </r>
    <r>
      <rPr>
        <i/>
        <sz val="11"/>
        <color theme="8" tint="0.59999389629810485"/>
        <rFont val="Arial"/>
        <family val="2"/>
      </rPr>
      <t>.</t>
    </r>
  </si>
  <si>
    <t>OPMERKING BIJ DE INSTELWAARDEN</t>
  </si>
  <si>
    <t>TEMPERATUREN</t>
  </si>
  <si>
    <t>INSTELLINGEN EN GEGEVENS VOOR DE PRODUCTIE</t>
  </si>
  <si>
    <t>MENGTIJDEN</t>
  </si>
  <si>
    <t>Exacte duur van de dosering van de aggregaten.</t>
  </si>
  <si>
    <t>Voormengtijd + tijd dat de aggregaten (zonder bindmiddel) blijven mengen.</t>
  </si>
  <si>
    <t>Tijd dat er na de dosering van alle grondstoffen nog wordt gemengd.</t>
  </si>
  <si>
    <t>Tijd vanaf het begin van de bindmiddeldosering tot het einde van het mengen.</t>
  </si>
  <si>
    <t>Duur van de volledige dosering en menging.</t>
  </si>
  <si>
    <t>dosering</t>
  </si>
  <si>
    <t>aggregaten</t>
  </si>
  <si>
    <t>menging</t>
  </si>
  <si>
    <t>bindmiddel</t>
  </si>
  <si>
    <t>Enkel de namengtijd OF de natte mengtijd moeten verplicht worden opgegeven. Voor de andere mengtijden is men vrij.</t>
  </si>
  <si>
    <t>Men geeft best ook de mengtijden op die op de CRP worden afgeprint.</t>
  </si>
  <si>
    <t>Ondergrens - bovengrens.</t>
  </si>
  <si>
    <t>VERWERKINGSVOORSCHRIFTEN</t>
  </si>
  <si>
    <t>rechtstreekse terugvoer</t>
  </si>
  <si>
    <t>Proefverslag stijfheid en vermoeiing</t>
  </si>
  <si>
    <t>Als je hier een code invult, mag er dus niet meer worden geproduceerd volgens de oude VN.</t>
  </si>
  <si>
    <t>Fractie = fracties in de warme aggregaatbunkers, op basis van de zeven van de installatie.</t>
  </si>
  <si>
    <r>
      <rPr>
        <b/>
        <i/>
        <sz val="11"/>
        <color rgb="FFFFC000"/>
        <rFont val="Arial"/>
        <family val="2"/>
      </rPr>
      <t>J</t>
    </r>
    <r>
      <rPr>
        <i/>
        <sz val="11"/>
        <color theme="8" tint="0.59999389629810485"/>
        <rFont val="Arial"/>
        <family val="2"/>
      </rPr>
      <t xml:space="preserve"> of </t>
    </r>
    <r>
      <rPr>
        <b/>
        <i/>
        <sz val="11"/>
        <color rgb="FFFFC000"/>
        <rFont val="Arial"/>
        <family val="2"/>
      </rPr>
      <t>N</t>
    </r>
    <r>
      <rPr>
        <i/>
        <sz val="11"/>
        <color theme="8" tint="0.59999389629810485"/>
        <rFont val="Arial"/>
        <family val="2"/>
      </rPr>
      <t>. J = geen afzonderlijke afweging; N = wel afzonderlijke afweging.</t>
    </r>
  </si>
  <si>
    <t>AGGREGATEN (Steenslag en zand)</t>
  </si>
  <si>
    <t>Nr.</t>
  </si>
  <si>
    <t>Aard</t>
  </si>
  <si>
    <t>Kaliber</t>
  </si>
  <si>
    <t>BENOR</t>
  </si>
  <si>
    <t>klasse</t>
  </si>
  <si>
    <t>Leverancier</t>
  </si>
  <si>
    <t>Herkomst</t>
  </si>
  <si>
    <t>Keuring</t>
  </si>
  <si>
    <t>Volumemassa</t>
  </si>
  <si>
    <t>= Set 1:</t>
  </si>
  <si>
    <t>= Set 2:</t>
  </si>
  <si>
    <t>= Eigen set:</t>
  </si>
  <si>
    <t>Zevenreeks:</t>
  </si>
  <si>
    <t>Korrelverdeling (in % doorval door de zeef van … mm)</t>
  </si>
  <si>
    <t>Hoekigheid</t>
  </si>
  <si>
    <t>Kaliber: d/D.</t>
  </si>
  <si>
    <t>VULSTOFFEN</t>
  </si>
  <si>
    <t>Soort</t>
  </si>
  <si>
    <t>(%)</t>
  </si>
  <si>
    <t>Holle ruimte</t>
  </si>
  <si>
    <t>Aanvoervulstof</t>
  </si>
  <si>
    <t>Teruggewonnen stof</t>
  </si>
  <si>
    <t>Extra teruggew. stof</t>
  </si>
  <si>
    <t>en herkomst</t>
  </si>
  <si>
    <t>benaming</t>
  </si>
  <si>
    <t>Type</t>
  </si>
  <si>
    <t>Leverancier en herkomst: Firmanaam en eventueel plaats van de productie-eenheid (gemeente).</t>
  </si>
  <si>
    <t>Productieproces</t>
  </si>
  <si>
    <t>BINDMIDDELEN</t>
  </si>
  <si>
    <t>Volledige benaming</t>
  </si>
  <si>
    <t>"partijkeuring" in geval van speciale, niet gecertificeerde vulstoffen, waaraan eisen worden gesteld in het bestek.</t>
  </si>
  <si>
    <t>"BENOR" in geval van BENOR-gecertificeerde aanvoervulstof.</t>
  </si>
  <si>
    <t>Indringing</t>
  </si>
  <si>
    <t>(mm/10)</t>
  </si>
  <si>
    <t>Verweking</t>
  </si>
  <si>
    <r>
      <t>t</t>
    </r>
    <r>
      <rPr>
        <vertAlign val="subscript"/>
        <sz val="11"/>
        <color theme="1"/>
        <rFont val="Arial"/>
        <family val="2"/>
      </rPr>
      <t>R&amp;K</t>
    </r>
    <r>
      <rPr>
        <sz val="11"/>
        <color theme="1"/>
        <rFont val="Arial"/>
        <family val="2"/>
      </rPr>
      <t xml:space="preserve"> (°C)</t>
    </r>
  </si>
  <si>
    <t>Hoeveelheid</t>
  </si>
  <si>
    <r>
      <t xml:space="preserve">Keuring: = kwaliteitsmerk. </t>
    </r>
    <r>
      <rPr>
        <b/>
        <i/>
        <sz val="11"/>
        <color rgb="FFFFC000"/>
        <rFont val="Arial"/>
        <family val="2"/>
      </rPr>
      <t>BENOR</t>
    </r>
    <r>
      <rPr>
        <i/>
        <sz val="11"/>
        <color theme="8" tint="0.59999389629810485"/>
        <rFont val="Arial"/>
        <family val="2"/>
      </rPr>
      <t xml:space="preserve">, </t>
    </r>
    <r>
      <rPr>
        <b/>
        <i/>
        <sz val="11"/>
        <color rgb="FFFFC000"/>
        <rFont val="Arial"/>
        <family val="2"/>
      </rPr>
      <t>partijkeuring</t>
    </r>
    <r>
      <rPr>
        <i/>
        <sz val="11"/>
        <color theme="8" tint="0.59999389629810485"/>
        <rFont val="Arial"/>
        <family val="2"/>
      </rPr>
      <t xml:space="preserve">, </t>
    </r>
    <r>
      <rPr>
        <b/>
        <i/>
        <sz val="11"/>
        <color rgb="FFFFC000"/>
        <rFont val="Arial"/>
        <family val="2"/>
      </rPr>
      <t>bouwheer</t>
    </r>
    <r>
      <rPr>
        <i/>
        <sz val="11"/>
        <color theme="8" tint="0.59999389629810485"/>
        <rFont val="Arial"/>
        <family val="2"/>
      </rPr>
      <t xml:space="preserve"> of </t>
    </r>
    <r>
      <rPr>
        <b/>
        <i/>
        <sz val="11"/>
        <color rgb="FFFFC000"/>
        <rFont val="Arial"/>
        <family val="2"/>
      </rPr>
      <t>intern</t>
    </r>
    <r>
      <rPr>
        <i/>
        <sz val="11"/>
        <color theme="8" tint="0.59999389629810485"/>
        <rFont val="Arial"/>
        <family val="2"/>
      </rPr>
      <t>. (CE is geen kwaliteitsmerk.)</t>
    </r>
  </si>
  <si>
    <r>
      <t xml:space="preserve">Keuring: = kwaliteitsmerk. </t>
    </r>
    <r>
      <rPr>
        <b/>
        <i/>
        <sz val="11"/>
        <color rgb="FFFFC000"/>
        <rFont val="Arial"/>
        <family val="2"/>
      </rPr>
      <t>COPRO</t>
    </r>
    <r>
      <rPr>
        <i/>
        <sz val="11"/>
        <color theme="8" tint="0.59999389629810485"/>
        <rFont val="Arial"/>
        <family val="2"/>
      </rPr>
      <t xml:space="preserve">, </t>
    </r>
    <r>
      <rPr>
        <b/>
        <i/>
        <sz val="11"/>
        <color rgb="FFFFC000"/>
        <rFont val="Arial"/>
        <family val="2"/>
      </rPr>
      <t xml:space="preserve">partijkeuring </t>
    </r>
    <r>
      <rPr>
        <i/>
        <sz val="11"/>
        <color theme="8" tint="0.59999389629810485"/>
        <rFont val="Arial"/>
        <family val="2"/>
      </rPr>
      <t xml:space="preserve">of </t>
    </r>
    <r>
      <rPr>
        <b/>
        <i/>
        <sz val="11"/>
        <color rgb="FFFFC000"/>
        <rFont val="Arial"/>
        <family val="2"/>
      </rPr>
      <t>bouwheer</t>
    </r>
    <r>
      <rPr>
        <i/>
        <sz val="11"/>
        <color theme="8" tint="0.59999389629810485"/>
        <rFont val="Arial"/>
        <family val="2"/>
      </rPr>
      <t>. (CE is geen kwaliteitsmerk.)</t>
    </r>
  </si>
  <si>
    <t>"COPRO" in geval van COPRO-gecertificeerd bindmiddel.</t>
  </si>
  <si>
    <t>"bouwheer" in geval van speciale, niet gecertificeerde bindmiddelen, die door de bouwheer worden voorgeschreven.</t>
  </si>
  <si>
    <t>Herkomst: De plaats (gemeente) waar de productie van het bindmiddel gebeurt.</t>
  </si>
  <si>
    <t>Leverancier: De firmanaam van de producent van de aggregaten. Vermeld geen tussenleveranciers.</t>
  </si>
  <si>
    <t>Herkomst: De plaats (gemeente) waar de ontginning gebeurt.</t>
  </si>
  <si>
    <t>Aard: Natuur van het aggregaat. Vb. porfier, zandsteen, kalksteen, gebroken grind, graniet, staalslakken, natuurzand, …</t>
  </si>
  <si>
    <t>Leverancier: De firmanaam van de bindmiddelproducent. Vermeld geen tussenleveranciers.</t>
  </si>
  <si>
    <t>ASFALTGRANULATEN</t>
  </si>
  <si>
    <t>TOEVOEGSELS</t>
  </si>
  <si>
    <t>Afdruipremmer</t>
  </si>
  <si>
    <t>Kleurstof</t>
  </si>
  <si>
    <t>Trinidad</t>
  </si>
  <si>
    <t>Uintah</t>
  </si>
  <si>
    <t>Dope</t>
  </si>
  <si>
    <t>Herkomst: De plaats (gemeente) waar de productie van het toevoegsel gebeurt.</t>
  </si>
  <si>
    <t>Leverancier: De firmanaam van de (gecertificeerde) leverancier of producent van het toevoegsel.</t>
  </si>
  <si>
    <t>Soort: Algemene definitie van het soort toevoegsel: afdruipremmer, kleurstof, polymeer, natuurbitumen, hechtverbeteraar, temperatuurverlager, …</t>
  </si>
  <si>
    <t>Type en benaming</t>
  </si>
  <si>
    <t>Type en benaming: Het type en de commerciële benaming van het toevoegsel, zodat het duidelijk is om welk type (met welke kenmerken) het gaat. Vb. cellulosevezel Excellence 69, rode ijzeroxide RFEO 13, Trinidad Epuré Z 0/8, …</t>
  </si>
  <si>
    <t>Nr.:</t>
  </si>
  <si>
    <t>Homogeen</t>
  </si>
  <si>
    <t>aggregaatfractie</t>
  </si>
  <si>
    <t>bindmiddelfractie</t>
  </si>
  <si>
    <t>oplosbare fractie</t>
  </si>
  <si>
    <t>Asfaltgranulaat</t>
  </si>
  <si>
    <t>vulstoffractie</t>
  </si>
  <si>
    <t>Aard bindmiddel</t>
  </si>
  <si>
    <t>(hoofdzakelijk)</t>
  </si>
  <si>
    <t>Oplosbaarheid</t>
  </si>
  <si>
    <t>%</t>
  </si>
  <si>
    <t>Bindmiddel</t>
  </si>
  <si>
    <t>gehalte</t>
  </si>
  <si>
    <t>(% in)</t>
  </si>
  <si>
    <t>asfaltgranulaat</t>
  </si>
  <si>
    <t>Korrelverdeling: Van de aggregaten die effectief bij de voorstudie worden gebruikt.</t>
  </si>
  <si>
    <t>Volumemassa: Ofwel zelf beproefd, ofwel proefresultaat van een BENOR-gecertificeerde leverancier.</t>
  </si>
  <si>
    <t>Korrelverdeling: Op basis van zelfcontrole (resultaten max. 1 jaar oud) ofwel proefresultaat van een BENOR-gecertificeerde leverancier.</t>
  </si>
  <si>
    <t>Holle ruimte: Op basis van zelfcontrole (resultaten max. 1 jaar oud) ofwel proefresultaat van een BENOR-gecertificeerde leverancier.</t>
  </si>
  <si>
    <t>Volumemassa: Op basis van zelfcontrole (resultaten max. 1 jaar oud) ofwel proefresultaat van een BENOR-gecertificeerde leverancier. Voor teruggewonnen stof en het vulstofmengsel mag dit ook worden berekend.</t>
  </si>
  <si>
    <t>Oplosbaarheid: Gedeelte van het bindmiddel dat oplosbaar is. Indien geen info van de leverancier, = 100.</t>
  </si>
  <si>
    <t>Verweking: In principe hoeft het verwekingspunt niet meer vermeld te worden bij een voorstudie.</t>
  </si>
  <si>
    <t>Indringing: Proefresultaat dat hoort bij het gebruikte monster bindmiddel voor de voorstudie (zelf beproefd of van COPRO-gecertificeerde leverancier).</t>
  </si>
  <si>
    <t>Volumemassa: Op basis van zelfcontrole (resultaten max. 1 jaar oud) ofwel proefresultaat van een COPRO-gecertificeerde leverancier. Voor normale bindmiddelen mag men conventioneel 1025 kg/m³ nemen.</t>
  </si>
  <si>
    <t>hard bitumen, gemodificeerd bitumen.</t>
  </si>
  <si>
    <t>Aard aggregaten: Kalksteen, porfier, zandsteen, grind, staalslakken, …</t>
  </si>
  <si>
    <t xml:space="preserve">Aard bindmiddel: Wegenbitumen, </t>
  </si>
  <si>
    <t>Aard aggregaten</t>
  </si>
  <si>
    <t>Holle ruimte: Niet meer verplicht om te vermelden.</t>
  </si>
  <si>
    <t>Indringing: Van het bindmiddel in de asfaltgranulaten die effectief bij de voorstudie worden gebruikt.</t>
  </si>
  <si>
    <t>Bindmiddelgehalte: Van de asfaltgranulaten die effectief bij de voorstudie worden gebruikt.</t>
  </si>
  <si>
    <t>Volumemassa bindmiddelfractie: Op basis van zelfcontrole (resultaten max. 1 jaar oud). Voor normale gerecycleerde bindmiddelen mag men conventioneel 1030 kg/m³ nemen.</t>
  </si>
  <si>
    <t>Volumemassa asfaltgranulaat: Op basis van zelfcontrole (resultaten max. 1 jaar oud).</t>
  </si>
  <si>
    <r>
      <t xml:space="preserve">Keuring: </t>
    </r>
    <r>
      <rPr>
        <b/>
        <i/>
        <sz val="11"/>
        <color rgb="FFFFC000"/>
        <rFont val="Arial"/>
        <family val="2"/>
      </rPr>
      <t>COPRO</t>
    </r>
    <r>
      <rPr>
        <i/>
        <sz val="11"/>
        <color theme="8" tint="0.59999389629810485"/>
        <rFont val="Arial"/>
        <family val="2"/>
      </rPr>
      <t>.</t>
    </r>
  </si>
  <si>
    <t>Hoeveelheid: Toegevoegd gehalte asfaltgranulaat (gerecycleerd aggregaat én bindmiddel samen) in het bitumineus mengsel.</t>
  </si>
  <si>
    <t>Korrelverdeling: Op basis van zelfcontrole (resultaten max. 1 jaar oud) ofwel proefresultaat van een COPRO- of BENOR-gecertificeerde leverancier.</t>
  </si>
  <si>
    <t>GEGEVENS GRONDSTOFFEN</t>
  </si>
  <si>
    <t>GEGEVENS EN BEREKENINGEN GRONDSTOFMENGSELS</t>
  </si>
  <si>
    <t>VULSTOFMENGSEL</t>
  </si>
  <si>
    <t>Verdeling</t>
  </si>
  <si>
    <t>Proefresultaten:</t>
  </si>
  <si>
    <t>Berekende waarde:</t>
  </si>
  <si>
    <t>BINDMIDDELMENGSEL</t>
  </si>
  <si>
    <t>Type / Benaming</t>
  </si>
  <si>
    <t>ZANDMENGSEL</t>
  </si>
  <si>
    <t>Mengregel:</t>
  </si>
  <si>
    <t>(nieuw + recyclage)</t>
  </si>
  <si>
    <t>Vulstofmengsel:</t>
  </si>
  <si>
    <t>Bindmiddelmengsel:</t>
  </si>
  <si>
    <t>Percentage "oud" bindmiddel in het bindmiddelmengsel:</t>
  </si>
  <si>
    <t>AGGREGAATMENGSEL</t>
  </si>
  <si>
    <t>Grondstof</t>
  </si>
  <si>
    <t>Benaming</t>
  </si>
  <si>
    <t>(bindmiddel + toevoegsels)</t>
  </si>
  <si>
    <t>Opmerking bij de korrelverdeling:</t>
  </si>
  <si>
    <t>Som moet 100,00 % zijn !</t>
  </si>
  <si>
    <t>Kalksteen</t>
  </si>
  <si>
    <t>14/20</t>
  </si>
  <si>
    <t>Aa1 I f1</t>
  </si>
  <si>
    <t>Gralex</t>
  </si>
  <si>
    <t>Beez</t>
  </si>
  <si>
    <t>Porfier</t>
  </si>
  <si>
    <t>Grind</t>
  </si>
  <si>
    <t>6/14</t>
  </si>
  <si>
    <t>2/6</t>
  </si>
  <si>
    <t>BB2 II f2</t>
  </si>
  <si>
    <t>Cc3 III f3</t>
  </si>
  <si>
    <t>Holcim</t>
  </si>
  <si>
    <t>Porfibel</t>
  </si>
  <si>
    <t>Soignies</t>
  </si>
  <si>
    <t>Neufvilles</t>
  </si>
  <si>
    <t>% aggregaat in</t>
  </si>
  <si>
    <t>% aggregaat in 100</t>
  </si>
  <si>
    <t>% bindmiddel in 100</t>
  </si>
  <si>
    <t>% bindmiddel in</t>
  </si>
  <si>
    <t>wegenbitumen</t>
  </si>
  <si>
    <t>Antwerpen</t>
  </si>
  <si>
    <t>Slakken</t>
  </si>
  <si>
    <t>6/10</t>
  </si>
  <si>
    <t>Dd4 IV f4</t>
  </si>
  <si>
    <t>SDF</t>
  </si>
  <si>
    <t>Genk</t>
  </si>
  <si>
    <t>intern</t>
  </si>
  <si>
    <t>Korrelverdelingen:</t>
  </si>
  <si>
    <t>Officiële benaming</t>
  </si>
  <si>
    <t>Interne benaming</t>
  </si>
  <si>
    <t>stapel</t>
  </si>
  <si>
    <t>onderlaag 14/2</t>
  </si>
  <si>
    <t>Doorval (%) door de zeef van … mm</t>
  </si>
  <si>
    <t>Fracties:</t>
  </si>
  <si>
    <t>stenen</t>
  </si>
  <si>
    <t>zand</t>
  </si>
  <si>
    <t>vulstof</t>
  </si>
  <si>
    <t>mm:</t>
  </si>
  <si>
    <t>Verdeling (%)</t>
  </si>
  <si>
    <t>relatief</t>
  </si>
  <si>
    <t>absoluut</t>
  </si>
  <si>
    <t>Conventioneel percentage aanvoervulstof (%):</t>
  </si>
  <si>
    <t>%*VM</t>
  </si>
  <si>
    <t>% fd uit stenen en zand:</t>
  </si>
  <si>
    <t>VM fd uit stenen en zand:</t>
  </si>
  <si>
    <t>% fd alles:</t>
  </si>
  <si>
    <t>VM fd alles:</t>
  </si>
  <si>
    <t>De waarde voor de volumemassa mag worden ingevuld in de cel eronder.</t>
  </si>
  <si>
    <t>Deze waarden mogen worden ingevuld in de cellen eronder.</t>
  </si>
  <si>
    <t>Gehalte</t>
  </si>
  <si>
    <r>
      <t xml:space="preserve">Verweking t </t>
    </r>
    <r>
      <rPr>
        <vertAlign val="subscript"/>
        <sz val="9"/>
        <color theme="1"/>
        <rFont val="Arial"/>
        <family val="2"/>
      </rPr>
      <t>R&amp;K</t>
    </r>
  </si>
  <si>
    <t>Gehalte bindmiddel in:</t>
  </si>
  <si>
    <t>Indringing van bitumineuze fracties:</t>
  </si>
  <si>
    <t>Indringing mengsels:</t>
  </si>
  <si>
    <t>zonder toevoegsels</t>
  </si>
  <si>
    <t>met toevoegsels</t>
  </si>
  <si>
    <t>rond zand / natuurzand:</t>
  </si>
  <si>
    <t>breekzand:</t>
  </si>
  <si>
    <t>Verhouding (%)</t>
  </si>
  <si>
    <r>
      <t xml:space="preserve">Hoekigheid: </t>
    </r>
    <r>
      <rPr>
        <b/>
        <i/>
        <sz val="11"/>
        <color rgb="FFFFC000"/>
        <rFont val="Arial"/>
        <family val="2"/>
      </rPr>
      <t>B</t>
    </r>
    <r>
      <rPr>
        <i/>
        <sz val="11"/>
        <color theme="8" tint="0.59999389629810485"/>
        <rFont val="Arial"/>
        <family val="2"/>
      </rPr>
      <t xml:space="preserve"> = gebroken zand of steenslag. </t>
    </r>
    <r>
      <rPr>
        <b/>
        <i/>
        <sz val="11"/>
        <color rgb="FFFFC000"/>
        <rFont val="Arial"/>
        <family val="2"/>
      </rPr>
      <t>R</t>
    </r>
    <r>
      <rPr>
        <i/>
        <sz val="11"/>
        <color theme="8" tint="0.59999389629810485"/>
        <rFont val="Arial"/>
        <family val="2"/>
      </rPr>
      <t xml:space="preserve"> = rond zand, natuurzand, rond grind. Verplicht in te vullen.</t>
    </r>
  </si>
  <si>
    <t>B</t>
  </si>
  <si>
    <t>R</t>
  </si>
  <si>
    <t>Hier moet verplicht een vulstofzeef worden ingevuld.</t>
  </si>
  <si>
    <t>Doorval 2 mm:</t>
  </si>
  <si>
    <t>Zandfractie:</t>
  </si>
  <si>
    <t>som:</t>
  </si>
  <si>
    <t>SAMENSTELLING BITUMINEUS MENGSEL</t>
  </si>
  <si>
    <t>In massaprocenten:</t>
  </si>
  <si>
    <t>steenfractie:</t>
  </si>
  <si>
    <t>zandfractie:</t>
  </si>
  <si>
    <t>vulstoffractie:</t>
  </si>
  <si>
    <t>bindmiddel in mengsel:</t>
  </si>
  <si>
    <t>bindmiddel op aggregaten:</t>
  </si>
  <si>
    <t xml:space="preserve">In massaprocenten, rekening houdend met </t>
  </si>
  <si>
    <t>bindmiddelfractie:</t>
  </si>
  <si>
    <t>waarde</t>
  </si>
  <si>
    <t>grenzen</t>
  </si>
  <si>
    <t>referentie</t>
  </si>
  <si>
    <t>Steenfractie:</t>
  </si>
  <si>
    <t>Ronde zandfractie:</t>
  </si>
  <si>
    <t>Berekening VM fd:</t>
  </si>
  <si>
    <t>%s</t>
  </si>
  <si>
    <t>%z</t>
  </si>
  <si>
    <t>VM s:</t>
  </si>
  <si>
    <t>VM z:</t>
  </si>
  <si>
    <t>Afwijkende volumemasa's:</t>
  </si>
  <si>
    <t>aggregaten:</t>
  </si>
  <si>
    <t>%/VM</t>
  </si>
  <si>
    <t>de volumemassa's van de fracties:</t>
  </si>
  <si>
    <t>Volumemassa's fracties:</t>
  </si>
  <si>
    <t>VM a:</t>
  </si>
  <si>
    <t xml:space="preserve">Aangepast massaprocent bindmiddel, </t>
  </si>
  <si>
    <t>rekening houdend met de volumemassa</t>
  </si>
  <si>
    <t>van de aggregaten:</t>
  </si>
  <si>
    <t>Gehalte oplosbaar bindmiddel, terug te</t>
  </si>
  <si>
    <t>De waarden in vet zijn te vergelijken met de voorschriften van het bestek.</t>
  </si>
  <si>
    <t>methyleenchloride</t>
  </si>
  <si>
    <t>vinden bij analyse met centrifuge:</t>
  </si>
  <si>
    <t>EN 12697-1</t>
  </si>
  <si>
    <t>EN 12697-39</t>
  </si>
  <si>
    <r>
      <t xml:space="preserve">Productie-eenheid waar dit mengsel zal geproduceerd worden. </t>
    </r>
    <r>
      <rPr>
        <b/>
        <i/>
        <sz val="11"/>
        <color rgb="FFFFC000"/>
        <rFont val="Arial"/>
        <family val="2"/>
      </rPr>
      <t xml:space="preserve">J </t>
    </r>
    <r>
      <rPr>
        <i/>
        <sz val="11"/>
        <color theme="8" tint="0.59999389629810485"/>
        <rFont val="Arial"/>
        <family val="2"/>
      </rPr>
      <t xml:space="preserve">(ja) of </t>
    </r>
    <r>
      <rPr>
        <b/>
        <i/>
        <sz val="11"/>
        <color rgb="FFFFC000"/>
        <rFont val="Arial"/>
        <family val="2"/>
      </rPr>
      <t xml:space="preserve">N </t>
    </r>
    <r>
      <rPr>
        <i/>
        <sz val="11"/>
        <color theme="8" tint="0.59999389629810485"/>
        <rFont val="Arial"/>
        <family val="2"/>
      </rPr>
      <t>(neen).</t>
    </r>
  </si>
  <si>
    <r>
      <rPr>
        <b/>
        <i/>
        <sz val="11"/>
        <color rgb="FFFFC000"/>
        <rFont val="Arial"/>
        <family val="2"/>
      </rPr>
      <t>J</t>
    </r>
    <r>
      <rPr>
        <i/>
        <sz val="11"/>
        <color theme="8" tint="0.59999389629810485"/>
        <rFont val="Arial"/>
        <family val="2"/>
      </rPr>
      <t xml:space="preserve"> (ja) of </t>
    </r>
    <r>
      <rPr>
        <b/>
        <i/>
        <sz val="11"/>
        <color rgb="FFFFC000"/>
        <rFont val="Arial"/>
        <family val="2"/>
      </rPr>
      <t>N</t>
    </r>
    <r>
      <rPr>
        <i/>
        <sz val="11"/>
        <color theme="8" tint="0.59999389629810485"/>
        <rFont val="Arial"/>
        <family val="2"/>
      </rPr>
      <t xml:space="preserve"> (neen). Alles waarvoor men J ingeeft, moet dus bij ELKE verantwoordingsnota worden meegegeven.</t>
    </r>
  </si>
  <si>
    <t>PROEFMETHODE</t>
  </si>
  <si>
    <t>VALIDATIE</t>
  </si>
  <si>
    <t>EN 12697-5</t>
  </si>
  <si>
    <t>EN 12697-2</t>
  </si>
  <si>
    <t>PROEFRESULTATEN (Enkel in geval van een productievalidatie !)</t>
  </si>
  <si>
    <t>PROEFRESULTATEN</t>
  </si>
  <si>
    <t>Proefstuk</t>
  </si>
  <si>
    <t>(% IN)</t>
  </si>
  <si>
    <t>nr.</t>
  </si>
  <si>
    <t>gem.</t>
  </si>
  <si>
    <t>EN 12697-6</t>
  </si>
  <si>
    <t>Massa's (g)</t>
  </si>
  <si>
    <t>in lucht</t>
  </si>
  <si>
    <t>in water</t>
  </si>
  <si>
    <t>MVM</t>
  </si>
  <si>
    <t>EN 12697-29</t>
  </si>
  <si>
    <t>Diameter (mm) (enkel voor geometrische methode)</t>
  </si>
  <si>
    <t>Eis van de bestekken:</t>
  </si>
  <si>
    <t>Eis van EN 13108-x:</t>
  </si>
  <si>
    <t xml:space="preserve">PROEFSTUKKEN EN AFMETINGEN </t>
  </si>
  <si>
    <t>Resultaat:</t>
  </si>
  <si>
    <t>Mengselformule:</t>
  </si>
  <si>
    <t>Afwijking:</t>
  </si>
  <si>
    <t>A1</t>
  </si>
  <si>
    <t>A2</t>
  </si>
  <si>
    <t>A3</t>
  </si>
  <si>
    <t>A4</t>
  </si>
  <si>
    <t>A5</t>
  </si>
  <si>
    <t>B1</t>
  </si>
  <si>
    <t>B2</t>
  </si>
  <si>
    <t>B3</t>
  </si>
  <si>
    <t>B4</t>
  </si>
  <si>
    <t>B5</t>
  </si>
  <si>
    <t>Verschil % bindmiddel tussen de reeksen:</t>
  </si>
  <si>
    <t>C1</t>
  </si>
  <si>
    <t>C2</t>
  </si>
  <si>
    <t>C3</t>
  </si>
  <si>
    <t>C4</t>
  </si>
  <si>
    <t>C5</t>
  </si>
  <si>
    <t>Diameter vorm</t>
  </si>
  <si>
    <t xml:space="preserve">Diameter </t>
  </si>
  <si>
    <t>(mm)</t>
  </si>
  <si>
    <r>
      <rPr>
        <b/>
        <i/>
        <sz val="11"/>
        <color rgb="FFFFC000"/>
        <rFont val="Arial"/>
        <family val="2"/>
      </rPr>
      <t>A</t>
    </r>
    <r>
      <rPr>
        <i/>
        <sz val="11"/>
        <color theme="8" tint="0.59999389629810485"/>
        <rFont val="Arial"/>
        <family val="2"/>
      </rPr>
      <t xml:space="preserve"> (droog), </t>
    </r>
    <r>
      <rPr>
        <b/>
        <i/>
        <sz val="11"/>
        <color rgb="FFFFC000"/>
        <rFont val="Arial"/>
        <family val="2"/>
      </rPr>
      <t>B</t>
    </r>
    <r>
      <rPr>
        <i/>
        <sz val="11"/>
        <color theme="8" tint="0.59999389629810485"/>
        <rFont val="Arial"/>
        <family val="2"/>
      </rPr>
      <t xml:space="preserve"> (verzadigd oppervlak droog), </t>
    </r>
    <r>
      <rPr>
        <b/>
        <i/>
        <sz val="11"/>
        <color rgb="FFFFC000"/>
        <rFont val="Arial"/>
        <family val="2"/>
      </rPr>
      <t>C</t>
    </r>
    <r>
      <rPr>
        <i/>
        <sz val="11"/>
        <color theme="8" tint="0.59999389629810485"/>
        <rFont val="Arial"/>
        <family val="2"/>
      </rPr>
      <t xml:space="preserve"> (met paraffine) of </t>
    </r>
    <r>
      <rPr>
        <b/>
        <i/>
        <sz val="11"/>
        <color rgb="FFFFC000"/>
        <rFont val="Arial"/>
        <family val="2"/>
      </rPr>
      <t xml:space="preserve">D </t>
    </r>
    <r>
      <rPr>
        <i/>
        <sz val="11"/>
        <color theme="8" tint="0.59999389629810485"/>
        <rFont val="Arial"/>
        <family val="2"/>
      </rPr>
      <t>(geometrisch).</t>
    </r>
  </si>
  <si>
    <t>Code van de overeenkomstige technische fiche:</t>
  </si>
  <si>
    <t>Hoogte (mm)</t>
  </si>
  <si>
    <t>Hoogte</t>
  </si>
  <si>
    <t>GEGEVENS FIRMA (CERTIFICAATHOUDER)</t>
  </si>
  <si>
    <t>Als het bindmiddel op voorhand wordt gemengd met een toevoegsel, vul je het mengsel hier in.</t>
  </si>
  <si>
    <t>Hieronder kan u alle mogelijke grondstoffen ingeven die u bij voorstudies kan gebruiken.</t>
  </si>
  <si>
    <t>AANVOERVULSTOFFEN</t>
  </si>
  <si>
    <t>81-82 = Toevoegsels zonder aggregaatfractie en zonder oplosbare fractie. Vb. cellulosevezels, ...</t>
  </si>
  <si>
    <t>83-95 = Toevoegsels met een aggregaatfractie, maar zonder een oplosbare fractie. Vb. kleurstoffen, ...</t>
  </si>
  <si>
    <t>96-97 = Toevoegsels met een aggregaatfractie en met een oplosbare fractie. Vb. natuurasfalt (Trinidad), ...</t>
  </si>
  <si>
    <t>98-100 = Toevoegsels zonder een aggregaatfractie, maar met een oplosbare fractie. Vb. hechtverbeteraars, temperatuurverlagers, polymeren, natuurbitumen (Uintah), …</t>
  </si>
  <si>
    <t>Hieronder kiest u de grondstoffen die u effectief bij de voorstudie gebruikt.</t>
  </si>
  <si>
    <t>1-40</t>
  </si>
  <si>
    <t>Nummer: Kies de nummers van de grondstoffen die u wil selecteren uit het blad 'grondstoffen'.</t>
  </si>
  <si>
    <t>(uit 1 - 40)</t>
  </si>
  <si>
    <t>41-45</t>
  </si>
  <si>
    <r>
      <t xml:space="preserve">Keuring: = </t>
    </r>
    <r>
      <rPr>
        <b/>
        <i/>
        <sz val="11"/>
        <color rgb="FFFFC000"/>
        <rFont val="Arial"/>
        <family val="2"/>
      </rPr>
      <t xml:space="preserve">intern </t>
    </r>
    <r>
      <rPr>
        <i/>
        <sz val="11"/>
        <color theme="8" tint="0.59999389629810485"/>
        <rFont val="Arial"/>
        <family val="2"/>
      </rPr>
      <t>of</t>
    </r>
    <r>
      <rPr>
        <b/>
        <i/>
        <sz val="11"/>
        <color rgb="FFFFC000"/>
        <rFont val="Arial"/>
        <family val="2"/>
      </rPr>
      <t xml:space="preserve"> geen</t>
    </r>
    <r>
      <rPr>
        <i/>
        <sz val="11"/>
        <color theme="8" tint="0.59999389629810485"/>
        <rFont val="Arial"/>
        <family val="2"/>
      </rPr>
      <t>.</t>
    </r>
  </si>
  <si>
    <t>51-70</t>
  </si>
  <si>
    <t>71-80</t>
  </si>
  <si>
    <t>Korrelverdeling: Op basis van zelfcontrole (resultaten max. 1 jaar oud).</t>
  </si>
  <si>
    <t>Holle ruimte: Op basis van zelfcontrole (resultaten max. 1 jaar oud).</t>
  </si>
  <si>
    <t>kalksteen en zandsteen</t>
  </si>
  <si>
    <t>81-82</t>
  </si>
  <si>
    <t>83-95</t>
  </si>
  <si>
    <t>96-97</t>
  </si>
  <si>
    <t>98-100</t>
  </si>
  <si>
    <t>Aggregaatmengsel:</t>
  </si>
  <si>
    <t>Cellulose Viatop Premium</t>
  </si>
  <si>
    <t>JRS</t>
  </si>
  <si>
    <t>Rosenberg, D.</t>
  </si>
  <si>
    <t>Catay</t>
  </si>
  <si>
    <t>China</t>
  </si>
  <si>
    <t>bouwheer</t>
  </si>
  <si>
    <t>totaal abs.</t>
  </si>
  <si>
    <t>bindm. abs.</t>
  </si>
  <si>
    <t>aggr. abs.</t>
  </si>
  <si>
    <t>Epurée Z0/8</t>
  </si>
  <si>
    <t>Lumat</t>
  </si>
  <si>
    <t>Trinidad Lake</t>
  </si>
  <si>
    <t>partijkeuring</t>
  </si>
  <si>
    <t>Gilsonite</t>
  </si>
  <si>
    <t>MCA</t>
  </si>
  <si>
    <t>Volume pykno</t>
  </si>
  <si>
    <t>Massa pyknometers (g)</t>
  </si>
  <si>
    <t>(m³)</t>
  </si>
  <si>
    <t>(Mg/m³)</t>
  </si>
  <si>
    <t>leeg (m1)</t>
  </si>
  <si>
    <t>+monster (m2)</t>
  </si>
  <si>
    <t>+monster+vloeistof (m3)</t>
  </si>
  <si>
    <t>Massa recipiënt (g)</t>
  </si>
  <si>
    <t>leeg in water (m2)</t>
  </si>
  <si>
    <t>gevuld (m3)</t>
  </si>
  <si>
    <t>gevuld in water (m4)</t>
  </si>
  <si>
    <t>Voor MVM methode A</t>
  </si>
  <si>
    <t>Voor MVM methode B</t>
  </si>
  <si>
    <t>C</t>
  </si>
  <si>
    <t>EN 12697-31</t>
  </si>
  <si>
    <t>EN 12697-8</t>
  </si>
  <si>
    <r>
      <rPr>
        <b/>
        <i/>
        <sz val="11"/>
        <color rgb="FFFFC000"/>
        <rFont val="Arial"/>
        <family val="2"/>
      </rPr>
      <t>A</t>
    </r>
    <r>
      <rPr>
        <i/>
        <sz val="11"/>
        <color theme="8" tint="0.59999389629810485"/>
        <rFont val="Arial"/>
        <family val="2"/>
      </rPr>
      <t xml:space="preserve"> (volumetrisch), </t>
    </r>
    <r>
      <rPr>
        <b/>
        <i/>
        <sz val="11"/>
        <color rgb="FFFFC000"/>
        <rFont val="Arial"/>
        <family val="2"/>
      </rPr>
      <t>B</t>
    </r>
    <r>
      <rPr>
        <i/>
        <sz val="11"/>
        <color theme="8" tint="0.59999389629810485"/>
        <rFont val="Arial"/>
        <family val="2"/>
      </rPr>
      <t xml:space="preserve"> (hydrostatisch) of </t>
    </r>
    <r>
      <rPr>
        <b/>
        <i/>
        <sz val="11"/>
        <color rgb="FFFFC000"/>
        <rFont val="Arial"/>
        <family val="2"/>
      </rPr>
      <t>C</t>
    </r>
    <r>
      <rPr>
        <i/>
        <sz val="11"/>
        <color theme="8" tint="0.59999389629810485"/>
        <rFont val="Arial"/>
        <family val="2"/>
      </rPr>
      <t xml:space="preserve"> (berekend).</t>
    </r>
  </si>
  <si>
    <t>SVM</t>
  </si>
  <si>
    <t>V</t>
  </si>
  <si>
    <t xml:space="preserve">Cellen met diameter proefstukken </t>
  </si>
  <si>
    <t xml:space="preserve">leegmaken om diameter vorm te </t>
  </si>
  <si>
    <t>V berekend</t>
  </si>
  <si>
    <t>V gyrator</t>
  </si>
  <si>
    <t>VMA</t>
  </si>
  <si>
    <t>EN 12697-12</t>
  </si>
  <si>
    <t>EN 12697-23</t>
  </si>
  <si>
    <t>Toegepaste norm voor de bepaling van de watergevoeligheid:</t>
  </si>
  <si>
    <t>Toegepaste norm voor de bepaling van de afmetingen:</t>
  </si>
  <si>
    <t>WATERGEVOELIGHEID EN SPLIJTTREKSTERKTE (ITSR)</t>
  </si>
  <si>
    <t>DEELTJESGROOTTEVERDELING (KORRELVERDELING) EN BINDMIDDELGEHALTE</t>
  </si>
  <si>
    <t>Toegepaste norm voor de bepaling van de splijttreksterkte:</t>
  </si>
  <si>
    <t>Methode A</t>
  </si>
  <si>
    <t>Kracht</t>
  </si>
  <si>
    <t>Diameter</t>
  </si>
  <si>
    <t>Droge proefstukken</t>
  </si>
  <si>
    <t>ITSd</t>
  </si>
  <si>
    <t>Vochtige proefstukken</t>
  </si>
  <si>
    <t>Bindmiddel-</t>
  </si>
  <si>
    <t>Variatie</t>
  </si>
  <si>
    <t>Watergevoeligheid</t>
  </si>
  <si>
    <t>ITSR</t>
  </si>
  <si>
    <t>De gegevens per bindmiddelreeks</t>
  </si>
  <si>
    <t>afzonderlijk verwerken.</t>
  </si>
  <si>
    <t>gemiddelde</t>
  </si>
  <si>
    <t>De gegevens per bindmiddelreeks afzonderlijk verwerken.</t>
  </si>
  <si>
    <t>Breuk</t>
  </si>
  <si>
    <t>(a, b, c)</t>
  </si>
  <si>
    <t>Breuk in</t>
  </si>
  <si>
    <r>
      <rPr>
        <b/>
        <i/>
        <sz val="11"/>
        <color rgb="FFFFC000"/>
        <rFont val="Arial"/>
        <family val="2"/>
      </rPr>
      <t>b</t>
    </r>
    <r>
      <rPr>
        <i/>
        <sz val="11"/>
        <color rgb="FFCCECFF"/>
        <rFont val="Arial"/>
        <family val="2"/>
      </rPr>
      <t xml:space="preserve"> = vervormd proefstuk</t>
    </r>
  </si>
  <si>
    <r>
      <rPr>
        <b/>
        <i/>
        <sz val="11"/>
        <color rgb="FFFFC000"/>
        <rFont val="Arial"/>
        <family val="2"/>
      </rPr>
      <t>c</t>
    </r>
    <r>
      <rPr>
        <i/>
        <sz val="11"/>
        <color rgb="FFCCECFF"/>
        <rFont val="Arial"/>
        <family val="2"/>
      </rPr>
      <t xml:space="preserve"> = gemengde breuk</t>
    </r>
  </si>
  <si>
    <r>
      <rPr>
        <b/>
        <i/>
        <sz val="11"/>
        <color rgb="FFFFC000"/>
        <rFont val="Arial"/>
        <family val="2"/>
      </rPr>
      <t xml:space="preserve">     neen</t>
    </r>
    <r>
      <rPr>
        <i/>
        <sz val="11"/>
        <color rgb="FFCCECFF"/>
        <rFont val="Arial"/>
        <family val="2"/>
      </rPr>
      <t xml:space="preserve"> = vooral niet gebroken</t>
    </r>
  </si>
  <si>
    <r>
      <t xml:space="preserve">     </t>
    </r>
    <r>
      <rPr>
        <b/>
        <i/>
        <sz val="11"/>
        <color rgb="FFFFC000"/>
        <rFont val="Arial"/>
        <family val="2"/>
      </rPr>
      <t>ja</t>
    </r>
    <r>
      <rPr>
        <i/>
        <sz val="11"/>
        <color rgb="FFCCECFF"/>
        <rFont val="Arial"/>
        <family val="2"/>
      </rPr>
      <t xml:space="preserve"> = vooral gebroken</t>
    </r>
  </si>
  <si>
    <r>
      <rPr>
        <b/>
        <i/>
        <sz val="11"/>
        <color rgb="FFFFC000"/>
        <rFont val="Arial"/>
        <family val="2"/>
      </rPr>
      <t>a</t>
    </r>
    <r>
      <rPr>
        <i/>
        <sz val="11"/>
        <color rgb="FFCCECFF"/>
        <rFont val="Arial"/>
        <family val="2"/>
      </rPr>
      <t xml:space="preserve"> = rechte breuk     </t>
    </r>
  </si>
  <si>
    <t>Verschil SVM bij ITSR:</t>
  </si>
  <si>
    <t>samen:</t>
  </si>
  <si>
    <t>AFDRUIP</t>
  </si>
  <si>
    <t>Toegepaste norm voor de bepaling van het afdruipen van bindmiddel:</t>
  </si>
  <si>
    <t>EN 12697-18</t>
  </si>
  <si>
    <t>Methode:</t>
  </si>
  <si>
    <t>Monster</t>
  </si>
  <si>
    <t>a</t>
  </si>
  <si>
    <t>b</t>
  </si>
  <si>
    <t>c</t>
  </si>
  <si>
    <t>Tarra</t>
  </si>
  <si>
    <t>T+monster</t>
  </si>
  <si>
    <t>M1 (g)</t>
  </si>
  <si>
    <t>M2 (g)</t>
  </si>
  <si>
    <t>T+rest</t>
  </si>
  <si>
    <t>M3 (g)</t>
  </si>
  <si>
    <t>Rest</t>
  </si>
  <si>
    <t>Op 1 mm</t>
  </si>
  <si>
    <t>M4 (g)</t>
  </si>
  <si>
    <t>Temperatuur</t>
  </si>
  <si>
    <t>(°C)</t>
  </si>
  <si>
    <t>Verlies</t>
  </si>
  <si>
    <t>Zeefrest</t>
  </si>
  <si>
    <t>R (%)</t>
  </si>
  <si>
    <t>Basket</t>
  </si>
  <si>
    <t>vervalt</t>
  </si>
  <si>
    <t>Plaat</t>
  </si>
  <si>
    <t>Plaat+verlies</t>
  </si>
  <si>
    <t>Verschil :</t>
  </si>
  <si>
    <t>DEELTJESVERLIES (CANTABRO)</t>
  </si>
  <si>
    <t>Toegepaste norm voor de bepaling van het deeltjesverlies:</t>
  </si>
  <si>
    <t>Voor</t>
  </si>
  <si>
    <t>Na</t>
  </si>
  <si>
    <t>PL (%)</t>
  </si>
  <si>
    <t>EN 12697-17</t>
  </si>
  <si>
    <t>EN 12697-20</t>
  </si>
  <si>
    <t>Type proefstukken:</t>
  </si>
  <si>
    <r>
      <rPr>
        <b/>
        <i/>
        <sz val="11"/>
        <color rgb="FFFFC000"/>
        <rFont val="Arial"/>
        <family val="2"/>
      </rPr>
      <t>C</t>
    </r>
    <r>
      <rPr>
        <i/>
        <sz val="11"/>
        <color theme="8" tint="0.59999389629810485"/>
        <rFont val="Arial"/>
        <family val="2"/>
      </rPr>
      <t xml:space="preserve"> (kubus) of</t>
    </r>
    <r>
      <rPr>
        <b/>
        <i/>
        <sz val="11"/>
        <color rgb="FFFFC000"/>
        <rFont val="Arial"/>
        <family val="2"/>
      </rPr>
      <t xml:space="preserve"> CY</t>
    </r>
    <r>
      <rPr>
        <i/>
        <sz val="11"/>
        <color theme="8" tint="0.59999389629810485"/>
        <rFont val="Arial"/>
        <family val="2"/>
      </rPr>
      <t>(cilindrisch).</t>
    </r>
  </si>
  <si>
    <r>
      <rPr>
        <b/>
        <i/>
        <sz val="11"/>
        <color rgb="FFFFC000"/>
        <rFont val="Arial"/>
        <family val="2"/>
      </rPr>
      <t>100</t>
    </r>
    <r>
      <rPr>
        <i/>
        <sz val="11"/>
        <color theme="8" tint="0.59999389629810485"/>
        <rFont val="Arial"/>
        <family val="2"/>
      </rPr>
      <t xml:space="preserve"> of</t>
    </r>
    <r>
      <rPr>
        <b/>
        <i/>
        <sz val="11"/>
        <color rgb="FFFFC000"/>
        <rFont val="Arial"/>
        <family val="2"/>
      </rPr>
      <t xml:space="preserve"> 500</t>
    </r>
    <r>
      <rPr>
        <i/>
        <sz val="11"/>
        <color theme="8" tint="0.59999389629810485"/>
        <rFont val="Arial"/>
        <family val="2"/>
      </rPr>
      <t>.</t>
    </r>
  </si>
  <si>
    <r>
      <rPr>
        <b/>
        <i/>
        <sz val="11"/>
        <color rgb="FFFFC000"/>
        <rFont val="Arial"/>
        <family val="2"/>
      </rPr>
      <t>22</t>
    </r>
    <r>
      <rPr>
        <i/>
        <sz val="11"/>
        <color theme="8" tint="0.59999389629810485"/>
        <rFont val="Arial"/>
        <family val="2"/>
      </rPr>
      <t xml:space="preserve"> of</t>
    </r>
    <r>
      <rPr>
        <b/>
        <i/>
        <sz val="11"/>
        <color rgb="FFFFC000"/>
        <rFont val="Arial"/>
        <family val="2"/>
      </rPr>
      <t xml:space="preserve"> 40</t>
    </r>
    <r>
      <rPr>
        <i/>
        <sz val="11"/>
        <color theme="8" tint="0.59999389629810485"/>
        <rFont val="Arial"/>
        <family val="2"/>
      </rPr>
      <t>.</t>
    </r>
  </si>
  <si>
    <t>Ouderdom van de proefstukken:</t>
  </si>
  <si>
    <t>2 dagen</t>
  </si>
  <si>
    <t>MECHANISCHE WEERSTAND (SPOORVORMING)</t>
  </si>
  <si>
    <t>Zie afzonderlijk proefverslag van extern laboratorium.</t>
  </si>
  <si>
    <t>Aantal cycli:</t>
  </si>
  <si>
    <t xml:space="preserve">Toestel: </t>
  </si>
  <si>
    <t>Large Size Device</t>
  </si>
  <si>
    <r>
      <t>P</t>
    </r>
    <r>
      <rPr>
        <vertAlign val="subscript"/>
        <sz val="11"/>
        <color theme="1"/>
        <rFont val="Arial"/>
        <family val="2"/>
      </rPr>
      <t>LD</t>
    </r>
  </si>
  <si>
    <t>STIJFHEID</t>
  </si>
  <si>
    <t xml:space="preserve">Toestel en methode: </t>
  </si>
  <si>
    <t>Tweepuntsbuigproef op trapezoïdale proefstukken</t>
  </si>
  <si>
    <t>°C</t>
  </si>
  <si>
    <t>Frequentie</t>
  </si>
  <si>
    <t>(Hz)</t>
  </si>
  <si>
    <t>Stijfheid</t>
  </si>
  <si>
    <t>(MPa)</t>
  </si>
  <si>
    <t>Referentie volgens EN 13108-20:</t>
  </si>
  <si>
    <t>D.1.7</t>
  </si>
  <si>
    <t>D.3.1</t>
  </si>
  <si>
    <t>VERMOEIING</t>
  </si>
  <si>
    <t>D.5.1</t>
  </si>
  <si>
    <t>Zie tabel D.5 van EN 13108-20.</t>
  </si>
  <si>
    <t>Zie tabel D.3 van EN 13108-20.</t>
  </si>
  <si>
    <t>Zie tabel D.4 van EN 13108-20.</t>
  </si>
  <si>
    <t>Tussen 24h en 42 dagen.</t>
  </si>
  <si>
    <t>Minstens 60 min.</t>
  </si>
  <si>
    <t>% afdruipremmer:</t>
  </si>
  <si>
    <t>Courant 30 min.</t>
  </si>
  <si>
    <t>Courant 60 min.</t>
  </si>
  <si>
    <t>Courant 18,0 °C.</t>
  </si>
  <si>
    <t>Courant 50 °C.</t>
  </si>
  <si>
    <t>Courant 30000 cycli.</t>
  </si>
  <si>
    <t>Courant 15 en eventueel 30 °C bij 10 Hz.</t>
  </si>
  <si>
    <t>Vermoeiing</t>
  </si>
  <si>
    <r>
      <rPr>
        <sz val="11"/>
        <color theme="1"/>
        <rFont val="Symbol"/>
        <family val="1"/>
        <charset val="2"/>
      </rPr>
      <t>e</t>
    </r>
    <r>
      <rPr>
        <vertAlign val="subscript"/>
        <sz val="11"/>
        <color theme="1"/>
        <rFont val="Arial"/>
        <family val="2"/>
      </rPr>
      <t>6</t>
    </r>
    <r>
      <rPr>
        <sz val="11"/>
        <color theme="1"/>
        <rFont val="Arial"/>
        <family val="2"/>
      </rPr>
      <t xml:space="preserve"> (µS)</t>
    </r>
  </si>
  <si>
    <t>Complexe modulus G*</t>
  </si>
  <si>
    <t>15 °C / 10 Hz</t>
  </si>
  <si>
    <t>30 °C / 10 Hz</t>
  </si>
  <si>
    <t>52 °C / 1,6 Hz</t>
  </si>
  <si>
    <t>Kritische temp.</t>
  </si>
  <si>
    <t>BBR (°C)</t>
  </si>
  <si>
    <t>d</t>
  </si>
  <si>
    <t>Extractiemethode volgens EN 12697-1 Annex B.2:</t>
  </si>
  <si>
    <t>B.2.1</t>
  </si>
  <si>
    <t>Gebruikt oplosmiddel:</t>
  </si>
  <si>
    <t>dichloormethaan</t>
  </si>
  <si>
    <t>INDRINGING EN VERWEKINGSPUNT VAN TERUGGEWONNEN BINDMIDDEL</t>
  </si>
  <si>
    <t>waarde 1</t>
  </si>
  <si>
    <t>waarde 2</t>
  </si>
  <si>
    <t>waarde 3</t>
  </si>
  <si>
    <t>Verwekingspunt</t>
  </si>
  <si>
    <t>Toegepaste norm voor de bepaling van de indringing:</t>
  </si>
  <si>
    <t>Toegepaste norm voor de bepaling van het verwekingspunt:</t>
  </si>
  <si>
    <t>automatisch</t>
  </si>
  <si>
    <r>
      <rPr>
        <b/>
        <i/>
        <sz val="11"/>
        <color rgb="FFFFC000"/>
        <rFont val="Arial"/>
        <family val="2"/>
      </rPr>
      <t>manueel</t>
    </r>
    <r>
      <rPr>
        <i/>
        <sz val="11"/>
        <color rgb="FFCCECFF"/>
        <rFont val="Arial"/>
        <family val="2"/>
      </rPr>
      <t xml:space="preserve">, </t>
    </r>
    <r>
      <rPr>
        <b/>
        <i/>
        <sz val="11"/>
        <color rgb="FFFFC000"/>
        <rFont val="Arial"/>
        <family val="2"/>
      </rPr>
      <t>automatisch</t>
    </r>
    <r>
      <rPr>
        <i/>
        <sz val="11"/>
        <color rgb="FFCCECFF"/>
        <rFont val="Arial"/>
        <family val="2"/>
      </rPr>
      <t>, …</t>
    </r>
  </si>
  <si>
    <t>EN 1426</t>
  </si>
  <si>
    <t>EN 1427</t>
  </si>
  <si>
    <r>
      <rPr>
        <b/>
        <i/>
        <sz val="11"/>
        <color rgb="FFFFC000"/>
        <rFont val="Arial"/>
        <family val="2"/>
      </rPr>
      <t>water</t>
    </r>
    <r>
      <rPr>
        <i/>
        <sz val="11"/>
        <color rgb="FFCCECFF"/>
        <rFont val="Arial"/>
        <family val="2"/>
      </rPr>
      <t>,</t>
    </r>
    <r>
      <rPr>
        <b/>
        <i/>
        <sz val="11"/>
        <color rgb="FFFFC000"/>
        <rFont val="Arial"/>
        <family val="2"/>
      </rPr>
      <t xml:space="preserve"> glycerol</t>
    </r>
    <r>
      <rPr>
        <i/>
        <sz val="11"/>
        <color rgb="FFCCECFF"/>
        <rFont val="Arial"/>
        <family val="2"/>
      </rPr>
      <t>, …</t>
    </r>
  </si>
  <si>
    <r>
      <rPr>
        <b/>
        <i/>
        <sz val="11"/>
        <color rgb="FFFFC000"/>
        <rFont val="Arial"/>
        <family val="2"/>
      </rPr>
      <t>manueel</t>
    </r>
    <r>
      <rPr>
        <i/>
        <sz val="11"/>
        <color rgb="FFCCECFF"/>
        <rFont val="Arial"/>
        <family val="2"/>
      </rPr>
      <t xml:space="preserve">, </t>
    </r>
    <r>
      <rPr>
        <b/>
        <i/>
        <sz val="11"/>
        <color rgb="FFFFC000"/>
        <rFont val="Arial"/>
        <family val="2"/>
      </rPr>
      <t>halfautomatisch</t>
    </r>
    <r>
      <rPr>
        <i/>
        <sz val="11"/>
        <color rgb="FFCCECFF"/>
        <rFont val="Arial"/>
        <family val="2"/>
      </rPr>
      <t xml:space="preserve">, </t>
    </r>
    <r>
      <rPr>
        <b/>
        <i/>
        <sz val="11"/>
        <color rgb="FFFFC000"/>
        <rFont val="Arial"/>
        <family val="2"/>
      </rPr>
      <t>automatisch</t>
    </r>
    <r>
      <rPr>
        <i/>
        <sz val="11"/>
        <color rgb="FFCCECFF"/>
        <rFont val="Arial"/>
        <family val="2"/>
      </rPr>
      <t>, …</t>
    </r>
  </si>
  <si>
    <t>halfautomatisch</t>
  </si>
  <si>
    <t>water</t>
  </si>
  <si>
    <t>D.5.4</t>
  </si>
  <si>
    <t>VERHINDERDE KRIMP</t>
  </si>
  <si>
    <t>Toegepaste methode:</t>
  </si>
  <si>
    <t>SB 250 v.2.2 H14 4.18</t>
  </si>
  <si>
    <t>-5, -10, -15, -20, -25, -30, -35</t>
  </si>
  <si>
    <t>AFFINITEIT TUSSEN AGGREGAAT EN BITUMEN</t>
  </si>
  <si>
    <t>Toegepaste norm voor de bepaling van de affiniteit:</t>
  </si>
  <si>
    <t>EN 12697-11</t>
  </si>
  <si>
    <t>Kokend water</t>
  </si>
  <si>
    <t>Type en korrelmaat aggregaten:</t>
  </si>
  <si>
    <t>Type bindmiddel:</t>
  </si>
  <si>
    <t>Type anti-stripping middel:</t>
  </si>
  <si>
    <t>Bemerkingen:</t>
  </si>
  <si>
    <t>percentage aanvoervulstof tijdens productie:</t>
  </si>
  <si>
    <t>min.</t>
  </si>
  <si>
    <t>max.</t>
  </si>
  <si>
    <t>in geval een tolerantie van +/- 20 % van toepassing is.</t>
  </si>
  <si>
    <t>oplosmiddel:</t>
  </si>
  <si>
    <t>Mastiekverdeling:</t>
  </si>
  <si>
    <t>stenen:</t>
  </si>
  <si>
    <t>mastiek:</t>
  </si>
  <si>
    <t>zand:</t>
  </si>
  <si>
    <t>vulstof:</t>
  </si>
  <si>
    <t>bindmiddel:</t>
  </si>
  <si>
    <t>mastiekverdeling:</t>
  </si>
  <si>
    <t>Eisen voor analyses:</t>
  </si>
  <si>
    <t>VERANTWOORDINGSNOTA - VERSLAG VAN TYPEKEURING</t>
  </si>
  <si>
    <t>8xxx/6x/</t>
  </si>
  <si>
    <t>2010/13RE-1234/0</t>
  </si>
  <si>
    <t>2007/13RB-123456</t>
  </si>
  <si>
    <t>2007/123A</t>
  </si>
  <si>
    <t>8xxx/</t>
  </si>
  <si>
    <t>Bijlage 4</t>
  </si>
  <si>
    <t>postnummer</t>
  </si>
  <si>
    <t>gemeente</t>
  </si>
  <si>
    <t>Hasselt</t>
  </si>
  <si>
    <t>AB-3A1</t>
  </si>
  <si>
    <t>voor onderlagen van asfaltverhardingen</t>
  </si>
  <si>
    <t>Type:</t>
  </si>
  <si>
    <t>Gaurain-Ramecroix</t>
  </si>
  <si>
    <t>blz. 1 /</t>
  </si>
  <si>
    <t>Enkel geldig met stempel van COPRO:</t>
  </si>
  <si>
    <t>(rekening houdend met volumemassa's)</t>
  </si>
  <si>
    <t>steenfractie</t>
  </si>
  <si>
    <t>zandfractie</t>
  </si>
  <si>
    <t>bindmiddel in mengsel</t>
  </si>
  <si>
    <t>Rode kleurstof</t>
  </si>
  <si>
    <t>Bayferrox 130</t>
  </si>
  <si>
    <t>Gehalte oplosbaar bindmiddel (in)</t>
  </si>
  <si>
    <t>Verhouding bindmiddel uit AG</t>
  </si>
  <si>
    <t>Conventionele verhouding aanvoer-</t>
  </si>
  <si>
    <t>min</t>
  </si>
  <si>
    <t>max</t>
  </si>
  <si>
    <t>Korrelverdeling:</t>
  </si>
  <si>
    <t>kg/m³</t>
  </si>
  <si>
    <t>Mg/m³</t>
  </si>
  <si>
    <t>Massaverlies (Cantabro)</t>
  </si>
  <si>
    <t>mm</t>
  </si>
  <si>
    <t>PROEFRESULTATEN TOE TE VOEGEN OP EERSTE BLADZIJDE VERANTWOORDINGSNOTA</t>
  </si>
  <si>
    <t>Kenmerk</t>
  </si>
  <si>
    <t>Resultaat</t>
  </si>
  <si>
    <t>Eenheid</t>
  </si>
  <si>
    <t>proef 1</t>
  </si>
  <si>
    <t>proef 2</t>
  </si>
  <si>
    <t>1,0</t>
  </si>
  <si>
    <t>2</t>
  </si>
  <si>
    <t>proef 3</t>
  </si>
  <si>
    <t>proef 4</t>
  </si>
  <si>
    <t>4</t>
  </si>
  <si>
    <t>hPa</t>
  </si>
  <si>
    <t>3,00</t>
  </si>
  <si>
    <t>EINDRESULTAAT BIJ GEKOZEN BINDMIDDELGEHALTE</t>
  </si>
  <si>
    <t>Watergevoeligheid (ITSR)</t>
  </si>
  <si>
    <t>bij</t>
  </si>
  <si>
    <t>% bindmiddel:</t>
  </si>
  <si>
    <t>PROEF UITGEVOERD</t>
  </si>
  <si>
    <r>
      <rPr>
        <b/>
        <i/>
        <sz val="11"/>
        <color rgb="FFFFC000"/>
        <rFont val="Arial"/>
        <family val="2"/>
      </rPr>
      <t>J</t>
    </r>
    <r>
      <rPr>
        <i/>
        <sz val="11"/>
        <color theme="8" tint="0.59999389629810485"/>
        <rFont val="Arial"/>
        <family val="2"/>
      </rPr>
      <t xml:space="preserve"> of</t>
    </r>
    <r>
      <rPr>
        <b/>
        <i/>
        <sz val="11"/>
        <color rgb="FFFFC000"/>
        <rFont val="Arial"/>
        <family val="2"/>
      </rPr>
      <t xml:space="preserve"> N</t>
    </r>
    <r>
      <rPr>
        <i/>
        <sz val="11"/>
        <color theme="8" tint="0.59999389629810485"/>
        <rFont val="Arial"/>
        <family val="2"/>
      </rPr>
      <t>.</t>
    </r>
  </si>
  <si>
    <t>b1</t>
  </si>
  <si>
    <t>Dit mengsel wordt geleverd onder de technische fiche(s):</t>
  </si>
  <si>
    <t>Code TF:</t>
  </si>
  <si>
    <t>productie-eenheid COPRO</t>
  </si>
  <si>
    <t>Vb. 803.</t>
  </si>
  <si>
    <t>Elfver Vandenbraembussche</t>
  </si>
  <si>
    <t>blz. 4 /</t>
  </si>
  <si>
    <t>blz. 3 /</t>
  </si>
  <si>
    <t>blz. 2 /</t>
  </si>
  <si>
    <t>Identificatie COPRO:</t>
  </si>
  <si>
    <t>Kenmerken:</t>
  </si>
  <si>
    <t>merk en bouwjaar:</t>
  </si>
  <si>
    <t>productiecapaciteit:</t>
  </si>
  <si>
    <t>type installatie:</t>
  </si>
  <si>
    <t>straat:</t>
  </si>
  <si>
    <t>postnummer:</t>
  </si>
  <si>
    <t>gemeente:</t>
  </si>
  <si>
    <t>telefoon:</t>
  </si>
  <si>
    <t>Datum indiening van deze verantwoordingsnota:</t>
  </si>
  <si>
    <t>KENMERKEN</t>
  </si>
  <si>
    <r>
      <rPr>
        <b/>
        <sz val="10"/>
        <color theme="1"/>
        <rFont val="Calibri"/>
        <family val="2"/>
        <scheme val="minor"/>
      </rPr>
      <t>SAMENSTELLING</t>
    </r>
    <r>
      <rPr>
        <sz val="10"/>
        <color theme="1"/>
        <rFont val="Calibri"/>
        <family val="2"/>
        <scheme val="minor"/>
      </rPr>
      <t xml:space="preserve"> (in massaprocent)</t>
    </r>
  </si>
  <si>
    <r>
      <t xml:space="preserve">GRONDSTOFFEN </t>
    </r>
    <r>
      <rPr>
        <sz val="10"/>
        <color theme="1"/>
        <rFont val="Calibri"/>
        <family val="2"/>
        <scheme val="minor"/>
      </rPr>
      <t>(massaprocent en type)</t>
    </r>
  </si>
  <si>
    <t>Van oorspronkelijke verantwoordingsnota:</t>
  </si>
  <si>
    <t>BIJLAGEN AAN DEZE VERANTWOORDINGSNOTA</t>
  </si>
  <si>
    <t>COPRO-certificaat voor de mengsels</t>
  </si>
  <si>
    <t>Technische fiches van de grondstoffen</t>
  </si>
  <si>
    <t>PRODUCTIEGEGEVENS</t>
  </si>
  <si>
    <t>Receptcode:</t>
  </si>
  <si>
    <t>Doseerwijze asfaltgranulaat:</t>
  </si>
  <si>
    <t>Doseerwijze teruggew. stof:</t>
  </si>
  <si>
    <t>asfaltgranulaten:</t>
  </si>
  <si>
    <t>aanvoervulstof:</t>
  </si>
  <si>
    <t>mengsel:</t>
  </si>
  <si>
    <t>3a3</t>
  </si>
  <si>
    <t>4b4</t>
  </si>
  <si>
    <t>paralleltrommel</t>
  </si>
  <si>
    <t>ring aan trommel</t>
  </si>
  <si>
    <t>110-150</t>
  </si>
  <si>
    <t>n.v.t.</t>
  </si>
  <si>
    <t>155-175</t>
  </si>
  <si>
    <t>145-185</t>
  </si>
  <si>
    <t>115-155</t>
  </si>
  <si>
    <t>160-180</t>
  </si>
  <si>
    <t>150-190</t>
  </si>
  <si>
    <t>Temperatuursintervallen (°C):</t>
  </si>
  <si>
    <t>120-160</t>
  </si>
  <si>
    <t>95-105</t>
  </si>
  <si>
    <t>165-185</t>
  </si>
  <si>
    <t>155-195</t>
  </si>
  <si>
    <t>bij het spreiden:</t>
  </si>
  <si>
    <t>bij het verdichten:</t>
  </si>
  <si>
    <t>130-180</t>
  </si>
  <si>
    <t>100-160</t>
  </si>
  <si>
    <t>GRONDSTOFFEN</t>
  </si>
  <si>
    <t>FI</t>
  </si>
  <si>
    <t>Andere klassen</t>
  </si>
  <si>
    <t>Ecs</t>
  </si>
  <si>
    <t>LA</t>
  </si>
  <si>
    <t>MD</t>
  </si>
  <si>
    <t>100/0</t>
  </si>
  <si>
    <t>95/3</t>
  </si>
  <si>
    <t>95/1</t>
  </si>
  <si>
    <t>MARSHALLPROEF</t>
  </si>
  <si>
    <t>Toegepaste norm voor de bepaling van de Marshallkenmerken:</t>
  </si>
  <si>
    <t>EN 12697-34</t>
  </si>
  <si>
    <t>Correctie-</t>
  </si>
  <si>
    <t>factor</t>
  </si>
  <si>
    <t>Stabiliteit</t>
  </si>
  <si>
    <t>kracht (N)</t>
  </si>
  <si>
    <t>variatie (%)</t>
  </si>
  <si>
    <t>Vloei</t>
  </si>
  <si>
    <t>Quotiënt</t>
  </si>
  <si>
    <t>F (mm)</t>
  </si>
  <si>
    <t>variatie op F (%)</t>
  </si>
  <si>
    <r>
      <t>F</t>
    </r>
    <r>
      <rPr>
        <vertAlign val="subscript"/>
        <sz val="11"/>
        <color theme="1"/>
        <rFont val="Arial"/>
        <family val="2"/>
      </rPr>
      <t>T</t>
    </r>
    <r>
      <rPr>
        <sz val="11"/>
        <color theme="1"/>
        <rFont val="Arial"/>
        <family val="2"/>
      </rPr>
      <t xml:space="preserve"> (mm)</t>
    </r>
  </si>
  <si>
    <r>
      <t>F</t>
    </r>
    <r>
      <rPr>
        <vertAlign val="subscript"/>
        <sz val="11"/>
        <color theme="1"/>
        <rFont val="Arial"/>
        <family val="2"/>
      </rPr>
      <t>t</t>
    </r>
    <r>
      <rPr>
        <sz val="11"/>
        <color theme="1"/>
        <rFont val="Arial"/>
        <family val="2"/>
      </rPr>
      <t xml:space="preserve"> (mm)</t>
    </r>
  </si>
  <si>
    <t>gecorrigeerde stabiliteit (kN)</t>
  </si>
  <si>
    <t>(kN/mm)</t>
  </si>
  <si>
    <t>De 3 of 4 weerhouden proefstukken eerst vermelden.</t>
  </si>
  <si>
    <t>excl.</t>
  </si>
  <si>
    <t>Variaties Marshallproef:</t>
  </si>
  <si>
    <t>10 Hz</t>
  </si>
  <si>
    <t>15 °C</t>
  </si>
  <si>
    <t>30 °C</t>
  </si>
  <si>
    <t>52 °C</t>
  </si>
  <si>
    <t>1,6 Hz</t>
  </si>
  <si>
    <t>Oplosbaar</t>
  </si>
  <si>
    <r>
      <t>t</t>
    </r>
    <r>
      <rPr>
        <vertAlign val="subscript"/>
        <sz val="10"/>
        <color theme="1"/>
        <rFont val="Calibri"/>
        <family val="2"/>
        <scheme val="minor"/>
      </rPr>
      <t>R&amp;K</t>
    </r>
    <r>
      <rPr>
        <sz val="10"/>
        <color theme="1"/>
        <rFont val="Calibri"/>
        <family val="2"/>
        <scheme val="minor"/>
      </rPr>
      <t xml:space="preserve"> (°C)</t>
    </r>
  </si>
  <si>
    <t>AG</t>
  </si>
  <si>
    <t>aggregaat</t>
  </si>
  <si>
    <t>HR</t>
  </si>
  <si>
    <t>Kritische t.</t>
  </si>
  <si>
    <t>Leverancier en herkomst</t>
  </si>
  <si>
    <t>Oplosbare fractie</t>
  </si>
  <si>
    <t>Doorval door de zeef van … mm</t>
  </si>
  <si>
    <t>Verhouding</t>
  </si>
  <si>
    <t>conventioneel:</t>
  </si>
  <si>
    <t>GRONDSTOFFEN (vervolg)</t>
  </si>
  <si>
    <t>Verhouding aanvoervulstof</t>
  </si>
  <si>
    <t>-</t>
  </si>
  <si>
    <t>Verhouding recyclage</t>
  </si>
  <si>
    <t>HISTORIEK VAN DEZE VERANTWOORDINGSNOTA</t>
  </si>
  <si>
    <t>gewaarborgde verhouding:</t>
  </si>
  <si>
    <t>VM</t>
  </si>
  <si>
    <t>"Oud" bindmiddel in bindmiddelmengsel:</t>
  </si>
  <si>
    <t>berekend:</t>
  </si>
  <si>
    <t>beproefd:</t>
  </si>
  <si>
    <t>Pen</t>
  </si>
  <si>
    <t>Opl.</t>
  </si>
  <si>
    <t>VM:</t>
  </si>
  <si>
    <t>HR:</t>
  </si>
  <si>
    <t>holle ruimte in %</t>
  </si>
  <si>
    <t>Pen:</t>
  </si>
  <si>
    <t>indringing in mm/10</t>
  </si>
  <si>
    <t>Opl.:</t>
  </si>
  <si>
    <t>oplosbaarheid in %</t>
  </si>
  <si>
    <t>Bindmiddelmengsel = nieuw bindmiddel +</t>
  </si>
  <si>
    <t>onb.</t>
  </si>
  <si>
    <t>Mengregel = nieuw bindmiddel + eventuele</t>
  </si>
  <si>
    <t>asfaltgranulaten</t>
  </si>
  <si>
    <t>eventuele asfaltgranulaten en toevoegsels</t>
  </si>
  <si>
    <t>blz. 5 /</t>
  </si>
  <si>
    <t>Mengsel</t>
  </si>
  <si>
    <t>testopmerking</t>
  </si>
  <si>
    <t>SAMENSTELLING IN MASSAPROCENTEN</t>
  </si>
  <si>
    <t>rekening houdend met de volumemassa's</t>
  </si>
  <si>
    <t>GEHALTE OPLOSBAAR BINDMIDDEL</t>
  </si>
  <si>
    <t>TERUG TE VINDEN BIJ ANALYSE</t>
  </si>
  <si>
    <t>Bindmiddel in mengsel:</t>
  </si>
  <si>
    <t>Oplosmiddel:</t>
  </si>
  <si>
    <t>MASTIEKVERDELING</t>
  </si>
  <si>
    <t>in massaprocenten</t>
  </si>
  <si>
    <t>VOLUMEMASSA'S VAN DE FRACTIES</t>
  </si>
  <si>
    <t>Validatie:</t>
  </si>
  <si>
    <t>Toegepaste norm voor de bepaling van het bindmiddelgehalte:</t>
  </si>
  <si>
    <t>Toegepaste norm voor de bepaling van de korrelverdeling:</t>
  </si>
  <si>
    <t>P</t>
  </si>
  <si>
    <t>PRODUCTIEFICHE van recept</t>
  </si>
  <si>
    <t>blz.</t>
  </si>
  <si>
    <t>Productie-eenheid:</t>
  </si>
  <si>
    <t>Instelwaarden voor de asfaltmenginstallatie</t>
  </si>
  <si>
    <t>Datum bijsturing</t>
  </si>
  <si>
    <t>Tijdstip bijsturing</t>
  </si>
  <si>
    <t>Nr. analyse</t>
  </si>
  <si>
    <t>Zeeffractie:</t>
  </si>
  <si>
    <t>Instelwaarden voor de voordosering</t>
  </si>
  <si>
    <t>Dosering toevoegsels</t>
  </si>
  <si>
    <t>Temperatuursgrenzen (°C)</t>
  </si>
  <si>
    <t xml:space="preserve">Paraaf </t>
  </si>
  <si>
    <t>0-3</t>
  </si>
  <si>
    <t>3-8</t>
  </si>
  <si>
    <t>8-16</t>
  </si>
  <si>
    <t>16-22</t>
  </si>
  <si>
    <t>22-40</t>
  </si>
  <si>
    <t>40-60</t>
  </si>
  <si>
    <t>kg</t>
  </si>
  <si>
    <t>Mengtijden</t>
  </si>
  <si>
    <t>(s)</t>
  </si>
  <si>
    <t>Voormengtijd</t>
  </si>
  <si>
    <t>Droge mengtijd</t>
  </si>
  <si>
    <t>Namengtijd</t>
  </si>
  <si>
    <t>Natte mengtijd</t>
  </si>
  <si>
    <t>Totale mengtijd</t>
  </si>
  <si>
    <t>Opmerkingen</t>
  </si>
  <si>
    <t>Aggregaten</t>
  </si>
  <si>
    <t>Asfaltgranulaten</t>
  </si>
  <si>
    <t>Toegepaste norm voor de bepaling van de mengseldichtheid:</t>
  </si>
  <si>
    <t>Toegepaste norm voor de bepaling van de bulkdichtheid:</t>
  </si>
  <si>
    <t>Vloeistof in pyknometers:</t>
  </si>
  <si>
    <t>Enkel in te vullen voor MVM methode A.</t>
  </si>
  <si>
    <r>
      <rPr>
        <sz val="11"/>
        <color theme="1"/>
        <rFont val="Symbol"/>
        <family val="1"/>
        <charset val="2"/>
      </rPr>
      <t>r</t>
    </r>
    <r>
      <rPr>
        <sz val="11"/>
        <color theme="1"/>
        <rFont val="Arial"/>
        <family val="2"/>
      </rPr>
      <t xml:space="preserve"> </t>
    </r>
    <r>
      <rPr>
        <vertAlign val="subscript"/>
        <sz val="11"/>
        <color theme="1"/>
        <rFont val="Arial"/>
        <family val="2"/>
      </rPr>
      <t>bdry</t>
    </r>
    <r>
      <rPr>
        <sz val="11"/>
        <color theme="1"/>
        <rFont val="Arial"/>
        <family val="2"/>
      </rPr>
      <t xml:space="preserve"> (A)</t>
    </r>
  </si>
  <si>
    <r>
      <rPr>
        <sz val="11"/>
        <color theme="1"/>
        <rFont val="Symbol"/>
        <family val="1"/>
        <charset val="2"/>
      </rPr>
      <t>r</t>
    </r>
    <r>
      <rPr>
        <vertAlign val="subscript"/>
        <sz val="11"/>
        <color theme="1"/>
        <rFont val="Arial"/>
        <family val="2"/>
      </rPr>
      <t xml:space="preserve"> bssd</t>
    </r>
    <r>
      <rPr>
        <sz val="11"/>
        <color theme="1"/>
        <rFont val="Arial"/>
        <family val="2"/>
      </rPr>
      <t xml:space="preserve"> (B)</t>
    </r>
  </si>
  <si>
    <r>
      <rPr>
        <sz val="11"/>
        <color theme="1"/>
        <rFont val="Symbol"/>
        <family val="1"/>
        <charset val="2"/>
      </rPr>
      <t>r</t>
    </r>
    <r>
      <rPr>
        <vertAlign val="subscript"/>
        <sz val="11"/>
        <color theme="1"/>
        <rFont val="Arial"/>
        <family val="2"/>
      </rPr>
      <t xml:space="preserve"> bsea</t>
    </r>
    <r>
      <rPr>
        <sz val="11"/>
        <color theme="1"/>
        <rFont val="Arial"/>
        <family val="2"/>
      </rPr>
      <t xml:space="preserve"> (C)</t>
    </r>
  </si>
  <si>
    <r>
      <rPr>
        <sz val="11"/>
        <color theme="1"/>
        <rFont val="Symbol"/>
        <family val="1"/>
        <charset val="2"/>
      </rPr>
      <t>r</t>
    </r>
    <r>
      <rPr>
        <vertAlign val="subscript"/>
        <sz val="11"/>
        <color theme="1"/>
        <rFont val="Cambria"/>
        <family val="1"/>
      </rPr>
      <t xml:space="preserve"> bdim</t>
    </r>
    <r>
      <rPr>
        <sz val="11"/>
        <color theme="1"/>
        <rFont val="Arial"/>
        <family val="2"/>
      </rPr>
      <t xml:space="preserve"> (D)</t>
    </r>
  </si>
  <si>
    <t>r</t>
  </si>
  <si>
    <r>
      <rPr>
        <sz val="11"/>
        <color theme="1"/>
        <rFont val="Symbol"/>
        <family val="1"/>
        <charset val="2"/>
      </rPr>
      <t>r</t>
    </r>
    <r>
      <rPr>
        <sz val="11"/>
        <color theme="1"/>
        <rFont val="Arial"/>
        <family val="2"/>
      </rPr>
      <t xml:space="preserve"> </t>
    </r>
    <r>
      <rPr>
        <vertAlign val="subscript"/>
        <sz val="11"/>
        <color theme="1"/>
        <rFont val="Arial"/>
        <family val="2"/>
      </rPr>
      <t>mv</t>
    </r>
    <r>
      <rPr>
        <sz val="11"/>
        <color theme="1"/>
        <rFont val="Arial"/>
        <family val="2"/>
      </rPr>
      <t xml:space="preserve"> (A)</t>
    </r>
  </si>
  <si>
    <r>
      <rPr>
        <sz val="11"/>
        <color theme="1"/>
        <rFont val="Symbol"/>
        <family val="1"/>
        <charset val="2"/>
      </rPr>
      <t>r</t>
    </r>
    <r>
      <rPr>
        <sz val="11"/>
        <color theme="1"/>
        <rFont val="Arial"/>
        <family val="2"/>
      </rPr>
      <t xml:space="preserve"> </t>
    </r>
    <r>
      <rPr>
        <vertAlign val="subscript"/>
        <sz val="11"/>
        <color theme="1"/>
        <rFont val="Arial"/>
        <family val="2"/>
      </rPr>
      <t>mh</t>
    </r>
    <r>
      <rPr>
        <sz val="11"/>
        <color theme="1"/>
        <rFont val="Arial"/>
        <family val="2"/>
      </rPr>
      <t xml:space="preserve"> (B)</t>
    </r>
  </si>
  <si>
    <r>
      <rPr>
        <sz val="11"/>
        <color theme="1"/>
        <rFont val="Symbol"/>
        <family val="1"/>
        <charset val="2"/>
      </rPr>
      <t>r</t>
    </r>
    <r>
      <rPr>
        <vertAlign val="subscript"/>
        <sz val="11"/>
        <color theme="1"/>
        <rFont val="Arial"/>
        <family val="2"/>
      </rPr>
      <t xml:space="preserve"> mc</t>
    </r>
    <r>
      <rPr>
        <sz val="11"/>
        <color theme="1"/>
        <rFont val="Arial"/>
        <family val="2"/>
      </rPr>
      <t xml:space="preserve"> (C)</t>
    </r>
  </si>
  <si>
    <t>Voor SVM worden per bindmiddelgehalte enkel de eerste drie rijen weerhouden.</t>
  </si>
  <si>
    <t>VFB</t>
  </si>
  <si>
    <t>Proefcondities:</t>
  </si>
  <si>
    <t>Gyrator:</t>
  </si>
  <si>
    <t>A</t>
  </si>
  <si>
    <t>Bind-</t>
  </si>
  <si>
    <t>middel</t>
  </si>
  <si>
    <t>Proefst.</t>
  </si>
  <si>
    <t>Var.</t>
  </si>
  <si>
    <t>breuk</t>
  </si>
  <si>
    <r>
      <rPr>
        <sz val="10"/>
        <color theme="1"/>
        <rFont val="Symbol"/>
        <family val="1"/>
        <charset val="2"/>
      </rPr>
      <t>e</t>
    </r>
    <r>
      <rPr>
        <vertAlign val="subscript"/>
        <sz val="10"/>
        <color theme="1"/>
        <rFont val="Calibri"/>
        <family val="2"/>
        <scheme val="minor"/>
      </rPr>
      <t>6</t>
    </r>
    <r>
      <rPr>
        <sz val="10"/>
        <color theme="1"/>
        <rFont val="Calibri"/>
        <family val="2"/>
        <scheme val="minor"/>
      </rPr>
      <t xml:space="preserve"> (µS)</t>
    </r>
  </si>
  <si>
    <t>Uitgevoerd:</t>
  </si>
  <si>
    <t>Soort validatie:</t>
  </si>
  <si>
    <t>e</t>
  </si>
  <si>
    <t>Zie tabel C.1 van EN 13108-20. In principe methode C.1.6 (40 gyraties) of C.1.2 (Marshall 2x50).</t>
  </si>
  <si>
    <t>C.1.6</t>
  </si>
  <si>
    <t>Per bindmiddelgehalte worden enkel de eerste drie rijen weerhouden.</t>
  </si>
  <si>
    <t>Per bindmiddelgehalte worden enkel rij twee en drie weerhouden.</t>
  </si>
  <si>
    <t>Per bindmiddelgehalte worden enkel de eerste vijf rijen weerhouden.</t>
  </si>
  <si>
    <t>Per bindmiddelgehalte worden enkel de eerste twee rijen weerhouden.</t>
  </si>
  <si>
    <t>a1</t>
  </si>
  <si>
    <r>
      <t>P</t>
    </r>
    <r>
      <rPr>
        <vertAlign val="subscript"/>
        <sz val="10"/>
        <color theme="1"/>
        <rFont val="Calibri"/>
        <family val="2"/>
        <scheme val="minor"/>
      </rPr>
      <t>LD (%)</t>
    </r>
  </si>
  <si>
    <t>gecorrigeerde</t>
  </si>
  <si>
    <t>stabiliteit (kN)</t>
  </si>
  <si>
    <t>var.</t>
  </si>
  <si>
    <t>F</t>
  </si>
  <si>
    <r>
      <t xml:space="preserve">F </t>
    </r>
    <r>
      <rPr>
        <vertAlign val="subscript"/>
        <sz val="10"/>
        <color theme="1"/>
        <rFont val="Calibri"/>
        <family val="2"/>
        <scheme val="minor"/>
      </rPr>
      <t>t</t>
    </r>
  </si>
  <si>
    <r>
      <t xml:space="preserve">F </t>
    </r>
    <r>
      <rPr>
        <vertAlign val="subscript"/>
        <sz val="10"/>
        <color theme="1"/>
        <rFont val="Calibri"/>
        <family val="2"/>
        <scheme val="minor"/>
      </rPr>
      <t>T</t>
    </r>
  </si>
  <si>
    <t>(N)</t>
  </si>
  <si>
    <t>kracht</t>
  </si>
  <si>
    <t>Proefparameters (referentie</t>
  </si>
  <si>
    <t>volgens EN 13108-20)</t>
  </si>
  <si>
    <t>Proefparameters (ref.</t>
  </si>
  <si>
    <t>X</t>
  </si>
  <si>
    <t>Z</t>
  </si>
  <si>
    <t>Proeffrequentie</t>
  </si>
  <si>
    <t>pen</t>
  </si>
  <si>
    <t>kv</t>
  </si>
  <si>
    <t>+ bit</t>
  </si>
  <si>
    <t>Toleranties</t>
  </si>
  <si>
    <t>homogeniteit</t>
  </si>
  <si>
    <t>HE</t>
  </si>
  <si>
    <t>H</t>
  </si>
  <si>
    <t>BD</t>
  </si>
  <si>
    <t>Tolerantie (+/- %):</t>
  </si>
  <si>
    <t>+ bit.</t>
  </si>
  <si>
    <t>Korrelverdeling</t>
  </si>
  <si>
    <t>Korrelverdeling (door de zeef van … mm)</t>
  </si>
  <si>
    <t>Klasse</t>
  </si>
  <si>
    <t>PROEFFREQUENTIES</t>
  </si>
  <si>
    <t>ASFALTGRANULAAT</t>
  </si>
  <si>
    <t>Bindmiddelgehalte</t>
  </si>
  <si>
    <t>PSV</t>
  </si>
  <si>
    <t>Volledige benaming: De volledige officiële + commerciële benaming van het bindmiddel, zodat het duidelijk is om welk type (met welke kenmerken) het gaat.</t>
  </si>
  <si>
    <t>Vloeistof voor de bepaling van het verwekingspunt:</t>
  </si>
  <si>
    <t>Toegepaste norm voor bepaling van bindmiddelgehalte:</t>
  </si>
  <si>
    <t>individueel</t>
  </si>
  <si>
    <t>Indringing (mm/10)</t>
  </si>
  <si>
    <r>
      <t>Verwekingspunt T</t>
    </r>
    <r>
      <rPr>
        <vertAlign val="subscript"/>
        <sz val="10"/>
        <color theme="1"/>
        <rFont val="Calibri"/>
        <family val="2"/>
        <scheme val="minor"/>
      </rPr>
      <t>R&amp;K</t>
    </r>
    <r>
      <rPr>
        <sz val="10"/>
        <color theme="1"/>
        <rFont val="Calibri"/>
        <family val="2"/>
        <scheme val="minor"/>
      </rPr>
      <t xml:space="preserve"> (°C)</t>
    </r>
  </si>
  <si>
    <t>Statische methode, kokend water, …</t>
  </si>
  <si>
    <t>Type en hoeveelheid toevoegsel:</t>
  </si>
  <si>
    <t>Test 1</t>
  </si>
  <si>
    <t>Test 2</t>
  </si>
  <si>
    <t>Test 3</t>
  </si>
  <si>
    <t>Test 4</t>
  </si>
  <si>
    <t>Aantal niet volledig</t>
  </si>
  <si>
    <t>omhulde aggregaten</t>
  </si>
  <si>
    <t xml:space="preserve">Gemiddelde </t>
  </si>
  <si>
    <t>bindmiddeldekkingsgraad (%)</t>
  </si>
  <si>
    <t>opmerking</t>
  </si>
  <si>
    <t>Aantal laboranten:</t>
  </si>
  <si>
    <t>Enkel bij statische methode.</t>
  </si>
  <si>
    <t>Vastgekoekte aggregaten, andere vaststellingen, …</t>
  </si>
  <si>
    <t>Gemiddelde</t>
  </si>
  <si>
    <t>Eventueel aangevuld met het land, indien verschillend van België.</t>
  </si>
  <si>
    <t>Maatschappelijke zetel:</t>
  </si>
  <si>
    <t>nummer DoP</t>
  </si>
  <si>
    <t>0801/3100-CPR-2014/03/18</t>
  </si>
  <si>
    <t>Vb. 0803/1234-CPR-2014/03/18</t>
  </si>
  <si>
    <t>Type mengsel volgens productnorm:</t>
  </si>
  <si>
    <t>Asfaltbeton</t>
  </si>
  <si>
    <t>Gehalte oplosbaar bindmiddel (streefwaarde):</t>
  </si>
  <si>
    <t>CE-MARKERING</t>
  </si>
  <si>
    <t>Te declareren klasse:</t>
  </si>
  <si>
    <t>Temperatuursinterval mengsel:</t>
  </si>
  <si>
    <t>Vmin</t>
  </si>
  <si>
    <t>Vmax</t>
  </si>
  <si>
    <t>Smin</t>
  </si>
  <si>
    <t>Smax</t>
  </si>
  <si>
    <r>
      <rPr>
        <vertAlign val="superscript"/>
        <sz val="14"/>
        <color theme="1"/>
        <rFont val="Symbol"/>
        <family val="1"/>
        <charset val="2"/>
      </rPr>
      <t>e</t>
    </r>
    <r>
      <rPr>
        <sz val="11"/>
        <color theme="1"/>
        <rFont val="Arial"/>
        <family val="2"/>
      </rPr>
      <t>6-</t>
    </r>
  </si>
  <si>
    <t>Zie tabel D.1 van EN 13108-20. Courant D.1.7.</t>
  </si>
  <si>
    <t>D</t>
  </si>
  <si>
    <t>0,3</t>
  </si>
  <si>
    <t>15</t>
  </si>
  <si>
    <t>INDRUKKING (BIJ GIETASFALT)</t>
  </si>
  <si>
    <t>Toegepaste norm voor de bepaling van de indrukking:</t>
  </si>
  <si>
    <t>Indrukking (mm) na … minuten (excl. voorbelasting)</t>
  </si>
  <si>
    <t>Toename van de indrukking:</t>
  </si>
  <si>
    <t>DYNAMISCHE INDRUKKING / CYCLISCHE DRUKPROEF</t>
  </si>
  <si>
    <t>50 °C voor dynamische indrukking op gietasfalt (EN 13108-20).</t>
  </si>
  <si>
    <t>875 N voor dynamische indrukking op gietasfalt (EN 13108-20).</t>
  </si>
  <si>
    <t>Mengtemperatuur:</t>
  </si>
  <si>
    <t>mengen (°C)</t>
  </si>
  <si>
    <t>verdichten (°C)</t>
  </si>
  <si>
    <t>Temperaturen</t>
  </si>
  <si>
    <t>vorm</t>
  </si>
  <si>
    <t>Diameter (mm) (geometrische methode)</t>
  </si>
  <si>
    <t>mengen</t>
  </si>
  <si>
    <t>verdichten</t>
  </si>
  <si>
    <t>Proeftemperatuur:</t>
  </si>
  <si>
    <t>Verdichtingstemperatuur:</t>
  </si>
  <si>
    <r>
      <t>EN 12697-1 (oplossen en afscheiden) of</t>
    </r>
    <r>
      <rPr>
        <b/>
        <i/>
        <sz val="11"/>
        <color rgb="FFFFC000"/>
        <rFont val="Arial"/>
        <family val="2"/>
      </rPr>
      <t xml:space="preserve"> </t>
    </r>
    <r>
      <rPr>
        <i/>
        <sz val="11"/>
        <color theme="8" tint="0.59999389629810485"/>
        <rFont val="Arial"/>
        <family val="2"/>
      </rPr>
      <t>EN 12697-39 (verbranding).</t>
    </r>
  </si>
  <si>
    <t>Pull-down menu's:</t>
  </si>
  <si>
    <t>ja</t>
  </si>
  <si>
    <t>EN 12697-2.</t>
  </si>
  <si>
    <t>B.2.1 (bekercentrifuge).</t>
  </si>
  <si>
    <t>neen</t>
  </si>
  <si>
    <t>laboratoriumvalidatie</t>
  </si>
  <si>
    <t>productievalidatie</t>
  </si>
  <si>
    <t>Toegepaste methode voor de bepaling van de mengseldichtheid:</t>
  </si>
  <si>
    <t>Samenstelling:</t>
  </si>
  <si>
    <t>zie verantwoordingsnota</t>
  </si>
  <si>
    <t>Gemiddelde temperatuur van het waterbad:</t>
  </si>
  <si>
    <t>Volumemassa bindmiddel:</t>
  </si>
  <si>
    <t>Volumemassa aggregaten:</t>
  </si>
  <si>
    <t>HOLLE RUIMTE EN MET BINDMIDDEL OPGEVULDE HOLLE RUIMTE IN HET AGGREGAAT</t>
  </si>
  <si>
    <t>Toegepaste norm voor de bepaling van de holle ruimte:</t>
  </si>
  <si>
    <t>Controls</t>
  </si>
  <si>
    <t>(°)</t>
  </si>
  <si>
    <t>Proeftemperatuur bij de bepaling van de splijttreksterkte:</t>
  </si>
  <si>
    <t>(h)</t>
  </si>
  <si>
    <t>(mm²)</t>
  </si>
  <si>
    <t>(min)</t>
  </si>
  <si>
    <t>Oppervlakte van de stempel:</t>
  </si>
  <si>
    <t>Duur conditionering vóór belasting:</t>
  </si>
  <si>
    <t>Eerste controlepunt:</t>
  </si>
  <si>
    <t>Tweede controlepunt:</t>
  </si>
  <si>
    <t>Toegepaste belasting:</t>
  </si>
  <si>
    <t>Beproevingstemperaturen:</t>
  </si>
  <si>
    <t>(microvervorming/cyclus)</t>
  </si>
  <si>
    <t>(Mpa)</t>
  </si>
  <si>
    <t>Gecumuleerde axiale vervorming na 2500 cycli:</t>
  </si>
  <si>
    <t>Vloeisnelheid:</t>
  </si>
  <si>
    <t>Vloeimodulus:</t>
  </si>
  <si>
    <t>Gemiddelde blijvende vervorming na 2500 cycli:</t>
  </si>
  <si>
    <t>Gemiddelde vloeisnelheid:</t>
  </si>
  <si>
    <t>Gemiddelde vloeimodulus:</t>
  </si>
  <si>
    <t>Laagste temperatuur zonder scheurvorming:</t>
  </si>
  <si>
    <t>Verdeling Haversine:</t>
  </si>
  <si>
    <t>0802/3100-CPR-2014/03/18</t>
  </si>
  <si>
    <t>0803/3100-CPR-2014/03/18</t>
  </si>
  <si>
    <t>Asfaltbeton voor Zeer Dunne Lagen</t>
  </si>
  <si>
    <t>Zeer Open Asfaltbeton</t>
  </si>
  <si>
    <t>Asfalt voor Ultra Dunne Lagen</t>
  </si>
  <si>
    <t>Hot Rolled Asphalt</t>
  </si>
  <si>
    <t>Gietasfalt</t>
  </si>
  <si>
    <t>Steenmastiekasfalt</t>
  </si>
  <si>
    <t>Niet-genormaliseerde samenstelling</t>
  </si>
  <si>
    <t>Y</t>
  </si>
  <si>
    <t>= 1 proef / 150 ton asfaltgranulaat</t>
  </si>
  <si>
    <t>= 1 proef / 500 ton asfaltgranulaat</t>
  </si>
  <si>
    <t>= 1 proef / 1000 ton asfaltgranulaat</t>
  </si>
  <si>
    <t>= 1 proef / 2000 ton asfaltgranulaat</t>
  </si>
  <si>
    <t>A11</t>
  </si>
  <si>
    <t>A12</t>
  </si>
  <si>
    <t>A13</t>
  </si>
  <si>
    <t>A14</t>
  </si>
  <si>
    <t>A15</t>
  </si>
  <si>
    <t>A16</t>
  </si>
  <si>
    <t>A17</t>
  </si>
  <si>
    <t>A21</t>
  </si>
  <si>
    <t>A22</t>
  </si>
  <si>
    <t>B21</t>
  </si>
  <si>
    <t>B22</t>
  </si>
  <si>
    <t>C21</t>
  </si>
  <si>
    <t>C22</t>
  </si>
  <si>
    <t>BULKDICHTHEID (SCHIJNBARE VOLUMEMASSA)</t>
  </si>
  <si>
    <t>MENGSELDICHTHEID (MAXIMALE VOLUMEMASSA)</t>
  </si>
  <si>
    <t>water (°C)</t>
  </si>
  <si>
    <t>paraffine</t>
  </si>
  <si>
    <t>Volumemassa (Mg/m³)</t>
  </si>
  <si>
    <t>Volumemassa paraffine enkel in te vullen voor methode C.</t>
  </si>
  <si>
    <t>Methode</t>
  </si>
  <si>
    <t>SVM gyrator</t>
  </si>
  <si>
    <t>HR gyrator</t>
  </si>
  <si>
    <t>Volume</t>
  </si>
  <si>
    <t>Zwelling</t>
  </si>
  <si>
    <t xml:space="preserve">Afmetingen van proefstukken na </t>
  </si>
  <si>
    <t xml:space="preserve">conditionering voor ITSR dienen als </t>
  </si>
  <si>
    <t>afzonderlijke proefstukken te worden</t>
  </si>
  <si>
    <t>ingegeven.</t>
  </si>
  <si>
    <r>
      <t>EN 12697-1 (oplossen en afscheiden) of</t>
    </r>
    <r>
      <rPr>
        <b/>
        <i/>
        <sz val="11"/>
        <color rgb="FFCCECFF"/>
        <rFont val="Arial"/>
        <family val="2"/>
      </rPr>
      <t xml:space="preserve"> </t>
    </r>
    <r>
      <rPr>
        <i/>
        <sz val="11"/>
        <color rgb="FFCCECFF"/>
        <rFont val="Arial"/>
        <family val="2"/>
      </rPr>
      <t>EN 12697-39 (verbranding).</t>
    </r>
  </si>
  <si>
    <t>Verschil hoogte</t>
  </si>
  <si>
    <t>Verschil SVM</t>
  </si>
  <si>
    <t>(cm²)</t>
  </si>
  <si>
    <t>Verschil hoogte bij ITSR:</t>
  </si>
  <si>
    <t>Maximaal toelaatbaar verschil tussen SVM van droge en vochtige proefstukken:</t>
  </si>
  <si>
    <t>Toegepaste methode voor de verdichting van de proefstukken (volgens EN 13108-20):</t>
  </si>
  <si>
    <t>Zie EN 13108-20 bijlage C.</t>
  </si>
  <si>
    <t>C.1.7</t>
  </si>
  <si>
    <t>volgens EN 13108-20 D)</t>
  </si>
  <si>
    <t>Proefparameters (referentie volgens EN 13108-20 bijlage D):</t>
  </si>
  <si>
    <t>afgedroogd (B) of met paraffine (C)</t>
  </si>
  <si>
    <t>Indien maar één bindmiddelgehalte</t>
  </si>
  <si>
    <t>beproefd: middenste reeks invullen.</t>
  </si>
  <si>
    <t>Indien maar één bindmiddelgehalte beproefd: middenste reeks invullen.</t>
  </si>
  <si>
    <t xml:space="preserve">Indien maar één bindmiddelgehalte beproefd: </t>
  </si>
  <si>
    <t>middenste reeks invullen.</t>
  </si>
  <si>
    <t>Per bindmiddelgehalte wordt enkel de eerste rij weerhouden.</t>
  </si>
  <si>
    <t xml:space="preserve">De gegevens per bindmiddelreeks </t>
  </si>
  <si>
    <t>Toegepaste methode voor de bepaling van de bulkdichtheid:</t>
  </si>
  <si>
    <t>type:</t>
  </si>
  <si>
    <t>kalibratiemethode:</t>
  </si>
  <si>
    <t>proeftemperatuur:</t>
  </si>
  <si>
    <t>hoek:</t>
  </si>
  <si>
    <t>Gemiddeld hoogteverschil</t>
  </si>
  <si>
    <t>en zwelling per proefstuk</t>
  </si>
  <si>
    <t>zwelling (%)</t>
  </si>
  <si>
    <t>hoogte (mm)</t>
  </si>
  <si>
    <t>Gemiddeld verschil in SVM</t>
  </si>
  <si>
    <t>Bindmiddel (% in)</t>
  </si>
  <si>
    <t>Proefparameters (volgens EN 13108-20):</t>
  </si>
  <si>
    <t>Vooropgestelde proeftemperatuur:</t>
  </si>
  <si>
    <t>Bepaling van de mengseldichtheid:</t>
  </si>
  <si>
    <t>zie afzonderlijk verslag</t>
  </si>
  <si>
    <t>V m</t>
  </si>
  <si>
    <t>kN</t>
  </si>
  <si>
    <t>kN/mm</t>
  </si>
  <si>
    <t>Qmin</t>
  </si>
  <si>
    <t>VFBmin</t>
  </si>
  <si>
    <t>VFBmax</t>
  </si>
  <si>
    <t>VMAmin</t>
  </si>
  <si>
    <t>PRESTATIES TOE TE VOEGEN OP HET CE-ETIKET EN DE PRESTATIEVERKLARING</t>
  </si>
  <si>
    <t>Prestatie</t>
  </si>
  <si>
    <t>Afkorting</t>
  </si>
  <si>
    <t>Weerstand tegen afslijting door spijkerbanden:</t>
  </si>
  <si>
    <t>Reactie bij brand:</t>
  </si>
  <si>
    <t>euroclass</t>
  </si>
  <si>
    <t>NPD</t>
  </si>
  <si>
    <t>Weerstand tegen permanente vervorming in triaxiale drukproef:</t>
  </si>
  <si>
    <t>fcmax</t>
  </si>
  <si>
    <t>2,0</t>
  </si>
  <si>
    <t>Streefwaarde</t>
  </si>
  <si>
    <t>korrelverdeling:</t>
  </si>
  <si>
    <t>¦</t>
  </si>
  <si>
    <t>Bvol</t>
  </si>
  <si>
    <t>Imin</t>
  </si>
  <si>
    <t>Imax</t>
  </si>
  <si>
    <t>1,5</t>
  </si>
  <si>
    <t>7</t>
  </si>
  <si>
    <t>0,6</t>
  </si>
  <si>
    <t>Doorlatendheid:</t>
  </si>
  <si>
    <t>Bindmiddelvolume:</t>
  </si>
  <si>
    <t>horizontaal</t>
  </si>
  <si>
    <t>verticaal</t>
  </si>
  <si>
    <t>Vg</t>
  </si>
  <si>
    <t>Vi</t>
  </si>
  <si>
    <t>Vv</t>
  </si>
  <si>
    <t>12 tot 19</t>
  </si>
  <si>
    <t>3 tot 6</t>
  </si>
  <si>
    <t>7 tot 10</t>
  </si>
  <si>
    <t>Enkel invullen bij EN 13108-4.</t>
  </si>
  <si>
    <t>Niet invullen bij EN 13108-6.</t>
  </si>
  <si>
    <t>Enkel invullen bij EN 13108-5 en -7.</t>
  </si>
  <si>
    <t>Enkel invullen bij EN 13108-7.</t>
  </si>
  <si>
    <t>Enkel invullen bij EN 13108-6.</t>
  </si>
  <si>
    <t>Maximale toename na 30 min. Enkel invullen bij EN 13108-6.</t>
  </si>
  <si>
    <t>Enkel invullen bij EN 13108-1. Bij EN 13108-1 (2006) enkel invullen bij prestatievoorschriften.</t>
  </si>
  <si>
    <t>Enkel invullen bij EN 13108-1, bij mengsels voor vliegvelden en in geval van empirische voorschriften.</t>
  </si>
  <si>
    <t>Weerstand tegen brandstof:</t>
  </si>
  <si>
    <t>Weerstand tegen ontdooivloeistof:</t>
  </si>
  <si>
    <t>goed</t>
  </si>
  <si>
    <t>gemiddeld</t>
  </si>
  <si>
    <t>matig</t>
  </si>
  <si>
    <t>geen eis</t>
  </si>
  <si>
    <t>Niet invullen bij EN 13108-2, -6 en -9.</t>
  </si>
  <si>
    <t>Prestatie 1:</t>
  </si>
  <si>
    <t>Prestatie 2:</t>
  </si>
  <si>
    <t>Prestatie 3:</t>
  </si>
  <si>
    <t>Prestatie 4:</t>
  </si>
  <si>
    <t>PRESTATIEVERKLARING</t>
  </si>
  <si>
    <t>1.</t>
  </si>
  <si>
    <t>Unieke identificatiecode van het producttype:</t>
  </si>
  <si>
    <t>2.</t>
  </si>
  <si>
    <t>3.</t>
  </si>
  <si>
    <t>4.</t>
  </si>
  <si>
    <t>5.</t>
  </si>
  <si>
    <t>GEGEVENS GEMACHTIGDE VOOR PRESTATIEVERKLARING (indien verschillend van certificaathouder)</t>
  </si>
  <si>
    <t>Naam (bedrijf of persoon):</t>
  </si>
  <si>
    <t>In principe niet van toepassing. Leeg maken indien niet van toepassing.</t>
  </si>
  <si>
    <t>Dekmantelvennootschap bvba</t>
  </si>
  <si>
    <t>666 Bananenstad, Curaçao</t>
  </si>
  <si>
    <t>Blue Lagoon 69</t>
  </si>
  <si>
    <t>Verantwoordelijke DoP:</t>
  </si>
  <si>
    <t>Jan Baas</t>
  </si>
  <si>
    <t>6.</t>
  </si>
  <si>
    <t>Systeem 2+</t>
  </si>
  <si>
    <t>7.</t>
  </si>
  <si>
    <t>nummer FPC-certificaat</t>
  </si>
  <si>
    <t>1137-CPR-0801/64-65</t>
  </si>
  <si>
    <t>1137-CPR-0802/64-65</t>
  </si>
  <si>
    <t>Vb. 1137-CPR-803/64-65</t>
  </si>
  <si>
    <t>Essentiële kenmerken</t>
  </si>
  <si>
    <t>1. Adhesie van het bindmiddel met het toeslagmateriaal</t>
  </si>
  <si>
    <t>2. Stijfheid</t>
  </si>
  <si>
    <t>3. Weerstand tegen permanente vervorming</t>
  </si>
  <si>
    <t>4. Weerstand tegen vermoeiing</t>
  </si>
  <si>
    <t>5. Stroefheid</t>
  </si>
  <si>
    <t>6. Weerstand tegen afslijting</t>
  </si>
  <si>
    <t>Prestaties</t>
  </si>
  <si>
    <t>functie</t>
  </si>
  <si>
    <t>gedelegeerd bestuurder</t>
  </si>
  <si>
    <t>Fmax</t>
  </si>
  <si>
    <t>Fmin</t>
  </si>
  <si>
    <t>Mengsel SATS duurzaamheid Index:</t>
  </si>
  <si>
    <t>Lage temperatuur eigenschappen:</t>
  </si>
  <si>
    <t>TSRSTmax</t>
  </si>
  <si>
    <t>Breuksterkte:</t>
  </si>
  <si>
    <t>v</t>
  </si>
  <si>
    <t>5</t>
  </si>
  <si>
    <t>WTSair</t>
  </si>
  <si>
    <t>PRDair</t>
  </si>
  <si>
    <t>Niet invullen bij EN 13108-3, -4 en -7 en bij EN 13108-6 (2006).</t>
  </si>
  <si>
    <t>Niet invullen bij EN 13108-3 en bij alle EN 13108 (2006).</t>
  </si>
  <si>
    <t>handtekening:</t>
  </si>
  <si>
    <t>Vochtige proefstukken na waterbad</t>
  </si>
  <si>
    <t>Vochtige proefstukken vóór exsiccator</t>
  </si>
  <si>
    <t>Vochtige proefstukken na exsiccator</t>
  </si>
  <si>
    <t>Geharmoniseerde norm:</t>
  </si>
  <si>
    <t>te:</t>
  </si>
  <si>
    <t>op:</t>
  </si>
  <si>
    <t>n°</t>
  </si>
  <si>
    <t>Fabrikant:</t>
  </si>
  <si>
    <t>Gemachtigde vertegenwoordiger:</t>
  </si>
  <si>
    <t xml:space="preserve">Aangemelde instantie: </t>
  </si>
  <si>
    <t>Aangegeven prestaties:</t>
  </si>
  <si>
    <t>De prestaties van het hiervoor omschreven product zijn conform de aangegeven prestaties.</t>
  </si>
  <si>
    <t xml:space="preserve">Deze prestatieverklaring wordt verstrekt, in overeenstemming met de Verordening 305/2011/EU, onder </t>
  </si>
  <si>
    <t>de exclusieve verantwoordelijkheid van de hiervoor vermelde fabrikant.</t>
  </si>
  <si>
    <t>Ondertekend voor en namens de fabrikant door:</t>
  </si>
  <si>
    <t>Identificatie gegevens</t>
  </si>
  <si>
    <t>jaar</t>
  </si>
  <si>
    <t>mengsel</t>
  </si>
  <si>
    <t>bestek</t>
  </si>
  <si>
    <t>type</t>
  </si>
  <si>
    <t>steenfractie (%)</t>
  </si>
  <si>
    <t>vulstoffractie (%)</t>
  </si>
  <si>
    <t>bindmiddel (IN) (%)</t>
  </si>
  <si>
    <t>vezels (%)</t>
  </si>
  <si>
    <t>additief (%)</t>
  </si>
  <si>
    <t>type aanvoervulstof (%)</t>
  </si>
  <si>
    <t>type bindmiddel</t>
  </si>
  <si>
    <t>type vezels</t>
  </si>
  <si>
    <t>type additief</t>
  </si>
  <si>
    <t>gerecycleerd bindmiddel (%)</t>
  </si>
  <si>
    <t>MVM (kg/m³)</t>
  </si>
  <si>
    <t>%HR (%)</t>
  </si>
  <si>
    <t>SVM (kg/m³)</t>
  </si>
  <si>
    <t>zeef (mm)</t>
  </si>
  <si>
    <t>doorval (%)</t>
  </si>
  <si>
    <t>Korrelverdeling mengsel</t>
  </si>
  <si>
    <t>Bitumineus mengsel</t>
  </si>
  <si>
    <t>zandfractie (%)</t>
  </si>
  <si>
    <t>asfaltgranulaten (%)</t>
  </si>
  <si>
    <t>snelcode TF COPRO</t>
  </si>
  <si>
    <t>productie-eenheid</t>
  </si>
  <si>
    <t>producent</t>
  </si>
  <si>
    <t>zie VN</t>
  </si>
  <si>
    <t>spreidingstemperatuur (°C)</t>
  </si>
  <si>
    <t>Gegevens voor het theoretisch nazicht bij wijziging van grondstoffen</t>
  </si>
  <si>
    <t>Parameter</t>
  </si>
  <si>
    <t>Waarde 1</t>
  </si>
  <si>
    <t>Waarde 2</t>
  </si>
  <si>
    <t>Verschil</t>
  </si>
  <si>
    <t>Eis</t>
  </si>
  <si>
    <t>OK / NOK</t>
  </si>
  <si>
    <t>gehalte bindmiddel (%)</t>
  </si>
  <si>
    <t>zeefdoorval 10 mm (%)</t>
  </si>
  <si>
    <t>zeefdoorval 6,3 mm (%)</t>
  </si>
  <si>
    <t>zeefdoorval 4 mm (%)</t>
  </si>
  <si>
    <t>zeefdoorval 2 mm (%)</t>
  </si>
  <si>
    <t>zeefdoorval 1 mm (%)</t>
  </si>
  <si>
    <t>zeefdoorval 0,25 mm (%)</t>
  </si>
  <si>
    <t>volumemassa steenfractie (Mg/m³)</t>
  </si>
  <si>
    <t>volumemassa vulstoffractie (Mg/m³)</t>
  </si>
  <si>
    <t>volumemassa aanvoervulstof (Mg/m³)</t>
  </si>
  <si>
    <t>HR aanvoervulstof (%)</t>
  </si>
  <si>
    <r>
      <t>gehalte Ca(OH)</t>
    </r>
    <r>
      <rPr>
        <vertAlign val="subscript"/>
        <sz val="11"/>
        <rFont val="Calibri"/>
        <family val="2"/>
        <scheme val="minor"/>
      </rPr>
      <t>2</t>
    </r>
    <r>
      <rPr>
        <sz val="11"/>
        <rFont val="Calibri"/>
        <family val="2"/>
        <scheme val="minor"/>
      </rPr>
      <t xml:space="preserve"> (%)</t>
    </r>
  </si>
  <si>
    <t>gehalte nieuw bindmiddel (%)</t>
  </si>
  <si>
    <t>gehalte asfaltgranulaat (%)</t>
  </si>
  <si>
    <t>Wijziging grondstoffen t.o.v.</t>
  </si>
  <si>
    <t>theoretisch stijfheid van de mastiek (°C)</t>
  </si>
  <si>
    <t>complexe modulus G* (52 °C, 1,6 Hz) (MPa)</t>
  </si>
  <si>
    <t>verhouding bindmiddel uit AG (%)</t>
  </si>
  <si>
    <t>gehalte fijne deeltjes (%)</t>
  </si>
  <si>
    <t>% fd aanvoervulstof:</t>
  </si>
  <si>
    <t>VM fd aanvoervulstof:</t>
  </si>
  <si>
    <r>
      <t>Gehalte Ca(OH)</t>
    </r>
    <r>
      <rPr>
        <vertAlign val="subscript"/>
        <sz val="11"/>
        <color theme="1"/>
        <rFont val="Arial"/>
        <family val="2"/>
      </rPr>
      <t>2</t>
    </r>
  </si>
  <si>
    <r>
      <t>Gehalte Ca(OH)</t>
    </r>
    <r>
      <rPr>
        <vertAlign val="subscript"/>
        <sz val="10"/>
        <color theme="1"/>
        <rFont val="Calibri"/>
        <family val="2"/>
        <scheme val="minor"/>
      </rPr>
      <t>2</t>
    </r>
  </si>
  <si>
    <t>%v*CaOH</t>
  </si>
  <si>
    <t>Berekening Mastic Stiffness Indicator:</t>
  </si>
  <si>
    <t>f/b</t>
  </si>
  <si>
    <t>MSI</t>
  </si>
  <si>
    <t>als % HR vulstof &lt; 38</t>
  </si>
  <si>
    <t>als % HR vulstof &gt;= 38</t>
  </si>
  <si>
    <t>weerhouden</t>
  </si>
  <si>
    <t>Berekende volumemassa teruggewonnen stof (Mg/m³):</t>
  </si>
  <si>
    <t>Berekende volumemassa aanvoervulstoffen (Mg/m³):</t>
  </si>
  <si>
    <t>volumemassa in Mg/m³</t>
  </si>
  <si>
    <t>Als men geen bestek invult, gaat het automatisch om een samenstelling klasse P ("privé-mengsel").</t>
  </si>
  <si>
    <t>Klasse samenstelling:</t>
  </si>
  <si>
    <t>Aan het einde "/0" voor oorspronkelijke VN, voor volgende versie "/1", "/2", …</t>
  </si>
  <si>
    <t>Code van de verantwoordingsnota van oorspronkelijke voorstudie:</t>
  </si>
  <si>
    <t>Validatiedossier AVT</t>
  </si>
  <si>
    <t>Hoeveelheden invullen zonder eenheid.</t>
  </si>
  <si>
    <t>Vergeet niet dat er eisen zijn voor deze grenzen. (Zie PTV.)</t>
  </si>
  <si>
    <t>Keuze uit pull-down menu.</t>
  </si>
  <si>
    <t>Commerciële</t>
  </si>
  <si>
    <t>W</t>
  </si>
  <si>
    <t>Proeffrequentie korrelverdeling en bindmiddelgehalte en</t>
  </si>
  <si>
    <t>proeffrequentie indringing:</t>
  </si>
  <si>
    <t>"intern" in geval de asfaltproducent zelf proeven uitvoert op het teruggewonnen stof, conform het TRA 64 of TRA 65.</t>
  </si>
  <si>
    <t>Enkel invullen bij EN 13108-1, -3 en -5. Niet vereist bij EN 13108-1 (2006) met prestatievoorschriften.</t>
  </si>
  <si>
    <t>Enkel invullen bij EN 13108-1. Niet vereist bij EN 13108-1 (2006) met prestatievoorschriften.</t>
  </si>
  <si>
    <t>Enkel invullen bij EN 13108-2. Interval op te geven.</t>
  </si>
  <si>
    <t>Enkel invullen bij EN 13108-7 (2016) en EN 13108-1, -4 en -5. Eerste cel = type proef (steeds "P", behalve bij EN 13108-4). Tweede cel = gedeclareerde maximale klasse.</t>
  </si>
  <si>
    <r>
      <rPr>
        <b/>
        <i/>
        <sz val="11"/>
        <color rgb="FFFFC000"/>
        <rFont val="Arial"/>
        <family val="2"/>
      </rPr>
      <t>B</t>
    </r>
    <r>
      <rPr>
        <i/>
        <sz val="11"/>
        <color theme="8" tint="0.59999389629810485"/>
        <rFont val="Arial"/>
        <family val="2"/>
      </rPr>
      <t xml:space="preserve"> (Basket- of mandjesmethode) of</t>
    </r>
    <r>
      <rPr>
        <b/>
        <i/>
        <sz val="11"/>
        <color rgb="FFFFC000"/>
        <rFont val="Arial"/>
        <family val="2"/>
      </rPr>
      <t xml:space="preserve"> S</t>
    </r>
    <r>
      <rPr>
        <i/>
        <sz val="11"/>
        <color theme="8" tint="0.59999389629810485"/>
        <rFont val="Arial"/>
        <family val="2"/>
      </rPr>
      <t xml:space="preserve"> (Bekermethode).</t>
    </r>
  </si>
  <si>
    <t>Enkel invullen bij EN 13108-5 (2016), EN 13108-1 en -4. Bij EN 13108-1 (2006) enkel invullen bij prestatievoorschriften.</t>
  </si>
  <si>
    <t>Enkel invullen bij EN 13108-1 (2006) bij prestatievoorschriften, EN 13108-1 en -5 (2016).</t>
  </si>
  <si>
    <t>Enkel invullen bij EN 13108-7 (2016), bij toepassing voor vliegvelden.</t>
  </si>
  <si>
    <t>Enkel invullen bij EN 13108-1, -4 en -5 (2016).</t>
  </si>
  <si>
    <t>Niet invullen bij EN 13108-3 (2016) en bij alle EN 13108 (2006) . Enkel bij toepassing voor vliegvelden.</t>
  </si>
  <si>
    <t>Contactpersoon bij de producent:</t>
  </si>
  <si>
    <t>FILMDIKTE</t>
  </si>
  <si>
    <t>Toegepaste norm voor de bepaling van de filmdikte:</t>
  </si>
  <si>
    <t>SB 260 (2018)</t>
  </si>
  <si>
    <t>Filmdikte:</t>
  </si>
  <si>
    <t>massa (g)</t>
  </si>
  <si>
    <t>som</t>
  </si>
  <si>
    <t>Beker</t>
  </si>
  <si>
    <r>
      <t>U (mm</t>
    </r>
    <r>
      <rPr>
        <vertAlign val="superscript"/>
        <sz val="11"/>
        <color theme="1"/>
        <rFont val="Arial"/>
        <family val="2"/>
      </rPr>
      <t>-1</t>
    </r>
    <r>
      <rPr>
        <sz val="11"/>
        <color theme="1"/>
        <rFont val="Arial"/>
        <family val="2"/>
      </rPr>
      <t>)</t>
    </r>
  </si>
  <si>
    <t>SGfactor</t>
  </si>
  <si>
    <t>As</t>
  </si>
  <si>
    <t>FDm</t>
  </si>
  <si>
    <t>volume mastiek (in dm³):</t>
  </si>
  <si>
    <t>Theoretische HR-factor bitumineus mengsel:</t>
  </si>
  <si>
    <t>SMA</t>
  </si>
  <si>
    <t>ZOA</t>
  </si>
  <si>
    <t>zeefrest 6,3 mm:</t>
  </si>
  <si>
    <t>zeefrest 4 mm:</t>
  </si>
  <si>
    <t>zeefrest 2 mm:</t>
  </si>
  <si>
    <t>zeefrest 0,5 mm:</t>
  </si>
  <si>
    <t>AB 6,3</t>
  </si>
  <si>
    <t>AB 4</t>
  </si>
  <si>
    <t>theoretische factor HR bitumineus mengsel:</t>
  </si>
  <si>
    <t>VN1</t>
  </si>
  <si>
    <t>VN2</t>
  </si>
  <si>
    <t>VN3</t>
  </si>
  <si>
    <t>kv+bit</t>
  </si>
  <si>
    <t>VM+HR</t>
  </si>
  <si>
    <t>cantabro</t>
  </si>
  <si>
    <t>sp+st+ve</t>
  </si>
  <si>
    <t>indrukking</t>
  </si>
  <si>
    <t>affiniteit</t>
  </si>
  <si>
    <t>marshall</t>
  </si>
  <si>
    <t>totaal</t>
  </si>
  <si>
    <t>afdr+film</t>
  </si>
  <si>
    <t>studie</t>
  </si>
  <si>
    <t>ASFALT BIJ VERLAAGDE TEMPERATUUR</t>
  </si>
  <si>
    <t>Voorstudie uitgevoerd op warme variant van dit mengsel:</t>
  </si>
  <si>
    <t>Code van het validatiedossier van de gebruikte AVT-techniek:</t>
  </si>
  <si>
    <t>Vb. AVT801/VD1</t>
  </si>
  <si>
    <t>AVT801/VD1</t>
  </si>
  <si>
    <t>Code van VN van de overeenkomstige warme variant waarop de hier vermelde voorstudie werd uitgevoerd. Cel leeg maken wanneer er geen voorstudie werd uitgevoerd.</t>
  </si>
  <si>
    <t>Enkel invullen bij EN 13108-1 (2016).</t>
  </si>
  <si>
    <t>Wrijving na polijsten:</t>
  </si>
  <si>
    <t>FAPmin</t>
  </si>
  <si>
    <t>Nummers essentiële kenmerken</t>
  </si>
  <si>
    <t>EN 13108-1</t>
  </si>
  <si>
    <t>EN 13108-2</t>
  </si>
  <si>
    <t>EN 13108-3</t>
  </si>
  <si>
    <t>EN 13108-4</t>
  </si>
  <si>
    <t>EN 13108-5</t>
  </si>
  <si>
    <t>EN 13108-6</t>
  </si>
  <si>
    <t>Soft Asfalt</t>
  </si>
  <si>
    <t>EN 13108-7</t>
  </si>
  <si>
    <t>EN 13108-9</t>
  </si>
  <si>
    <t>geen</t>
  </si>
  <si>
    <t>7. Vloeistofdoorlatendheid</t>
  </si>
  <si>
    <t>8. Geluidreductie</t>
  </si>
  <si>
    <t>9. Reactie bij brand</t>
  </si>
  <si>
    <t>10. Duurzaamheid van de bovenstaande kenmerken met betrekking tot veroudering, verwering, oxidatie, slijtage, rafelen, chemicaliën, slijtage door spijkerbanden en stripping, indien belangrijk</t>
  </si>
  <si>
    <t>3, 10</t>
  </si>
  <si>
    <t>1, 2, 3, 4, 10</t>
  </si>
  <si>
    <t>1, 10</t>
  </si>
  <si>
    <t>2, 10</t>
  </si>
  <si>
    <t>4, 10</t>
  </si>
  <si>
    <t>6, 10</t>
  </si>
  <si>
    <t>1, 6, 10</t>
  </si>
  <si>
    <t>7, 10</t>
  </si>
  <si>
    <t>5, 10</t>
  </si>
  <si>
    <t>2, 3, 10</t>
  </si>
  <si>
    <t>9, 10</t>
  </si>
  <si>
    <t>2, 3, 5, 6, 7, 8, 10</t>
  </si>
  <si>
    <t>1, 2, 3, 4, 5, 6, 7, 8, 10</t>
  </si>
  <si>
    <r>
      <rPr>
        <b/>
        <i/>
        <sz val="11"/>
        <color rgb="FFFFC000"/>
        <rFont val="Calibri"/>
        <family val="2"/>
        <scheme val="minor"/>
      </rPr>
      <t>1</t>
    </r>
    <r>
      <rPr>
        <i/>
        <sz val="11"/>
        <color rgb="FFCCECFF"/>
        <rFont val="Calibri"/>
        <family val="2"/>
        <scheme val="minor"/>
      </rPr>
      <t xml:space="preserve">, </t>
    </r>
    <r>
      <rPr>
        <b/>
        <i/>
        <sz val="11"/>
        <color rgb="FFFFC000"/>
        <rFont val="Calibri"/>
        <family val="2"/>
        <scheme val="minor"/>
      </rPr>
      <t xml:space="preserve">2 </t>
    </r>
    <r>
      <rPr>
        <i/>
        <sz val="11"/>
        <color rgb="FFCCECFF"/>
        <rFont val="Calibri"/>
        <family val="2"/>
        <scheme val="minor"/>
      </rPr>
      <t xml:space="preserve">of </t>
    </r>
    <r>
      <rPr>
        <b/>
        <i/>
        <sz val="11"/>
        <color rgb="FFFFC000"/>
        <rFont val="Calibri"/>
        <family val="2"/>
        <scheme val="minor"/>
      </rPr>
      <t>3</t>
    </r>
    <r>
      <rPr>
        <i/>
        <sz val="11"/>
        <color rgb="FFCCECFF"/>
        <rFont val="Calibri"/>
        <family val="2"/>
        <scheme val="minor"/>
      </rPr>
      <t>.</t>
    </r>
  </si>
  <si>
    <t>4CX50PAVT49</t>
  </si>
  <si>
    <t>%v/VM</t>
  </si>
  <si>
    <t>som %/VM fd stenen en zand:</t>
  </si>
  <si>
    <t>som %/VM fd alles:</t>
  </si>
  <si>
    <t>som %/VM aanvoervulstof:</t>
  </si>
  <si>
    <t>%s/VM</t>
  </si>
  <si>
    <t>%z/VM</t>
  </si>
  <si>
    <t>Soort AVT-techniek:</t>
  </si>
  <si>
    <t>Korte, algemene beschrijving van de techniek. Vb. Schuimbitumen met toevoeging van hechtverbeteraar.</t>
  </si>
  <si>
    <t>Schuimbitumen met toevoeging van hechtverbeteraar.</t>
  </si>
  <si>
    <t>Temperatuur waarbij de proefstukken werden verdicht:</t>
  </si>
  <si>
    <t>Verdichtingstemperatuur</t>
  </si>
  <si>
    <t>Proefcondities</t>
  </si>
  <si>
    <t>Vul alle proefparameters in die invloed kunnen hebben op het resultaat.</t>
  </si>
  <si>
    <t>WATERGEVOELIGHEID EN SPLIJTTREKSTERKTE</t>
  </si>
  <si>
    <t>KENMERKEN TERUGGEWONNEN BINDMIDDEL</t>
  </si>
  <si>
    <t>INDRUKKING</t>
  </si>
  <si>
    <t>Type breuk</t>
  </si>
  <si>
    <t>in het bindmiddel</t>
  </si>
  <si>
    <t>in de stenen</t>
  </si>
  <si>
    <t>tussen stenen en bindmiddel</t>
  </si>
  <si>
    <r>
      <t xml:space="preserve">Type breuk: </t>
    </r>
    <r>
      <rPr>
        <b/>
        <i/>
        <sz val="11"/>
        <color rgb="FFFFC000"/>
        <rFont val="Arial"/>
        <family val="2"/>
      </rPr>
      <t>in de bindmiddelfilm</t>
    </r>
    <r>
      <rPr>
        <i/>
        <sz val="11"/>
        <color rgb="FFCCECFF"/>
        <rFont val="Arial"/>
        <family val="2"/>
      </rPr>
      <t xml:space="preserve">, </t>
    </r>
    <r>
      <rPr>
        <b/>
        <i/>
        <sz val="11"/>
        <color rgb="FFFFC000"/>
        <rFont val="Arial"/>
        <family val="2"/>
      </rPr>
      <t>in de stenen</t>
    </r>
    <r>
      <rPr>
        <i/>
        <sz val="11"/>
        <color rgb="FFCCECFF"/>
        <rFont val="Arial"/>
        <family val="2"/>
      </rPr>
      <t xml:space="preserve">, </t>
    </r>
    <r>
      <rPr>
        <b/>
        <i/>
        <sz val="11"/>
        <color rgb="FFFFC000"/>
        <rFont val="Arial"/>
        <family val="2"/>
      </rPr>
      <t>tussen stenen en bindmiddel</t>
    </r>
    <r>
      <rPr>
        <i/>
        <sz val="11"/>
        <color rgb="FFCCECFF"/>
        <rFont val="Arial"/>
        <family val="2"/>
      </rPr>
      <t>.</t>
    </r>
  </si>
  <si>
    <t>Ouderdom van de proefstukken op het ogenblik van beproeving:</t>
  </si>
  <si>
    <t>(dagen)</t>
  </si>
  <si>
    <t>Temperatuur waarop de proefstukken werden bewaard voor beproeving:</t>
  </si>
  <si>
    <t>Tussen 2 en 42.</t>
  </si>
  <si>
    <t>&lt; 25 °C.</t>
  </si>
  <si>
    <t>BD (%)</t>
  </si>
  <si>
    <t>Tijd tussen het maken van de proefstukken en de start van de conditionering:</t>
  </si>
  <si>
    <t>Temperatuur waarop de proefstukken werden bewaard voor start conditionering:</t>
  </si>
  <si>
    <t>Bewaringsomstandigheden van de proefstukken voor de start van de proef:</t>
  </si>
  <si>
    <t>Toegepaste norm voor het mengen:</t>
  </si>
  <si>
    <t>EN 12697-35</t>
  </si>
  <si>
    <t>Mengmethode:</t>
  </si>
  <si>
    <t>Type menger (indien machinaal):</t>
  </si>
  <si>
    <t>Moulinex</t>
  </si>
  <si>
    <t>Mengvolgorde:</t>
  </si>
  <si>
    <t>stenen, zand, asfaltgranulaat, bindmiddel, vulstof</t>
  </si>
  <si>
    <t>Mengtijd:</t>
  </si>
  <si>
    <t>Methode ingeval van schuimbitumen of emulsie:</t>
  </si>
  <si>
    <t>BEPALING VAN DE PRESTATIES VAN HET MENGSEL</t>
  </si>
  <si>
    <t>Zie bijlage A en B van EN 12697-35: A.2 t/m B.3 of cel leeg laten.</t>
  </si>
  <si>
    <t>KIcmax</t>
  </si>
  <si>
    <t>MDImin</t>
  </si>
  <si>
    <t>AbrAmax</t>
  </si>
  <si>
    <t>Cimax</t>
  </si>
  <si>
    <r>
      <t>b</t>
    </r>
    <r>
      <rPr>
        <sz val="11"/>
        <color theme="1"/>
        <rFont val="Arial"/>
        <family val="2"/>
      </rPr>
      <t>min</t>
    </r>
  </si>
  <si>
    <t>Inc max</t>
  </si>
  <si>
    <t>Khmin</t>
  </si>
  <si>
    <t>Kvmin</t>
  </si>
  <si>
    <t>MSmin</t>
  </si>
  <si>
    <t>MSmax</t>
  </si>
  <si>
    <t>BAAmax</t>
  </si>
  <si>
    <t>PLmax</t>
  </si>
  <si>
    <t>Dit document maakt deel uit van de CE-markering, maar is geen prestatieverklaring.</t>
  </si>
  <si>
    <t>Proefmethode</t>
  </si>
  <si>
    <t>EN 12697-8 en EN 13108-20 D.2</t>
  </si>
  <si>
    <t>aantal gyraties:</t>
  </si>
  <si>
    <t>(t)</t>
  </si>
  <si>
    <t>EN 12697-13</t>
  </si>
  <si>
    <t>Vul op deze lijn de proef in die wordt gebruikt in het kader van de CE-markering.</t>
  </si>
  <si>
    <t>EN 12697-26</t>
  </si>
  <si>
    <t>EN 12697-24</t>
  </si>
  <si>
    <t>EN 12697-25</t>
  </si>
  <si>
    <t>EN 12697-22</t>
  </si>
  <si>
    <t>(aantal cycli)</t>
  </si>
  <si>
    <t>(cycli)</t>
  </si>
  <si>
    <t>Vul bij de proefcondities dan ook de proefmethode in.</t>
  </si>
  <si>
    <r>
      <rPr>
        <b/>
        <i/>
        <sz val="11"/>
        <color rgb="FFFFC000"/>
        <rFont val="Arial"/>
        <family val="2"/>
      </rPr>
      <t>J</t>
    </r>
    <r>
      <rPr>
        <i/>
        <sz val="11"/>
        <color theme="8" tint="0.59999389629810485"/>
        <rFont val="Arial"/>
        <family val="2"/>
      </rPr>
      <t xml:space="preserve"> (ja) of </t>
    </r>
    <r>
      <rPr>
        <b/>
        <i/>
        <sz val="11"/>
        <color rgb="FFFFC000"/>
        <rFont val="Arial"/>
        <family val="2"/>
      </rPr>
      <t xml:space="preserve">N </t>
    </r>
    <r>
      <rPr>
        <i/>
        <sz val="11"/>
        <color theme="8" tint="0.59999389629810485"/>
        <rFont val="Arial"/>
        <family val="2"/>
      </rPr>
      <t>(neen). Dit kan van toepassing zijn bij o.a. mengsels voor waterwegen.</t>
    </r>
  </si>
  <si>
    <t>De eigen set moet de zeef van 2 mm bevatten.</t>
  </si>
  <si>
    <r>
      <t>Vul '</t>
    </r>
    <r>
      <rPr>
        <b/>
        <i/>
        <sz val="11"/>
        <color rgb="FFFFC000"/>
        <rFont val="Arial"/>
        <family val="2"/>
      </rPr>
      <t>0</t>
    </r>
    <r>
      <rPr>
        <i/>
        <sz val="11"/>
        <color rgb="FFCCECFF"/>
        <rFont val="Arial"/>
        <family val="2"/>
      </rPr>
      <t>' in als er niets wordt afgewogen en vul een andere franctie in wanneer bunkers samen worden afgewogen.</t>
    </r>
  </si>
  <si>
    <t>1 zakje van 2 kg op 3000 kg</t>
  </si>
  <si>
    <t>2 zakjes van 3 kg op 4000 kg</t>
  </si>
  <si>
    <t>3 zakjes van 4 kg op 5000 kg</t>
  </si>
  <si>
    <t>Door de producent gewaarborgd conventioneel</t>
  </si>
  <si>
    <r>
      <t xml:space="preserve">In principe </t>
    </r>
    <r>
      <rPr>
        <b/>
        <i/>
        <sz val="11"/>
        <color rgb="FFFFC000"/>
        <rFont val="Arial"/>
        <family val="2"/>
      </rPr>
      <t>SB 260 (2018)</t>
    </r>
    <r>
      <rPr>
        <i/>
        <sz val="11"/>
        <color rgb="FFCCECFF"/>
        <rFont val="Arial"/>
        <family val="2"/>
      </rPr>
      <t>.</t>
    </r>
  </si>
  <si>
    <t>Dit mengsel wordt gespreid binnen het volgende temperatuursinterval (°C) :</t>
  </si>
  <si>
    <t>Dit mengsel wordt verdicht binnen het volgende temperatuursinterval (°C) :</t>
  </si>
  <si>
    <t>803/64/</t>
  </si>
  <si>
    <t>804/64/</t>
  </si>
  <si>
    <t>Af22aPA Ecs30</t>
  </si>
  <si>
    <t>0/2 (0/0,05)</t>
  </si>
  <si>
    <t>Rode zandsteen</t>
  </si>
  <si>
    <t>PTV</t>
  </si>
  <si>
    <t>PTV-klasse: De volledige BENOR-identificatie volgens PTV 411. Deze is terug te vinden op het BENOR-certificaat van het aggregaat. Aggregaten zonder BENOR = leeg laten.</t>
  </si>
  <si>
    <r>
      <t xml:space="preserve">Keuring: = kwaliteitsmerk. </t>
    </r>
    <r>
      <rPr>
        <b/>
        <i/>
        <sz val="11"/>
        <color rgb="FFFFC000"/>
        <rFont val="Arial"/>
        <family val="2"/>
      </rPr>
      <t>BENOR</t>
    </r>
    <r>
      <rPr>
        <i/>
        <sz val="11"/>
        <color theme="8" tint="0.59999389629810485"/>
        <rFont val="Arial"/>
        <family val="2"/>
      </rPr>
      <t xml:space="preserve"> of</t>
    </r>
    <r>
      <rPr>
        <b/>
        <i/>
        <sz val="11"/>
        <color rgb="FFFFC000"/>
        <rFont val="Arial"/>
        <family val="2"/>
      </rPr>
      <t xml:space="preserve"> intern</t>
    </r>
    <r>
      <rPr>
        <i/>
        <sz val="11"/>
        <color theme="8" tint="0.59999389629810485"/>
        <rFont val="Arial"/>
        <family val="2"/>
      </rPr>
      <t>. (CE is geen kwaliteitsmerk.)</t>
    </r>
  </si>
  <si>
    <t>Mexphalte CLT50/70</t>
  </si>
  <si>
    <t>Koudekerk-aan-de-Rijn</t>
  </si>
  <si>
    <t>Shell</t>
  </si>
  <si>
    <t>"bouwheer" in geval van speciale, niet gecertificeerde vulstoffen, die door de bouwheer moeten worden aanvaard.</t>
  </si>
  <si>
    <t>"partijkeuring" in geval van speciale, niet gecertificeerde bindmiddelen, die door de bouwheer moeten worden aanvaard.</t>
  </si>
  <si>
    <t>Dit is wat je garandeert tijdens productie. (Kan verschillen van de stapel bij de voorstudie.)</t>
  </si>
  <si>
    <t>Volumemassa oplosbare fractie: Op basis van zelfcontrole (resultaten max. 1 jaar oud) ofwel proefresultaat van een COPRO- of BENOR-gecertificeerde leverancier.</t>
  </si>
  <si>
    <t>Volumemassa aggregaatfractie: Op basis van zelfcontrole (resultaten max. 1 jaar oud) ofwel proefresultaat van een COPRO- of BENOR-gecertificeerde leverancier.</t>
  </si>
  <si>
    <t>"bouwheer" in geval van speciale, niet gecertificeerde toevoegsels, die door de bouwheer moeten worden aanvaard.</t>
  </si>
  <si>
    <t>"partijkeuring" in geval van speciale, niet gecertificeerde toevoegsels, waaraan eisen worden gesteld in het bestek.</t>
  </si>
  <si>
    <t>Nr.: Kies de nummers van de grondstoffen die u wil selecteren uit het blad 'grondstoffen'.</t>
  </si>
  <si>
    <t>Hoeveelheid: Toegevoegd gehalte oplosbaar bindmiddel in het bitumineus mengsel. De hoeveelheid van bindmiddel nr. 51 is steeds het saldo van de totale hoeveelheid bindmiddel, min alle andere oplosbare fracties.</t>
  </si>
  <si>
    <t>rond zand of natuurzand:</t>
  </si>
  <si>
    <t>Opgelet: in de verantwoordingsnota worden deze waarden afgerond. U kan in de tabbladen 'VN' zien hoe de waarden worden vermeld.</t>
  </si>
  <si>
    <r>
      <t xml:space="preserve">Hoeveelheid: Toegevoegd gehalte aggregaten in het aggregaatmengsel. In te vullen vanaf </t>
    </r>
    <r>
      <rPr>
        <b/>
        <i/>
        <sz val="11"/>
        <color rgb="FFFF99FF"/>
        <rFont val="Arial"/>
        <family val="2"/>
      </rPr>
      <t>rij 88</t>
    </r>
    <r>
      <rPr>
        <i/>
        <sz val="11"/>
        <color theme="8" tint="0.59999389629810485"/>
        <rFont val="Arial"/>
        <family val="2"/>
      </rPr>
      <t>.</t>
    </r>
  </si>
  <si>
    <r>
      <t xml:space="preserve">Hoeveelheid: Toegevoegd gehalte vulstof in het aggregaatmengsel. In te vullen vanaf </t>
    </r>
    <r>
      <rPr>
        <b/>
        <i/>
        <sz val="11"/>
        <color rgb="FFFF99FF"/>
        <rFont val="Arial"/>
        <family val="2"/>
      </rPr>
      <t>rij 98</t>
    </r>
    <r>
      <rPr>
        <i/>
        <sz val="11"/>
        <color theme="8" tint="0.59999389629810485"/>
        <rFont val="Arial"/>
        <family val="2"/>
      </rPr>
      <t>.</t>
    </r>
  </si>
  <si>
    <r>
      <t xml:space="preserve">De totale hoeveelheid bindmiddel moet worden ingevuld in </t>
    </r>
    <r>
      <rPr>
        <i/>
        <sz val="11"/>
        <color rgb="FFCCECFF"/>
        <rFont val="Arial"/>
        <family val="2"/>
      </rPr>
      <t xml:space="preserve">cel </t>
    </r>
    <r>
      <rPr>
        <b/>
        <i/>
        <sz val="11"/>
        <color rgb="FFFF99FF"/>
        <rFont val="Arial"/>
        <family val="2"/>
      </rPr>
      <t>C158</t>
    </r>
    <r>
      <rPr>
        <i/>
        <sz val="11"/>
        <color theme="8" tint="0.59999389629810485"/>
        <rFont val="Arial"/>
        <family val="2"/>
      </rPr>
      <t>.</t>
    </r>
  </si>
  <si>
    <r>
      <t xml:space="preserve">Deze waarde mag worden ingevuld in </t>
    </r>
    <r>
      <rPr>
        <i/>
        <sz val="11"/>
        <color rgb="FFCCECFF"/>
        <rFont val="Arial"/>
        <family val="2"/>
      </rPr>
      <t>cellen</t>
    </r>
    <r>
      <rPr>
        <b/>
        <i/>
        <sz val="11"/>
        <color rgb="FFFF0000"/>
        <rFont val="Arial"/>
        <family val="2"/>
      </rPr>
      <t xml:space="preserve"> </t>
    </r>
    <r>
      <rPr>
        <b/>
        <i/>
        <sz val="11"/>
        <color rgb="FFFF99FF"/>
        <rFont val="Arial"/>
        <family val="2"/>
      </rPr>
      <t>S28</t>
    </r>
    <r>
      <rPr>
        <i/>
        <sz val="11"/>
        <color rgb="FFCCECFF"/>
        <rFont val="Arial"/>
        <family val="2"/>
      </rPr>
      <t xml:space="preserve"> en </t>
    </r>
    <r>
      <rPr>
        <b/>
        <i/>
        <sz val="11"/>
        <color rgb="FFFF99FF"/>
        <rFont val="Arial"/>
        <family val="2"/>
      </rPr>
      <t>S29</t>
    </r>
    <r>
      <rPr>
        <i/>
        <sz val="11"/>
        <color theme="8" tint="0.59999389629810485"/>
        <rFont val="Arial"/>
        <family val="2"/>
      </rPr>
      <t>.</t>
    </r>
  </si>
  <si>
    <t>Berekende waarden:</t>
  </si>
  <si>
    <r>
      <rPr>
        <b/>
        <i/>
        <sz val="11"/>
        <color rgb="FFFFC000"/>
        <rFont val="Arial"/>
        <family val="2"/>
      </rPr>
      <t>EN 12697-8</t>
    </r>
    <r>
      <rPr>
        <i/>
        <sz val="11"/>
        <color rgb="FFCCECFF"/>
        <rFont val="Arial"/>
        <family val="2"/>
      </rPr>
      <t xml:space="preserve"> (op basis SVM) of</t>
    </r>
    <r>
      <rPr>
        <b/>
        <i/>
        <sz val="11"/>
        <color rgb="FFCCECFF"/>
        <rFont val="Arial"/>
        <family val="2"/>
      </rPr>
      <t xml:space="preserve"> </t>
    </r>
    <r>
      <rPr>
        <b/>
        <i/>
        <sz val="11"/>
        <color rgb="FFFFC000"/>
        <rFont val="Arial"/>
        <family val="2"/>
      </rPr>
      <t>EN 12697-31</t>
    </r>
    <r>
      <rPr>
        <i/>
        <sz val="11"/>
        <color rgb="FFCCECFF"/>
        <rFont val="Arial"/>
        <family val="2"/>
      </rPr>
      <t xml:space="preserve"> (op basis gyrator).</t>
    </r>
  </si>
  <si>
    <t>Holle ruimte in het aggregaatskelet.</t>
  </si>
  <si>
    <t>Holle ruimte in het aggregaatskelet opgevuld met bindmiddel (HRAO).</t>
  </si>
  <si>
    <t>0,015 in EN 12697-12.</t>
  </si>
  <si>
    <t>A+B+X (g)</t>
  </si>
  <si>
    <t>Penetrometer:</t>
  </si>
  <si>
    <t>Ring- en kogeltoestel:</t>
  </si>
  <si>
    <r>
      <t>T</t>
    </r>
    <r>
      <rPr>
        <vertAlign val="subscript"/>
        <sz val="11"/>
        <color theme="1"/>
        <rFont val="Arial"/>
        <family val="2"/>
      </rPr>
      <t>R&amp;K</t>
    </r>
    <r>
      <rPr>
        <sz val="11"/>
        <color theme="1"/>
        <rFont val="Arial"/>
        <family val="2"/>
      </rPr>
      <t xml:space="preserve"> (°C)</t>
    </r>
  </si>
  <si>
    <t>Bekomen bindmiddelgehalte</t>
  </si>
  <si>
    <t>Bekomen bindmiddelgehalte (%)</t>
  </si>
  <si>
    <t>Bijvoorbeeld SB 250 v.4.0 H14 4.18</t>
  </si>
  <si>
    <t>Filmdikte FDm:</t>
  </si>
  <si>
    <t>Ingeval de normen zouden wijzigen, kan men in 4 onderste rijen de nieuwe prestaties</t>
  </si>
  <si>
    <t xml:space="preserve">toevoegen. </t>
  </si>
  <si>
    <t>Maak eerst de DoP en voeg hier dan de nummers van de relevante essentiële kenmerken toe.</t>
  </si>
  <si>
    <t>Machinaal</t>
  </si>
  <si>
    <t>Manueel</t>
  </si>
  <si>
    <r>
      <rPr>
        <b/>
        <i/>
        <sz val="11"/>
        <color rgb="FFFFC000"/>
        <rFont val="Arial"/>
        <family val="2"/>
      </rPr>
      <t>Manueel</t>
    </r>
    <r>
      <rPr>
        <i/>
        <sz val="11"/>
        <color rgb="FFCCECFF"/>
        <rFont val="Arial"/>
        <family val="2"/>
      </rPr>
      <t xml:space="preserve"> of </t>
    </r>
    <r>
      <rPr>
        <b/>
        <i/>
        <sz val="11"/>
        <color rgb="FFFFC000"/>
        <rFont val="Arial"/>
        <family val="2"/>
      </rPr>
      <t>Machinaal</t>
    </r>
    <r>
      <rPr>
        <i/>
        <sz val="11"/>
        <color rgb="FFCCECFF"/>
        <rFont val="Arial"/>
        <family val="2"/>
      </rPr>
      <t>.</t>
    </r>
  </si>
  <si>
    <t>KORRELVERDELING (deeltjesgrootteverdeling) EN BINDMIDDELGEHALTE</t>
  </si>
  <si>
    <t>MENGSELDICHTHEID (maximale volumemassa)</t>
  </si>
  <si>
    <t>BULKDICHTHEID (schijnbare volumemassa)</t>
  </si>
  <si>
    <t>HOLLE RUIMTE (gehalte poriën)</t>
  </si>
  <si>
    <t>MECHANISCHE WEERSTAND  (spoorvorming)</t>
  </si>
  <si>
    <t>DEELTJESVERLIES  (Cantabro)</t>
  </si>
  <si>
    <t>8.</t>
  </si>
  <si>
    <t>Geëigende technische documentatie en/of specifieke technische documentatie:</t>
  </si>
  <si>
    <t>Niet van toepassing.</t>
  </si>
  <si>
    <t>Het systeem of de systemen voor de beoordeling en verificatie van de prestatiebestendigheid:</t>
  </si>
  <si>
    <t>Beoogd(e) gebruik(en):</t>
  </si>
  <si>
    <t>Fabricaat:</t>
  </si>
  <si>
    <t>(kPa)</t>
  </si>
  <si>
    <r>
      <t xml:space="preserve">Volumemassa: Op basis van zelfcontrole (resultaten max. 1 jaar oud) ofwel mag dit ook worden berekend (zie </t>
    </r>
    <r>
      <rPr>
        <b/>
        <i/>
        <sz val="11"/>
        <color rgb="FFFF99FF"/>
        <rFont val="Arial"/>
        <family val="2"/>
      </rPr>
      <t>cel AA124</t>
    </r>
    <r>
      <rPr>
        <i/>
        <sz val="11"/>
        <color theme="8" tint="0.59999389629810485"/>
        <rFont val="Arial"/>
        <family val="2"/>
      </rPr>
      <t>).</t>
    </r>
  </si>
  <si>
    <t>Noot voor COPRO:</t>
  </si>
  <si>
    <t>Bij Blad beveiligen: "Autofiler gebruiken" aanvinken !</t>
  </si>
  <si>
    <t>rode kleurstof</t>
  </si>
  <si>
    <t>Trinidad Epurée Z0/8</t>
  </si>
  <si>
    <t>Te vermelden toevoegsels:</t>
  </si>
  <si>
    <r>
      <t xml:space="preserve">Bij automatische dosering: hoeveelheid in </t>
    </r>
    <r>
      <rPr>
        <b/>
        <i/>
        <sz val="11"/>
        <color theme="8" tint="0.59999389629810485"/>
        <rFont val="Arial"/>
        <family val="2"/>
      </rPr>
      <t>%</t>
    </r>
    <r>
      <rPr>
        <i/>
        <sz val="11"/>
        <color theme="8" tint="0.59999389629810485"/>
        <rFont val="Arial"/>
        <family val="2"/>
      </rPr>
      <t xml:space="preserve"> of </t>
    </r>
    <r>
      <rPr>
        <b/>
        <i/>
        <sz val="11"/>
        <color theme="8" tint="0.59999389629810485"/>
        <rFont val="Arial"/>
        <family val="2"/>
      </rPr>
      <t>kg</t>
    </r>
    <r>
      <rPr>
        <i/>
        <sz val="11"/>
        <color theme="8" tint="0.59999389629810485"/>
        <rFont val="Arial"/>
        <family val="2"/>
      </rPr>
      <t>.</t>
    </r>
  </si>
  <si>
    <t>Om een CE-etiket te maken:</t>
  </si>
  <si>
    <t>Vul cel AB2 in met het cijfer van de productie-eenheid.</t>
  </si>
  <si>
    <t>Selecteer de juiste productnorm (1 t/m 9):</t>
  </si>
  <si>
    <t>Klik naast het cijfer op het knopje met de pijl. Selecteer enkel het vakje met 'v'.</t>
  </si>
  <si>
    <t>Om een DoP te maken:</t>
  </si>
  <si>
    <t>Vul alle vereiste gegevens in op het tabblad 'Studie'. Ook voor de NPD-kenmerken !</t>
  </si>
  <si>
    <t>datum</t>
  </si>
  <si>
    <t>wijzigingen</t>
  </si>
  <si>
    <t>manueel ingeven toevoegsels; fouten weg op tabbald VN3; andere beveiliging op tabbalden CE-etiket en DoP</t>
  </si>
  <si>
    <t>uitbreiden aantal proefstukken, aanpassing bij berekening ITSR, kleine foutjes</t>
  </si>
  <si>
    <t>koude toevoeging</t>
  </si>
  <si>
    <t>Homogeen: ja (homogeen) of neen (niet homogeen).</t>
  </si>
  <si>
    <t>A23</t>
  </si>
  <si>
    <t>A24</t>
  </si>
  <si>
    <t>A25</t>
  </si>
  <si>
    <t>A26</t>
  </si>
  <si>
    <t>A27</t>
  </si>
  <si>
    <t>A28</t>
  </si>
  <si>
    <t>A29</t>
  </si>
  <si>
    <t>A30</t>
  </si>
  <si>
    <t>B23</t>
  </si>
  <si>
    <t>B24</t>
  </si>
  <si>
    <t>B25</t>
  </si>
  <si>
    <t>B26</t>
  </si>
  <si>
    <t>B27</t>
  </si>
  <si>
    <t>B28</t>
  </si>
  <si>
    <t>B29</t>
  </si>
  <si>
    <t>B30</t>
  </si>
  <si>
    <t>C23</t>
  </si>
  <si>
    <t>C24</t>
  </si>
  <si>
    <t>C25</t>
  </si>
  <si>
    <t>C27</t>
  </si>
  <si>
    <t>C28</t>
  </si>
  <si>
    <t>C29</t>
  </si>
  <si>
    <t>C30</t>
  </si>
  <si>
    <t>Massa</t>
  </si>
  <si>
    <t>(g)</t>
  </si>
  <si>
    <t>ITSw</t>
  </si>
  <si>
    <t>VERHINDERDE KRIMP (BIJ GIETASFALT)</t>
  </si>
  <si>
    <t>A1v</t>
  </si>
  <si>
    <t>A2v</t>
  </si>
  <si>
    <t>A3v</t>
  </si>
  <si>
    <t>A4v</t>
  </si>
  <si>
    <t>A5v</t>
  </si>
  <si>
    <t>A1n</t>
  </si>
  <si>
    <t>A2n</t>
  </si>
  <si>
    <t>A3n</t>
  </si>
  <si>
    <t>A4n</t>
  </si>
  <si>
    <t>A5n</t>
  </si>
  <si>
    <t>A1nw</t>
  </si>
  <si>
    <t>A2nw</t>
  </si>
  <si>
    <t>A3nw</t>
  </si>
  <si>
    <t>A4nw</t>
  </si>
  <si>
    <t>A5nw</t>
  </si>
  <si>
    <t>B1'</t>
  </si>
  <si>
    <t>B2'</t>
  </si>
  <si>
    <t>B3'</t>
  </si>
  <si>
    <t>B4'</t>
  </si>
  <si>
    <t>B5'</t>
  </si>
  <si>
    <t>B1''</t>
  </si>
  <si>
    <t>B2''</t>
  </si>
  <si>
    <t>B3''</t>
  </si>
  <si>
    <t>B4''</t>
  </si>
  <si>
    <t>B5''</t>
  </si>
  <si>
    <t>B1'''</t>
  </si>
  <si>
    <t>B2'''</t>
  </si>
  <si>
    <t>B3'''</t>
  </si>
  <si>
    <t>B4'''</t>
  </si>
  <si>
    <t>B5'''</t>
  </si>
  <si>
    <t>C1v</t>
  </si>
  <si>
    <t>C2v</t>
  </si>
  <si>
    <t>C3v</t>
  </si>
  <si>
    <t>C4v</t>
  </si>
  <si>
    <t>C5v</t>
  </si>
  <si>
    <t>C1n</t>
  </si>
  <si>
    <t>C2n</t>
  </si>
  <si>
    <t>C3n</t>
  </si>
  <si>
    <t>C4n</t>
  </si>
  <si>
    <t>C5n</t>
  </si>
  <si>
    <t>C1nw</t>
  </si>
  <si>
    <t>C2nw</t>
  </si>
  <si>
    <t>C3nw</t>
  </si>
  <si>
    <t>C4nw</t>
  </si>
  <si>
    <t>C5nw</t>
  </si>
  <si>
    <t>f</t>
  </si>
  <si>
    <t>g</t>
  </si>
  <si>
    <t>h</t>
  </si>
  <si>
    <t>i</t>
  </si>
  <si>
    <t>j</t>
  </si>
  <si>
    <t>k</t>
  </si>
  <si>
    <t>l</t>
  </si>
  <si>
    <t>m</t>
  </si>
  <si>
    <t>n</t>
  </si>
  <si>
    <t>o</t>
  </si>
  <si>
    <t>p</t>
  </si>
  <si>
    <t>q</t>
  </si>
  <si>
    <t>t</t>
  </si>
  <si>
    <t>u</t>
  </si>
  <si>
    <t>w</t>
  </si>
  <si>
    <t>x</t>
  </si>
  <si>
    <t>y</t>
  </si>
  <si>
    <t>z</t>
  </si>
  <si>
    <t>aa</t>
  </si>
  <si>
    <t>bb</t>
  </si>
  <si>
    <t>cc</t>
  </si>
  <si>
    <t>ee</t>
  </si>
  <si>
    <t>ff</t>
  </si>
  <si>
    <t>gg</t>
  </si>
  <si>
    <t>hh</t>
  </si>
  <si>
    <t>ii</t>
  </si>
  <si>
    <t>jj</t>
  </si>
  <si>
    <t>kk</t>
  </si>
  <si>
    <t>ll</t>
  </si>
  <si>
    <t>nn</t>
  </si>
  <si>
    <t>oo</t>
  </si>
  <si>
    <t>pp</t>
  </si>
  <si>
    <t>qq</t>
  </si>
  <si>
    <t>rr</t>
  </si>
  <si>
    <t>tt</t>
  </si>
  <si>
    <t>uu</t>
  </si>
  <si>
    <t>vv</t>
  </si>
  <si>
    <t>ww</t>
  </si>
  <si>
    <t>xx</t>
  </si>
  <si>
    <t>yy</t>
  </si>
  <si>
    <t>zz</t>
  </si>
  <si>
    <t>aaa</t>
  </si>
  <si>
    <t>bbb</t>
  </si>
  <si>
    <t>ccc</t>
  </si>
  <si>
    <t>ddd</t>
  </si>
  <si>
    <t>beveiliging weg bij toevoegsels op tabblad algemeen</t>
  </si>
  <si>
    <t>paginanummering zonder ITSR</t>
  </si>
  <si>
    <t>%HR vulstoffracties leeglaten ipv 0 indien niet ingevuld; tabblad VM_HR aangepast voor '0'; Bepaling prestaties mengsel leeg</t>
  </si>
  <si>
    <t>(kg/m³)</t>
  </si>
  <si>
    <t>Courant 15 °C.</t>
  </si>
  <si>
    <t>Doseerwijze = paralleltrommel, koude toevoeging, ring, … Leeglaten indien niet van toepassing</t>
  </si>
  <si>
    <t xml:space="preserve">EN 13108-1 (2006) + EN 13108-1/AC (2008) </t>
  </si>
  <si>
    <t>tabblad studie celverwijzigingen NOK voor ITSR; leesbaarheid 'bindmiddel in tabblad VN2; proefverslag ITSR verkeerde celverwijzing; proefverslag MVM : MVM bepaling 3e bindmiddelgehalte; VM_HR en ITSR : verschillende celverwijzingen;</t>
  </si>
  <si>
    <t>S</t>
  </si>
  <si>
    <r>
      <t>TOLERANTIES OP ASFALTGRANULAAT TEN OPZICHTE VAN DE STAPELREFERENTIE</t>
    </r>
    <r>
      <rPr>
        <sz val="10"/>
        <color theme="1"/>
        <rFont val="Calibri"/>
        <family val="2"/>
        <scheme val="minor"/>
      </rPr>
      <t xml:space="preserve"> (+/- %)</t>
    </r>
  </si>
  <si>
    <t>Courant 0,3 (volgens SB 250). Cel leeglaten indien slechts 1 bindmiddelgehalte.</t>
  </si>
  <si>
    <t>Naam en jaartal van de Europese Norm in volgend formaat : EN 13108-1 (2006) + EN 13108-1/AC (2008)</t>
  </si>
  <si>
    <t>Indien % HR enkel via EN 12697-31 : nr. proefstukken invullen, rest leeglaten.</t>
  </si>
  <si>
    <t>17,5</t>
  </si>
  <si>
    <t>weerhouden (indien EN 12697-31).</t>
  </si>
  <si>
    <t>zeefdoorval 0,5 mm (%)</t>
  </si>
  <si>
    <t>volumemassa zandfractie (Mg/m³)</t>
  </si>
  <si>
    <t>% breekzand</t>
  </si>
  <si>
    <t>voor AB, AVS, APO, APT en ABT</t>
  </si>
  <si>
    <t>voor SMA, SME en AGT</t>
  </si>
  <si>
    <t>voor ZOA</t>
  </si>
  <si>
    <t>0,05 %</t>
  </si>
  <si>
    <t>1,2 %</t>
  </si>
  <si>
    <t>tabblad studie berekening VMA en VFB; weergave gegevens in VM_HR en afdruip_film aangepast; productiefiches: beveiliging weg + afronding percentage afdruipremmer; typfoutjes in Franse versie; afrondingen algemeen; weergave resultaat vermoeiing; tabblad wijziging grondstoffen</t>
  </si>
  <si>
    <t>Temperatuur vulstof en asfaltgranulaat "n.v.t. " in tabblad NJ3</t>
  </si>
  <si>
    <t>toplaag 0/10</t>
  </si>
  <si>
    <t>AC 20 onderlaag 50/70</t>
  </si>
  <si>
    <t>100/0 voor gebroken steenslag, afkomstig van een groeve, tenzij anders vermeld op de TF.</t>
  </si>
  <si>
    <t>discontinu</t>
  </si>
  <si>
    <t>De volgorde waarin de grondstoffen worden toegevoegd in de menger.</t>
  </si>
  <si>
    <t>Afmetingen proefstukken voor %HR : enkel de diameter van de vorm (kolom R) in vullen is voldoende.</t>
  </si>
  <si>
    <t>D.4.3</t>
  </si>
  <si>
    <t>Courant 15 °C en 30 Hz.</t>
  </si>
  <si>
    <t>C.1.16</t>
  </si>
  <si>
    <t>VM aggregaatfractie AG</t>
  </si>
  <si>
    <t>Doorgaans methode B.</t>
  </si>
  <si>
    <t>Aanpassing verslag HR nalv 12697-31:2019; verschillende kleine foutjes aangepast; bindmiddel in proefverslagen afgerond tot 0,1 ipv 0,01; berekening aggregaatfractie AG met formule;</t>
  </si>
  <si>
    <t>drukspanning:</t>
  </si>
  <si>
    <t>C.1.5</t>
  </si>
  <si>
    <t>draaisnelheid:</t>
  </si>
  <si>
    <t>(tpm)</t>
  </si>
  <si>
    <r>
      <t xml:space="preserve">Volumemassa aggregaatfractie: Op basis van zelfcontrole (resultaten max. 1 jaar oud). Kan ook worden berekend. Zie tabblad </t>
    </r>
    <r>
      <rPr>
        <b/>
        <i/>
        <sz val="11"/>
        <color rgb="FFFF99FF"/>
        <rFont val="Arial"/>
        <family val="2"/>
      </rPr>
      <t>berekeningen, cel W49</t>
    </r>
    <r>
      <rPr>
        <b/>
        <i/>
        <sz val="11"/>
        <color rgb="FFFFC000"/>
        <rFont val="Arial"/>
        <family val="2"/>
      </rPr>
      <t>.</t>
    </r>
  </si>
  <si>
    <t>Type: wegenbitumen, hard bitumen, polymeerbitumen, bitumen IP+, kleurloos bindmiddel, synthetisch pigmenteerbaar bindmiddel, … Laat eventueel leeg indien onleesbaar in tabblad VN1 en VN2. Indien enkel onleesbaar in VN2, mag dit blijven staan.</t>
  </si>
  <si>
    <t>Complexe modulus G* (MPa)</t>
  </si>
  <si>
    <t>Compl. mod. G* (MPa)</t>
  </si>
  <si>
    <t>Indien de dynamische indeuking (gietasfalt) werd bepaald, rij 714 en 715 niet te gebruiken. Enkel aanvullen vanaf rij 716.</t>
  </si>
  <si>
    <t>(mm) Cel K606 en K607 zijn aan te vullen in mm tot 2 cijfers na de komma. Cel I606 en I607 zijn in te vullen in procent.</t>
  </si>
  <si>
    <t>Verschillende aanpassingen: kleine foutjes in formules, toevoeging indeuking op tabblad VN1</t>
  </si>
  <si>
    <t>VM asfalt</t>
  </si>
  <si>
    <t>Aanpassingen in formules; beoordeling zwelling; tekst additieven in/op bitumineus mengsel of aggregaatmengsel in cel C70 tabblad samenstelling</t>
  </si>
  <si>
    <t>Gegarandeerde waarden of NR indien geen eisen, NPD indien niet bepaald. Waarden volledig invullen, met juiste aantal decimalen.</t>
  </si>
  <si>
    <t>Gegarandeerde waarde of NR indien geen eisen. NPD indien niet bepaald. Waarde volledig invullen, met juiste aantal decimalen.</t>
  </si>
  <si>
    <t>Gegarandeerde waarde of NR indien geen eisen. NPD indien niet bepaald. Waarde volledig invullen, met juiste aantal decimalen. Opgelet, bij Bekermethode 1 cijfer na de komma, bij Basket- of mandjesmethode afronden op de eenheid !</t>
  </si>
  <si>
    <t>Wijziging weergave Ecs in tabblad VN 2 - afronden tot 1 decimaal; ITSd en ITSw afronden tot 3 cijfers (significant)</t>
  </si>
  <si>
    <t>Registratie</t>
  </si>
  <si>
    <t>datum ingang registratie</t>
  </si>
  <si>
    <t>Gewenste datum voor ingang van de registratie</t>
  </si>
  <si>
    <t>Tabblad algemeen P78 voorzien van datum start registratie, uitdrukking ITS-waarden in overeenstemming met EN 12697-23, tabblad DoP en CE-etiket verwijderd (gezien dit volgens de verkeerde versie van de norm is).</t>
  </si>
  <si>
    <t>asfaltgranulaat:</t>
  </si>
  <si>
    <t>Formule berekening ITS in tabblad studies O309 en O310 aangepast; Toevoegen welke stapel in geval meerdere stapels worden voorzien op VN3;</t>
  </si>
  <si>
    <t>Duras filler 2</t>
  </si>
  <si>
    <t>Ankersmit Maastricht</t>
  </si>
  <si>
    <t>Commerciële benaming: De volledige commerciële benaming van de aanvoervulstof, zodat het duidelijk is om welk type (met welke kenmerken) het gaat.Duras filler 2, Duras filler 2W, Vulprofite 30, Vulprofite 40.</t>
  </si>
  <si>
    <t>Type: Ia, IIa, Ib, IIb</t>
  </si>
  <si>
    <t>40 RA 0/14mm HE</t>
  </si>
  <si>
    <t>IIa</t>
  </si>
  <si>
    <t>SB 250 (5.0)</t>
  </si>
  <si>
    <t>Naam en versie van het typebestek, standaardbestek of bijzonder bestek. Vb. SB 250 (5.0)</t>
  </si>
  <si>
    <t>max. 270</t>
  </si>
  <si>
    <t>Hoeveelheid: OFWEL links het percentage in het mengsel (in aggregaatmengsel, dus excl. bindmiddel), OFWEL rechts het percentage in het bindmiddelmengsel.</t>
  </si>
  <si>
    <t>type asfaltcentrale</t>
  </si>
  <si>
    <t>aardgas, propaan, elektrisch, aardgas/elektrisch (nodig in kader van GPP)</t>
  </si>
  <si>
    <t>INFO VOOR GPP tool</t>
  </si>
  <si>
    <t>GPP Onderdeel</t>
  </si>
  <si>
    <t>Parameter (GPP-tool)</t>
  </si>
  <si>
    <t>1. Algemene gegevens</t>
  </si>
  <si>
    <t>Datum</t>
  </si>
  <si>
    <t>Mengsel ID</t>
  </si>
  <si>
    <t>Mengseltype (SB250)</t>
  </si>
  <si>
    <t>Mengseltype (EN 13108)</t>
  </si>
  <si>
    <t>2. Productie asfaltmengsel</t>
  </si>
  <si>
    <t>Locatie asfaltcentrale</t>
  </si>
  <si>
    <t>Productietemperatuur</t>
  </si>
  <si>
    <t>Elektrisch aandeel equipment</t>
  </si>
  <si>
    <t>Wheel loader fuel source</t>
  </si>
  <si>
    <t>3. Samenstelling mengsel</t>
  </si>
  <si>
    <t>Bindmiddeltype</t>
  </si>
  <si>
    <t>Additieven</t>
  </si>
  <si>
    <t>ITSR (%)</t>
  </si>
  <si>
    <t>Spoorvorming (PRD %)</t>
  </si>
  <si>
    <t>Stijfheid (E-modulus)</t>
  </si>
  <si>
    <t>Vermoeiing (ε₆ / Nf)</t>
  </si>
  <si>
    <t>Bindmiddelvervanging (% bindmiddel van AG)</t>
  </si>
  <si>
    <t>aardgas</t>
  </si>
  <si>
    <t>propaan</t>
  </si>
  <si>
    <t>elektrisch</t>
  </si>
  <si>
    <t>Productiecapaciteit (ton/h)</t>
  </si>
  <si>
    <t>zelf in te vullen</t>
  </si>
  <si>
    <t>synthetisch pigmenteerbaar bindmiddel</t>
  </si>
  <si>
    <t>5. Prestatieproeven</t>
  </si>
  <si>
    <t>Totaal bindmiddelgehalte (%)</t>
  </si>
  <si>
    <t xml:space="preserve"> Biogene bijdrage van bitumen (%)</t>
  </si>
  <si>
    <t>Aan te passen indien nodig</t>
  </si>
  <si>
    <t>aanvoer per</t>
  </si>
  <si>
    <t>vrachtwagen</t>
  </si>
  <si>
    <t>schip</t>
  </si>
  <si>
    <t>Virgin binder</t>
  </si>
  <si>
    <t>Add location manually</t>
  </si>
  <si>
    <t>Truck</t>
  </si>
  <si>
    <t>Diesel</t>
  </si>
  <si>
    <t>Type primair asfaltcentrale: aardgas, propaan, elektrisch</t>
  </si>
  <si>
    <t>Type secundair asfaltcentrale: aardgas, propaan, elektrisch</t>
  </si>
  <si>
    <t>Geen</t>
  </si>
  <si>
    <t>Energiebron (primair) %</t>
  </si>
  <si>
    <t>Energiebron (secundair) %</t>
  </si>
  <si>
    <t>Ja</t>
  </si>
  <si>
    <t>No</t>
  </si>
  <si>
    <t>Elektrisch aandeel equipment bron</t>
  </si>
  <si>
    <t xml:space="preserve">elektriciteit groen </t>
  </si>
  <si>
    <t xml:space="preserve">Elektriciteit normaal </t>
  </si>
  <si>
    <t>Total ( excl. Rode Kleurstof, Trinidad, Uintah)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</si>
</sst>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00_ ;_ * \-#,##0.00_ ;_ * &quot;-&quot;??_ ;_ @_ "/>
    <numFmt numFmtId="165" formatCode="d/mm/yyyy;@"/>
    <numFmt numFmtId="166" formatCode="0.0"/>
    <numFmt numFmtId="167" formatCode="0.000000"/>
    <numFmt numFmtId="168" formatCode="0.000"/>
    <numFmt numFmtId="169" formatCode="0.0000000"/>
    <numFmt numFmtId="170" formatCode="0.00000"/>
    <numFmt numFmtId="171" formatCode="0.0000"/>
    <numFmt numFmtId="172" formatCode="yy"/>
    <numFmt numFmtId="173" formatCode="yyyy"/>
    <numFmt numFmtId="174" formatCode="_ * #,##0.00000_ ;_ * \-#,##0.00000_ ;_ * &quot;-&quot;??_ ;_ @_ "/>
  </numFmts>
  <fonts count="75"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rial"/>
      <family val="2"/>
    </font>
    <font>
      <b/>
      <sz val="11"/>
      <color theme="1"/>
      <name val="Arial"/>
      <family val="2"/>
    </font>
    <font>
      <b/>
      <sz val="11"/>
      <color theme="0"/>
      <name val="Arial"/>
      <family val="2"/>
    </font>
    <font>
      <u/>
      <sz val="11"/>
      <color theme="10"/>
      <name val="Calibri"/>
      <family val="2"/>
    </font>
    <font>
      <i/>
      <sz val="11"/>
      <color theme="8" tint="0.59999389629810485"/>
      <name val="Arial"/>
      <family val="2"/>
    </font>
    <font>
      <sz val="11"/>
      <color theme="0"/>
      <name val="Arial"/>
      <family val="2"/>
    </font>
    <font>
      <b/>
      <i/>
      <sz val="11"/>
      <color rgb="FFFFC000"/>
      <name val="Arial"/>
      <family val="2"/>
    </font>
    <font>
      <sz val="8"/>
      <color theme="1"/>
      <name val="Arial"/>
      <family val="2"/>
    </font>
    <font>
      <i/>
      <sz val="11"/>
      <color rgb="FFFFC000"/>
      <name val="Arial"/>
      <family val="2"/>
    </font>
    <font>
      <sz val="8"/>
      <color theme="8" tint="0.59999389629810485"/>
      <name val="Arial"/>
      <family val="2"/>
    </font>
    <font>
      <sz val="11"/>
      <color theme="8" tint="0.59999389629810485"/>
      <name val="Arial"/>
      <family val="2"/>
    </font>
    <font>
      <sz val="9"/>
      <color theme="1"/>
      <name val="Arial"/>
      <family val="2"/>
    </font>
    <font>
      <vertAlign val="subscript"/>
      <sz val="11"/>
      <color theme="1"/>
      <name val="Arial"/>
      <family val="2"/>
    </font>
    <font>
      <sz val="11"/>
      <name val="Arial"/>
      <family val="2"/>
    </font>
    <font>
      <vertAlign val="subscript"/>
      <sz val="9"/>
      <color theme="1"/>
      <name val="Arial"/>
      <family val="2"/>
    </font>
    <font>
      <sz val="10"/>
      <color theme="1"/>
      <name val="Arial"/>
      <family val="2"/>
    </font>
    <font>
      <sz val="8"/>
      <name val="Arial"/>
      <family val="2"/>
    </font>
    <font>
      <sz val="14"/>
      <name val="Arial"/>
      <family val="2"/>
    </font>
    <font>
      <sz val="8"/>
      <name val="Arial Narrow"/>
      <family val="2"/>
    </font>
    <font>
      <i/>
      <sz val="11"/>
      <color theme="1"/>
      <name val="Arial"/>
      <family val="2"/>
    </font>
    <font>
      <i/>
      <sz val="11"/>
      <color rgb="FFCCECFF"/>
      <name val="Arial"/>
      <family val="2"/>
    </font>
    <font>
      <sz val="11"/>
      <color theme="0" tint="-0.249977111117893"/>
      <name val="Arial"/>
      <family val="2"/>
    </font>
    <font>
      <b/>
      <sz val="11"/>
      <color rgb="FFFF0000"/>
      <name val="Arial"/>
      <family val="2"/>
    </font>
    <font>
      <i/>
      <sz val="11"/>
      <color rgb="FF92D050"/>
      <name val="Arial"/>
      <family val="2"/>
    </font>
    <font>
      <sz val="11"/>
      <color theme="1"/>
      <name val="Symbol"/>
      <family val="1"/>
      <charset val="2"/>
    </font>
    <font>
      <sz val="10"/>
      <color theme="1"/>
      <name val="Calibri"/>
      <family val="2"/>
      <scheme val="minor"/>
    </font>
    <font>
      <b/>
      <sz val="14"/>
      <color theme="1"/>
      <name val="Calibri"/>
      <family val="2"/>
      <scheme val="minor"/>
    </font>
    <font>
      <b/>
      <sz val="11"/>
      <color theme="1"/>
      <name val="Calibri"/>
      <family val="2"/>
      <scheme val="minor"/>
    </font>
    <font>
      <b/>
      <sz val="10"/>
      <color theme="1"/>
      <name val="Calibri"/>
      <family val="2"/>
      <scheme val="minor"/>
    </font>
    <font>
      <sz val="8"/>
      <color theme="1"/>
      <name val="Calibri"/>
      <family val="2"/>
      <scheme val="minor"/>
    </font>
    <font>
      <sz val="11"/>
      <color theme="0" tint="-0.34998626667073579"/>
      <name val="Arial"/>
      <family val="2"/>
    </font>
    <font>
      <sz val="11"/>
      <color theme="0" tint="-0.499984740745262"/>
      <name val="Arial"/>
      <family val="2"/>
    </font>
    <font>
      <i/>
      <sz val="11"/>
      <name val="Arial"/>
      <family val="2"/>
    </font>
    <font>
      <vertAlign val="subscript"/>
      <sz val="10"/>
      <color theme="1"/>
      <name val="Calibri"/>
      <family val="2"/>
      <scheme val="minor"/>
    </font>
    <font>
      <b/>
      <sz val="8"/>
      <color theme="1"/>
      <name val="Calibri"/>
      <family val="2"/>
      <scheme val="minor"/>
    </font>
    <font>
      <sz val="14"/>
      <color theme="1"/>
      <name val="Calibri"/>
      <family val="2"/>
      <scheme val="minor"/>
    </font>
    <font>
      <sz val="9"/>
      <color theme="1"/>
      <name val="Calibri"/>
      <family val="2"/>
      <scheme val="minor"/>
    </font>
    <font>
      <vertAlign val="subscript"/>
      <sz val="11"/>
      <color theme="1"/>
      <name val="Cambria"/>
      <family val="1"/>
    </font>
    <font>
      <sz val="10"/>
      <color theme="1"/>
      <name val="Symbol"/>
      <family val="1"/>
      <charset val="2"/>
    </font>
    <font>
      <i/>
      <sz val="10"/>
      <color rgb="FFCCECFF"/>
      <name val="Arial"/>
      <family val="2"/>
    </font>
    <font>
      <sz val="11"/>
      <color rgb="FFCCECFF"/>
      <name val="Arial"/>
      <family val="2"/>
    </font>
    <font>
      <vertAlign val="superscript"/>
      <sz val="14"/>
      <color theme="1"/>
      <name val="Symbol"/>
      <family val="1"/>
      <charset val="2"/>
    </font>
    <font>
      <b/>
      <i/>
      <sz val="11"/>
      <color rgb="FFCCECFF"/>
      <name val="Arial"/>
      <family val="2"/>
    </font>
    <font>
      <vertAlign val="subscript"/>
      <sz val="10"/>
      <color theme="1"/>
      <name val="Arial"/>
      <family val="2"/>
    </font>
    <font>
      <i/>
      <sz val="10"/>
      <color theme="1"/>
      <name val="Calibri"/>
      <family val="2"/>
      <scheme val="minor"/>
    </font>
    <font>
      <i/>
      <sz val="12"/>
      <color theme="1"/>
      <name val="Symbol"/>
      <family val="1"/>
      <charset val="2"/>
    </font>
    <font>
      <i/>
      <sz val="10"/>
      <color theme="1"/>
      <name val="Symbol"/>
      <family val="1"/>
      <charset val="2"/>
    </font>
    <font>
      <u/>
      <sz val="11"/>
      <color theme="10"/>
      <name val="Arial"/>
      <family val="2"/>
    </font>
    <font>
      <sz val="12"/>
      <color theme="1"/>
      <name val="Calibri"/>
      <family val="2"/>
      <scheme val="minor"/>
    </font>
    <font>
      <b/>
      <sz val="12"/>
      <color theme="1"/>
      <name val="Calibri"/>
      <family val="2"/>
      <scheme val="minor"/>
    </font>
    <font>
      <sz val="8"/>
      <color theme="0" tint="-0.499984740745262"/>
      <name val="Calibri"/>
      <family val="2"/>
      <scheme val="minor"/>
    </font>
    <font>
      <sz val="11"/>
      <name val="Calibri"/>
      <family val="2"/>
      <scheme val="minor"/>
    </font>
    <font>
      <vertAlign val="subscript"/>
      <sz val="11"/>
      <name val="Calibri"/>
      <family val="2"/>
      <scheme val="minor"/>
    </font>
    <font>
      <b/>
      <i/>
      <sz val="11"/>
      <color rgb="FFFF0000"/>
      <name val="Arial"/>
      <family val="2"/>
    </font>
    <font>
      <i/>
      <sz val="11"/>
      <color rgb="FFFF0000"/>
      <name val="Arial"/>
      <family val="2"/>
    </font>
    <font>
      <sz val="11"/>
      <color rgb="FFFF0000"/>
      <name val="Arial"/>
      <family val="2"/>
    </font>
    <font>
      <b/>
      <sz val="9"/>
      <color indexed="81"/>
      <name val="Tahoma"/>
      <family val="2"/>
    </font>
    <font>
      <vertAlign val="superscript"/>
      <sz val="11"/>
      <color theme="1"/>
      <name val="Arial"/>
      <family val="2"/>
    </font>
    <font>
      <i/>
      <sz val="11"/>
      <color rgb="FFCCECFF"/>
      <name val="Calibri"/>
      <family val="2"/>
      <scheme val="minor"/>
    </font>
    <font>
      <b/>
      <i/>
      <sz val="11"/>
      <color rgb="FFFFC000"/>
      <name val="Calibri"/>
      <family val="2"/>
      <scheme val="minor"/>
    </font>
    <font>
      <sz val="8"/>
      <name val="Calibri"/>
      <family val="2"/>
      <scheme val="minor"/>
    </font>
    <font>
      <b/>
      <i/>
      <sz val="11"/>
      <color rgb="FFFF0000"/>
      <name val="Calibri"/>
      <family val="2"/>
      <scheme val="minor"/>
    </font>
    <font>
      <b/>
      <i/>
      <sz val="10"/>
      <color rgb="FFFF0000"/>
      <name val="Calibri"/>
      <family val="2"/>
      <scheme val="minor"/>
    </font>
    <font>
      <b/>
      <i/>
      <sz val="11"/>
      <color rgb="FFFF99FF"/>
      <name val="Arial"/>
      <family val="2"/>
    </font>
    <font>
      <i/>
      <sz val="11"/>
      <color theme="1"/>
      <name val="Calibri"/>
      <family val="2"/>
      <scheme val="minor"/>
    </font>
    <font>
      <b/>
      <i/>
      <sz val="11"/>
      <color theme="8" tint="0.59999389629810485"/>
      <name val="Arial"/>
      <family val="2"/>
    </font>
    <font>
      <b/>
      <i/>
      <sz val="11"/>
      <color theme="1"/>
      <name val="Calibri"/>
      <family val="2"/>
      <scheme val="minor"/>
    </font>
    <font>
      <sz val="11"/>
      <color theme="1"/>
      <name val="Calibri"/>
      <family val="2"/>
      <scheme val="minor"/>
    </font>
    <font>
      <b/>
      <sz val="12"/>
      <color theme="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rgb="FFCCECFF"/>
        <bgColor indexed="64"/>
      </patternFill>
    </fill>
    <fill>
      <patternFill patternType="solid">
        <fgColor theme="1" tint="0.499984740745262"/>
        <bgColor indexed="64"/>
      </patternFill>
    </fill>
    <fill>
      <patternFill patternType="solid">
        <fgColor theme="6" tint="0.59999389629810485"/>
        <bgColor indexed="64"/>
      </patternFill>
    </fill>
  </fills>
  <borders count="455">
    <border>
      <left/>
      <right/>
      <top/>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style="thick">
        <color theme="0" tint="-0.14993743705557422"/>
      </left>
      <right/>
      <top/>
      <bottom style="thin">
        <color theme="0" tint="-0.14996795556505021"/>
      </bottom>
      <diagonal/>
    </border>
    <border>
      <left/>
      <right style="thick">
        <color theme="0" tint="-0.14993743705557422"/>
      </right>
      <top/>
      <bottom style="thin">
        <color theme="0" tint="-0.14996795556505021"/>
      </bottom>
      <diagonal/>
    </border>
    <border>
      <left style="thick">
        <color theme="0" tint="-0.14993743705557422"/>
      </left>
      <right/>
      <top style="thin">
        <color theme="0" tint="-0.14996795556505021"/>
      </top>
      <bottom style="thin">
        <color theme="0" tint="-0.14996795556505021"/>
      </bottom>
      <diagonal/>
    </border>
    <border>
      <left/>
      <right style="thick">
        <color theme="0" tint="-0.14993743705557422"/>
      </right>
      <top style="thin">
        <color theme="0" tint="-0.14996795556505021"/>
      </top>
      <bottom style="thin">
        <color theme="0" tint="-0.14996795556505021"/>
      </bottom>
      <diagonal/>
    </border>
    <border>
      <left style="thick">
        <color theme="0" tint="-0.14993743705557422"/>
      </left>
      <right/>
      <top style="thin">
        <color theme="0" tint="-0.14996795556505021"/>
      </top>
      <bottom/>
      <diagonal/>
    </border>
    <border>
      <left/>
      <right style="thick">
        <color theme="0" tint="-0.14993743705557422"/>
      </right>
      <top style="thin">
        <color theme="0" tint="-0.14996795556505021"/>
      </top>
      <bottom/>
      <diagonal/>
    </border>
    <border>
      <left/>
      <right/>
      <top style="thick">
        <color theme="0" tint="-0.499984740745262"/>
      </top>
      <bottom/>
      <diagonal/>
    </border>
    <border>
      <left/>
      <right/>
      <top style="thick">
        <color theme="0" tint="-0.499984740745262"/>
      </top>
      <bottom style="thin">
        <color theme="0" tint="-0.14996795556505021"/>
      </bottom>
      <diagonal/>
    </border>
    <border>
      <left style="thick">
        <color theme="0" tint="-0.14993743705557422"/>
      </left>
      <right/>
      <top style="thick">
        <color theme="0" tint="-0.499984740745262"/>
      </top>
      <bottom style="thin">
        <color theme="0" tint="-0.14996795556505021"/>
      </bottom>
      <diagonal/>
    </border>
    <border>
      <left/>
      <right style="thick">
        <color theme="0" tint="-0.14993743705557422"/>
      </right>
      <top style="thick">
        <color theme="0" tint="-0.499984740745262"/>
      </top>
      <bottom style="thin">
        <color theme="0" tint="-0.14996795556505021"/>
      </bottom>
      <diagonal/>
    </border>
    <border>
      <left/>
      <right/>
      <top/>
      <bottom style="thick">
        <color theme="0" tint="-0.499984740745262"/>
      </bottom>
      <diagonal/>
    </border>
    <border>
      <left/>
      <right/>
      <top style="thin">
        <color theme="0" tint="-0.14996795556505021"/>
      </top>
      <bottom style="thick">
        <color theme="0" tint="-0.499984740745262"/>
      </bottom>
      <diagonal/>
    </border>
    <border>
      <left style="thick">
        <color theme="0" tint="-0.14993743705557422"/>
      </left>
      <right/>
      <top style="thin">
        <color theme="0" tint="-0.14996795556505021"/>
      </top>
      <bottom style="thick">
        <color theme="0" tint="-0.499984740745262"/>
      </bottom>
      <diagonal/>
    </border>
    <border>
      <left/>
      <right style="thick">
        <color theme="0" tint="-0.14996795556505021"/>
      </right>
      <top/>
      <bottom/>
      <diagonal/>
    </border>
    <border>
      <left style="thick">
        <color theme="0" tint="-0.14996795556505021"/>
      </left>
      <right style="thick">
        <color theme="0" tint="-0.14996795556505021"/>
      </right>
      <top/>
      <bottom/>
      <diagonal/>
    </border>
    <border>
      <left style="thick">
        <color theme="0" tint="-0.14996795556505021"/>
      </left>
      <right/>
      <top/>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right style="thin">
        <color theme="0" tint="-0.14996795556505021"/>
      </right>
      <top/>
      <bottom/>
      <diagonal/>
    </border>
    <border>
      <left style="thin">
        <color theme="0" tint="-0.14996795556505021"/>
      </left>
      <right style="thin">
        <color theme="0" tint="-0.14996795556505021"/>
      </right>
      <top/>
      <bottom/>
      <diagonal/>
    </border>
    <border>
      <left style="thin">
        <color theme="0" tint="-0.14996795556505021"/>
      </left>
      <right/>
      <top/>
      <bottom/>
      <diagonal/>
    </border>
    <border>
      <left style="thick">
        <color theme="0" tint="-0.14993743705557422"/>
      </left>
      <right/>
      <top/>
      <bottom/>
      <diagonal/>
    </border>
    <border>
      <left style="thin">
        <color theme="0" tint="-0.14996795556505021"/>
      </left>
      <right style="thick">
        <color theme="0" tint="-0.14993743705557422"/>
      </right>
      <top/>
      <bottom style="thin">
        <color theme="0" tint="-0.14996795556505021"/>
      </bottom>
      <diagonal/>
    </border>
    <border>
      <left style="thin">
        <color theme="0" tint="-0.14996795556505021"/>
      </left>
      <right style="thick">
        <color theme="0" tint="-0.14993743705557422"/>
      </right>
      <top style="thin">
        <color theme="0" tint="-0.14996795556505021"/>
      </top>
      <bottom style="thick">
        <color theme="0" tint="-0.499984740745262"/>
      </bottom>
      <diagonal/>
    </border>
    <border>
      <left style="thin">
        <color theme="0" tint="-0.14996795556505021"/>
      </left>
      <right style="thick">
        <color theme="0" tint="-0.14993743705557422"/>
      </right>
      <top/>
      <bottom/>
      <diagonal/>
    </border>
    <border>
      <left style="thin">
        <color theme="0" tint="-0.14996795556505021"/>
      </left>
      <right style="thick">
        <color theme="0" tint="-0.14993743705557422"/>
      </right>
      <top style="thick">
        <color theme="0" tint="-0.499984740745262"/>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thick">
        <color theme="0" tint="-0.499984740745262"/>
      </bottom>
      <diagonal/>
    </border>
    <border>
      <left style="thin">
        <color theme="0" tint="-0.14996795556505021"/>
      </left>
      <right/>
      <top style="thick">
        <color theme="0" tint="-0.499984740745262"/>
      </top>
      <bottom/>
      <diagonal/>
    </border>
    <border>
      <left/>
      <right style="thin">
        <color theme="0" tint="-0.14996795556505021"/>
      </right>
      <top/>
      <bottom style="thick">
        <color theme="0" tint="-0.499984740745262"/>
      </bottom>
      <diagonal/>
    </border>
    <border>
      <left/>
      <right/>
      <top style="thin">
        <color theme="0" tint="-0.14996795556505021"/>
      </top>
      <bottom style="thin">
        <color theme="0" tint="-0.14993743705557422"/>
      </bottom>
      <diagonal/>
    </border>
    <border>
      <left style="thin">
        <color theme="0" tint="-0.14996795556505021"/>
      </left>
      <right style="thick">
        <color theme="0" tint="-0.14993743705557422"/>
      </right>
      <top/>
      <bottom style="thick">
        <color theme="0" tint="-0.499984740745262"/>
      </bottom>
      <diagonal/>
    </border>
    <border>
      <left style="thick">
        <color theme="0" tint="-0.14993743705557422"/>
      </left>
      <right/>
      <top/>
      <bottom style="thick">
        <color theme="0" tint="-0.499984740745262"/>
      </bottom>
      <diagonal/>
    </border>
    <border>
      <left style="thin">
        <color theme="0" tint="-0.14996795556505021"/>
      </left>
      <right/>
      <top/>
      <bottom style="thick">
        <color theme="0" tint="-0.499984740745262"/>
      </bottom>
      <diagonal/>
    </border>
    <border>
      <left style="thin">
        <color theme="0" tint="-0.14996795556505021"/>
      </left>
      <right style="thick">
        <color theme="0" tint="-0.14993743705557422"/>
      </right>
      <top style="thin">
        <color theme="0" tint="-0.14996795556505021"/>
      </top>
      <bottom style="thin">
        <color theme="0" tint="-0.14993743705557422"/>
      </bottom>
      <diagonal/>
    </border>
    <border>
      <left style="thick">
        <color theme="0" tint="-0.14993743705557422"/>
      </left>
      <right/>
      <top style="thin">
        <color theme="0" tint="-0.14996795556505021"/>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ck">
        <color theme="0" tint="-0.499984740745262"/>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thick">
        <color theme="0" tint="-0.499984740745262"/>
      </bottom>
      <diagonal/>
    </border>
    <border>
      <left style="thin">
        <color theme="0" tint="-0.14993743705557422"/>
      </left>
      <right/>
      <top style="thick">
        <color theme="0" tint="-0.499984740745262"/>
      </top>
      <bottom style="thin">
        <color theme="0" tint="-0.499984740745262"/>
      </bottom>
      <diagonal/>
    </border>
    <border>
      <left/>
      <right style="thin">
        <color theme="0" tint="-0.14993743705557422"/>
      </right>
      <top style="thick">
        <color theme="0" tint="-0.499984740745262"/>
      </top>
      <bottom style="thin">
        <color theme="0" tint="-0.499984740745262"/>
      </bottom>
      <diagonal/>
    </border>
    <border>
      <left style="thin">
        <color theme="0" tint="-0.14993743705557422"/>
      </left>
      <right style="thin">
        <color theme="0" tint="-0.14993743705557422"/>
      </right>
      <top style="thick">
        <color theme="0" tint="-0.499984740745262"/>
      </top>
      <bottom style="thin">
        <color theme="0" tint="-0.499984740745262"/>
      </bottom>
      <diagonal/>
    </border>
    <border>
      <left style="thin">
        <color theme="0" tint="-0.14993743705557422"/>
      </left>
      <right/>
      <top style="thin">
        <color theme="0" tint="-0.499984740745262"/>
      </top>
      <bottom style="thin">
        <color theme="0" tint="-0.499984740745262"/>
      </bottom>
      <diagonal/>
    </border>
    <border>
      <left/>
      <right style="thin">
        <color theme="0" tint="-0.14993743705557422"/>
      </right>
      <top style="thin">
        <color theme="0" tint="-0.499984740745262"/>
      </top>
      <bottom style="thin">
        <color theme="0" tint="-0.499984740745262"/>
      </bottom>
      <diagonal/>
    </border>
    <border>
      <left style="thin">
        <color theme="0" tint="-0.14993743705557422"/>
      </left>
      <right style="thin">
        <color theme="0" tint="-0.14993743705557422"/>
      </right>
      <top style="thin">
        <color theme="0" tint="-0.499984740745262"/>
      </top>
      <bottom style="thin">
        <color theme="0" tint="-0.499984740745262"/>
      </bottom>
      <diagonal/>
    </border>
    <border>
      <left/>
      <right style="thin">
        <color theme="0" tint="-0.14990691854609822"/>
      </right>
      <top style="thin">
        <color theme="0" tint="-0.499984740745262"/>
      </top>
      <bottom style="thin">
        <color theme="0" tint="-0.499984740745262"/>
      </bottom>
      <diagonal/>
    </border>
    <border>
      <left style="thin">
        <color theme="0" tint="-0.14990691854609822"/>
      </left>
      <right/>
      <top style="thin">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n">
        <color theme="0" tint="-0.499984740745262"/>
      </bottom>
      <diagonal/>
    </border>
    <border>
      <left/>
      <right/>
      <top style="thin">
        <color theme="0" tint="-0.499984740745262"/>
      </top>
      <bottom/>
      <diagonal/>
    </border>
    <border>
      <left style="thin">
        <color theme="0" tint="-0.14990691854609822"/>
      </left>
      <right style="thin">
        <color theme="0" tint="-0.14993743705557422"/>
      </right>
      <top style="thin">
        <color theme="0" tint="-0.499984740745262"/>
      </top>
      <bottom/>
      <diagonal/>
    </border>
    <border>
      <left style="thin">
        <color theme="0" tint="-0.14993743705557422"/>
      </left>
      <right/>
      <top style="thin">
        <color theme="0" tint="-0.499984740745262"/>
      </top>
      <bottom/>
      <diagonal/>
    </border>
    <border>
      <left/>
      <right style="thin">
        <color theme="0" tint="-0.14993743705557422"/>
      </right>
      <top style="thin">
        <color theme="0" tint="-0.499984740745262"/>
      </top>
      <bottom/>
      <diagonal/>
    </border>
    <border>
      <left/>
      <right style="thin">
        <color theme="0" tint="-0.14990691854609822"/>
      </right>
      <top style="thin">
        <color theme="0" tint="-0.499984740745262"/>
      </top>
      <bottom/>
      <diagonal/>
    </border>
    <border>
      <left style="thin">
        <color theme="0" tint="-0.14990691854609822"/>
      </left>
      <right/>
      <top style="thin">
        <color theme="0" tint="-0.499984740745262"/>
      </top>
      <bottom/>
      <diagonal/>
    </border>
    <border>
      <left style="thin">
        <color theme="0" tint="-0.14993743705557422"/>
      </left>
      <right style="thin">
        <color theme="0" tint="-0.14993743705557422"/>
      </right>
      <top style="thin">
        <color theme="0" tint="-0.499984740745262"/>
      </top>
      <bottom/>
      <diagonal/>
    </border>
    <border>
      <left/>
      <right/>
      <top/>
      <bottom style="thin">
        <color theme="0" tint="-0.499984740745262"/>
      </bottom>
      <diagonal/>
    </border>
    <border>
      <left style="thin">
        <color theme="0" tint="-0.14990691854609822"/>
      </left>
      <right style="thin">
        <color theme="0" tint="-0.14993743705557422"/>
      </right>
      <top/>
      <bottom style="thin">
        <color theme="0" tint="-0.499984740745262"/>
      </bottom>
      <diagonal/>
    </border>
    <border>
      <left style="thin">
        <color theme="0" tint="-0.14993743705557422"/>
      </left>
      <right/>
      <top/>
      <bottom style="thin">
        <color theme="0" tint="-0.499984740745262"/>
      </bottom>
      <diagonal/>
    </border>
    <border>
      <left/>
      <right style="thin">
        <color theme="0" tint="-0.14993743705557422"/>
      </right>
      <top/>
      <bottom style="thin">
        <color theme="0" tint="-0.499984740745262"/>
      </bottom>
      <diagonal/>
    </border>
    <border>
      <left/>
      <right style="thin">
        <color theme="0" tint="-0.14990691854609822"/>
      </right>
      <top/>
      <bottom style="thin">
        <color theme="0" tint="-0.499984740745262"/>
      </bottom>
      <diagonal/>
    </border>
    <border>
      <left style="thin">
        <color theme="0" tint="-0.14990691854609822"/>
      </left>
      <right/>
      <top/>
      <bottom style="thin">
        <color theme="0" tint="-0.499984740745262"/>
      </bottom>
      <diagonal/>
    </border>
    <border>
      <left style="thin">
        <color theme="0" tint="-0.14993743705557422"/>
      </left>
      <right style="thin">
        <color theme="0" tint="-0.14993743705557422"/>
      </right>
      <top/>
      <bottom style="thin">
        <color theme="0" tint="-0.499984740745262"/>
      </bottom>
      <diagonal/>
    </border>
    <border>
      <left/>
      <right style="thin">
        <color theme="0" tint="-0.14990691854609822"/>
      </right>
      <top style="thick">
        <color theme="0" tint="-0.499984740745262"/>
      </top>
      <bottom style="thin">
        <color theme="0" tint="-0.499984740745262"/>
      </bottom>
      <diagonal/>
    </border>
    <border>
      <left style="thin">
        <color theme="0" tint="-0.14990691854609822"/>
      </left>
      <right/>
      <top style="thick">
        <color theme="0" tint="-0.499984740745262"/>
      </top>
      <bottom style="thin">
        <color theme="0" tint="-0.499984740745262"/>
      </bottom>
      <diagonal/>
    </border>
    <border>
      <left style="thin">
        <color theme="0" tint="-0.14993743705557422"/>
      </left>
      <right/>
      <top style="thin">
        <color theme="0" tint="-0.499984740745262"/>
      </top>
      <bottom style="thick">
        <color theme="0" tint="-0.499984740745262"/>
      </bottom>
      <diagonal/>
    </border>
    <border>
      <left/>
      <right style="thin">
        <color theme="0" tint="-0.14993743705557422"/>
      </right>
      <top style="thin">
        <color theme="0" tint="-0.499984740745262"/>
      </top>
      <bottom style="thick">
        <color theme="0" tint="-0.499984740745262"/>
      </bottom>
      <diagonal/>
    </border>
    <border>
      <left/>
      <right style="thin">
        <color theme="0" tint="-0.14990691854609822"/>
      </right>
      <top style="thin">
        <color theme="0" tint="-0.499984740745262"/>
      </top>
      <bottom style="thick">
        <color theme="0" tint="-0.499984740745262"/>
      </bottom>
      <diagonal/>
    </border>
    <border>
      <left style="thin">
        <color theme="0" tint="-0.14990691854609822"/>
      </left>
      <right/>
      <top style="thin">
        <color theme="0" tint="-0.499984740745262"/>
      </top>
      <bottom style="thick">
        <color theme="0" tint="-0.499984740745262"/>
      </bottom>
      <diagonal/>
    </border>
    <border>
      <left style="thin">
        <color theme="0" tint="-0.14993743705557422"/>
      </left>
      <right style="thin">
        <color theme="0" tint="-0.14993743705557422"/>
      </right>
      <top style="thin">
        <color theme="0" tint="-0.499984740745262"/>
      </top>
      <bottom style="thick">
        <color theme="0" tint="-0.499984740745262"/>
      </bottom>
      <diagonal/>
    </border>
    <border>
      <left style="thin">
        <color theme="0" tint="-0.14990691854609822"/>
      </left>
      <right style="thin">
        <color theme="0" tint="-0.14993743705557422"/>
      </right>
      <top style="thick">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ck">
        <color theme="0" tint="-0.499984740745262"/>
      </bottom>
      <diagonal/>
    </border>
    <border>
      <left style="thin">
        <color theme="0" tint="-0.14993743705557422"/>
      </left>
      <right style="thin">
        <color theme="0" tint="-0.14990691854609822"/>
      </right>
      <top style="thick">
        <color theme="0" tint="-0.499984740745262"/>
      </top>
      <bottom style="thin">
        <color theme="0" tint="-0.499984740745262"/>
      </bottom>
      <diagonal/>
    </border>
    <border>
      <left style="thin">
        <color theme="0" tint="-0.14990691854609822"/>
      </left>
      <right style="thin">
        <color theme="0" tint="-0.14990691854609822"/>
      </right>
      <top style="thick">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style="thin">
        <color theme="0" tint="-0.499984740745262"/>
      </bottom>
      <diagonal/>
    </border>
    <border>
      <left style="thin">
        <color theme="0" tint="-0.14990691854609822"/>
      </left>
      <right style="thin">
        <color theme="0" tint="-0.14990691854609822"/>
      </right>
      <top style="thin">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diagonal/>
    </border>
    <border>
      <left style="thin">
        <color theme="0" tint="-0.14990691854609822"/>
      </left>
      <right style="thin">
        <color theme="0" tint="-0.14990691854609822"/>
      </right>
      <top style="thin">
        <color theme="0" tint="-0.499984740745262"/>
      </top>
      <bottom/>
      <diagonal/>
    </border>
    <border>
      <left style="thin">
        <color theme="0" tint="-0.14996795556505021"/>
      </left>
      <right/>
      <top style="thick">
        <color theme="0" tint="-0.499984740745262"/>
      </top>
      <bottom style="thin">
        <color theme="0" tint="-0.499984740745262"/>
      </bottom>
      <diagonal/>
    </border>
    <border>
      <left style="thin">
        <color theme="0" tint="-0.14996795556505021"/>
      </left>
      <right/>
      <top style="thin">
        <color theme="0" tint="-0.499984740745262"/>
      </top>
      <bottom style="thin">
        <color theme="0" tint="-0.499984740745262"/>
      </bottom>
      <diagonal/>
    </border>
    <border>
      <left style="thin">
        <color theme="0" tint="-0.14996795556505021"/>
      </left>
      <right/>
      <top style="thin">
        <color theme="0" tint="-0.499984740745262"/>
      </top>
      <bottom/>
      <diagonal/>
    </border>
    <border>
      <left/>
      <right/>
      <top style="hair">
        <color theme="0" tint="-0.14993743705557422"/>
      </top>
      <bottom style="thick">
        <color theme="0" tint="-0.499984740745262"/>
      </bottom>
      <diagonal/>
    </border>
    <border>
      <left style="thin">
        <color theme="0" tint="-0.14996795556505021"/>
      </left>
      <right style="thick">
        <color theme="0" tint="-0.14993743705557422"/>
      </right>
      <top style="hair">
        <color theme="0" tint="-0.14993743705557422"/>
      </top>
      <bottom style="thick">
        <color theme="0" tint="-0.499984740745262"/>
      </bottom>
      <diagonal/>
    </border>
    <border>
      <left style="thick">
        <color theme="0" tint="-0.14993743705557422"/>
      </left>
      <right/>
      <top style="hair">
        <color theme="0" tint="-0.14993743705557422"/>
      </top>
      <bottom style="thick">
        <color theme="0" tint="-0.499984740745262"/>
      </bottom>
      <diagonal/>
    </border>
    <border>
      <left style="thin">
        <color theme="0" tint="-0.14996795556505021"/>
      </left>
      <right/>
      <top style="hair">
        <color theme="0" tint="-0.14993743705557422"/>
      </top>
      <bottom style="thick">
        <color theme="0" tint="-0.499984740745262"/>
      </bottom>
      <diagonal/>
    </border>
    <border>
      <left/>
      <right/>
      <top style="dashDotDot">
        <color theme="0" tint="-0.14993743705557422"/>
      </top>
      <bottom style="dotted">
        <color theme="0" tint="-0.14993743705557422"/>
      </bottom>
      <diagonal/>
    </border>
    <border>
      <left style="thin">
        <color theme="0" tint="-0.14996795556505021"/>
      </left>
      <right style="thick">
        <color theme="0" tint="-0.14993743705557422"/>
      </right>
      <top style="dashDotDot">
        <color theme="0" tint="-0.14993743705557422"/>
      </top>
      <bottom style="dotted">
        <color theme="0" tint="-0.14993743705557422"/>
      </bottom>
      <diagonal/>
    </border>
    <border>
      <left style="thick">
        <color theme="0" tint="-0.14993743705557422"/>
      </left>
      <right/>
      <top style="dashDotDot">
        <color theme="0" tint="-0.14993743705557422"/>
      </top>
      <bottom style="dotted">
        <color theme="0" tint="-0.14993743705557422"/>
      </bottom>
      <diagonal/>
    </border>
    <border>
      <left style="thin">
        <color theme="0" tint="-0.14996795556505021"/>
      </left>
      <right/>
      <top style="dashDotDot">
        <color theme="0" tint="-0.14993743705557422"/>
      </top>
      <bottom style="dotted">
        <color theme="0" tint="-0.14993743705557422"/>
      </bottom>
      <diagonal/>
    </border>
    <border>
      <left/>
      <right/>
      <top style="dotted">
        <color theme="0" tint="-0.14993743705557422"/>
      </top>
      <bottom style="dashed">
        <color theme="0" tint="-0.14990691854609822"/>
      </bottom>
      <diagonal/>
    </border>
    <border>
      <left style="thin">
        <color theme="0" tint="-0.14996795556505021"/>
      </left>
      <right style="thick">
        <color theme="0" tint="-0.14993743705557422"/>
      </right>
      <top/>
      <bottom style="hair">
        <color theme="0" tint="-0.14993743705557422"/>
      </bottom>
      <diagonal/>
    </border>
    <border>
      <left style="thin">
        <color theme="0" tint="-0.14996795556505021"/>
      </left>
      <right/>
      <top/>
      <bottom style="hair">
        <color theme="0" tint="-0.14993743705557422"/>
      </bottom>
      <diagonal/>
    </border>
    <border>
      <left style="thin">
        <color theme="0" tint="-0.14996795556505021"/>
      </left>
      <right style="thick">
        <color theme="0" tint="-0.14993743705557422"/>
      </right>
      <top style="dotted">
        <color theme="0" tint="-0.14993743705557422"/>
      </top>
      <bottom style="dashed">
        <color theme="0" tint="-0.14990691854609822"/>
      </bottom>
      <diagonal/>
    </border>
    <border>
      <left style="thick">
        <color theme="0" tint="-0.14993743705557422"/>
      </left>
      <right/>
      <top style="dotted">
        <color theme="0" tint="-0.14993743705557422"/>
      </top>
      <bottom style="dashed">
        <color theme="0" tint="-0.14990691854609822"/>
      </bottom>
      <diagonal/>
    </border>
    <border>
      <left style="thin">
        <color theme="0" tint="-0.14996795556505021"/>
      </left>
      <right/>
      <top style="dotted">
        <color theme="0" tint="-0.14993743705557422"/>
      </top>
      <bottom style="dashed">
        <color theme="0" tint="-0.14990691854609822"/>
      </bottom>
      <diagonal/>
    </border>
    <border>
      <left/>
      <right/>
      <top style="dashDot">
        <color theme="0" tint="-0.14993743705557422"/>
      </top>
      <bottom style="dashDotDot">
        <color theme="0" tint="-0.14993743705557422"/>
      </bottom>
      <diagonal/>
    </border>
    <border>
      <left style="thin">
        <color theme="0" tint="-0.14996795556505021"/>
      </left>
      <right style="thick">
        <color theme="0" tint="-0.14993743705557422"/>
      </right>
      <top style="dashDot">
        <color theme="0" tint="-0.14993743705557422"/>
      </top>
      <bottom style="dashDotDot">
        <color theme="0" tint="-0.14993743705557422"/>
      </bottom>
      <diagonal/>
    </border>
    <border>
      <left style="thick">
        <color theme="0" tint="-0.14993743705557422"/>
      </left>
      <right/>
      <top style="dashDot">
        <color theme="0" tint="-0.14993743705557422"/>
      </top>
      <bottom style="dashDotDot">
        <color theme="0" tint="-0.14993743705557422"/>
      </bottom>
      <diagonal/>
    </border>
    <border>
      <left style="thin">
        <color theme="0" tint="-0.14996795556505021"/>
      </left>
      <right/>
      <top style="dashDot">
        <color theme="0" tint="-0.14993743705557422"/>
      </top>
      <bottom style="dashDotDot">
        <color theme="0" tint="-0.14993743705557422"/>
      </bottom>
      <diagonal/>
    </border>
    <border>
      <left style="thin">
        <color theme="0" tint="-0.14993743705557422"/>
      </left>
      <right style="thin">
        <color theme="0" tint="-0.14990691854609822"/>
      </right>
      <top/>
      <bottom style="thin">
        <color theme="0" tint="-0.499984740745262"/>
      </bottom>
      <diagonal/>
    </border>
    <border>
      <left style="thin">
        <color theme="0" tint="-0.14990691854609822"/>
      </left>
      <right style="thin">
        <color theme="0" tint="-0.14990691854609822"/>
      </right>
      <top/>
      <bottom style="thin">
        <color theme="0" tint="-0.499984740745262"/>
      </bottom>
      <diagonal/>
    </border>
    <border>
      <left/>
      <right style="thin">
        <color theme="0" tint="-0.14996795556505021"/>
      </right>
      <top style="thick">
        <color theme="0" tint="-0.499984740745262"/>
      </top>
      <bottom style="thin">
        <color theme="0" tint="-0.499984740745262"/>
      </bottom>
      <diagonal/>
    </border>
    <border>
      <left/>
      <right style="thin">
        <color theme="0" tint="-0.14996795556505021"/>
      </right>
      <top style="thin">
        <color theme="0" tint="-0.499984740745262"/>
      </top>
      <bottom style="thin">
        <color theme="0" tint="-0.499984740745262"/>
      </bottom>
      <diagonal/>
    </border>
    <border>
      <left/>
      <right style="thin">
        <color theme="0" tint="-0.14996795556505021"/>
      </right>
      <top style="thin">
        <color theme="0" tint="-0.499984740745262"/>
      </top>
      <bottom/>
      <diagonal/>
    </border>
    <border>
      <left/>
      <right style="thin">
        <color theme="0" tint="-0.14996795556505021"/>
      </right>
      <top/>
      <bottom style="thin">
        <color theme="0" tint="-0.499984740745262"/>
      </bottom>
      <diagonal/>
    </border>
    <border>
      <left style="thin">
        <color theme="0" tint="-0.14993743705557422"/>
      </left>
      <right/>
      <top style="thick">
        <color theme="0" tint="-0.499984740745262"/>
      </top>
      <bottom/>
      <diagonal/>
    </border>
    <border>
      <left/>
      <right style="thin">
        <color theme="0" tint="-0.14993743705557422"/>
      </right>
      <top style="thick">
        <color theme="0" tint="-0.499984740745262"/>
      </top>
      <bottom/>
      <diagonal/>
    </border>
    <border>
      <left/>
      <right/>
      <top style="medium">
        <color theme="0" tint="-0.499984740745262"/>
      </top>
      <bottom style="thin">
        <color theme="0" tint="-0.499984740745262"/>
      </bottom>
      <diagonal/>
    </border>
    <border>
      <left/>
      <right/>
      <top style="thin">
        <color theme="0" tint="-0.499984740745262"/>
      </top>
      <bottom style="medium">
        <color theme="0" tint="-0.499984740745262"/>
      </bottom>
      <diagonal/>
    </border>
    <border>
      <left style="thin">
        <color theme="0" tint="-0.14993743705557422"/>
      </left>
      <right/>
      <top/>
      <bottom/>
      <diagonal/>
    </border>
    <border>
      <left/>
      <right style="thin">
        <color theme="0" tint="-0.14996795556505021"/>
      </right>
      <top style="medium">
        <color theme="0" tint="-0.499984740745262"/>
      </top>
      <bottom style="thin">
        <color theme="0" tint="-0.499984740745262"/>
      </bottom>
      <diagonal/>
    </border>
    <border>
      <left style="thin">
        <color theme="0" tint="-0.14993743705557422"/>
      </left>
      <right/>
      <top style="medium">
        <color theme="0" tint="-0.499984740745262"/>
      </top>
      <bottom/>
      <diagonal/>
    </border>
    <border>
      <left/>
      <right/>
      <top style="medium">
        <color theme="0" tint="-0.499984740745262"/>
      </top>
      <bottom/>
      <diagonal/>
    </border>
    <border>
      <left/>
      <right style="thin">
        <color theme="0" tint="-0.14993743705557422"/>
      </right>
      <top style="medium">
        <color theme="0" tint="-0.499984740745262"/>
      </top>
      <bottom/>
      <diagonal/>
    </border>
    <border>
      <left/>
      <right style="thin">
        <color theme="0" tint="-0.14996795556505021"/>
      </right>
      <top style="thin">
        <color theme="0" tint="-0.499984740745262"/>
      </top>
      <bottom style="medium">
        <color theme="0" tint="-0.499984740745262"/>
      </bottom>
      <diagonal/>
    </border>
    <border>
      <left style="thin">
        <color theme="0" tint="-0.14993743705557422"/>
      </left>
      <right/>
      <top style="thin">
        <color theme="0" tint="-0.499984740745262"/>
      </top>
      <bottom style="medium">
        <color theme="0" tint="-0.499984740745262"/>
      </bottom>
      <diagonal/>
    </border>
    <border>
      <left/>
      <right style="thin">
        <color theme="0" tint="-0.14993743705557422"/>
      </right>
      <top style="thin">
        <color theme="0" tint="-0.499984740745262"/>
      </top>
      <bottom style="medium">
        <color theme="0" tint="-0.499984740745262"/>
      </bottom>
      <diagonal/>
    </border>
    <border>
      <left style="thin">
        <color theme="0" tint="-0.14990691854609822"/>
      </left>
      <right style="thin">
        <color theme="0" tint="-0.14993743705557422"/>
      </right>
      <top style="medium">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medium">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ck">
        <color theme="0" tint="-0.499984740745262"/>
      </left>
      <right/>
      <top/>
      <bottom/>
      <diagonal/>
    </border>
    <border>
      <left style="thick">
        <color theme="0" tint="-0.499984740745262"/>
      </left>
      <right/>
      <top/>
      <bottom style="thin">
        <color theme="0" tint="-0.499984740745262"/>
      </bottom>
      <diagonal/>
    </border>
    <border>
      <left/>
      <right style="thin">
        <color theme="0" tint="-0.499984740745262"/>
      </right>
      <top style="thin">
        <color theme="0" tint="-0.499984740745262"/>
      </top>
      <bottom/>
      <diagonal/>
    </border>
    <border>
      <left style="medium">
        <color theme="0" tint="-0.499984740745262"/>
      </left>
      <right/>
      <top/>
      <bottom/>
      <diagonal/>
    </border>
    <border>
      <left style="medium">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0" tint="-0.499984740745262"/>
      </right>
      <top/>
      <bottom/>
      <diagonal/>
    </border>
    <border>
      <left/>
      <right style="medium">
        <color theme="0" tint="-0.499984740745262"/>
      </right>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right style="medium">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medium">
        <color theme="0" tint="-0.499984740745262"/>
      </left>
      <right/>
      <top style="thin">
        <color theme="0" tint="-0.499984740745262"/>
      </top>
      <bottom style="hair">
        <color theme="0" tint="-0.499984740745262"/>
      </bottom>
      <diagonal/>
    </border>
    <border>
      <left/>
      <right style="medium">
        <color theme="0" tint="-0.499984740745262"/>
      </right>
      <top style="hair">
        <color theme="0" tint="-0.499984740745262"/>
      </top>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499984740745262"/>
      </top>
      <bottom style="thin">
        <color theme="0" tint="-0.14996795556505021"/>
      </bottom>
      <diagonal/>
    </border>
    <border>
      <left/>
      <right/>
      <top/>
      <bottom style="thin">
        <color theme="0" tint="-0.14993743705557422"/>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style="hair">
        <color auto="1"/>
      </top>
      <bottom/>
      <diagonal/>
    </border>
    <border>
      <left/>
      <right/>
      <top style="hair">
        <color auto="1"/>
      </top>
      <bottom/>
      <diagonal/>
    </border>
    <border>
      <left/>
      <right style="double">
        <color auto="1"/>
      </right>
      <top style="hair">
        <color auto="1"/>
      </top>
      <bottom/>
      <diagonal/>
    </border>
    <border>
      <left style="double">
        <color auto="1"/>
      </left>
      <right/>
      <top/>
      <bottom style="hair">
        <color auto="1"/>
      </bottom>
      <diagonal/>
    </border>
    <border>
      <left/>
      <right/>
      <top/>
      <bottom style="hair">
        <color auto="1"/>
      </bottom>
      <diagonal/>
    </border>
    <border>
      <left/>
      <right style="double">
        <color auto="1"/>
      </right>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right/>
      <top style="thin">
        <color auto="1"/>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hair">
        <color auto="1"/>
      </left>
      <right/>
      <top style="thin">
        <color auto="1"/>
      </top>
      <bottom style="medium">
        <color auto="1"/>
      </bottom>
      <diagonal/>
    </border>
    <border>
      <left style="hair">
        <color auto="1"/>
      </left>
      <right/>
      <top style="hair">
        <color auto="1"/>
      </top>
      <bottom style="hair">
        <color auto="1"/>
      </bottom>
      <diagonal/>
    </border>
    <border>
      <left style="hair">
        <color auto="1"/>
      </left>
      <right/>
      <top style="thin">
        <color auto="1"/>
      </top>
      <bottom style="thin">
        <color auto="1"/>
      </bottom>
      <diagonal/>
    </border>
    <border>
      <left style="hair">
        <color auto="1"/>
      </left>
      <right/>
      <top style="thin">
        <color auto="1"/>
      </top>
      <bottom style="hair">
        <color auto="1"/>
      </bottom>
      <diagonal/>
    </border>
    <border>
      <left/>
      <right style="medium">
        <color auto="1"/>
      </right>
      <top style="thin">
        <color auto="1"/>
      </top>
      <bottom style="hair">
        <color auto="1"/>
      </bottom>
      <diagonal/>
    </border>
    <border>
      <left style="hair">
        <color auto="1"/>
      </left>
      <right/>
      <top style="hair">
        <color auto="1"/>
      </top>
      <bottom style="thin">
        <color auto="1"/>
      </bottom>
      <diagonal/>
    </border>
    <border>
      <left/>
      <right style="medium">
        <color auto="1"/>
      </right>
      <top style="hair">
        <color auto="1"/>
      </top>
      <bottom style="thin">
        <color auto="1"/>
      </bottom>
      <diagonal/>
    </border>
    <border>
      <left/>
      <right style="medium">
        <color auto="1"/>
      </right>
      <top style="thin">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top/>
      <bottom style="hair">
        <color auto="1"/>
      </bottom>
      <diagonal/>
    </border>
    <border>
      <left/>
      <right style="medium">
        <color auto="1"/>
      </right>
      <top/>
      <bottom style="hair">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style="hair">
        <color auto="1"/>
      </left>
      <right/>
      <top style="hair">
        <color auto="1"/>
      </top>
      <bottom style="medium">
        <color auto="1"/>
      </bottom>
      <diagonal/>
    </border>
    <border>
      <left style="medium">
        <color auto="1"/>
      </left>
      <right/>
      <top style="hair">
        <color auto="1"/>
      </top>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right style="medium">
        <color auto="1"/>
      </right>
      <top style="hair">
        <color auto="1"/>
      </top>
      <bottom/>
      <diagonal/>
    </border>
    <border>
      <left style="medium">
        <color auto="1"/>
      </left>
      <right/>
      <top style="hair">
        <color auto="1"/>
      </top>
      <bottom style="thin">
        <color auto="1"/>
      </bottom>
      <diagonal/>
    </border>
    <border>
      <left/>
      <right/>
      <top style="hair">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499984740745262"/>
      </right>
      <top style="thin">
        <color theme="0" tint="-0.14996795556505021"/>
      </top>
      <bottom/>
      <diagonal/>
    </border>
    <border>
      <left style="thin">
        <color theme="0" tint="-0.499984740745262"/>
      </left>
      <right style="thin">
        <color theme="0" tint="-0.499984740745262"/>
      </right>
      <top style="thin">
        <color theme="0" tint="-0.14996795556505021"/>
      </top>
      <bottom style="thin">
        <color theme="0" tint="-0.14993743705557422"/>
      </bottom>
      <diagonal/>
    </border>
    <border>
      <left/>
      <right/>
      <top style="thin">
        <color theme="0" tint="-0.14993743705557422"/>
      </top>
      <bottom style="thin">
        <color theme="0" tint="-0.14996795556505021"/>
      </bottom>
      <diagonal/>
    </border>
    <border>
      <left style="thin">
        <color theme="0" tint="-0.499984740745262"/>
      </left>
      <right style="thin">
        <color theme="0" tint="-0.499984740745262"/>
      </right>
      <top style="thin">
        <color theme="0" tint="-0.14993743705557422"/>
      </top>
      <bottom style="thin">
        <color theme="0" tint="-0.14996795556505021"/>
      </bottom>
      <diagonal/>
    </border>
    <border>
      <left style="thin">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hair">
        <color theme="0" tint="-0.499984740745262"/>
      </right>
      <top/>
      <bottom/>
      <diagonal/>
    </border>
    <border>
      <left style="hair">
        <color theme="0" tint="-0.499984740745262"/>
      </left>
      <right style="hair">
        <color theme="0" tint="-0.499984740745262"/>
      </right>
      <top style="thick">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ck">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medium">
        <color theme="0" tint="-0.499984740745262"/>
      </top>
      <bottom/>
      <diagonal/>
    </border>
    <border>
      <left style="hair">
        <color theme="0" tint="-0.499984740745262"/>
      </left>
      <right style="hair">
        <color theme="0" tint="-0.499984740745262"/>
      </right>
      <top style="thin">
        <color theme="0" tint="-0.499984740745262"/>
      </top>
      <bottom style="medium">
        <color theme="0" tint="-0.499984740745262"/>
      </bottom>
      <diagonal/>
    </border>
    <border>
      <left style="hair">
        <color theme="0" tint="-0.499984740745262"/>
      </left>
      <right style="hair">
        <color theme="0" tint="-0.499984740745262"/>
      </right>
      <top style="medium">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ck">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diagonal/>
    </border>
    <border>
      <left style="hair">
        <color theme="0" tint="-0.499984740745262"/>
      </left>
      <right/>
      <top/>
      <bottom/>
      <diagonal/>
    </border>
    <border>
      <left style="hair">
        <color theme="0" tint="-0.499984740745262"/>
      </left>
      <right/>
      <top style="thick">
        <color theme="0" tint="-0.499984740745262"/>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style="thin">
        <color theme="0" tint="-0.499984740745262"/>
      </top>
      <bottom/>
      <diagonal/>
    </border>
    <border>
      <left style="hair">
        <color theme="0" tint="-0.499984740745262"/>
      </left>
      <right/>
      <top style="medium">
        <color theme="0" tint="-0.499984740745262"/>
      </top>
      <bottom style="thin">
        <color theme="0" tint="-0.499984740745262"/>
      </bottom>
      <diagonal/>
    </border>
    <border>
      <left style="hair">
        <color theme="0" tint="-0.499984740745262"/>
      </left>
      <right/>
      <top style="thin">
        <color theme="0" tint="-0.499984740745262"/>
      </top>
      <bottom style="medium">
        <color theme="0" tint="-0.499984740745262"/>
      </bottom>
      <diagonal/>
    </border>
    <border>
      <left style="hair">
        <color theme="0" tint="-0.499984740745262"/>
      </left>
      <right/>
      <top/>
      <bottom style="thin">
        <color theme="0" tint="-0.499984740745262"/>
      </bottom>
      <diagonal/>
    </border>
    <border>
      <left style="hair">
        <color theme="0" tint="-0.499984740745262"/>
      </left>
      <right/>
      <top style="thin">
        <color theme="0" tint="-0.499984740745262"/>
      </top>
      <bottom style="thick">
        <color theme="0" tint="-0.499984740745262"/>
      </bottom>
      <diagonal/>
    </border>
    <border>
      <left/>
      <right style="thin">
        <color auto="1"/>
      </right>
      <top/>
      <bottom/>
      <diagonal/>
    </border>
    <border>
      <left/>
      <right/>
      <top style="thin">
        <color auto="1"/>
      </top>
      <bottom style="dotted">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hair">
        <color auto="1"/>
      </left>
      <right style="hair">
        <color auto="1"/>
      </right>
      <top style="thin">
        <color auto="1"/>
      </top>
      <bottom/>
      <diagonal/>
    </border>
    <border>
      <left style="hair">
        <color auto="1"/>
      </left>
      <right style="hair">
        <color auto="1"/>
      </right>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diagonal/>
    </border>
    <border>
      <left style="medium">
        <color auto="1"/>
      </left>
      <right/>
      <top style="thin">
        <color auto="1"/>
      </top>
      <bottom style="medium">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hair">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medium">
        <color auto="1"/>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thin">
        <color auto="1"/>
      </right>
      <top style="medium">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medium">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right style="thin">
        <color auto="1"/>
      </right>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medium">
        <color auto="1"/>
      </right>
      <top style="thin">
        <color auto="1"/>
      </top>
      <bottom style="hair">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medium">
        <color auto="1"/>
      </bottom>
      <diagonal/>
    </border>
    <border>
      <left style="thin">
        <color auto="1"/>
      </left>
      <right/>
      <top style="hair">
        <color auto="1"/>
      </top>
      <bottom style="thin">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style="thin">
        <color auto="1"/>
      </top>
      <bottom style="medium">
        <color auto="1"/>
      </bottom>
      <diagonal/>
    </border>
    <border>
      <left style="double">
        <color auto="1"/>
      </left>
      <right style="thin">
        <color auto="1"/>
      </right>
      <top style="medium">
        <color auto="1"/>
      </top>
      <bottom style="hair">
        <color auto="1"/>
      </bottom>
      <diagonal/>
    </border>
    <border>
      <left style="double">
        <color auto="1"/>
      </left>
      <right style="thin">
        <color auto="1"/>
      </right>
      <top style="hair">
        <color auto="1"/>
      </top>
      <bottom style="hair">
        <color auto="1"/>
      </bottom>
      <diagonal/>
    </border>
    <border>
      <left style="double">
        <color auto="1"/>
      </left>
      <right style="thin">
        <color auto="1"/>
      </right>
      <top style="hair">
        <color auto="1"/>
      </top>
      <bottom/>
      <diagonal/>
    </border>
    <border>
      <left style="double">
        <color auto="1"/>
      </left>
      <right style="thin">
        <color auto="1"/>
      </right>
      <top style="thin">
        <color auto="1"/>
      </top>
      <bottom style="hair">
        <color auto="1"/>
      </bottom>
      <diagonal/>
    </border>
    <border>
      <left style="double">
        <color auto="1"/>
      </left>
      <right style="thin">
        <color auto="1"/>
      </right>
      <top style="hair">
        <color auto="1"/>
      </top>
      <bottom style="thin">
        <color auto="1"/>
      </bottom>
      <diagonal/>
    </border>
    <border>
      <left style="double">
        <color auto="1"/>
      </left>
      <right style="thin">
        <color auto="1"/>
      </right>
      <top/>
      <bottom style="hair">
        <color auto="1"/>
      </bottom>
      <diagonal/>
    </border>
    <border>
      <left style="double">
        <color auto="1"/>
      </left>
      <right style="thin">
        <color auto="1"/>
      </right>
      <top style="thin">
        <color auto="1"/>
      </top>
      <bottom style="medium">
        <color auto="1"/>
      </bottom>
      <diagonal/>
    </border>
    <border>
      <left style="double">
        <color auto="1"/>
      </left>
      <right style="thin">
        <color auto="1"/>
      </right>
      <top style="hair">
        <color auto="1"/>
      </top>
      <bottom style="medium">
        <color auto="1"/>
      </bottom>
      <diagonal/>
    </border>
    <border>
      <left/>
      <right style="thin">
        <color auto="1"/>
      </right>
      <top style="medium">
        <color auto="1"/>
      </top>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right style="hair">
        <color auto="1"/>
      </right>
      <top style="thin">
        <color auto="1"/>
      </top>
      <bottom style="hair">
        <color auto="1"/>
      </bottom>
      <diagonal/>
    </border>
    <border>
      <left style="thin">
        <color auto="1"/>
      </left>
      <right style="medium">
        <color auto="1"/>
      </right>
      <top/>
      <bottom style="thin">
        <color auto="1"/>
      </bottom>
      <diagonal/>
    </border>
    <border>
      <left style="thin">
        <color theme="0" tint="-0.499984740745262"/>
      </left>
      <right/>
      <top style="dotted">
        <color theme="0" tint="-0.499984740745262"/>
      </top>
      <bottom/>
      <diagonal/>
    </border>
    <border>
      <left/>
      <right/>
      <top style="dotted">
        <color theme="0" tint="-0.499984740745262"/>
      </top>
      <bottom/>
      <diagonal/>
    </border>
    <border>
      <left/>
      <right style="thin">
        <color theme="0" tint="-0.499984740745262"/>
      </right>
      <top style="dotted">
        <color theme="0" tint="-0.499984740745262"/>
      </top>
      <bottom/>
      <diagonal/>
    </border>
    <border>
      <left style="thick">
        <color theme="0" tint="-0.499984740745262"/>
      </left>
      <right/>
      <top style="dotted">
        <color theme="0" tint="-0.499984740745262"/>
      </top>
      <bottom/>
      <diagonal/>
    </border>
    <border>
      <left/>
      <right/>
      <top/>
      <bottom style="dotted">
        <color theme="0" tint="-0.499984740745262"/>
      </bottom>
      <diagonal/>
    </border>
    <border>
      <left style="thin">
        <color theme="0" tint="-0.499984740745262"/>
      </left>
      <right/>
      <top/>
      <bottom style="dotted">
        <color theme="0" tint="-0.499984740745262"/>
      </bottom>
      <diagonal/>
    </border>
    <border>
      <left/>
      <right style="hair">
        <color auto="1"/>
      </right>
      <top style="medium">
        <color auto="1"/>
      </top>
      <bottom/>
      <diagonal/>
    </border>
    <border>
      <left style="hair">
        <color auto="1"/>
      </left>
      <right/>
      <top/>
      <bottom style="thin">
        <color auto="1"/>
      </bottom>
      <diagonal/>
    </border>
    <border>
      <left/>
      <right style="hair">
        <color auto="1"/>
      </right>
      <top/>
      <bottom style="thin">
        <color auto="1"/>
      </bottom>
      <diagonal/>
    </border>
    <border>
      <left/>
      <right style="hair">
        <color auto="1"/>
      </right>
      <top style="thin">
        <color auto="1"/>
      </top>
      <bottom style="thin">
        <color auto="1"/>
      </bottom>
      <diagonal/>
    </border>
    <border>
      <left/>
      <right style="hair">
        <color auto="1"/>
      </right>
      <top style="thin">
        <color auto="1"/>
      </top>
      <bottom style="medium">
        <color auto="1"/>
      </bottom>
      <diagonal/>
    </border>
    <border>
      <left style="medium">
        <color theme="0" tint="-0.499984740745262"/>
      </left>
      <right/>
      <top/>
      <bottom style="dotted">
        <color theme="0" tint="-0.499984740745262"/>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diagonal/>
    </border>
    <border>
      <left/>
      <right style="thin">
        <color auto="1"/>
      </right>
      <top/>
      <bottom style="medium">
        <color auto="1"/>
      </bottom>
      <diagonal/>
    </border>
    <border>
      <left style="thin">
        <color auto="1"/>
      </left>
      <right style="hair">
        <color auto="1"/>
      </right>
      <top/>
      <bottom style="thin">
        <color auto="1"/>
      </bottom>
      <diagonal/>
    </border>
    <border>
      <left style="thin">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medium">
        <color auto="1"/>
      </bottom>
      <diagonal/>
    </border>
    <border>
      <left style="medium">
        <color theme="0" tint="-0.499984740745262"/>
      </left>
      <right/>
      <top style="dotted">
        <color theme="0" tint="-0.499984740745262"/>
      </top>
      <bottom/>
      <diagonal/>
    </border>
    <border>
      <left/>
      <right style="medium">
        <color theme="0" tint="-0.499984740745262"/>
      </right>
      <top style="dotted">
        <color theme="0" tint="-0.499984740745262"/>
      </top>
      <bottom/>
      <diagonal/>
    </border>
    <border>
      <left/>
      <right style="medium">
        <color theme="0" tint="-0.499984740745262"/>
      </right>
      <top/>
      <bottom style="dotted">
        <color theme="0" tint="-0.499984740745262"/>
      </bottom>
      <diagonal/>
    </border>
    <border>
      <left/>
      <right/>
      <top style="hair">
        <color theme="0" tint="-0.499984740745262"/>
      </top>
      <bottom/>
      <diagonal/>
    </border>
    <border>
      <left style="medium">
        <color theme="0" tint="-0.499984740745262"/>
      </left>
      <right/>
      <top style="hair">
        <color theme="0" tint="-0.499984740745262"/>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right/>
      <top style="dotted">
        <color theme="0" tint="-0.499984740745262"/>
      </top>
      <bottom style="thin">
        <color theme="0" tint="-0.499984740745262"/>
      </bottom>
      <diagonal/>
    </border>
    <border>
      <left style="thin">
        <color theme="0" tint="-0.499984740745262"/>
      </left>
      <right/>
      <top style="dotted">
        <color theme="0" tint="-0.499984740745262"/>
      </top>
      <bottom style="thin">
        <color theme="0" tint="-0.499984740745262"/>
      </bottom>
      <diagonal/>
    </border>
    <border>
      <left/>
      <right style="thin">
        <color theme="0" tint="-0.499984740745262"/>
      </right>
      <top style="dotted">
        <color theme="0" tint="-0.499984740745262"/>
      </top>
      <bottom style="thin">
        <color theme="0" tint="-0.499984740745262"/>
      </bottom>
      <diagonal/>
    </border>
    <border>
      <left style="thin">
        <color theme="0" tint="-0.24994659260841701"/>
      </left>
      <right style="thin">
        <color theme="0" tint="-0.24994659260841701"/>
      </right>
      <top style="dotted">
        <color theme="0" tint="-0.499984740745262"/>
      </top>
      <bottom style="thin">
        <color theme="0" tint="-0.499984740745262"/>
      </bottom>
      <diagonal/>
    </border>
    <border>
      <left style="hair">
        <color auto="1"/>
      </left>
      <right style="medium">
        <color auto="1"/>
      </right>
      <top/>
      <bottom style="thin">
        <color auto="1"/>
      </bottom>
      <diagonal/>
    </border>
    <border>
      <left style="thin">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thin">
        <color auto="1"/>
      </left>
      <right style="hair">
        <color auto="1"/>
      </right>
      <top style="hair">
        <color auto="1"/>
      </top>
      <bottom/>
      <diagonal/>
    </border>
    <border>
      <left style="hair">
        <color auto="1"/>
      </left>
      <right style="medium">
        <color auto="1"/>
      </right>
      <top style="hair">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hair">
        <color auto="1"/>
      </left>
      <right style="medium">
        <color auto="1"/>
      </right>
      <top/>
      <bottom style="hair">
        <color auto="1"/>
      </bottom>
      <diagonal/>
    </border>
    <border>
      <left style="thin">
        <color auto="1"/>
      </left>
      <right style="hair">
        <color auto="1"/>
      </right>
      <top style="thin">
        <color auto="1"/>
      </top>
      <bottom style="medium">
        <color auto="1"/>
      </bottom>
      <diagonal/>
    </border>
    <border>
      <left style="hair">
        <color auto="1"/>
      </left>
      <right style="hair">
        <color auto="1"/>
      </right>
      <top style="thin">
        <color auto="1"/>
      </top>
      <bottom style="medium">
        <color auto="1"/>
      </bottom>
      <diagonal/>
    </border>
    <border>
      <left style="hair">
        <color auto="1"/>
      </left>
      <right style="medium">
        <color auto="1"/>
      </right>
      <top style="thin">
        <color auto="1"/>
      </top>
      <bottom style="medium">
        <color auto="1"/>
      </bottom>
      <diagonal/>
    </border>
    <border>
      <left style="hair">
        <color auto="1"/>
      </left>
      <right style="hair">
        <color auto="1"/>
      </right>
      <top/>
      <bottom/>
      <diagonal/>
    </border>
    <border>
      <left style="thin">
        <color theme="0" tint="-0.14996795556505021"/>
      </left>
      <right style="thin">
        <color theme="0" tint="-0.14996795556505021"/>
      </right>
      <top style="thick">
        <color theme="0" tint="-0.499984740745262"/>
      </top>
      <bottom style="thin">
        <color theme="0" tint="-0.499984740745262"/>
      </bottom>
      <diagonal/>
    </border>
    <border>
      <left style="thin">
        <color theme="0" tint="-0.14996795556505021"/>
      </left>
      <right style="thin">
        <color theme="0" tint="-0.14996795556505021"/>
      </right>
      <top/>
      <bottom style="thin">
        <color theme="0" tint="-0.499984740745262"/>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diagonal/>
    </border>
    <border>
      <left style="thin">
        <color theme="0" tint="-0.14996795556505021"/>
      </left>
      <right/>
      <top/>
      <bottom style="thin">
        <color theme="0" tint="-0.499984740745262"/>
      </bottom>
      <diagonal/>
    </border>
    <border>
      <left/>
      <right style="hair">
        <color theme="0" tint="-0.499984740745262"/>
      </right>
      <top style="thick">
        <color theme="0" tint="-0.499984740745262"/>
      </top>
      <bottom/>
      <diagonal/>
    </border>
    <border>
      <left/>
      <right style="hair">
        <color theme="0" tint="-0.499984740745262"/>
      </right>
      <top style="thin">
        <color theme="0" tint="-0.499984740745262"/>
      </top>
      <bottom style="thin">
        <color theme="0" tint="-0.499984740745262"/>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thin">
        <color auto="1"/>
      </bottom>
      <diagonal/>
    </border>
    <border>
      <left style="medium">
        <color auto="1"/>
      </left>
      <right style="hair">
        <color auto="1"/>
      </right>
      <top style="thin">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thin">
        <color auto="1"/>
      </left>
      <right style="hair">
        <color auto="1"/>
      </right>
      <top style="thin">
        <color auto="1"/>
      </top>
      <bottom/>
      <diagonal/>
    </border>
    <border>
      <left style="hair">
        <color auto="1"/>
      </left>
      <right style="medium">
        <color auto="1"/>
      </right>
      <top style="thin">
        <color auto="1"/>
      </top>
      <bottom/>
      <diagonal/>
    </border>
    <border>
      <left style="hair">
        <color auto="1"/>
      </left>
      <right style="medium">
        <color auto="1"/>
      </right>
      <top/>
      <bottom/>
      <diagonal/>
    </border>
    <border>
      <left style="thin">
        <color auto="1"/>
      </left>
      <right style="hair">
        <color auto="1"/>
      </right>
      <top/>
      <bottom/>
      <diagonal/>
    </border>
    <border>
      <left style="thin">
        <color auto="1"/>
      </left>
      <right style="medium">
        <color auto="1"/>
      </right>
      <top style="thin">
        <color auto="1"/>
      </top>
      <bottom/>
      <diagonal/>
    </border>
    <border>
      <left/>
      <right/>
      <top style="thin">
        <color theme="0" tint="-0.14993743705557422"/>
      </top>
      <bottom style="thin">
        <color theme="0" tint="-0.499984740745262"/>
      </bottom>
      <diagonal/>
    </border>
    <border>
      <left/>
      <right/>
      <top style="thin">
        <color theme="0" tint="-0.499984740745262"/>
      </top>
      <bottom style="dotted">
        <color theme="0" tint="-0.499984740745262"/>
      </bottom>
      <diagonal/>
    </border>
    <border>
      <left style="thick">
        <color theme="0" tint="-0.499984740745262"/>
      </left>
      <right/>
      <top style="thin">
        <color theme="0" tint="-0.499984740745262"/>
      </top>
      <bottom style="dotted">
        <color theme="0" tint="-0.499984740745262"/>
      </bottom>
      <diagonal/>
    </border>
    <border>
      <left/>
      <right style="thin">
        <color theme="0" tint="-0.499984740745262"/>
      </right>
      <top style="thin">
        <color theme="0" tint="-0.499984740745262"/>
      </top>
      <bottom style="dotted">
        <color theme="0" tint="-0.499984740745262"/>
      </bottom>
      <diagonal/>
    </border>
    <border>
      <left style="thin">
        <color theme="0" tint="-0.499984740745262"/>
      </left>
      <right/>
      <top style="thin">
        <color theme="0" tint="-0.499984740745262"/>
      </top>
      <bottom style="dotted">
        <color theme="0" tint="-0.499984740745262"/>
      </bottom>
      <diagonal/>
    </border>
    <border>
      <left/>
      <right style="thin">
        <color theme="0" tint="-0.499984740745262"/>
      </right>
      <top style="thick">
        <color theme="0" tint="-0.499984740745262"/>
      </top>
      <bottom/>
      <diagonal/>
    </border>
    <border>
      <left style="thin">
        <color theme="0" tint="-0.499984740745262"/>
      </left>
      <right/>
      <top style="thick">
        <color theme="0" tint="-0.499984740745262"/>
      </top>
      <bottom/>
      <diagonal/>
    </border>
    <border>
      <left/>
      <right style="thin">
        <color theme="0" tint="-0.499984740745262"/>
      </right>
      <top/>
      <bottom style="thick">
        <color theme="0" tint="-0.499984740745262"/>
      </bottom>
      <diagonal/>
    </border>
    <border>
      <left style="thin">
        <color theme="0" tint="-0.499984740745262"/>
      </left>
      <right/>
      <top/>
      <bottom style="thick">
        <color theme="0" tint="-0.499984740745262"/>
      </bottom>
      <diagonal/>
    </border>
    <border>
      <left style="medium">
        <color auto="1"/>
      </left>
      <right style="thin">
        <color auto="1"/>
      </right>
      <top style="medium">
        <color auto="1"/>
      </top>
      <bottom/>
      <diagonal/>
    </border>
    <border>
      <left style="thin">
        <color theme="0" tint="-0.499984740745262"/>
      </left>
      <right/>
      <top style="thin">
        <color theme="0" tint="-0.499984740745262"/>
      </top>
      <bottom style="thin">
        <color theme="0" tint="-0.14996795556505021"/>
      </bottom>
      <diagonal/>
    </border>
    <border>
      <left style="thin">
        <color theme="0" tint="-0.499984740745262"/>
      </left>
      <right/>
      <top style="thin">
        <color theme="0" tint="-0.14996795556505021"/>
      </top>
      <bottom style="thin">
        <color theme="0" tint="-0.14993743705557422"/>
      </bottom>
      <diagonal/>
    </border>
    <border>
      <left style="thin">
        <color theme="0" tint="-0.499984740745262"/>
      </left>
      <right/>
      <top style="thin">
        <color theme="0" tint="-0.14993743705557422"/>
      </top>
      <bottom style="thin">
        <color theme="0" tint="-0.14996795556505021"/>
      </bottom>
      <diagonal/>
    </border>
    <border>
      <left style="thin">
        <color theme="0" tint="-0.499984740745262"/>
      </left>
      <right/>
      <top style="thin">
        <color theme="0" tint="-0.14996795556505021"/>
      </top>
      <bottom/>
      <diagonal/>
    </border>
    <border>
      <left/>
      <right style="thin">
        <color theme="0" tint="-0.499984740745262"/>
      </right>
      <top style="thin">
        <color theme="0" tint="-0.14996795556505021"/>
      </top>
      <bottom/>
      <diagonal/>
    </border>
    <border>
      <left/>
      <right style="thick">
        <color theme="0" tint="-0.14993743705557422"/>
      </right>
      <top/>
      <bottom style="thick">
        <color theme="0" tint="-0.499984740745262"/>
      </bottom>
      <diagonal/>
    </border>
    <border>
      <left/>
      <right style="thin">
        <color theme="0" tint="-0.499984740745262"/>
      </right>
      <top style="thin">
        <color theme="0" tint="-0.499984740745262"/>
      </top>
      <bottom style="thin">
        <color theme="0" tint="-0.14996795556505021"/>
      </bottom>
      <diagonal/>
    </border>
    <border>
      <left/>
      <right style="thin">
        <color theme="0" tint="-0.499984740745262"/>
      </right>
      <top style="thin">
        <color theme="0" tint="-0.14996795556505021"/>
      </top>
      <bottom style="thin">
        <color theme="0" tint="-0.14993743705557422"/>
      </bottom>
      <diagonal/>
    </border>
    <border>
      <left/>
      <right style="thin">
        <color theme="0" tint="-0.499984740745262"/>
      </right>
      <top style="thin">
        <color theme="0" tint="-0.14993743705557422"/>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hair">
        <color theme="0" tint="-0.499984740745262"/>
      </left>
      <right/>
      <top style="thick">
        <color theme="0" tint="-0.499984740745262"/>
      </top>
      <bottom/>
      <diagonal/>
    </border>
    <border>
      <left/>
      <right style="thick">
        <color theme="0" tint="-0.14993743705557422"/>
      </right>
      <top style="thin">
        <color theme="0" tint="-0.14996795556505021"/>
      </top>
      <bottom style="thick">
        <color theme="0" tint="-0.499984740745262"/>
      </bottom>
      <diagonal/>
    </border>
    <border>
      <left/>
      <right/>
      <top/>
      <bottom style="dashDot">
        <color theme="0" tint="-0.14993743705557422"/>
      </bottom>
      <diagonal/>
    </border>
    <border>
      <left/>
      <right style="thin">
        <color theme="0" tint="-0.14996795556505021"/>
      </right>
      <top/>
      <bottom style="dashDot">
        <color theme="0" tint="-0.14993743705557422"/>
      </bottom>
      <diagonal/>
    </border>
    <border>
      <left/>
      <right style="thin">
        <color theme="0" tint="-0.14996795556505021"/>
      </right>
      <top style="dashDot">
        <color theme="0" tint="-0.14993743705557422"/>
      </top>
      <bottom style="dashDotDot">
        <color theme="0" tint="-0.14993743705557422"/>
      </bottom>
      <diagonal/>
    </border>
    <border>
      <left/>
      <right style="thin">
        <color theme="0" tint="-0.14996795556505021"/>
      </right>
      <top style="dashDotDot">
        <color theme="0" tint="-0.14993743705557422"/>
      </top>
      <bottom style="dotted">
        <color theme="0" tint="-0.14993743705557422"/>
      </bottom>
      <diagonal/>
    </border>
    <border>
      <left/>
      <right style="thin">
        <color theme="0" tint="-0.14996795556505021"/>
      </right>
      <top style="dotted">
        <color theme="0" tint="-0.14993743705557422"/>
      </top>
      <bottom style="dashed">
        <color theme="0" tint="-0.14990691854609822"/>
      </bottom>
      <diagonal/>
    </border>
    <border>
      <left/>
      <right/>
      <top style="dashed">
        <color theme="0" tint="-0.14990691854609822"/>
      </top>
      <bottom style="hair">
        <color theme="0" tint="-0.14993743705557422"/>
      </bottom>
      <diagonal/>
    </border>
    <border>
      <left/>
      <right style="thin">
        <color theme="0" tint="-0.14996795556505021"/>
      </right>
      <top style="dashed">
        <color theme="0" tint="-0.14990691854609822"/>
      </top>
      <bottom style="hair">
        <color theme="0" tint="-0.14993743705557422"/>
      </bottom>
      <diagonal/>
    </border>
    <border>
      <left/>
      <right style="thin">
        <color theme="0" tint="-0.14996795556505021"/>
      </right>
      <top style="hair">
        <color theme="0" tint="-0.14993743705557422"/>
      </top>
      <bottom style="thick">
        <color theme="0" tint="-0.499984740745262"/>
      </bottom>
      <diagonal/>
    </border>
    <border>
      <left style="thick">
        <color theme="0" tint="-0.14993743705557422"/>
      </left>
      <right/>
      <top/>
      <bottom style="dashDot">
        <color theme="0" tint="-0.14993743705557422"/>
      </bottom>
      <diagonal/>
    </border>
    <border>
      <left style="thick">
        <color theme="0" tint="-0.14993743705557422"/>
      </left>
      <right/>
      <top style="dashed">
        <color theme="0" tint="-0.14990691854609822"/>
      </top>
      <bottom style="hair">
        <color theme="0" tint="-0.14993743705557422"/>
      </bottom>
      <diagonal/>
    </border>
    <border>
      <left/>
      <right style="hair">
        <color theme="0" tint="-0.499984740745262"/>
      </right>
      <top style="thin">
        <color theme="0" tint="-0.499984740745262"/>
      </top>
      <bottom/>
      <diagonal/>
    </border>
    <border>
      <left style="medium">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style="medium">
        <color auto="1"/>
      </bottom>
      <diagonal/>
    </border>
    <border>
      <left style="hair">
        <color auto="1"/>
      </left>
      <right/>
      <top style="medium">
        <color auto="1"/>
      </top>
      <bottom style="thin">
        <color auto="1"/>
      </bottom>
      <diagonal/>
    </border>
    <border>
      <left/>
      <right style="hair">
        <color auto="1"/>
      </right>
      <top style="medium">
        <color auto="1"/>
      </top>
      <bottom style="thin">
        <color auto="1"/>
      </bottom>
      <diagonal/>
    </border>
    <border>
      <left style="thin">
        <color auto="1"/>
      </left>
      <right style="hair">
        <color auto="1"/>
      </right>
      <top style="medium">
        <color auto="1"/>
      </top>
      <bottom style="thin">
        <color auto="1"/>
      </bottom>
      <diagonal/>
    </border>
    <border>
      <left style="hair">
        <color auto="1"/>
      </left>
      <right style="thin">
        <color auto="1"/>
      </right>
      <top style="medium">
        <color auto="1"/>
      </top>
      <bottom style="thin">
        <color auto="1"/>
      </bottom>
      <diagonal/>
    </border>
    <border>
      <left style="hair">
        <color auto="1"/>
      </left>
      <right style="thin">
        <color auto="1"/>
      </right>
      <top style="thin">
        <color auto="1"/>
      </top>
      <bottom style="thin">
        <color auto="1"/>
      </bottom>
      <diagonal/>
    </border>
    <border>
      <left style="hair">
        <color auto="1"/>
      </left>
      <right style="thin">
        <color auto="1"/>
      </right>
      <top style="thin">
        <color auto="1"/>
      </top>
      <bottom style="medium">
        <color auto="1"/>
      </bottom>
      <diagonal/>
    </border>
    <border>
      <left style="hair">
        <color auto="1"/>
      </left>
      <right style="thin">
        <color auto="1"/>
      </right>
      <top/>
      <bottom style="thin">
        <color auto="1"/>
      </bottom>
      <diagonal/>
    </border>
    <border>
      <left style="medium">
        <color auto="1"/>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medium">
        <color auto="1"/>
      </right>
      <top style="thin">
        <color auto="1"/>
      </top>
      <bottom style="double">
        <color auto="1"/>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medium">
        <color auto="1"/>
      </left>
      <right style="hair">
        <color auto="1"/>
      </right>
      <top style="thin">
        <color auto="1"/>
      </top>
      <bottom/>
      <diagonal/>
    </border>
    <border>
      <left/>
      <right style="thin">
        <color auto="1"/>
      </right>
      <top style="medium">
        <color auto="1"/>
      </top>
      <bottom style="thin">
        <color auto="1"/>
      </bottom>
      <diagonal/>
    </border>
    <border>
      <left/>
      <right style="thin">
        <color theme="0" tint="-0.14993743705557422"/>
      </right>
      <top style="thin">
        <color theme="0" tint="-0.14996795556505021"/>
      </top>
      <bottom style="thin">
        <color theme="0" tint="-0.14996795556505021"/>
      </bottom>
      <diagonal/>
    </border>
    <border>
      <left style="thin">
        <color theme="8" tint="0.59996337778862885"/>
      </left>
      <right/>
      <top style="thin">
        <color theme="8" tint="0.59996337778862885"/>
      </top>
      <bottom/>
      <diagonal/>
    </border>
    <border>
      <left/>
      <right/>
      <top style="thin">
        <color theme="8" tint="0.59996337778862885"/>
      </top>
      <bottom/>
      <diagonal/>
    </border>
    <border>
      <left/>
      <right style="thin">
        <color theme="8" tint="0.59996337778862885"/>
      </right>
      <top style="thin">
        <color theme="8" tint="0.59996337778862885"/>
      </top>
      <bottom/>
      <diagonal/>
    </border>
    <border>
      <left style="thin">
        <color theme="8" tint="0.59996337778862885"/>
      </left>
      <right/>
      <top/>
      <bottom/>
      <diagonal/>
    </border>
    <border>
      <left/>
      <right style="thin">
        <color theme="8" tint="0.59996337778862885"/>
      </right>
      <top/>
      <bottom/>
      <diagonal/>
    </border>
    <border>
      <left style="thin">
        <color theme="8" tint="0.59996337778862885"/>
      </left>
      <right/>
      <top/>
      <bottom style="thin">
        <color theme="8" tint="0.59996337778862885"/>
      </bottom>
      <diagonal/>
    </border>
    <border>
      <left/>
      <right/>
      <top/>
      <bottom style="thin">
        <color theme="8" tint="0.59996337778862885"/>
      </bottom>
      <diagonal/>
    </border>
    <border>
      <left/>
      <right style="thin">
        <color theme="8" tint="0.59996337778862885"/>
      </right>
      <top/>
      <bottom style="thin">
        <color theme="8" tint="0.59996337778862885"/>
      </bottom>
      <diagonal/>
    </border>
    <border>
      <left style="thin">
        <color indexed="64"/>
      </left>
      <right style="thin">
        <color indexed="64"/>
      </right>
      <top/>
      <bottom style="thin">
        <color indexed="64"/>
      </bottom>
      <diagonal/>
    </border>
    <border>
      <left/>
      <right/>
      <top style="hair">
        <color theme="0" tint="-0.499984740745262"/>
      </top>
      <bottom style="thin">
        <color theme="0" tint="-0.499984740745262"/>
      </bottom>
      <diagonal/>
    </border>
    <border>
      <left/>
      <right/>
      <top/>
      <bottom style="hair">
        <color theme="0" tint="-0.499984740745262"/>
      </bottom>
      <diagonal/>
    </border>
  </borders>
  <cellStyleXfs count="3">
    <xf numFmtId="0" fontId="0" fillId="0" borderId="0"/>
    <xf numFmtId="0" fontId="9" fillId="0" borderId="0" applyNumberFormat="0" applyFill="0" applyBorder="0" applyAlignment="0" applyProtection="0">
      <alignment vertical="top"/>
      <protection locked="0"/>
    </xf>
    <xf numFmtId="164" fontId="73" fillId="0" borderId="0" applyFont="0" applyFill="0" applyBorder="0" applyAlignment="0" applyProtection="0"/>
  </cellStyleXfs>
  <cellXfs count="2369">
    <xf numFmtId="0" fontId="0" fillId="0" borderId="0" xfId="0"/>
    <xf numFmtId="0" fontId="6" fillId="0" borderId="0" xfId="0" applyFont="1"/>
    <xf numFmtId="0" fontId="6" fillId="2" borderId="0" xfId="0" applyFont="1" applyFill="1"/>
    <xf numFmtId="0" fontId="6" fillId="2" borderId="0" xfId="0" applyFont="1" applyFill="1" applyAlignment="1">
      <alignment horizontal="right"/>
    </xf>
    <xf numFmtId="0" fontId="6" fillId="3" borderId="0" xfId="0" applyFont="1" applyFill="1"/>
    <xf numFmtId="0" fontId="8" fillId="3" borderId="0" xfId="0" applyFont="1" applyFill="1"/>
    <xf numFmtId="0" fontId="10" fillId="3" borderId="0" xfId="0" applyFont="1" applyFill="1"/>
    <xf numFmtId="0" fontId="11" fillId="3" borderId="0" xfId="0" applyFont="1" applyFill="1" applyAlignment="1">
      <alignment horizontal="center"/>
    </xf>
    <xf numFmtId="0" fontId="11" fillId="3" borderId="0" xfId="0" applyFont="1" applyFill="1"/>
    <xf numFmtId="0" fontId="6" fillId="2" borderId="10" xfId="0" applyFont="1" applyFill="1" applyBorder="1"/>
    <xf numFmtId="0" fontId="6" fillId="2" borderId="14" xfId="0" applyFont="1" applyFill="1" applyBorder="1"/>
    <xf numFmtId="0" fontId="6" fillId="2" borderId="14" xfId="0" applyFont="1" applyFill="1" applyBorder="1" applyAlignment="1">
      <alignment horizontal="right"/>
    </xf>
    <xf numFmtId="0" fontId="6" fillId="2" borderId="1" xfId="0" applyFont="1" applyFill="1" applyBorder="1"/>
    <xf numFmtId="0" fontId="7" fillId="5" borderId="0" xfId="0" applyFont="1" applyFill="1"/>
    <xf numFmtId="0" fontId="6" fillId="5" borderId="0" xfId="0" applyFont="1" applyFill="1"/>
    <xf numFmtId="0" fontId="6" fillId="2" borderId="2" xfId="0" applyFont="1" applyFill="1" applyBorder="1" applyAlignment="1">
      <alignment horizontal="right"/>
    </xf>
    <xf numFmtId="0" fontId="6" fillId="2" borderId="2" xfId="0" applyFont="1" applyFill="1" applyBorder="1"/>
    <xf numFmtId="0" fontId="6" fillId="2" borderId="3" xfId="0" applyFont="1" applyFill="1" applyBorder="1"/>
    <xf numFmtId="0" fontId="6" fillId="2" borderId="0" xfId="0" applyFont="1" applyFill="1" applyAlignment="1">
      <alignment horizontal="center"/>
    </xf>
    <xf numFmtId="0" fontId="11" fillId="3" borderId="0" xfId="0" applyFont="1" applyFill="1" applyAlignment="1">
      <alignment horizontal="centerContinuous"/>
    </xf>
    <xf numFmtId="0" fontId="13" fillId="2" borderId="0" xfId="0" applyFont="1" applyFill="1" applyAlignment="1">
      <alignment horizontal="center"/>
    </xf>
    <xf numFmtId="0" fontId="6" fillId="2" borderId="10" xfId="0" applyFont="1" applyFill="1" applyBorder="1" applyAlignment="1">
      <alignment horizontal="right"/>
    </xf>
    <xf numFmtId="0" fontId="13" fillId="2" borderId="10" xfId="0" applyFont="1" applyFill="1" applyBorder="1" applyAlignment="1">
      <alignment horizontal="center"/>
    </xf>
    <xf numFmtId="0" fontId="15" fillId="3" borderId="0" xfId="0" applyFont="1" applyFill="1" applyAlignment="1">
      <alignment horizontal="center"/>
    </xf>
    <xf numFmtId="0" fontId="16" fillId="3" borderId="0" xfId="0" applyFont="1" applyFill="1"/>
    <xf numFmtId="0" fontId="6" fillId="2" borderId="0" xfId="0" quotePrefix="1" applyFont="1" applyFill="1"/>
    <xf numFmtId="0" fontId="6" fillId="3" borderId="0" xfId="0" applyFont="1" applyFill="1" applyAlignment="1">
      <alignment horizontal="center"/>
    </xf>
    <xf numFmtId="0" fontId="19" fillId="3" borderId="0" xfId="0" applyFont="1" applyFill="1"/>
    <xf numFmtId="0" fontId="19" fillId="2" borderId="0" xfId="0" applyFont="1" applyFill="1" applyAlignment="1">
      <alignment horizontal="center"/>
    </xf>
    <xf numFmtId="0" fontId="6" fillId="2" borderId="42" xfId="0" applyFont="1" applyFill="1" applyBorder="1" applyAlignment="1">
      <alignment horizontal="center"/>
    </xf>
    <xf numFmtId="0" fontId="6" fillId="2" borderId="42" xfId="0" applyFont="1" applyFill="1" applyBorder="1"/>
    <xf numFmtId="0" fontId="6" fillId="2" borderId="43" xfId="0" applyFont="1" applyFill="1" applyBorder="1" applyAlignment="1">
      <alignment horizontal="center"/>
    </xf>
    <xf numFmtId="0" fontId="6" fillId="2" borderId="43" xfId="0" applyFont="1" applyFill="1" applyBorder="1"/>
    <xf numFmtId="0" fontId="6" fillId="2" borderId="44" xfId="0" applyFont="1" applyFill="1" applyBorder="1" applyAlignment="1">
      <alignment horizontal="center"/>
    </xf>
    <xf numFmtId="0" fontId="6" fillId="2" borderId="44" xfId="0" applyFont="1" applyFill="1" applyBorder="1"/>
    <xf numFmtId="0" fontId="6" fillId="2" borderId="45" xfId="0" applyFont="1" applyFill="1" applyBorder="1"/>
    <xf numFmtId="0" fontId="6" fillId="2" borderId="46" xfId="0" applyFont="1" applyFill="1" applyBorder="1"/>
    <xf numFmtId="0" fontId="6" fillId="2" borderId="47" xfId="0" applyFont="1" applyFill="1" applyBorder="1"/>
    <xf numFmtId="0" fontId="6" fillId="2" borderId="48" xfId="0" applyFont="1" applyFill="1" applyBorder="1"/>
    <xf numFmtId="0" fontId="6" fillId="2" borderId="49" xfId="0" applyFont="1" applyFill="1" applyBorder="1"/>
    <xf numFmtId="0" fontId="6" fillId="2" borderId="50" xfId="0" applyFont="1" applyFill="1" applyBorder="1"/>
    <xf numFmtId="0" fontId="6" fillId="2" borderId="52" xfId="0" applyFont="1" applyFill="1" applyBorder="1"/>
    <xf numFmtId="0" fontId="6" fillId="2" borderId="54" xfId="0" applyFont="1" applyFill="1" applyBorder="1" applyAlignment="1">
      <alignment horizontal="center"/>
    </xf>
    <xf numFmtId="0" fontId="6" fillId="2" borderId="54" xfId="0" applyFont="1" applyFill="1" applyBorder="1"/>
    <xf numFmtId="0" fontId="6" fillId="2" borderId="60" xfId="0" applyFont="1" applyFill="1" applyBorder="1"/>
    <xf numFmtId="0" fontId="6" fillId="2" borderId="56" xfId="0" applyFont="1" applyFill="1" applyBorder="1"/>
    <xf numFmtId="0" fontId="6" fillId="2" borderId="57" xfId="0" applyFont="1" applyFill="1" applyBorder="1"/>
    <xf numFmtId="0" fontId="6" fillId="2" borderId="61" xfId="0" applyFont="1" applyFill="1" applyBorder="1" applyAlignment="1">
      <alignment horizontal="center"/>
    </xf>
    <xf numFmtId="0" fontId="6" fillId="2" borderId="63" xfId="0" applyFont="1" applyFill="1" applyBorder="1"/>
    <xf numFmtId="0" fontId="6" fillId="2" borderId="61" xfId="0" applyFont="1" applyFill="1" applyBorder="1"/>
    <xf numFmtId="0" fontId="6" fillId="2" borderId="67" xfId="0" applyFont="1" applyFill="1" applyBorder="1"/>
    <xf numFmtId="0" fontId="6" fillId="2" borderId="69" xfId="0" applyFont="1" applyFill="1" applyBorder="1"/>
    <xf numFmtId="0" fontId="6" fillId="2" borderId="73" xfId="0" applyFont="1" applyFill="1" applyBorder="1"/>
    <xf numFmtId="0" fontId="6" fillId="2" borderId="70" xfId="0" applyFont="1" applyFill="1" applyBorder="1"/>
    <xf numFmtId="0" fontId="6" fillId="2" borderId="71" xfId="0" applyFont="1" applyFill="1" applyBorder="1"/>
    <xf numFmtId="2" fontId="6" fillId="2" borderId="42" xfId="0" applyNumberFormat="1" applyFont="1" applyFill="1" applyBorder="1"/>
    <xf numFmtId="166" fontId="6" fillId="2" borderId="42" xfId="0" applyNumberFormat="1" applyFont="1" applyFill="1" applyBorder="1"/>
    <xf numFmtId="0" fontId="6" fillId="2" borderId="43" xfId="0" applyFont="1" applyFill="1" applyBorder="1" applyAlignment="1">
      <alignment horizontal="left"/>
    </xf>
    <xf numFmtId="0" fontId="6" fillId="2" borderId="42" xfId="0" applyFont="1" applyFill="1" applyBorder="1" applyAlignment="1">
      <alignment horizontal="left"/>
    </xf>
    <xf numFmtId="0" fontId="6" fillId="2" borderId="44" xfId="0" applyFont="1" applyFill="1" applyBorder="1" applyAlignment="1">
      <alignment horizontal="left"/>
    </xf>
    <xf numFmtId="0" fontId="6" fillId="2" borderId="0" xfId="0" applyFont="1" applyFill="1" applyAlignment="1">
      <alignment horizontal="left"/>
    </xf>
    <xf numFmtId="2" fontId="6" fillId="2" borderId="43" xfId="0" applyNumberFormat="1" applyFont="1" applyFill="1" applyBorder="1"/>
    <xf numFmtId="2" fontId="6" fillId="2" borderId="44" xfId="0" applyNumberFormat="1" applyFont="1" applyFill="1" applyBorder="1"/>
    <xf numFmtId="166" fontId="6" fillId="2" borderId="43" xfId="0" applyNumberFormat="1" applyFont="1" applyFill="1" applyBorder="1"/>
    <xf numFmtId="166" fontId="6" fillId="2" borderId="44" xfId="0" applyNumberFormat="1" applyFont="1" applyFill="1" applyBorder="1"/>
    <xf numFmtId="166" fontId="6" fillId="2" borderId="54" xfId="0" applyNumberFormat="1" applyFont="1" applyFill="1" applyBorder="1"/>
    <xf numFmtId="0" fontId="6" fillId="2" borderId="54" xfId="0" applyFont="1" applyFill="1" applyBorder="1" applyAlignment="1">
      <alignment horizontal="left"/>
    </xf>
    <xf numFmtId="166" fontId="6" fillId="2" borderId="0" xfId="0" applyNumberFormat="1" applyFont="1" applyFill="1"/>
    <xf numFmtId="2" fontId="6" fillId="2" borderId="54" xfId="0" applyNumberFormat="1" applyFont="1" applyFill="1" applyBorder="1"/>
    <xf numFmtId="2" fontId="6" fillId="2" borderId="0" xfId="0" applyNumberFormat="1" applyFont="1" applyFill="1"/>
    <xf numFmtId="166" fontId="6" fillId="2" borderId="61" xfId="0" applyNumberFormat="1" applyFont="1" applyFill="1" applyBorder="1"/>
    <xf numFmtId="0" fontId="6" fillId="2" borderId="61" xfId="0" applyFont="1" applyFill="1" applyBorder="1" applyAlignment="1">
      <alignment horizontal="left"/>
    </xf>
    <xf numFmtId="2" fontId="6" fillId="2" borderId="61" xfId="0" applyNumberFormat="1" applyFont="1" applyFill="1" applyBorder="1"/>
    <xf numFmtId="0" fontId="19" fillId="2" borderId="0" xfId="0" applyFont="1" applyFill="1" applyAlignment="1">
      <alignment horizontal="right"/>
    </xf>
    <xf numFmtId="0" fontId="19" fillId="2" borderId="14" xfId="0" applyFont="1" applyFill="1" applyBorder="1" applyAlignment="1">
      <alignment horizontal="right"/>
    </xf>
    <xf numFmtId="0" fontId="6" fillId="0" borderId="0" xfId="0" applyFont="1" applyAlignment="1">
      <alignment horizontal="left"/>
    </xf>
    <xf numFmtId="166" fontId="6" fillId="5" borderId="0" xfId="0" applyNumberFormat="1" applyFont="1" applyFill="1"/>
    <xf numFmtId="2" fontId="6" fillId="5" borderId="0" xfId="0" applyNumberFormat="1" applyFont="1" applyFill="1"/>
    <xf numFmtId="0" fontId="19" fillId="2" borderId="10" xfId="0" applyFont="1" applyFill="1" applyBorder="1" applyAlignment="1">
      <alignment horizontal="right"/>
    </xf>
    <xf numFmtId="0" fontId="17" fillId="2" borderId="14" xfId="0" applyFont="1" applyFill="1" applyBorder="1"/>
    <xf numFmtId="0" fontId="17" fillId="2" borderId="0" xfId="0" applyFont="1" applyFill="1"/>
    <xf numFmtId="0" fontId="17" fillId="2" borderId="14" xfId="0" applyFont="1" applyFill="1" applyBorder="1" applyAlignment="1">
      <alignment horizontal="center"/>
    </xf>
    <xf numFmtId="0" fontId="6" fillId="0" borderId="0" xfId="0" applyFont="1" applyAlignment="1">
      <alignment horizontal="right"/>
    </xf>
    <xf numFmtId="1" fontId="6" fillId="5" borderId="0" xfId="0" applyNumberFormat="1" applyFont="1" applyFill="1"/>
    <xf numFmtId="1" fontId="6" fillId="2" borderId="0" xfId="0" applyNumberFormat="1" applyFont="1" applyFill="1"/>
    <xf numFmtId="0" fontId="6" fillId="2" borderId="10" xfId="0" applyFont="1" applyFill="1" applyBorder="1" applyAlignment="1">
      <alignment horizontal="left"/>
    </xf>
    <xf numFmtId="0" fontId="13" fillId="2" borderId="14" xfId="0" applyFont="1" applyFill="1" applyBorder="1" applyAlignment="1">
      <alignment horizontal="left"/>
    </xf>
    <xf numFmtId="0" fontId="13" fillId="2" borderId="0" xfId="0" applyFont="1" applyFill="1" applyAlignment="1">
      <alignment horizontal="left"/>
    </xf>
    <xf numFmtId="0" fontId="6" fillId="2" borderId="14" xfId="0" applyFont="1" applyFill="1" applyBorder="1" applyAlignment="1">
      <alignment horizontal="left"/>
    </xf>
    <xf numFmtId="0" fontId="6" fillId="5" borderId="0" xfId="0" applyFont="1" applyFill="1" applyAlignment="1">
      <alignment horizontal="left"/>
    </xf>
    <xf numFmtId="2" fontId="7" fillId="2" borderId="0" xfId="0" applyNumberFormat="1" applyFont="1" applyFill="1"/>
    <xf numFmtId="0" fontId="6" fillId="5" borderId="0" xfId="0" applyFont="1" applyFill="1" applyAlignment="1">
      <alignment horizontal="right"/>
    </xf>
    <xf numFmtId="0" fontId="17" fillId="3" borderId="0" xfId="0" applyFont="1" applyFill="1"/>
    <xf numFmtId="0" fontId="22" fillId="0" borderId="0" xfId="0" applyFont="1" applyAlignment="1">
      <alignment horizontal="left" vertical="center"/>
    </xf>
    <xf numFmtId="167" fontId="23" fillId="0" borderId="0" xfId="0" applyNumberFormat="1" applyFont="1" applyAlignment="1">
      <alignment horizontal="centerContinuous" vertical="center"/>
    </xf>
    <xf numFmtId="0" fontId="24" fillId="0" borderId="0" xfId="0" applyFont="1" applyAlignment="1">
      <alignment horizontal="centerContinuous" vertical="center"/>
    </xf>
    <xf numFmtId="167" fontId="24" fillId="0" borderId="0" xfId="0" applyNumberFormat="1" applyFont="1" applyAlignment="1">
      <alignment horizontal="center" vertical="center"/>
    </xf>
    <xf numFmtId="166" fontId="19" fillId="0" borderId="0" xfId="0" applyNumberFormat="1" applyFont="1" applyAlignment="1">
      <alignment horizontal="center" vertical="center"/>
    </xf>
    <xf numFmtId="167" fontId="22" fillId="0" borderId="0" xfId="0" applyNumberFormat="1" applyFont="1" applyAlignment="1">
      <alignment horizontal="center" vertical="center"/>
    </xf>
    <xf numFmtId="0" fontId="6" fillId="2" borderId="64" xfId="0" applyFont="1" applyFill="1" applyBorder="1"/>
    <xf numFmtId="0" fontId="6" fillId="2" borderId="75" xfId="0" applyFont="1" applyFill="1" applyBorder="1"/>
    <xf numFmtId="0" fontId="6" fillId="2" borderId="76" xfId="0" applyFont="1" applyFill="1" applyBorder="1"/>
    <xf numFmtId="0" fontId="6" fillId="2" borderId="62" xfId="0" applyFont="1" applyFill="1" applyBorder="1"/>
    <xf numFmtId="0" fontId="6" fillId="2" borderId="53" xfId="0" applyFont="1" applyFill="1" applyBorder="1"/>
    <xf numFmtId="0" fontId="6" fillId="2" borderId="55" xfId="0" applyFont="1" applyFill="1" applyBorder="1"/>
    <xf numFmtId="0" fontId="6" fillId="2" borderId="66" xfId="0" applyFont="1" applyFill="1" applyBorder="1"/>
    <xf numFmtId="49" fontId="6" fillId="2" borderId="0" xfId="0" applyNumberFormat="1" applyFont="1" applyFill="1" applyAlignment="1">
      <alignment horizontal="center"/>
    </xf>
    <xf numFmtId="16" fontId="6" fillId="2" borderId="107" xfId="0" quotePrefix="1" applyNumberFormat="1" applyFont="1" applyFill="1" applyBorder="1" applyAlignment="1">
      <alignment horizontal="center"/>
    </xf>
    <xf numFmtId="0" fontId="6" fillId="2" borderId="110" xfId="0" applyFont="1" applyFill="1" applyBorder="1"/>
    <xf numFmtId="0" fontId="6" fillId="2" borderId="111" xfId="0" applyFont="1" applyFill="1" applyBorder="1"/>
    <xf numFmtId="0" fontId="10" fillId="3" borderId="0" xfId="0" applyFont="1" applyFill="1" applyAlignment="1">
      <alignment horizontal="right"/>
    </xf>
    <xf numFmtId="0" fontId="6" fillId="2" borderId="112" xfId="0" applyFont="1" applyFill="1" applyBorder="1" applyAlignment="1">
      <alignment horizontal="center"/>
    </xf>
    <xf numFmtId="166" fontId="6" fillId="2" borderId="112" xfId="0" applyNumberFormat="1" applyFont="1" applyFill="1" applyBorder="1"/>
    <xf numFmtId="0" fontId="6" fillId="2" borderId="112" xfId="0" applyFont="1" applyFill="1" applyBorder="1"/>
    <xf numFmtId="0" fontId="6" fillId="2" borderId="112" xfId="0" applyFont="1" applyFill="1" applyBorder="1" applyAlignment="1">
      <alignment horizontal="left"/>
    </xf>
    <xf numFmtId="2" fontId="6" fillId="2" borderId="112" xfId="0" applyNumberFormat="1" applyFont="1" applyFill="1" applyBorder="1"/>
    <xf numFmtId="0" fontId="6" fillId="2" borderId="113" xfId="0" applyFont="1" applyFill="1" applyBorder="1" applyAlignment="1">
      <alignment horizontal="center"/>
    </xf>
    <xf numFmtId="166" fontId="6" fillId="2" borderId="113" xfId="0" applyNumberFormat="1" applyFont="1" applyFill="1" applyBorder="1"/>
    <xf numFmtId="0" fontId="6" fillId="2" borderId="113" xfId="0" applyFont="1" applyFill="1" applyBorder="1"/>
    <xf numFmtId="0" fontId="6" fillId="2" borderId="113" xfId="0" applyFont="1" applyFill="1" applyBorder="1" applyAlignment="1">
      <alignment horizontal="left"/>
    </xf>
    <xf numFmtId="2" fontId="6" fillId="2" borderId="113" xfId="0" applyNumberFormat="1" applyFont="1" applyFill="1" applyBorder="1"/>
    <xf numFmtId="166" fontId="6" fillId="0" borderId="0" xfId="0" applyNumberFormat="1" applyFont="1"/>
    <xf numFmtId="0" fontId="6" fillId="2" borderId="114" xfId="0" applyFont="1" applyFill="1" applyBorder="1"/>
    <xf numFmtId="0" fontId="6" fillId="2" borderId="116" xfId="0" applyFont="1" applyFill="1" applyBorder="1"/>
    <xf numFmtId="0" fontId="6" fillId="2" borderId="117" xfId="0" applyFont="1" applyFill="1" applyBorder="1"/>
    <xf numFmtId="0" fontId="6" fillId="2" borderId="118" xfId="0" applyFont="1" applyFill="1" applyBorder="1"/>
    <xf numFmtId="0" fontId="6" fillId="2" borderId="120" xfId="0" applyFont="1" applyFill="1" applyBorder="1"/>
    <xf numFmtId="0" fontId="6" fillId="2" borderId="121" xfId="0" applyFont="1" applyFill="1" applyBorder="1"/>
    <xf numFmtId="2" fontId="6" fillId="2" borderId="10" xfId="0" applyNumberFormat="1" applyFont="1" applyFill="1" applyBorder="1"/>
    <xf numFmtId="2" fontId="6" fillId="2" borderId="14" xfId="0" applyNumberFormat="1" applyFont="1" applyFill="1" applyBorder="1"/>
    <xf numFmtId="0" fontId="25" fillId="5" borderId="0" xfId="0" applyFont="1" applyFill="1" applyAlignment="1">
      <alignment horizontal="left"/>
    </xf>
    <xf numFmtId="166" fontId="6" fillId="2" borderId="43"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0" xfId="0" applyNumberFormat="1" applyFont="1" applyFill="1" applyAlignment="1">
      <alignment horizontal="center"/>
    </xf>
    <xf numFmtId="0" fontId="26" fillId="3" borderId="0" xfId="0" applyFont="1" applyFill="1"/>
    <xf numFmtId="2" fontId="6" fillId="2" borderId="0" xfId="0" applyNumberFormat="1" applyFont="1" applyFill="1" applyAlignment="1">
      <alignment horizontal="center"/>
    </xf>
    <xf numFmtId="2" fontId="27" fillId="2" borderId="0" xfId="0" applyNumberFormat="1" applyFont="1" applyFill="1" applyAlignment="1">
      <alignment horizontal="center"/>
    </xf>
    <xf numFmtId="0" fontId="27" fillId="2" borderId="0" xfId="0" applyFont="1" applyFill="1" applyAlignment="1">
      <alignment horizontal="center"/>
    </xf>
    <xf numFmtId="166" fontId="6" fillId="2" borderId="61" xfId="0" applyNumberFormat="1" applyFont="1" applyFill="1" applyBorder="1" applyAlignment="1">
      <alignment horizontal="center"/>
    </xf>
    <xf numFmtId="0" fontId="6" fillId="2" borderId="124" xfId="0" applyFont="1" applyFill="1" applyBorder="1" applyAlignment="1">
      <alignment horizontal="centerContinuous"/>
    </xf>
    <xf numFmtId="0" fontId="6" fillId="2" borderId="125" xfId="0" applyFont="1" applyFill="1" applyBorder="1"/>
    <xf numFmtId="0" fontId="6" fillId="2" borderId="124" xfId="0" applyFont="1" applyFill="1" applyBorder="1" applyAlignment="1">
      <alignment horizontal="center"/>
    </xf>
    <xf numFmtId="0" fontId="6" fillId="2" borderId="126" xfId="0" applyFont="1" applyFill="1" applyBorder="1" applyAlignment="1">
      <alignment horizontal="center"/>
    </xf>
    <xf numFmtId="0" fontId="6" fillId="2" borderId="0" xfId="0" applyFont="1" applyFill="1" applyAlignment="1">
      <alignment horizontal="centerContinuous"/>
    </xf>
    <xf numFmtId="0" fontId="6" fillId="2" borderId="125" xfId="0" applyFont="1" applyFill="1" applyBorder="1" applyAlignment="1">
      <alignment horizontal="centerContinuous"/>
    </xf>
    <xf numFmtId="0" fontId="6" fillId="2" borderId="127" xfId="0" applyFont="1" applyFill="1" applyBorder="1"/>
    <xf numFmtId="0" fontId="6" fillId="2" borderId="128" xfId="0" applyFont="1" applyFill="1" applyBorder="1" applyAlignment="1">
      <alignment horizontal="centerContinuous"/>
    </xf>
    <xf numFmtId="0" fontId="6" fillId="2" borderId="129" xfId="0" applyFont="1" applyFill="1" applyBorder="1" applyAlignment="1">
      <alignment horizontal="left"/>
    </xf>
    <xf numFmtId="0" fontId="6" fillId="2" borderId="61" xfId="0" quotePrefix="1" applyFont="1" applyFill="1" applyBorder="1" applyAlignment="1">
      <alignment horizontal="left"/>
    </xf>
    <xf numFmtId="0" fontId="6" fillId="2" borderId="127" xfId="0" applyFont="1" applyFill="1" applyBorder="1" applyAlignment="1">
      <alignment horizontal="center"/>
    </xf>
    <xf numFmtId="0" fontId="6" fillId="2" borderId="126" xfId="0" applyFont="1" applyFill="1" applyBorder="1"/>
    <xf numFmtId="168" fontId="6" fillId="2" borderId="124" xfId="0" applyNumberFormat="1" applyFont="1" applyFill="1" applyBorder="1" applyAlignment="1">
      <alignment horizontal="center"/>
    </xf>
    <xf numFmtId="168" fontId="6" fillId="2" borderId="0" xfId="0" applyNumberFormat="1" applyFont="1" applyFill="1" applyAlignment="1">
      <alignment horizontal="center"/>
    </xf>
    <xf numFmtId="0" fontId="6" fillId="2" borderId="124" xfId="0" applyFont="1" applyFill="1" applyBorder="1"/>
    <xf numFmtId="0" fontId="6" fillId="2" borderId="131" xfId="0" applyFont="1" applyFill="1" applyBorder="1" applyAlignment="1">
      <alignment horizontal="center"/>
    </xf>
    <xf numFmtId="0" fontId="6" fillId="2" borderId="132" xfId="0" applyFont="1" applyFill="1" applyBorder="1" applyAlignment="1">
      <alignment horizontal="center"/>
    </xf>
    <xf numFmtId="0" fontId="6" fillId="2" borderId="133" xfId="0" applyFont="1" applyFill="1" applyBorder="1"/>
    <xf numFmtId="0" fontId="6" fillId="2" borderId="134" xfId="0" applyFont="1" applyFill="1" applyBorder="1"/>
    <xf numFmtId="2" fontId="6" fillId="2" borderId="43" xfId="0" applyNumberFormat="1" applyFont="1" applyFill="1" applyBorder="1" applyAlignment="1">
      <alignment horizontal="center"/>
    </xf>
    <xf numFmtId="0" fontId="6" fillId="2" borderId="43" xfId="0" applyFont="1" applyFill="1" applyBorder="1" applyAlignment="1">
      <alignment horizontal="right"/>
    </xf>
    <xf numFmtId="1" fontId="6" fillId="2" borderId="43" xfId="0" applyNumberFormat="1" applyFont="1" applyFill="1" applyBorder="1" applyAlignment="1">
      <alignment horizontal="center"/>
    </xf>
    <xf numFmtId="168" fontId="6" fillId="2" borderId="43" xfId="0" applyNumberFormat="1" applyFont="1" applyFill="1" applyBorder="1" applyAlignment="1">
      <alignment horizontal="center"/>
    </xf>
    <xf numFmtId="166" fontId="6" fillId="2" borderId="134" xfId="0" applyNumberFormat="1" applyFont="1" applyFill="1" applyBorder="1" applyAlignment="1">
      <alignment horizontal="center"/>
    </xf>
    <xf numFmtId="168" fontId="27" fillId="2" borderId="124" xfId="0" applyNumberFormat="1" applyFont="1" applyFill="1" applyBorder="1" applyAlignment="1">
      <alignment horizontal="center"/>
    </xf>
    <xf numFmtId="0" fontId="27" fillId="2" borderId="124" xfId="0" applyFont="1" applyFill="1" applyBorder="1" applyAlignment="1">
      <alignment horizontal="center"/>
    </xf>
    <xf numFmtId="0" fontId="5" fillId="2" borderId="131" xfId="0" applyFont="1" applyFill="1" applyBorder="1"/>
    <xf numFmtId="0" fontId="26" fillId="3" borderId="0" xfId="0" applyFont="1" applyFill="1" applyAlignment="1">
      <alignment horizontal="right"/>
    </xf>
    <xf numFmtId="0" fontId="26" fillId="3" borderId="0" xfId="0" quotePrefix="1" applyFont="1" applyFill="1"/>
    <xf numFmtId="2" fontId="6" fillId="2" borderId="0" xfId="0" applyNumberFormat="1" applyFont="1" applyFill="1" applyAlignment="1">
      <alignment horizontal="left"/>
    </xf>
    <xf numFmtId="1" fontId="6" fillId="2" borderId="0" xfId="0" applyNumberFormat="1" applyFont="1" applyFill="1" applyAlignment="1">
      <alignment horizontal="left"/>
    </xf>
    <xf numFmtId="166" fontId="6" fillId="2" borderId="0" xfId="0" applyNumberFormat="1" applyFont="1" applyFill="1" applyAlignment="1">
      <alignment horizontal="left"/>
    </xf>
    <xf numFmtId="170" fontId="6" fillId="2" borderId="0" xfId="0" applyNumberFormat="1" applyFont="1" applyFill="1" applyAlignment="1">
      <alignment horizontal="left"/>
    </xf>
    <xf numFmtId="0" fontId="28" fillId="2" borderId="0" xfId="0" applyFont="1" applyFill="1" applyAlignment="1">
      <alignment horizontal="left"/>
    </xf>
    <xf numFmtId="0" fontId="6" fillId="2" borderId="137" xfId="0" applyFont="1" applyFill="1" applyBorder="1" applyAlignment="1">
      <alignment horizontal="center"/>
    </xf>
    <xf numFmtId="0" fontId="6" fillId="2" borderId="138" xfId="0" applyFont="1" applyFill="1" applyBorder="1" applyAlignment="1">
      <alignment horizontal="center"/>
    </xf>
    <xf numFmtId="166" fontId="6" fillId="2" borderId="137" xfId="0" applyNumberFormat="1" applyFont="1" applyFill="1" applyBorder="1" applyAlignment="1">
      <alignment horizontal="center"/>
    </xf>
    <xf numFmtId="166" fontId="6" fillId="2" borderId="139" xfId="0" applyNumberFormat="1" applyFont="1" applyFill="1" applyBorder="1" applyAlignment="1">
      <alignment horizontal="center"/>
    </xf>
    <xf numFmtId="1" fontId="6" fillId="2" borderId="135" xfId="0" applyNumberFormat="1" applyFont="1" applyFill="1" applyBorder="1" applyAlignment="1">
      <alignment horizontal="center"/>
    </xf>
    <xf numFmtId="0" fontId="6" fillId="2" borderId="141" xfId="0" applyFont="1" applyFill="1" applyBorder="1"/>
    <xf numFmtId="166" fontId="6" fillId="2" borderId="141" xfId="0" applyNumberFormat="1" applyFont="1" applyFill="1" applyBorder="1" applyAlignment="1">
      <alignment horizontal="center"/>
    </xf>
    <xf numFmtId="0" fontId="6" fillId="2" borderId="141" xfId="0" applyFont="1" applyFill="1" applyBorder="1" applyAlignment="1">
      <alignment horizontal="center"/>
    </xf>
    <xf numFmtId="166" fontId="6" fillId="2" borderId="140" xfId="0" applyNumberFormat="1" applyFont="1" applyFill="1" applyBorder="1" applyAlignment="1">
      <alignment horizontal="center"/>
    </xf>
    <xf numFmtId="166" fontId="6" fillId="2" borderId="143" xfId="0" applyNumberFormat="1" applyFont="1" applyFill="1" applyBorder="1" applyAlignment="1">
      <alignment horizontal="center"/>
    </xf>
    <xf numFmtId="166" fontId="6" fillId="2" borderId="138" xfId="0" applyNumberFormat="1" applyFont="1" applyFill="1" applyBorder="1" applyAlignment="1">
      <alignment horizontal="center"/>
    </xf>
    <xf numFmtId="2" fontId="6" fillId="0" borderId="0" xfId="0" applyNumberFormat="1" applyFont="1"/>
    <xf numFmtId="166" fontId="6" fillId="2" borderId="135" xfId="0" applyNumberFormat="1" applyFont="1" applyFill="1" applyBorder="1"/>
    <xf numFmtId="0" fontId="6" fillId="0" borderId="0" xfId="0" applyFont="1" applyAlignment="1">
      <alignment horizontal="center"/>
    </xf>
    <xf numFmtId="166" fontId="6" fillId="2" borderId="142" xfId="0" applyNumberFormat="1" applyFont="1" applyFill="1" applyBorder="1" applyAlignment="1">
      <alignment horizontal="center"/>
    </xf>
    <xf numFmtId="0" fontId="6" fillId="3" borderId="0" xfId="0" applyFont="1" applyFill="1" applyAlignment="1">
      <alignment horizontal="left"/>
    </xf>
    <xf numFmtId="0" fontId="29" fillId="3" borderId="0" xfId="0" applyFont="1" applyFill="1"/>
    <xf numFmtId="0" fontId="19" fillId="2" borderId="61" xfId="0" applyFont="1" applyFill="1" applyBorder="1"/>
    <xf numFmtId="0" fontId="19" fillId="2" borderId="132" xfId="0" applyFont="1" applyFill="1" applyBorder="1" applyAlignment="1">
      <alignment horizontal="centerContinuous"/>
    </xf>
    <xf numFmtId="0" fontId="19" fillId="2" borderId="61" xfId="0" applyFont="1" applyFill="1" applyBorder="1" applyAlignment="1">
      <alignment horizontal="centerContinuous"/>
    </xf>
    <xf numFmtId="0" fontId="19" fillId="2" borderId="138" xfId="0" applyFont="1" applyFill="1" applyBorder="1" applyAlignment="1">
      <alignment horizontal="centerContinuous"/>
    </xf>
    <xf numFmtId="0" fontId="26" fillId="3" borderId="0" xfId="0" applyFont="1" applyFill="1" applyAlignment="1">
      <alignment horizontal="left"/>
    </xf>
    <xf numFmtId="0" fontId="6" fillId="3" borderId="0" xfId="0" applyFont="1" applyFill="1" applyAlignment="1">
      <alignment horizontal="right"/>
    </xf>
    <xf numFmtId="0" fontId="6" fillId="2" borderId="54" xfId="0" applyFont="1" applyFill="1" applyBorder="1" applyAlignment="1">
      <alignment horizontal="centerContinuous"/>
    </xf>
    <xf numFmtId="0" fontId="6" fillId="2" borderId="1" xfId="0" applyFont="1" applyFill="1" applyBorder="1" applyAlignment="1">
      <alignment horizontal="left"/>
    </xf>
    <xf numFmtId="49" fontId="6" fillId="2" borderId="145" xfId="0" applyNumberFormat="1" applyFont="1" applyFill="1" applyBorder="1"/>
    <xf numFmtId="0" fontId="6" fillId="2" borderId="145" xfId="0" applyFont="1" applyFill="1" applyBorder="1"/>
    <xf numFmtId="49" fontId="6" fillId="2" borderId="0" xfId="0" applyNumberFormat="1" applyFont="1" applyFill="1"/>
    <xf numFmtId="0" fontId="6" fillId="2" borderId="1" xfId="0" applyFont="1" applyFill="1" applyBorder="1" applyAlignment="1">
      <alignment horizontal="centerContinuous"/>
    </xf>
    <xf numFmtId="166" fontId="6" fillId="2" borderId="131" xfId="0" applyNumberFormat="1" applyFont="1" applyFill="1" applyBorder="1"/>
    <xf numFmtId="0" fontId="6" fillId="2" borderId="54" xfId="0" applyFont="1" applyFill="1" applyBorder="1" applyAlignment="1">
      <alignment horizontal="right"/>
    </xf>
    <xf numFmtId="0" fontId="6" fillId="2" borderId="3" xfId="0" applyFont="1" applyFill="1" applyBorder="1" applyAlignment="1">
      <alignment horizontal="right"/>
    </xf>
    <xf numFmtId="0" fontId="6" fillId="2" borderId="2" xfId="0" applyFont="1" applyFill="1" applyBorder="1" applyAlignment="1">
      <alignment horizontal="left"/>
    </xf>
    <xf numFmtId="0" fontId="0" fillId="0" borderId="0" xfId="0" applyAlignment="1">
      <alignment vertical="center"/>
    </xf>
    <xf numFmtId="0" fontId="31" fillId="0" borderId="154" xfId="0" applyFont="1" applyBorder="1" applyAlignment="1">
      <alignment vertical="center"/>
    </xf>
    <xf numFmtId="0" fontId="31" fillId="0" borderId="0" xfId="0" applyFont="1" applyAlignment="1">
      <alignment vertical="center"/>
    </xf>
    <xf numFmtId="0" fontId="31" fillId="0" borderId="157" xfId="0" applyFont="1" applyBorder="1" applyAlignment="1">
      <alignment vertical="center"/>
    </xf>
    <xf numFmtId="0" fontId="35" fillId="0" borderId="0" xfId="0" applyFont="1" applyAlignment="1">
      <alignment vertical="center"/>
    </xf>
    <xf numFmtId="0" fontId="32" fillId="2" borderId="148" xfId="0" applyFont="1" applyFill="1" applyBorder="1" applyAlignment="1">
      <alignment horizontal="centerContinuous" vertical="center"/>
    </xf>
    <xf numFmtId="0" fontId="0" fillId="2" borderId="149" xfId="0" applyFill="1" applyBorder="1" applyAlignment="1">
      <alignment horizontal="centerContinuous" vertical="center"/>
    </xf>
    <xf numFmtId="0" fontId="0" fillId="2" borderId="150" xfId="0" applyFill="1" applyBorder="1" applyAlignment="1">
      <alignment horizontal="centerContinuous" vertical="center"/>
    </xf>
    <xf numFmtId="0" fontId="34" fillId="2" borderId="153" xfId="0" applyFont="1" applyFill="1" applyBorder="1" applyAlignment="1">
      <alignment vertical="center"/>
    </xf>
    <xf numFmtId="0" fontId="0" fillId="2" borderId="154" xfId="0" applyFill="1" applyBorder="1" applyAlignment="1">
      <alignment vertical="center"/>
    </xf>
    <xf numFmtId="0" fontId="0" fillId="2" borderId="159" xfId="0" applyFill="1" applyBorder="1" applyAlignment="1">
      <alignment vertical="center"/>
    </xf>
    <xf numFmtId="0" fontId="32" fillId="2" borderId="154" xfId="0" applyFont="1" applyFill="1" applyBorder="1" applyAlignment="1">
      <alignment horizontal="right" vertical="center"/>
    </xf>
    <xf numFmtId="0" fontId="32" fillId="2" borderId="154" xfId="0" applyFont="1" applyFill="1" applyBorder="1" applyAlignment="1">
      <alignment vertical="center"/>
    </xf>
    <xf numFmtId="0" fontId="31" fillId="2" borderId="154" xfId="0" applyFont="1" applyFill="1" applyBorder="1" applyAlignment="1">
      <alignment vertical="center"/>
    </xf>
    <xf numFmtId="0" fontId="34" fillId="2" borderId="154" xfId="0" applyFont="1" applyFill="1" applyBorder="1" applyAlignment="1">
      <alignment vertical="center"/>
    </xf>
    <xf numFmtId="0" fontId="0" fillId="2" borderId="155" xfId="0" applyFill="1" applyBorder="1" applyAlignment="1">
      <alignment vertical="center"/>
    </xf>
    <xf numFmtId="0" fontId="34" fillId="2" borderId="151" xfId="0" applyFont="1" applyFill="1" applyBorder="1" applyAlignment="1">
      <alignment vertical="center"/>
    </xf>
    <xf numFmtId="0" fontId="0" fillId="2" borderId="0" xfId="0" applyFill="1" applyAlignment="1">
      <alignment vertical="center"/>
    </xf>
    <xf numFmtId="0" fontId="0" fillId="2" borderId="160" xfId="0" applyFill="1" applyBorder="1" applyAlignment="1">
      <alignment vertical="center"/>
    </xf>
    <xf numFmtId="0" fontId="32" fillId="2" borderId="0" xfId="0" applyFont="1" applyFill="1" applyAlignment="1">
      <alignment horizontal="right" vertical="center"/>
    </xf>
    <xf numFmtId="0" fontId="32" fillId="2" borderId="0" xfId="0" applyFont="1" applyFill="1" applyAlignment="1">
      <alignment vertical="center"/>
    </xf>
    <xf numFmtId="0" fontId="31" fillId="2" borderId="0" xfId="0" applyFont="1" applyFill="1" applyAlignment="1">
      <alignment vertical="center"/>
    </xf>
    <xf numFmtId="0" fontId="34" fillId="2" borderId="0" xfId="0" applyFont="1" applyFill="1" applyAlignment="1">
      <alignment vertical="center"/>
    </xf>
    <xf numFmtId="0" fontId="0" fillId="2" borderId="152" xfId="0" applyFill="1" applyBorder="1" applyAlignment="1">
      <alignment vertical="center"/>
    </xf>
    <xf numFmtId="0" fontId="34" fillId="2" borderId="156" xfId="0" applyFont="1" applyFill="1" applyBorder="1" applyAlignment="1">
      <alignment vertical="center"/>
    </xf>
    <xf numFmtId="0" fontId="0" fillId="2" borderId="157" xfId="0" applyFill="1" applyBorder="1" applyAlignment="1">
      <alignment vertical="center"/>
    </xf>
    <xf numFmtId="0" fontId="0" fillId="2" borderId="161" xfId="0" applyFill="1" applyBorder="1" applyAlignment="1">
      <alignment vertical="center"/>
    </xf>
    <xf numFmtId="0" fontId="32" fillId="2" borderId="157" xfId="0" applyFont="1" applyFill="1" applyBorder="1" applyAlignment="1">
      <alignment horizontal="right" vertical="center"/>
    </xf>
    <xf numFmtId="0" fontId="32" fillId="2" borderId="157" xfId="0" applyFont="1" applyFill="1" applyBorder="1" applyAlignment="1">
      <alignment vertical="center"/>
    </xf>
    <xf numFmtId="0" fontId="31" fillId="2" borderId="157" xfId="0" applyFont="1" applyFill="1" applyBorder="1" applyAlignment="1">
      <alignment vertical="center"/>
    </xf>
    <xf numFmtId="0" fontId="34" fillId="2" borderId="157" xfId="0" applyFont="1" applyFill="1" applyBorder="1" applyAlignment="1">
      <alignment vertical="center"/>
    </xf>
    <xf numFmtId="0" fontId="0" fillId="2" borderId="158" xfId="0" applyFill="1" applyBorder="1" applyAlignment="1">
      <alignment vertical="center"/>
    </xf>
    <xf numFmtId="0" fontId="31" fillId="2" borderId="151" xfId="0" applyFont="1" applyFill="1" applyBorder="1" applyAlignment="1">
      <alignment vertical="center"/>
    </xf>
    <xf numFmtId="0" fontId="33" fillId="2" borderId="0" xfId="0" applyFont="1" applyFill="1" applyAlignment="1">
      <alignment vertical="center"/>
    </xf>
    <xf numFmtId="0" fontId="31" fillId="2" borderId="162" xfId="0" applyFont="1" applyFill="1" applyBorder="1" applyAlignment="1">
      <alignment vertical="center"/>
    </xf>
    <xf numFmtId="0" fontId="0" fillId="2" borderId="163" xfId="0" applyFill="1" applyBorder="1" applyAlignment="1">
      <alignment vertical="center"/>
    </xf>
    <xf numFmtId="0" fontId="31" fillId="2" borderId="163" xfId="0" applyFont="1" applyFill="1" applyBorder="1" applyAlignment="1">
      <alignment vertical="center"/>
    </xf>
    <xf numFmtId="0" fontId="0" fillId="2" borderId="164" xfId="0" applyFill="1" applyBorder="1" applyAlignment="1">
      <alignment vertical="center"/>
    </xf>
    <xf numFmtId="0" fontId="31" fillId="2" borderId="167" xfId="0" applyFont="1" applyFill="1" applyBorder="1" applyAlignment="1">
      <alignment horizontal="centerContinuous" vertical="center"/>
    </xf>
    <xf numFmtId="0" fontId="31" fillId="2" borderId="168" xfId="0" applyFont="1" applyFill="1" applyBorder="1" applyAlignment="1">
      <alignment horizontal="centerContinuous" vertical="center"/>
    </xf>
    <xf numFmtId="0" fontId="31" fillId="2" borderId="169" xfId="0" applyFont="1" applyFill="1" applyBorder="1" applyAlignment="1">
      <alignment horizontal="centerContinuous" vertical="center"/>
    </xf>
    <xf numFmtId="0" fontId="31" fillId="2" borderId="173" xfId="0" applyFont="1" applyFill="1" applyBorder="1" applyAlignment="1">
      <alignment horizontal="centerContinuous" vertical="center"/>
    </xf>
    <xf numFmtId="0" fontId="31" fillId="2" borderId="166" xfId="0" applyFont="1" applyFill="1" applyBorder="1" applyAlignment="1">
      <alignment horizontal="centerContinuous" vertical="center"/>
    </xf>
    <xf numFmtId="0" fontId="31" fillId="2" borderId="174" xfId="0" applyFont="1" applyFill="1" applyBorder="1" applyAlignment="1">
      <alignment horizontal="centerContinuous" vertical="center"/>
    </xf>
    <xf numFmtId="0" fontId="31" fillId="0" borderId="170" xfId="0" applyFont="1" applyBorder="1" applyAlignment="1">
      <alignment vertical="center"/>
    </xf>
    <xf numFmtId="0" fontId="31" fillId="0" borderId="178" xfId="0" applyFont="1" applyBorder="1" applyAlignment="1">
      <alignment vertical="center"/>
    </xf>
    <xf numFmtId="0" fontId="31" fillId="0" borderId="179" xfId="0" applyFont="1" applyBorder="1" applyAlignment="1">
      <alignment vertical="center"/>
    </xf>
    <xf numFmtId="0" fontId="31" fillId="0" borderId="175" xfId="0" applyFont="1" applyBorder="1" applyAlignment="1">
      <alignment vertical="center"/>
    </xf>
    <xf numFmtId="0" fontId="31" fillId="0" borderId="176" xfId="0" applyFont="1" applyBorder="1" applyAlignment="1">
      <alignment vertical="center"/>
    </xf>
    <xf numFmtId="0" fontId="31" fillId="0" borderId="171" xfId="0" applyFont="1" applyBorder="1" applyAlignment="1">
      <alignment vertical="center"/>
    </xf>
    <xf numFmtId="0" fontId="31" fillId="0" borderId="172" xfId="0" applyFont="1" applyBorder="1" applyAlignment="1">
      <alignment vertical="center"/>
    </xf>
    <xf numFmtId="0" fontId="34" fillId="2" borderId="194" xfId="0" applyFont="1" applyFill="1" applyBorder="1" applyAlignment="1">
      <alignment horizontal="centerContinuous" vertical="center"/>
    </xf>
    <xf numFmtId="0" fontId="34" fillId="2" borderId="195" xfId="0" applyFont="1" applyFill="1" applyBorder="1" applyAlignment="1">
      <alignment horizontal="centerContinuous" vertical="center"/>
    </xf>
    <xf numFmtId="0" fontId="34" fillId="2" borderId="196" xfId="0" applyFont="1" applyFill="1" applyBorder="1" applyAlignment="1">
      <alignment horizontal="centerContinuous" vertical="center"/>
    </xf>
    <xf numFmtId="0" fontId="31" fillId="0" borderId="193" xfId="0" applyFont="1" applyBorder="1" applyAlignment="1">
      <alignment vertical="center"/>
    </xf>
    <xf numFmtId="0" fontId="31" fillId="0" borderId="180" xfId="0" applyFont="1" applyBorder="1" applyAlignment="1">
      <alignment vertical="center"/>
    </xf>
    <xf numFmtId="0" fontId="31" fillId="0" borderId="190" xfId="0" applyFont="1" applyBorder="1" applyAlignment="1">
      <alignment vertical="center"/>
    </xf>
    <xf numFmtId="0" fontId="31" fillId="0" borderId="191" xfId="0" applyFont="1" applyBorder="1" applyAlignment="1">
      <alignment vertical="center"/>
    </xf>
    <xf numFmtId="0" fontId="31" fillId="0" borderId="198" xfId="0" applyFont="1" applyBorder="1" applyAlignment="1">
      <alignment vertical="center"/>
    </xf>
    <xf numFmtId="0" fontId="31" fillId="0" borderId="157" xfId="0" applyFont="1" applyBorder="1" applyAlignment="1">
      <alignment horizontal="right" vertical="center"/>
    </xf>
    <xf numFmtId="0" fontId="31" fillId="0" borderId="179" xfId="0" applyFont="1" applyBorder="1" applyAlignment="1">
      <alignment horizontal="right" vertical="center"/>
    </xf>
    <xf numFmtId="0" fontId="35" fillId="2" borderId="165" xfId="0" applyFont="1" applyFill="1" applyBorder="1" applyAlignment="1">
      <alignment horizontal="left" vertical="center"/>
    </xf>
    <xf numFmtId="0" fontId="35" fillId="2" borderId="165" xfId="0" applyFont="1" applyFill="1" applyBorder="1" applyAlignment="1">
      <alignment vertical="center"/>
    </xf>
    <xf numFmtId="0" fontId="35" fillId="2" borderId="165" xfId="0" applyFont="1" applyFill="1" applyBorder="1" applyAlignment="1">
      <alignment horizontal="right" vertical="center"/>
    </xf>
    <xf numFmtId="0" fontId="31" fillId="0" borderId="192" xfId="0" applyFont="1" applyBorder="1" applyAlignment="1">
      <alignment vertical="center"/>
    </xf>
    <xf numFmtId="0" fontId="31" fillId="0" borderId="185" xfId="0" applyFont="1" applyBorder="1" applyAlignment="1">
      <alignment vertical="center"/>
    </xf>
    <xf numFmtId="0" fontId="31" fillId="0" borderId="182" xfId="0" applyFont="1" applyBorder="1" applyAlignment="1">
      <alignment vertical="center"/>
    </xf>
    <xf numFmtId="1" fontId="12" fillId="3" borderId="0" xfId="0" applyNumberFormat="1" applyFont="1" applyFill="1" applyAlignment="1">
      <alignment horizontal="center"/>
    </xf>
    <xf numFmtId="1" fontId="31" fillId="0" borderId="179" xfId="0" applyNumberFormat="1" applyFont="1" applyBorder="1" applyAlignment="1">
      <alignment vertical="center"/>
    </xf>
    <xf numFmtId="0" fontId="31" fillId="0" borderId="200" xfId="0" applyFont="1" applyBorder="1" applyAlignment="1">
      <alignment vertical="center"/>
    </xf>
    <xf numFmtId="0" fontId="31" fillId="0" borderId="201" xfId="0" applyFont="1" applyBorder="1" applyAlignment="1">
      <alignment vertical="center"/>
    </xf>
    <xf numFmtId="0" fontId="31" fillId="0" borderId="202" xfId="0" applyFont="1" applyBorder="1" applyAlignment="1">
      <alignment horizontal="right" vertical="center"/>
    </xf>
    <xf numFmtId="0" fontId="31" fillId="0" borderId="203" xfId="0" applyFont="1" applyBorder="1" applyAlignment="1">
      <alignment horizontal="right" vertical="center"/>
    </xf>
    <xf numFmtId="0" fontId="31" fillId="0" borderId="159" xfId="0" applyFont="1" applyBorder="1" applyAlignment="1">
      <alignment vertical="center"/>
    </xf>
    <xf numFmtId="0" fontId="31" fillId="0" borderId="204" xfId="0" applyFont="1" applyBorder="1" applyAlignment="1">
      <alignment vertical="center"/>
    </xf>
    <xf numFmtId="0" fontId="31" fillId="0" borderId="161" xfId="0" applyFont="1" applyBorder="1" applyAlignment="1">
      <alignment vertical="center"/>
    </xf>
    <xf numFmtId="1" fontId="31" fillId="0" borderId="157" xfId="0" applyNumberFormat="1" applyFont="1" applyBorder="1" applyAlignment="1">
      <alignment vertical="center"/>
    </xf>
    <xf numFmtId="0" fontId="31" fillId="0" borderId="154" xfId="0" applyFont="1" applyBorder="1" applyAlignment="1">
      <alignment horizontal="right" vertical="center"/>
    </xf>
    <xf numFmtId="0" fontId="31" fillId="0" borderId="206" xfId="0" applyFont="1" applyBorder="1" applyAlignment="1">
      <alignment vertical="center"/>
    </xf>
    <xf numFmtId="0" fontId="31" fillId="0" borderId="187" xfId="0" applyFont="1" applyBorder="1" applyAlignment="1">
      <alignment vertical="center"/>
    </xf>
    <xf numFmtId="166" fontId="31" fillId="0" borderId="179" xfId="0" applyNumberFormat="1" applyFont="1" applyBorder="1" applyAlignment="1">
      <alignment vertical="center"/>
    </xf>
    <xf numFmtId="0" fontId="31" fillId="0" borderId="202" xfId="0" applyFont="1" applyBorder="1" applyAlignment="1">
      <alignment vertical="center"/>
    </xf>
    <xf numFmtId="0" fontId="31" fillId="0" borderId="203" xfId="0" applyFont="1" applyBorder="1" applyAlignment="1">
      <alignment vertical="center"/>
    </xf>
    <xf numFmtId="0" fontId="31" fillId="0" borderId="201" xfId="0" applyFont="1" applyBorder="1" applyAlignment="1">
      <alignment horizontal="right" vertical="center"/>
    </xf>
    <xf numFmtId="0" fontId="4" fillId="2" borderId="61" xfId="0" applyFont="1" applyFill="1" applyBorder="1"/>
    <xf numFmtId="0" fontId="31" fillId="0" borderId="168" xfId="0" applyFont="1" applyBorder="1" applyAlignment="1">
      <alignment vertical="center"/>
    </xf>
    <xf numFmtId="0" fontId="31" fillId="0" borderId="178" xfId="0" applyFont="1" applyBorder="1" applyAlignment="1">
      <alignment horizontal="left" vertical="center"/>
    </xf>
    <xf numFmtId="0" fontId="31" fillId="0" borderId="180" xfId="0" applyFont="1" applyBorder="1" applyAlignment="1">
      <alignment horizontal="left" vertical="center"/>
    </xf>
    <xf numFmtId="0" fontId="31" fillId="0" borderId="189" xfId="0" applyFont="1" applyBorder="1" applyAlignment="1">
      <alignment horizontal="left" vertical="center"/>
    </xf>
    <xf numFmtId="0" fontId="31" fillId="0" borderId="191" xfId="0" applyFont="1" applyBorder="1" applyAlignment="1">
      <alignment horizontal="left" vertical="center"/>
    </xf>
    <xf numFmtId="2" fontId="31" fillId="0" borderId="0" xfId="0" applyNumberFormat="1" applyFont="1" applyAlignment="1">
      <alignment vertical="center"/>
    </xf>
    <xf numFmtId="0" fontId="36" fillId="2" borderId="43" xfId="0" applyFont="1" applyFill="1" applyBorder="1"/>
    <xf numFmtId="168" fontId="6" fillId="2" borderId="0" xfId="0" applyNumberFormat="1" applyFont="1" applyFill="1"/>
    <xf numFmtId="0" fontId="36" fillId="2" borderId="43" xfId="0" applyFont="1" applyFill="1" applyBorder="1" applyAlignment="1">
      <alignment horizontal="center"/>
    </xf>
    <xf numFmtId="0" fontId="35" fillId="0" borderId="193" xfId="0" applyFont="1" applyBorder="1" applyAlignment="1">
      <alignment vertical="center"/>
    </xf>
    <xf numFmtId="0" fontId="19" fillId="2" borderId="0" xfId="0" applyFont="1" applyFill="1"/>
    <xf numFmtId="0" fontId="37" fillId="2" borderId="43" xfId="0" applyFont="1" applyFill="1" applyBorder="1"/>
    <xf numFmtId="0" fontId="37" fillId="2" borderId="131" xfId="0" applyFont="1" applyFill="1" applyBorder="1" applyAlignment="1">
      <alignment horizontal="center"/>
    </xf>
    <xf numFmtId="0" fontId="37" fillId="2" borderId="132" xfId="0" applyFont="1" applyFill="1" applyBorder="1" applyAlignment="1">
      <alignment horizontal="center"/>
    </xf>
    <xf numFmtId="166" fontId="37" fillId="2" borderId="142" xfId="0" applyNumberFormat="1" applyFont="1" applyFill="1" applyBorder="1" applyAlignment="1">
      <alignment horizontal="center"/>
    </xf>
    <xf numFmtId="166" fontId="37" fillId="2" borderId="131" xfId="0" applyNumberFormat="1" applyFont="1" applyFill="1" applyBorder="1" applyAlignment="1">
      <alignment horizontal="center"/>
    </xf>
    <xf numFmtId="166" fontId="37" fillId="2" borderId="135" xfId="0" applyNumberFormat="1" applyFont="1" applyFill="1" applyBorder="1" applyAlignment="1">
      <alignment horizontal="center"/>
    </xf>
    <xf numFmtId="0" fontId="19" fillId="2" borderId="132" xfId="0" applyFont="1" applyFill="1" applyBorder="1" applyAlignment="1">
      <alignment horizontal="center"/>
    </xf>
    <xf numFmtId="2" fontId="31" fillId="0" borderId="154" xfId="0" applyNumberFormat="1" applyFont="1" applyBorder="1" applyAlignment="1">
      <alignment vertical="center"/>
    </xf>
    <xf numFmtId="2" fontId="34" fillId="0" borderId="0" xfId="0" applyNumberFormat="1" applyFont="1" applyAlignment="1">
      <alignment vertical="center"/>
    </xf>
    <xf numFmtId="0" fontId="31" fillId="0" borderId="0" xfId="0" applyFont="1" applyAlignment="1">
      <alignment horizontal="left" vertical="center"/>
    </xf>
    <xf numFmtId="0" fontId="31" fillId="0" borderId="0" xfId="0" applyFont="1" applyAlignment="1">
      <alignment horizontal="right" vertical="center"/>
    </xf>
    <xf numFmtId="2" fontId="6" fillId="2" borderId="61" xfId="0" applyNumberFormat="1" applyFont="1" applyFill="1" applyBorder="1" applyAlignment="1">
      <alignment horizontal="center"/>
    </xf>
    <xf numFmtId="2" fontId="6" fillId="2" borderId="112" xfId="0" applyNumberFormat="1" applyFont="1" applyFill="1" applyBorder="1" applyAlignment="1">
      <alignment horizontal="center"/>
    </xf>
    <xf numFmtId="2" fontId="6" fillId="2" borderId="44" xfId="0" applyNumberFormat="1" applyFont="1" applyFill="1" applyBorder="1" applyAlignment="1">
      <alignment horizontal="center"/>
    </xf>
    <xf numFmtId="2" fontId="7" fillId="2" borderId="0" xfId="0" applyNumberFormat="1" applyFont="1" applyFill="1" applyAlignment="1">
      <alignment horizontal="center"/>
    </xf>
    <xf numFmtId="0" fontId="33" fillId="0" borderId="0" xfId="0" applyFont="1"/>
    <xf numFmtId="0" fontId="31" fillId="0" borderId="0" xfId="0" applyFont="1"/>
    <xf numFmtId="0" fontId="31" fillId="0" borderId="167" xfId="0" applyFont="1" applyBorder="1"/>
    <xf numFmtId="0" fontId="31" fillId="0" borderId="168" xfId="0" applyFont="1" applyBorder="1"/>
    <xf numFmtId="0" fontId="34" fillId="0" borderId="168" xfId="0" applyFont="1" applyBorder="1" applyAlignment="1">
      <alignment horizontal="left"/>
    </xf>
    <xf numFmtId="0" fontId="31" fillId="0" borderId="168" xfId="0" applyFont="1" applyBorder="1" applyAlignment="1">
      <alignment horizontal="left"/>
    </xf>
    <xf numFmtId="0" fontId="31" fillId="0" borderId="169" xfId="0" applyFont="1" applyBorder="1" applyAlignment="1">
      <alignment horizontal="left"/>
    </xf>
    <xf numFmtId="0" fontId="31" fillId="0" borderId="170" xfId="0" applyFont="1" applyBorder="1"/>
    <xf numFmtId="0" fontId="31" fillId="0" borderId="0" xfId="0" applyFont="1" applyAlignment="1">
      <alignment horizontal="left"/>
    </xf>
    <xf numFmtId="0" fontId="31" fillId="0" borderId="214" xfId="0" applyFont="1" applyBorder="1" applyAlignment="1">
      <alignment horizontal="left"/>
    </xf>
    <xf numFmtId="0" fontId="34" fillId="0" borderId="0" xfId="0" applyFont="1" applyAlignment="1">
      <alignment horizontal="left"/>
    </xf>
    <xf numFmtId="0" fontId="31" fillId="0" borderId="215" xfId="0" applyFont="1" applyBorder="1"/>
    <xf numFmtId="0" fontId="31" fillId="0" borderId="165" xfId="0" applyFont="1" applyBorder="1"/>
    <xf numFmtId="0" fontId="31" fillId="0" borderId="165" xfId="0" applyFont="1" applyBorder="1" applyAlignment="1">
      <alignment horizontal="left"/>
    </xf>
    <xf numFmtId="0" fontId="31" fillId="0" borderId="216" xfId="0" applyFont="1" applyBorder="1" applyAlignment="1">
      <alignment horizontal="left"/>
    </xf>
    <xf numFmtId="0" fontId="31" fillId="0" borderId="173" xfId="0" applyFont="1" applyBorder="1"/>
    <xf numFmtId="0" fontId="31" fillId="0" borderId="166" xfId="0" applyFont="1" applyBorder="1"/>
    <xf numFmtId="0" fontId="31" fillId="0" borderId="166" xfId="0" applyFont="1" applyBorder="1" applyAlignment="1">
      <alignment horizontal="left"/>
    </xf>
    <xf numFmtId="0" fontId="31" fillId="0" borderId="174" xfId="0" applyFont="1" applyBorder="1" applyAlignment="1">
      <alignment horizontal="left"/>
    </xf>
    <xf numFmtId="0" fontId="31" fillId="0" borderId="216" xfId="0" applyFont="1" applyBorder="1"/>
    <xf numFmtId="0" fontId="31" fillId="0" borderId="214" xfId="0" applyFont="1" applyBorder="1"/>
    <xf numFmtId="0" fontId="31" fillId="0" borderId="171" xfId="0" applyFont="1" applyBorder="1"/>
    <xf numFmtId="0" fontId="31" fillId="0" borderId="172" xfId="0" applyFont="1" applyBorder="1"/>
    <xf numFmtId="0" fontId="31" fillId="0" borderId="172" xfId="0" applyFont="1" applyBorder="1" applyAlignment="1">
      <alignment horizontal="left"/>
    </xf>
    <xf numFmtId="0" fontId="31" fillId="0" borderId="217" xfId="0" applyFont="1" applyBorder="1"/>
    <xf numFmtId="0" fontId="31" fillId="0" borderId="169" xfId="0" applyFont="1" applyBorder="1"/>
    <xf numFmtId="0" fontId="31" fillId="0" borderId="175" xfId="0" applyFont="1" applyBorder="1"/>
    <xf numFmtId="0" fontId="31" fillId="0" borderId="176" xfId="0" applyFont="1" applyBorder="1"/>
    <xf numFmtId="0" fontId="31" fillId="0" borderId="177" xfId="0" applyFont="1" applyBorder="1"/>
    <xf numFmtId="0" fontId="31" fillId="0" borderId="174" xfId="0" applyFont="1" applyBorder="1"/>
    <xf numFmtId="0" fontId="31" fillId="0" borderId="219" xfId="0" applyFont="1" applyBorder="1"/>
    <xf numFmtId="0" fontId="31" fillId="0" borderId="220" xfId="0" applyFont="1" applyBorder="1"/>
    <xf numFmtId="0" fontId="31" fillId="0" borderId="221" xfId="0" applyFont="1" applyBorder="1"/>
    <xf numFmtId="14" fontId="31" fillId="0" borderId="195" xfId="0" applyNumberFormat="1" applyFont="1" applyBorder="1"/>
    <xf numFmtId="0" fontId="31" fillId="0" borderId="218" xfId="0" applyFont="1" applyBorder="1"/>
    <xf numFmtId="0" fontId="31" fillId="0" borderId="222" xfId="0" applyFont="1" applyBorder="1"/>
    <xf numFmtId="0" fontId="31" fillId="0" borderId="213" xfId="0" applyFont="1" applyBorder="1"/>
    <xf numFmtId="0" fontId="31" fillId="0" borderId="223" xfId="0" applyFont="1" applyBorder="1"/>
    <xf numFmtId="0" fontId="6" fillId="2" borderId="225" xfId="0" applyFont="1" applyFill="1" applyBorder="1" applyAlignment="1">
      <alignment horizontal="center"/>
    </xf>
    <xf numFmtId="0" fontId="6" fillId="2" borderId="226" xfId="0" applyFont="1" applyFill="1" applyBorder="1"/>
    <xf numFmtId="0" fontId="6" fillId="2" borderId="227" xfId="0" applyFont="1" applyFill="1" applyBorder="1"/>
    <xf numFmtId="0" fontId="6" fillId="2" borderId="228" xfId="0" applyFont="1" applyFill="1" applyBorder="1"/>
    <xf numFmtId="0" fontId="6" fillId="2" borderId="229" xfId="0" applyFont="1" applyFill="1" applyBorder="1"/>
    <xf numFmtId="0" fontId="6" fillId="2" borderId="230" xfId="0" applyFont="1" applyFill="1" applyBorder="1"/>
    <xf numFmtId="0" fontId="6" fillId="2" borderId="231" xfId="0" applyFont="1" applyFill="1" applyBorder="1"/>
    <xf numFmtId="0" fontId="6" fillId="2" borderId="225" xfId="0" applyFont="1" applyFill="1" applyBorder="1"/>
    <xf numFmtId="0" fontId="6" fillId="2" borderId="225" xfId="0" applyFont="1" applyFill="1" applyBorder="1" applyAlignment="1">
      <alignment horizontal="right"/>
    </xf>
    <xf numFmtId="166" fontId="6" fillId="2" borderId="226" xfId="0" applyNumberFormat="1" applyFont="1" applyFill="1" applyBorder="1"/>
    <xf numFmtId="166" fontId="6" fillId="2" borderId="227" xfId="0" applyNumberFormat="1" applyFont="1" applyFill="1" applyBorder="1"/>
    <xf numFmtId="166" fontId="6" fillId="2" borderId="229" xfId="0" applyNumberFormat="1" applyFont="1" applyFill="1" applyBorder="1"/>
    <xf numFmtId="166" fontId="6" fillId="2" borderId="232" xfId="0" applyNumberFormat="1" applyFont="1" applyFill="1" applyBorder="1"/>
    <xf numFmtId="166" fontId="6" fillId="2" borderId="231" xfId="0" applyNumberFormat="1" applyFont="1" applyFill="1" applyBorder="1"/>
    <xf numFmtId="166" fontId="6" fillId="2" borderId="224" xfId="0" applyNumberFormat="1" applyFont="1" applyFill="1" applyBorder="1"/>
    <xf numFmtId="166" fontId="6" fillId="2" borderId="233" xfId="0" applyNumberFormat="1" applyFont="1" applyFill="1" applyBorder="1"/>
    <xf numFmtId="166" fontId="6" fillId="2" borderId="225" xfId="0" applyNumberFormat="1" applyFont="1" applyFill="1" applyBorder="1"/>
    <xf numFmtId="0" fontId="6" fillId="2" borderId="61" xfId="0" applyFont="1" applyFill="1" applyBorder="1" applyAlignment="1">
      <alignment horizontal="centerContinuous"/>
    </xf>
    <xf numFmtId="0" fontId="6" fillId="2" borderId="126" xfId="0" applyFont="1" applyFill="1" applyBorder="1" applyAlignment="1">
      <alignment horizontal="centerContinuous"/>
    </xf>
    <xf numFmtId="0" fontId="6" fillId="2" borderId="127" xfId="0" applyFont="1" applyFill="1" applyBorder="1" applyAlignment="1">
      <alignment horizontal="centerContinuous"/>
    </xf>
    <xf numFmtId="166" fontId="6" fillId="2" borderId="136" xfId="0" applyNumberFormat="1" applyFont="1" applyFill="1" applyBorder="1" applyAlignment="1">
      <alignment horizontal="center"/>
    </xf>
    <xf numFmtId="166" fontId="6" fillId="2" borderId="125" xfId="0" applyNumberFormat="1" applyFont="1" applyFill="1" applyBorder="1" applyAlignment="1">
      <alignment horizontal="center"/>
    </xf>
    <xf numFmtId="0" fontId="31" fillId="0" borderId="198" xfId="0" applyFont="1" applyBorder="1" applyAlignment="1">
      <alignment horizontal="right" vertical="center"/>
    </xf>
    <xf numFmtId="0" fontId="28" fillId="2" borderId="0" xfId="0" applyFont="1" applyFill="1"/>
    <xf numFmtId="0" fontId="6" fillId="2" borderId="243" xfId="0" applyFont="1" applyFill="1" applyBorder="1" applyAlignment="1">
      <alignment horizontal="right"/>
    </xf>
    <xf numFmtId="2" fontId="6" fillId="2" borderId="244" xfId="0" applyNumberFormat="1" applyFont="1" applyFill="1" applyBorder="1"/>
    <xf numFmtId="2" fontId="6" fillId="2" borderId="245" xfId="0" applyNumberFormat="1" applyFont="1" applyFill="1" applyBorder="1"/>
    <xf numFmtId="2" fontId="6" fillId="2" borderId="246" xfId="0" applyNumberFormat="1" applyFont="1" applyFill="1" applyBorder="1"/>
    <xf numFmtId="2" fontId="6" fillId="2" borderId="247" xfId="0" applyNumberFormat="1" applyFont="1" applyFill="1" applyBorder="1"/>
    <xf numFmtId="2" fontId="6" fillId="2" borderId="248" xfId="0" applyNumberFormat="1" applyFont="1" applyFill="1" applyBorder="1"/>
    <xf numFmtId="2" fontId="6" fillId="2" borderId="249" xfId="0" applyNumberFormat="1" applyFont="1" applyFill="1" applyBorder="1"/>
    <xf numFmtId="2" fontId="6" fillId="2" borderId="250" xfId="0" applyNumberFormat="1" applyFont="1" applyFill="1" applyBorder="1"/>
    <xf numFmtId="2" fontId="6" fillId="2" borderId="243" xfId="0" applyNumberFormat="1" applyFont="1" applyFill="1" applyBorder="1"/>
    <xf numFmtId="0" fontId="6" fillId="2" borderId="108" xfId="0" applyFont="1" applyFill="1" applyBorder="1" applyAlignment="1">
      <alignment horizontal="center"/>
    </xf>
    <xf numFmtId="0" fontId="34" fillId="2" borderId="194" xfId="0" applyFont="1" applyFill="1" applyBorder="1"/>
    <xf numFmtId="0" fontId="31" fillId="2" borderId="195" xfId="0" applyFont="1" applyFill="1" applyBorder="1"/>
    <xf numFmtId="0" fontId="31" fillId="2" borderId="196" xfId="0" applyFont="1" applyFill="1" applyBorder="1"/>
    <xf numFmtId="0" fontId="34" fillId="2" borderId="194" xfId="0" applyFont="1" applyFill="1" applyBorder="1" applyAlignment="1">
      <alignment horizontal="left" vertical="center"/>
    </xf>
    <xf numFmtId="0" fontId="31" fillId="2" borderId="195" xfId="0" applyFont="1" applyFill="1" applyBorder="1" applyAlignment="1">
      <alignment horizontal="center" vertical="center"/>
    </xf>
    <xf numFmtId="0" fontId="31" fillId="2" borderId="196" xfId="0" applyFont="1" applyFill="1" applyBorder="1" applyAlignment="1">
      <alignment horizontal="center" vertical="center"/>
    </xf>
    <xf numFmtId="0" fontId="31" fillId="0" borderId="198" xfId="0" applyFont="1" applyBorder="1" applyAlignment="1">
      <alignment horizontal="left" vertical="center"/>
    </xf>
    <xf numFmtId="0" fontId="31" fillId="0" borderId="179" xfId="0" applyFont="1" applyBorder="1" applyAlignment="1">
      <alignment horizontal="left" vertical="center"/>
    </xf>
    <xf numFmtId="0" fontId="31" fillId="0" borderId="190" xfId="0" applyFont="1" applyBorder="1" applyAlignment="1">
      <alignment horizontal="left" vertical="center"/>
    </xf>
    <xf numFmtId="0" fontId="31" fillId="0" borderId="197" xfId="0" applyFont="1" applyBorder="1" applyAlignment="1">
      <alignment horizontal="left" vertical="center"/>
    </xf>
    <xf numFmtId="0" fontId="31" fillId="0" borderId="185" xfId="0" applyFont="1" applyBorder="1" applyAlignment="1">
      <alignment horizontal="left" vertical="center"/>
    </xf>
    <xf numFmtId="2" fontId="31" fillId="0" borderId="179" xfId="0" applyNumberFormat="1" applyFont="1" applyBorder="1" applyAlignment="1">
      <alignment horizontal="right" vertical="center"/>
    </xf>
    <xf numFmtId="2" fontId="31" fillId="0" borderId="190" xfId="0" applyNumberFormat="1" applyFont="1" applyBorder="1" applyAlignment="1">
      <alignment horizontal="right" vertical="center"/>
    </xf>
    <xf numFmtId="166" fontId="31" fillId="0" borderId="198" xfId="0" applyNumberFormat="1" applyFont="1" applyBorder="1" applyAlignment="1">
      <alignment horizontal="right" vertical="center"/>
    </xf>
    <xf numFmtId="166" fontId="31" fillId="0" borderId="179" xfId="0" applyNumberFormat="1" applyFont="1" applyBorder="1" applyAlignment="1">
      <alignment horizontal="right" vertical="center"/>
    </xf>
    <xf numFmtId="166" fontId="31" fillId="0" borderId="190" xfId="0" applyNumberFormat="1" applyFont="1" applyBorder="1" applyAlignment="1">
      <alignment horizontal="right" vertical="center"/>
    </xf>
    <xf numFmtId="2" fontId="31" fillId="0" borderId="179" xfId="0" applyNumberFormat="1" applyFont="1" applyBorder="1" applyAlignment="1">
      <alignment horizontal="left" vertical="center"/>
    </xf>
    <xf numFmtId="2" fontId="31" fillId="0" borderId="190" xfId="0" applyNumberFormat="1" applyFont="1" applyBorder="1" applyAlignment="1">
      <alignment horizontal="left" vertical="center"/>
    </xf>
    <xf numFmtId="0" fontId="31" fillId="0" borderId="191" xfId="0" applyFont="1" applyBorder="1" applyAlignment="1">
      <alignment horizontal="left"/>
    </xf>
    <xf numFmtId="0" fontId="31" fillId="0" borderId="157" xfId="0" applyFont="1" applyBorder="1" applyAlignment="1">
      <alignment horizontal="left" vertical="center"/>
    </xf>
    <xf numFmtId="0" fontId="31" fillId="0" borderId="193" xfId="0" applyFont="1" applyBorder="1" applyAlignment="1">
      <alignment horizontal="left" vertical="center"/>
    </xf>
    <xf numFmtId="166" fontId="31" fillId="0" borderId="198" xfId="0" applyNumberFormat="1" applyFont="1" applyBorder="1" applyAlignment="1">
      <alignment horizontal="left" vertical="center"/>
    </xf>
    <xf numFmtId="166" fontId="31" fillId="0" borderId="179" xfId="0" applyNumberFormat="1" applyFont="1" applyBorder="1" applyAlignment="1">
      <alignment horizontal="left" vertical="center"/>
    </xf>
    <xf numFmtId="166" fontId="31" fillId="0" borderId="190" xfId="0" applyNumberFormat="1" applyFont="1" applyBorder="1" applyAlignment="1">
      <alignment horizontal="left" vertical="center"/>
    </xf>
    <xf numFmtId="0" fontId="31" fillId="2" borderId="170" xfId="0" applyFont="1" applyFill="1" applyBorder="1" applyAlignment="1">
      <alignment horizontal="left" vertical="center"/>
    </xf>
    <xf numFmtId="0" fontId="31" fillId="2" borderId="0" xfId="0" applyFont="1" applyFill="1" applyAlignment="1">
      <alignment horizontal="right" vertical="center"/>
    </xf>
    <xf numFmtId="0" fontId="31" fillId="2" borderId="0" xfId="0" applyFont="1" applyFill="1" applyAlignment="1">
      <alignment horizontal="left" vertical="center"/>
    </xf>
    <xf numFmtId="0" fontId="31" fillId="2" borderId="214" xfId="0" applyFont="1" applyFill="1" applyBorder="1" applyAlignment="1">
      <alignment horizontal="left" vertical="center"/>
    </xf>
    <xf numFmtId="0" fontId="31" fillId="2" borderId="214" xfId="0" applyFont="1" applyFill="1" applyBorder="1" applyAlignment="1">
      <alignment horizontal="left"/>
    </xf>
    <xf numFmtId="0" fontId="31" fillId="2" borderId="170" xfId="0" applyFont="1" applyFill="1" applyBorder="1" applyAlignment="1">
      <alignment horizontal="right" vertical="center"/>
    </xf>
    <xf numFmtId="0" fontId="31" fillId="2" borderId="173" xfId="0" applyFont="1" applyFill="1" applyBorder="1" applyAlignment="1">
      <alignment horizontal="right" vertical="center"/>
    </xf>
    <xf numFmtId="0" fontId="31" fillId="2" borderId="166" xfId="0" applyFont="1" applyFill="1" applyBorder="1" applyAlignment="1">
      <alignment horizontal="left" vertical="center"/>
    </xf>
    <xf numFmtId="0" fontId="31" fillId="2" borderId="174" xfId="0" applyFont="1" applyFill="1" applyBorder="1" applyAlignment="1">
      <alignment horizontal="left" vertical="center"/>
    </xf>
    <xf numFmtId="0" fontId="31" fillId="2" borderId="251" xfId="0" applyFont="1" applyFill="1" applyBorder="1"/>
    <xf numFmtId="0" fontId="34" fillId="2" borderId="167" xfId="0" applyFont="1" applyFill="1" applyBorder="1"/>
    <xf numFmtId="0" fontId="31" fillId="2" borderId="168" xfId="0" applyFont="1" applyFill="1" applyBorder="1"/>
    <xf numFmtId="0" fontId="31" fillId="2" borderId="169" xfId="0" applyFont="1" applyFill="1" applyBorder="1"/>
    <xf numFmtId="0" fontId="31" fillId="2" borderId="215" xfId="0" applyFont="1" applyFill="1" applyBorder="1"/>
    <xf numFmtId="0" fontId="31" fillId="2" borderId="165" xfId="0" applyFont="1" applyFill="1" applyBorder="1"/>
    <xf numFmtId="0" fontId="31" fillId="2" borderId="252" xfId="0" applyFont="1" applyFill="1" applyBorder="1"/>
    <xf numFmtId="0" fontId="31" fillId="2" borderId="216" xfId="0" applyFont="1" applyFill="1" applyBorder="1"/>
    <xf numFmtId="0" fontId="31" fillId="2" borderId="170" xfId="0" applyFont="1" applyFill="1" applyBorder="1"/>
    <xf numFmtId="0" fontId="31" fillId="2" borderId="0" xfId="0" applyFont="1" applyFill="1"/>
    <xf numFmtId="0" fontId="31" fillId="2" borderId="214" xfId="0" applyFont="1" applyFill="1" applyBorder="1"/>
    <xf numFmtId="0" fontId="31" fillId="2" borderId="173" xfId="0" applyFont="1" applyFill="1" applyBorder="1"/>
    <xf numFmtId="0" fontId="31" fillId="2" borderId="166" xfId="0" applyFont="1" applyFill="1" applyBorder="1"/>
    <xf numFmtId="0" fontId="31" fillId="2" borderId="174" xfId="0" applyFont="1" applyFill="1" applyBorder="1"/>
    <xf numFmtId="2" fontId="31" fillId="0" borderId="198" xfId="0" applyNumberFormat="1" applyFont="1" applyBorder="1" applyAlignment="1">
      <alignment horizontal="left" vertical="center"/>
    </xf>
    <xf numFmtId="0" fontId="31" fillId="0" borderId="178" xfId="0" applyFont="1" applyBorder="1"/>
    <xf numFmtId="0" fontId="31" fillId="0" borderId="179" xfId="0" applyFont="1" applyBorder="1"/>
    <xf numFmtId="0" fontId="31" fillId="0" borderId="180" xfId="0" applyFont="1" applyBorder="1"/>
    <xf numFmtId="166" fontId="31" fillId="0" borderId="179" xfId="0" applyNumberFormat="1" applyFont="1" applyBorder="1"/>
    <xf numFmtId="0" fontId="31" fillId="0" borderId="179" xfId="0" applyFont="1" applyBorder="1" applyAlignment="1">
      <alignment horizontal="right"/>
    </xf>
    <xf numFmtId="1" fontId="31" fillId="0" borderId="179" xfId="0" applyNumberFormat="1" applyFont="1" applyBorder="1"/>
    <xf numFmtId="0" fontId="31" fillId="0" borderId="189" xfId="0" applyFont="1" applyBorder="1"/>
    <xf numFmtId="0" fontId="31" fillId="0" borderId="190" xfId="0" applyFont="1" applyBorder="1"/>
    <xf numFmtId="0" fontId="31" fillId="0" borderId="190" xfId="0" applyFont="1" applyBorder="1" applyAlignment="1">
      <alignment horizontal="right"/>
    </xf>
    <xf numFmtId="1" fontId="31" fillId="0" borderId="190" xfId="0" applyNumberFormat="1" applyFont="1" applyBorder="1"/>
    <xf numFmtId="0" fontId="31" fillId="0" borderId="191" xfId="0" applyFont="1" applyBorder="1"/>
    <xf numFmtId="0" fontId="31" fillId="0" borderId="192" xfId="0" applyFont="1" applyBorder="1"/>
    <xf numFmtId="0" fontId="31" fillId="0" borderId="157" xfId="0" applyFont="1" applyBorder="1"/>
    <xf numFmtId="166" fontId="31" fillId="0" borderId="157" xfId="0" applyNumberFormat="1" applyFont="1" applyBorder="1"/>
    <xf numFmtId="0" fontId="31" fillId="0" borderId="193" xfId="0" applyFont="1" applyBorder="1"/>
    <xf numFmtId="0" fontId="31" fillId="2" borderId="175" xfId="0" applyFont="1" applyFill="1" applyBorder="1"/>
    <xf numFmtId="0" fontId="31" fillId="2" borderId="176" xfId="0" applyFont="1" applyFill="1" applyBorder="1"/>
    <xf numFmtId="0" fontId="31" fillId="2" borderId="177" xfId="0" applyFont="1" applyFill="1" applyBorder="1"/>
    <xf numFmtId="0" fontId="31" fillId="0" borderId="200" xfId="0" applyFont="1" applyBorder="1"/>
    <xf numFmtId="0" fontId="31" fillId="0" borderId="154" xfId="0" applyFont="1" applyBorder="1"/>
    <xf numFmtId="166" fontId="31" fillId="0" borderId="154" xfId="0" applyNumberFormat="1" applyFont="1" applyBorder="1"/>
    <xf numFmtId="0" fontId="31" fillId="0" borderId="204" xfId="0" applyFont="1" applyBorder="1"/>
    <xf numFmtId="0" fontId="31" fillId="0" borderId="157" xfId="0" applyFont="1" applyBorder="1" applyAlignment="1">
      <alignment horizontal="right"/>
    </xf>
    <xf numFmtId="1" fontId="31" fillId="0" borderId="157" xfId="0" applyNumberFormat="1" applyFont="1" applyBorder="1"/>
    <xf numFmtId="1" fontId="31" fillId="0" borderId="154" xfId="0" applyNumberFormat="1" applyFont="1" applyBorder="1"/>
    <xf numFmtId="0" fontId="31" fillId="2" borderId="166" xfId="0" applyFont="1" applyFill="1" applyBorder="1" applyAlignment="1">
      <alignment horizontal="centerContinuous"/>
    </xf>
    <xf numFmtId="0" fontId="31" fillId="2" borderId="174" xfId="0" applyFont="1" applyFill="1" applyBorder="1" applyAlignment="1">
      <alignment horizontal="centerContinuous"/>
    </xf>
    <xf numFmtId="1" fontId="31" fillId="0" borderId="172" xfId="0" applyNumberFormat="1" applyFont="1" applyBorder="1"/>
    <xf numFmtId="2" fontId="31" fillId="0" borderId="192" xfId="0" applyNumberFormat="1" applyFont="1" applyBorder="1" applyAlignment="1">
      <alignment horizontal="right" vertical="center"/>
    </xf>
    <xf numFmtId="1" fontId="31" fillId="0" borderId="190" xfId="0" applyNumberFormat="1" applyFont="1" applyBorder="1" applyAlignment="1">
      <alignment horizontal="center"/>
    </xf>
    <xf numFmtId="0" fontId="31" fillId="0" borderId="180" xfId="0" applyFont="1" applyBorder="1" applyAlignment="1">
      <alignment horizontal="right"/>
    </xf>
    <xf numFmtId="0" fontId="31" fillId="0" borderId="178" xfId="0" applyFont="1" applyBorder="1" applyAlignment="1">
      <alignment horizontal="left"/>
    </xf>
    <xf numFmtId="2" fontId="31" fillId="0" borderId="179" xfId="0" applyNumberFormat="1" applyFont="1" applyBorder="1"/>
    <xf numFmtId="0" fontId="31" fillId="0" borderId="200" xfId="0" applyFont="1" applyBorder="1" applyAlignment="1">
      <alignment horizontal="left"/>
    </xf>
    <xf numFmtId="2" fontId="31" fillId="0" borderId="154" xfId="0" applyNumberFormat="1" applyFont="1" applyBorder="1"/>
    <xf numFmtId="0" fontId="31" fillId="0" borderId="197" xfId="0" applyFont="1" applyBorder="1" applyAlignment="1">
      <alignment horizontal="left"/>
    </xf>
    <xf numFmtId="0" fontId="31" fillId="0" borderId="198" xfId="0" applyFont="1" applyBorder="1"/>
    <xf numFmtId="0" fontId="31" fillId="0" borderId="192" xfId="0" applyFont="1" applyBorder="1" applyAlignment="1">
      <alignment horizontal="left"/>
    </xf>
    <xf numFmtId="2" fontId="31" fillId="0" borderId="157" xfId="0" applyNumberFormat="1" applyFont="1" applyBorder="1"/>
    <xf numFmtId="0" fontId="31" fillId="2" borderId="176" xfId="0" applyFont="1" applyFill="1" applyBorder="1" applyAlignment="1">
      <alignment horizontal="right"/>
    </xf>
    <xf numFmtId="0" fontId="31" fillId="2" borderId="177" xfId="0" applyFont="1" applyFill="1" applyBorder="1" applyAlignment="1">
      <alignment horizontal="right"/>
    </xf>
    <xf numFmtId="0" fontId="31" fillId="0" borderId="198" xfId="0" applyFont="1" applyBorder="1" applyAlignment="1">
      <alignment horizontal="right"/>
    </xf>
    <xf numFmtId="0" fontId="31" fillId="0" borderId="154" xfId="0" applyFont="1" applyBorder="1" applyAlignment="1">
      <alignment horizontal="right"/>
    </xf>
    <xf numFmtId="0" fontId="31" fillId="0" borderId="215" xfId="0" applyFont="1" applyBorder="1" applyAlignment="1">
      <alignment horizontal="left"/>
    </xf>
    <xf numFmtId="2" fontId="31" fillId="0" borderId="165" xfId="0" applyNumberFormat="1" applyFont="1" applyBorder="1"/>
    <xf numFmtId="0" fontId="31" fillId="0" borderId="185" xfId="0" quotePrefix="1" applyFont="1" applyBorder="1" applyAlignment="1">
      <alignment horizontal="center"/>
    </xf>
    <xf numFmtId="0" fontId="31" fillId="0" borderId="0" xfId="0" applyFont="1" applyAlignment="1">
      <alignment horizontal="right"/>
    </xf>
    <xf numFmtId="0" fontId="31" fillId="0" borderId="206" xfId="0" applyFont="1" applyBorder="1"/>
    <xf numFmtId="2" fontId="31" fillId="0" borderId="166" xfId="0" applyNumberFormat="1" applyFont="1" applyBorder="1"/>
    <xf numFmtId="0" fontId="31" fillId="0" borderId="206" xfId="0" applyFont="1" applyBorder="1" applyAlignment="1">
      <alignment horizontal="right"/>
    </xf>
    <xf numFmtId="0" fontId="31" fillId="0" borderId="187" xfId="0" quotePrefix="1" applyFont="1" applyBorder="1" applyAlignment="1">
      <alignment horizontal="center"/>
    </xf>
    <xf numFmtId="1" fontId="31" fillId="0" borderId="198" xfId="0" applyNumberFormat="1" applyFont="1" applyBorder="1"/>
    <xf numFmtId="1" fontId="31" fillId="0" borderId="185" xfId="0" applyNumberFormat="1" applyFont="1" applyBorder="1"/>
    <xf numFmtId="1" fontId="31" fillId="0" borderId="206" xfId="0" applyNumberFormat="1" applyFont="1" applyBorder="1"/>
    <xf numFmtId="0" fontId="31" fillId="0" borderId="173" xfId="0" applyFont="1" applyBorder="1" applyAlignment="1">
      <alignment horizontal="left"/>
    </xf>
    <xf numFmtId="0" fontId="31" fillId="2" borderId="173" xfId="0" applyFont="1" applyFill="1" applyBorder="1" applyAlignment="1">
      <alignment horizontal="left"/>
    </xf>
    <xf numFmtId="168" fontId="31" fillId="2" borderId="174" xfId="0" applyNumberFormat="1" applyFont="1" applyFill="1" applyBorder="1" applyAlignment="1">
      <alignment textRotation="90"/>
    </xf>
    <xf numFmtId="0" fontId="31" fillId="2" borderId="256" xfId="0" applyFont="1" applyFill="1" applyBorder="1" applyAlignment="1">
      <alignment horizontal="right"/>
    </xf>
    <xf numFmtId="0" fontId="31" fillId="2" borderId="257" xfId="0" applyFont="1" applyFill="1" applyBorder="1"/>
    <xf numFmtId="0" fontId="31" fillId="2" borderId="257" xfId="0" applyFont="1" applyFill="1" applyBorder="1" applyAlignment="1">
      <alignment textRotation="90"/>
    </xf>
    <xf numFmtId="1" fontId="31" fillId="0" borderId="258" xfId="0" applyNumberFormat="1" applyFont="1" applyBorder="1"/>
    <xf numFmtId="1" fontId="31" fillId="0" borderId="259" xfId="0" applyNumberFormat="1" applyFont="1" applyBorder="1"/>
    <xf numFmtId="1" fontId="31" fillId="0" borderId="261" xfId="0" applyNumberFormat="1" applyFont="1" applyBorder="1"/>
    <xf numFmtId="1" fontId="31" fillId="0" borderId="263" xfId="0" applyNumberFormat="1" applyFont="1" applyBorder="1"/>
    <xf numFmtId="0" fontId="31" fillId="0" borderId="205" xfId="0" applyFont="1" applyBorder="1" applyAlignment="1">
      <alignment horizontal="left"/>
    </xf>
    <xf numFmtId="1" fontId="31" fillId="0" borderId="264" xfId="0" applyNumberFormat="1" applyFont="1" applyBorder="1"/>
    <xf numFmtId="166" fontId="35" fillId="0" borderId="258" xfId="0" applyNumberFormat="1" applyFont="1" applyBorder="1"/>
    <xf numFmtId="166" fontId="35" fillId="0" borderId="259" xfId="0" applyNumberFormat="1" applyFont="1" applyBorder="1"/>
    <xf numFmtId="166" fontId="35" fillId="0" borderId="261" xfId="0" applyNumberFormat="1" applyFont="1" applyBorder="1"/>
    <xf numFmtId="166" fontId="35" fillId="0" borderId="263" xfId="0" applyNumberFormat="1" applyFont="1" applyBorder="1"/>
    <xf numFmtId="166" fontId="35" fillId="0" borderId="264" xfId="0" applyNumberFormat="1" applyFont="1" applyBorder="1"/>
    <xf numFmtId="0" fontId="31" fillId="2" borderId="265" xfId="0" applyFont="1" applyFill="1" applyBorder="1" applyAlignment="1">
      <alignment horizontal="centerContinuous"/>
    </xf>
    <xf numFmtId="0" fontId="31" fillId="2" borderId="165" xfId="0" applyFont="1" applyFill="1" applyBorder="1" applyAlignment="1">
      <alignment horizontal="centerContinuous"/>
    </xf>
    <xf numFmtId="0" fontId="31" fillId="2" borderId="216" xfId="0" applyFont="1" applyFill="1" applyBorder="1" applyAlignment="1">
      <alignment horizontal="centerContinuous"/>
    </xf>
    <xf numFmtId="166" fontId="35" fillId="0" borderId="193" xfId="0" applyNumberFormat="1" applyFont="1" applyBorder="1"/>
    <xf numFmtId="166" fontId="35" fillId="0" borderId="180" xfId="0" applyNumberFormat="1" applyFont="1" applyBorder="1"/>
    <xf numFmtId="166" fontId="35" fillId="0" borderId="204" xfId="0" applyNumberFormat="1" applyFont="1" applyBorder="1"/>
    <xf numFmtId="166" fontId="35" fillId="0" borderId="185" xfId="0" applyNumberFormat="1" applyFont="1" applyBorder="1"/>
    <xf numFmtId="166" fontId="35" fillId="0" borderId="187" xfId="0" applyNumberFormat="1" applyFont="1" applyBorder="1"/>
    <xf numFmtId="0" fontId="34" fillId="2" borderId="194" xfId="0" applyFont="1" applyFill="1" applyBorder="1" applyAlignment="1">
      <alignment horizontal="centerContinuous"/>
    </xf>
    <xf numFmtId="0" fontId="31" fillId="2" borderId="195" xfId="0" applyFont="1" applyFill="1" applyBorder="1" applyAlignment="1">
      <alignment horizontal="centerContinuous"/>
    </xf>
    <xf numFmtId="0" fontId="31" fillId="2" borderId="196" xfId="0" applyFont="1" applyFill="1" applyBorder="1" applyAlignment="1">
      <alignment horizontal="centerContinuous"/>
    </xf>
    <xf numFmtId="0" fontId="34" fillId="2" borderId="167" xfId="0" applyFont="1" applyFill="1" applyBorder="1" applyAlignment="1">
      <alignment horizontal="centerContinuous" vertical="center"/>
    </xf>
    <xf numFmtId="0" fontId="34" fillId="2" borderId="167" xfId="0" applyFont="1" applyFill="1" applyBorder="1" applyAlignment="1">
      <alignment horizontal="centerContinuous"/>
    </xf>
    <xf numFmtId="0" fontId="31" fillId="2" borderId="168" xfId="0" applyFont="1" applyFill="1" applyBorder="1" applyAlignment="1">
      <alignment horizontal="centerContinuous"/>
    </xf>
    <xf numFmtId="0" fontId="31" fillId="2" borderId="169" xfId="0" applyFont="1" applyFill="1" applyBorder="1" applyAlignment="1">
      <alignment horizontal="centerContinuous"/>
    </xf>
    <xf numFmtId="166" fontId="35" fillId="0" borderId="256" xfId="0" applyNumberFormat="1" applyFont="1" applyBorder="1"/>
    <xf numFmtId="1" fontId="31" fillId="0" borderId="256" xfId="0" applyNumberFormat="1" applyFont="1" applyBorder="1"/>
    <xf numFmtId="1" fontId="34" fillId="0" borderId="256" xfId="0" applyNumberFormat="1" applyFont="1" applyBorder="1"/>
    <xf numFmtId="166" fontId="40" fillId="0" borderId="216" xfId="0" applyNumberFormat="1" applyFont="1" applyBorder="1"/>
    <xf numFmtId="0" fontId="34" fillId="2" borderId="168" xfId="0" applyFont="1" applyFill="1" applyBorder="1" applyAlignment="1">
      <alignment horizontal="centerContinuous"/>
    </xf>
    <xf numFmtId="0" fontId="34" fillId="2" borderId="169" xfId="0" applyFont="1" applyFill="1" applyBorder="1" applyAlignment="1">
      <alignment horizontal="centerContinuous"/>
    </xf>
    <xf numFmtId="0" fontId="31" fillId="2" borderId="173" xfId="0" applyFont="1" applyFill="1" applyBorder="1" applyAlignment="1">
      <alignment horizontal="centerContinuous"/>
    </xf>
    <xf numFmtId="0" fontId="34" fillId="2" borderId="173" xfId="0" applyFont="1" applyFill="1" applyBorder="1" applyAlignment="1">
      <alignment horizontal="centerContinuous"/>
    </xf>
    <xf numFmtId="0" fontId="34" fillId="2" borderId="166" xfId="0" applyFont="1" applyFill="1" applyBorder="1" applyAlignment="1">
      <alignment horizontal="centerContinuous"/>
    </xf>
    <xf numFmtId="0" fontId="34" fillId="2" borderId="174" xfId="0" applyFont="1" applyFill="1" applyBorder="1" applyAlignment="1">
      <alignment horizontal="centerContinuous"/>
    </xf>
    <xf numFmtId="0" fontId="31" fillId="0" borderId="262" xfId="0" applyFont="1" applyBorder="1"/>
    <xf numFmtId="0" fontId="31" fillId="0" borderId="218" xfId="0" applyFont="1" applyBorder="1" applyAlignment="1">
      <alignment horizontal="right"/>
    </xf>
    <xf numFmtId="0" fontId="31" fillId="0" borderId="188" xfId="0" applyFont="1" applyBorder="1"/>
    <xf numFmtId="0" fontId="31" fillId="0" borderId="185" xfId="0" applyFont="1" applyBorder="1"/>
    <xf numFmtId="166" fontId="31" fillId="0" borderId="198" xfId="0" applyNumberFormat="1" applyFont="1" applyBorder="1"/>
    <xf numFmtId="166" fontId="31" fillId="0" borderId="190" xfId="0" applyNumberFormat="1" applyFont="1" applyBorder="1"/>
    <xf numFmtId="0" fontId="34" fillId="2" borderId="195" xfId="0" applyFont="1" applyFill="1" applyBorder="1" applyAlignment="1">
      <alignment horizontal="centerContinuous"/>
    </xf>
    <xf numFmtId="0" fontId="34" fillId="2" borderId="196" xfId="0" applyFont="1" applyFill="1" applyBorder="1" applyAlignment="1">
      <alignment horizontal="centerContinuous"/>
    </xf>
    <xf numFmtId="0" fontId="33" fillId="0" borderId="266" xfId="0" applyFont="1" applyBorder="1" applyAlignment="1">
      <alignment horizontal="centerContinuous"/>
    </xf>
    <xf numFmtId="0" fontId="33" fillId="0" borderId="176" xfId="0" applyFont="1" applyBorder="1" applyAlignment="1">
      <alignment horizontal="centerContinuous"/>
    </xf>
    <xf numFmtId="0" fontId="33" fillId="0" borderId="267" xfId="0" applyFont="1" applyBorder="1" applyAlignment="1">
      <alignment horizontal="centerContinuous"/>
    </xf>
    <xf numFmtId="0" fontId="31" fillId="0" borderId="253" xfId="0" applyFont="1" applyBorder="1" applyAlignment="1">
      <alignment vertical="center"/>
    </xf>
    <xf numFmtId="0" fontId="31" fillId="0" borderId="254" xfId="0" applyFont="1" applyBorder="1" applyAlignment="1">
      <alignment vertical="center"/>
    </xf>
    <xf numFmtId="0" fontId="31" fillId="0" borderId="255" xfId="0" applyFont="1" applyBorder="1" applyAlignment="1">
      <alignment vertical="center"/>
    </xf>
    <xf numFmtId="0" fontId="31" fillId="0" borderId="189" xfId="0" applyFont="1" applyBorder="1" applyAlignment="1">
      <alignment vertical="center"/>
    </xf>
    <xf numFmtId="0" fontId="31" fillId="2" borderId="167" xfId="0" applyFont="1" applyFill="1" applyBorder="1" applyAlignment="1">
      <alignment vertical="center"/>
    </xf>
    <xf numFmtId="0" fontId="31" fillId="2" borderId="168" xfId="0" applyFont="1" applyFill="1" applyBorder="1" applyAlignment="1">
      <alignment vertical="center"/>
    </xf>
    <xf numFmtId="0" fontId="31" fillId="2" borderId="170" xfId="0" applyFont="1" applyFill="1" applyBorder="1" applyAlignment="1">
      <alignment vertical="center"/>
    </xf>
    <xf numFmtId="0" fontId="31" fillId="2" borderId="173" xfId="0" applyFont="1" applyFill="1" applyBorder="1" applyAlignment="1">
      <alignment vertical="center"/>
    </xf>
    <xf numFmtId="0" fontId="31" fillId="2" borderId="166" xfId="0" applyFont="1" applyFill="1" applyBorder="1" applyAlignment="1">
      <alignment vertical="center"/>
    </xf>
    <xf numFmtId="0" fontId="31" fillId="2" borderId="257" xfId="0" applyFont="1" applyFill="1" applyBorder="1" applyAlignment="1">
      <alignment horizontal="right" textRotation="90"/>
    </xf>
    <xf numFmtId="0" fontId="31" fillId="0" borderId="258" xfId="0" applyFont="1" applyBorder="1" applyAlignment="1">
      <alignment vertical="center"/>
    </xf>
    <xf numFmtId="1" fontId="31" fillId="0" borderId="259" xfId="0" applyNumberFormat="1" applyFont="1" applyBorder="1" applyAlignment="1">
      <alignment vertical="center"/>
    </xf>
    <xf numFmtId="0" fontId="31" fillId="0" borderId="260" xfId="0" applyFont="1" applyBorder="1" applyAlignment="1">
      <alignment vertical="center"/>
    </xf>
    <xf numFmtId="1" fontId="31" fillId="0" borderId="260" xfId="0" applyNumberFormat="1" applyFont="1" applyBorder="1" applyAlignment="1">
      <alignment vertical="center"/>
    </xf>
    <xf numFmtId="0" fontId="31" fillId="2" borderId="268" xfId="0" applyFont="1" applyFill="1" applyBorder="1" applyAlignment="1">
      <alignment horizontal="centerContinuous" vertical="center"/>
    </xf>
    <xf numFmtId="0" fontId="34" fillId="0" borderId="258" xfId="0" applyFont="1" applyBorder="1" applyAlignment="1">
      <alignment vertical="center"/>
    </xf>
    <xf numFmtId="0" fontId="0" fillId="0" borderId="269" xfId="0" applyBorder="1"/>
    <xf numFmtId="0" fontId="0" fillId="0" borderId="270" xfId="0" applyBorder="1"/>
    <xf numFmtId="0" fontId="32" fillId="0" borderId="270" xfId="0" applyFont="1" applyBorder="1"/>
    <xf numFmtId="0" fontId="41" fillId="0" borderId="270" xfId="0" applyFont="1" applyBorder="1"/>
    <xf numFmtId="0" fontId="0" fillId="0" borderId="270" xfId="0" applyBorder="1" applyAlignment="1">
      <alignment horizontal="right"/>
    </xf>
    <xf numFmtId="0" fontId="31" fillId="0" borderId="165" xfId="0" applyFont="1" applyBorder="1" applyAlignment="1">
      <alignment vertical="center"/>
    </xf>
    <xf numFmtId="0" fontId="31" fillId="0" borderId="213" xfId="0" applyFont="1" applyBorder="1" applyAlignment="1">
      <alignment vertical="center"/>
    </xf>
    <xf numFmtId="0" fontId="31" fillId="0" borderId="251" xfId="0" applyFont="1" applyBorder="1" applyAlignment="1">
      <alignment vertical="center"/>
    </xf>
    <xf numFmtId="0" fontId="31" fillId="0" borderId="273" xfId="0" applyFont="1" applyBorder="1" applyAlignment="1">
      <alignment vertical="center"/>
    </xf>
    <xf numFmtId="0" fontId="31" fillId="0" borderId="166" xfId="0" applyFont="1" applyBorder="1" applyAlignment="1">
      <alignment vertical="center"/>
    </xf>
    <xf numFmtId="0" fontId="34" fillId="0" borderId="166" xfId="0" applyFont="1" applyBorder="1" applyAlignment="1">
      <alignment vertical="center"/>
    </xf>
    <xf numFmtId="0" fontId="34" fillId="0" borderId="166" xfId="0" applyFont="1" applyBorder="1" applyAlignment="1">
      <alignment horizontal="right" vertical="center"/>
    </xf>
    <xf numFmtId="0" fontId="31" fillId="0" borderId="274" xfId="0" applyFont="1" applyBorder="1" applyAlignment="1">
      <alignment vertical="center"/>
    </xf>
    <xf numFmtId="0" fontId="31" fillId="0" borderId="276" xfId="0" applyFont="1" applyBorder="1" applyAlignment="1">
      <alignment vertical="center"/>
    </xf>
    <xf numFmtId="0" fontId="33" fillId="0" borderId="198" xfId="0" applyFont="1" applyBorder="1" applyAlignment="1">
      <alignment vertical="center"/>
    </xf>
    <xf numFmtId="0" fontId="0" fillId="0" borderId="198" xfId="0" applyBorder="1" applyAlignment="1">
      <alignment vertical="center"/>
    </xf>
    <xf numFmtId="0" fontId="31" fillId="0" borderId="277" xfId="0" applyFont="1" applyBorder="1" applyAlignment="1">
      <alignment vertical="center"/>
    </xf>
    <xf numFmtId="0" fontId="31" fillId="0" borderId="284" xfId="0" applyFont="1" applyBorder="1" applyAlignment="1">
      <alignment vertical="center"/>
    </xf>
    <xf numFmtId="0" fontId="31" fillId="0" borderId="285" xfId="0" applyFont="1" applyBorder="1" applyAlignment="1">
      <alignment vertical="center"/>
    </xf>
    <xf numFmtId="0" fontId="31" fillId="0" borderId="286" xfId="0" applyFont="1" applyBorder="1" applyAlignment="1">
      <alignment vertical="center"/>
    </xf>
    <xf numFmtId="0" fontId="31" fillId="0" borderId="287" xfId="0" applyFont="1" applyBorder="1" applyAlignment="1">
      <alignment vertical="center"/>
    </xf>
    <xf numFmtId="0" fontId="31" fillId="0" borderId="290" xfId="0" applyFont="1" applyBorder="1" applyAlignment="1">
      <alignment vertical="center"/>
    </xf>
    <xf numFmtId="0" fontId="31" fillId="0" borderId="197" xfId="0" applyFont="1" applyBorder="1" applyAlignment="1">
      <alignment vertical="center"/>
    </xf>
    <xf numFmtId="0" fontId="31" fillId="0" borderId="205" xfId="0" applyFont="1" applyBorder="1" applyAlignment="1">
      <alignment vertical="center"/>
    </xf>
    <xf numFmtId="0" fontId="31" fillId="0" borderId="294" xfId="0" applyFont="1" applyBorder="1" applyAlignment="1">
      <alignment vertical="center"/>
    </xf>
    <xf numFmtId="0" fontId="31" fillId="0" borderId="262" xfId="0" applyFont="1" applyBorder="1" applyAlignment="1">
      <alignment vertical="center"/>
    </xf>
    <xf numFmtId="0" fontId="31" fillId="0" borderId="218" xfId="0" applyFont="1" applyBorder="1" applyAlignment="1">
      <alignment vertical="center"/>
    </xf>
    <xf numFmtId="0" fontId="31" fillId="0" borderId="297" xfId="0" applyFont="1" applyBorder="1" applyAlignment="1">
      <alignment vertical="center"/>
    </xf>
    <xf numFmtId="0" fontId="31" fillId="0" borderId="215" xfId="0" applyFont="1" applyBorder="1" applyAlignment="1">
      <alignment vertical="center"/>
    </xf>
    <xf numFmtId="0" fontId="31" fillId="0" borderId="173" xfId="0" applyFont="1" applyBorder="1" applyAlignment="1">
      <alignment vertical="center"/>
    </xf>
    <xf numFmtId="0" fontId="31" fillId="0" borderId="272" xfId="0" applyFont="1" applyBorder="1" applyAlignment="1">
      <alignment horizontal="right" vertical="center"/>
    </xf>
    <xf numFmtId="0" fontId="31" fillId="0" borderId="251" xfId="0" applyFont="1" applyBorder="1" applyAlignment="1">
      <alignment horizontal="right" vertical="center"/>
    </xf>
    <xf numFmtId="0" fontId="31" fillId="0" borderId="274" xfId="0" applyFont="1" applyBorder="1" applyAlignment="1">
      <alignment horizontal="right" vertical="center"/>
    </xf>
    <xf numFmtId="0" fontId="34" fillId="0" borderId="0" xfId="0" applyFont="1" applyAlignment="1">
      <alignment horizontal="centerContinuous" vertical="center"/>
    </xf>
    <xf numFmtId="0" fontId="31" fillId="0" borderId="301" xfId="0" applyFont="1" applyBorder="1" applyAlignment="1">
      <alignment vertical="center"/>
    </xf>
    <xf numFmtId="0" fontId="31" fillId="0" borderId="302" xfId="0" applyFont="1" applyBorder="1" applyAlignment="1">
      <alignment vertical="center"/>
    </xf>
    <xf numFmtId="0" fontId="31" fillId="0" borderId="255" xfId="0" applyFont="1" applyBorder="1" applyAlignment="1">
      <alignment horizontal="right" vertical="center"/>
    </xf>
    <xf numFmtId="0" fontId="31" fillId="0" borderId="180" xfId="0" applyFont="1" applyBorder="1" applyAlignment="1">
      <alignment horizontal="right" vertical="center"/>
    </xf>
    <xf numFmtId="0" fontId="34" fillId="0" borderId="191" xfId="0" applyFont="1" applyBorder="1" applyAlignment="1">
      <alignment horizontal="right" vertical="center"/>
    </xf>
    <xf numFmtId="0" fontId="31" fillId="0" borderId="303" xfId="0" applyFont="1" applyBorder="1" applyAlignment="1">
      <alignment vertical="center"/>
    </xf>
    <xf numFmtId="0" fontId="31" fillId="0" borderId="304" xfId="0" applyFont="1" applyBorder="1" applyAlignment="1">
      <alignment vertical="center"/>
    </xf>
    <xf numFmtId="0" fontId="31" fillId="0" borderId="305" xfId="0" applyFont="1" applyBorder="1" applyAlignment="1">
      <alignment vertical="center"/>
    </xf>
    <xf numFmtId="0" fontId="31" fillId="0" borderId="306" xfId="0" applyFont="1" applyBorder="1" applyAlignment="1">
      <alignment vertical="center"/>
    </xf>
    <xf numFmtId="0" fontId="35" fillId="0" borderId="219" xfId="0" applyFont="1" applyBorder="1" applyAlignment="1">
      <alignment vertical="center"/>
    </xf>
    <xf numFmtId="0" fontId="35" fillId="0" borderId="220" xfId="0" applyFont="1" applyBorder="1" applyAlignment="1">
      <alignment vertical="center"/>
    </xf>
    <xf numFmtId="0" fontId="35" fillId="0" borderId="221" xfId="0" applyFont="1" applyBorder="1" applyAlignment="1">
      <alignment vertical="center"/>
    </xf>
    <xf numFmtId="0" fontId="31" fillId="0" borderId="167" xfId="0" applyFont="1" applyBorder="1" applyAlignment="1">
      <alignment vertical="center"/>
    </xf>
    <xf numFmtId="0" fontId="31" fillId="0" borderId="169" xfId="0" applyFont="1" applyBorder="1" applyAlignment="1">
      <alignment vertical="center"/>
    </xf>
    <xf numFmtId="0" fontId="31" fillId="0" borderId="214" xfId="0" applyFont="1" applyBorder="1" applyAlignment="1">
      <alignment vertical="center"/>
    </xf>
    <xf numFmtId="0" fontId="31" fillId="0" borderId="217" xfId="0" applyFont="1" applyBorder="1" applyAlignment="1">
      <alignment vertical="center"/>
    </xf>
    <xf numFmtId="0" fontId="31" fillId="2" borderId="222" xfId="0" applyFont="1" applyFill="1" applyBorder="1" applyAlignment="1">
      <alignment horizontal="centerContinuous" vertical="center"/>
    </xf>
    <xf numFmtId="0" fontId="31" fillId="2" borderId="315" xfId="0" applyFont="1" applyFill="1" applyBorder="1" applyAlignment="1">
      <alignment horizontal="centerContinuous" vertical="center"/>
    </xf>
    <xf numFmtId="0" fontId="31" fillId="2" borderId="273" xfId="0" applyFont="1" applyFill="1" applyBorder="1" applyAlignment="1">
      <alignment horizontal="centerContinuous" vertical="center"/>
    </xf>
    <xf numFmtId="0" fontId="31" fillId="2" borderId="274" xfId="0" applyFont="1" applyFill="1" applyBorder="1" applyAlignment="1">
      <alignment horizontal="centerContinuous" vertical="center"/>
    </xf>
    <xf numFmtId="0" fontId="31" fillId="2" borderId="257" xfId="0" applyFont="1" applyFill="1" applyBorder="1" applyAlignment="1">
      <alignment horizontal="centerContinuous" vertical="center"/>
    </xf>
    <xf numFmtId="166" fontId="42" fillId="0" borderId="304" xfId="0" applyNumberFormat="1" applyFont="1" applyBorder="1" applyAlignment="1">
      <alignment horizontal="centerContinuous" vertical="center"/>
    </xf>
    <xf numFmtId="166" fontId="42" fillId="0" borderId="258" xfId="0" applyNumberFormat="1" applyFont="1" applyBorder="1" applyAlignment="1">
      <alignment horizontal="centerContinuous" vertical="center"/>
    </xf>
    <xf numFmtId="166" fontId="42" fillId="0" borderId="157" xfId="0" applyNumberFormat="1" applyFont="1" applyBorder="1" applyAlignment="1">
      <alignment horizontal="centerContinuous" vertical="center"/>
    </xf>
    <xf numFmtId="166" fontId="42" fillId="0" borderId="179" xfId="0" applyNumberFormat="1" applyFont="1" applyBorder="1" applyAlignment="1">
      <alignment horizontal="centerContinuous" vertical="center"/>
    </xf>
    <xf numFmtId="166" fontId="42" fillId="0" borderId="259" xfId="0" applyNumberFormat="1" applyFont="1" applyBorder="1" applyAlignment="1">
      <alignment horizontal="centerContinuous" vertical="center"/>
    </xf>
    <xf numFmtId="166" fontId="42" fillId="0" borderId="301" xfId="0" applyNumberFormat="1" applyFont="1" applyBorder="1" applyAlignment="1">
      <alignment horizontal="centerContinuous" vertical="center"/>
    </xf>
    <xf numFmtId="166" fontId="42" fillId="0" borderId="198" xfId="0" applyNumberFormat="1" applyFont="1" applyBorder="1" applyAlignment="1">
      <alignment horizontal="centerContinuous" vertical="center"/>
    </xf>
    <xf numFmtId="166" fontId="42" fillId="0" borderId="263" xfId="0" applyNumberFormat="1" applyFont="1" applyBorder="1" applyAlignment="1">
      <alignment horizontal="centerContinuous" vertical="center"/>
    </xf>
    <xf numFmtId="166" fontId="42" fillId="0" borderId="276" xfId="0" applyNumberFormat="1" applyFont="1" applyBorder="1" applyAlignment="1">
      <alignment horizontal="centerContinuous" vertical="center"/>
    </xf>
    <xf numFmtId="166" fontId="42" fillId="0" borderId="206" xfId="0" applyNumberFormat="1" applyFont="1" applyBorder="1" applyAlignment="1">
      <alignment horizontal="centerContinuous" vertical="center"/>
    </xf>
    <xf numFmtId="166" fontId="42" fillId="0" borderId="264" xfId="0" applyNumberFormat="1" applyFont="1" applyBorder="1" applyAlignment="1">
      <alignment horizontal="centerContinuous" vertical="center"/>
    </xf>
    <xf numFmtId="166" fontId="42" fillId="0" borderId="303" xfId="0" applyNumberFormat="1" applyFont="1" applyBorder="1" applyAlignment="1">
      <alignment horizontal="centerContinuous" vertical="center"/>
    </xf>
    <xf numFmtId="166" fontId="42" fillId="0" borderId="190" xfId="0" applyNumberFormat="1" applyFont="1" applyBorder="1" applyAlignment="1">
      <alignment horizontal="centerContinuous" vertical="center"/>
    </xf>
    <xf numFmtId="166" fontId="42" fillId="0" borderId="260" xfId="0" applyNumberFormat="1" applyFont="1" applyBorder="1" applyAlignment="1">
      <alignment horizontal="centerContinuous" vertical="center"/>
    </xf>
    <xf numFmtId="166" fontId="42" fillId="0" borderId="302" xfId="0" applyNumberFormat="1" applyFont="1" applyBorder="1" applyAlignment="1">
      <alignment horizontal="centerContinuous" vertical="center"/>
    </xf>
    <xf numFmtId="0" fontId="31" fillId="0" borderId="157" xfId="0" applyFont="1" applyBorder="1" applyAlignment="1">
      <alignment horizontal="centerContinuous" vertical="center"/>
    </xf>
    <xf numFmtId="0" fontId="31" fillId="0" borderId="276" xfId="0" applyFont="1" applyBorder="1" applyAlignment="1">
      <alignment horizontal="centerContinuous" vertical="center"/>
    </xf>
    <xf numFmtId="166" fontId="31" fillId="0" borderId="276" xfId="0" applyNumberFormat="1" applyFont="1" applyBorder="1" applyAlignment="1">
      <alignment horizontal="centerContinuous" vertical="center"/>
    </xf>
    <xf numFmtId="0" fontId="31" fillId="0" borderId="179" xfId="0" applyFont="1" applyBorder="1" applyAlignment="1">
      <alignment horizontal="centerContinuous" vertical="center"/>
    </xf>
    <xf numFmtId="0" fontId="31" fillId="0" borderId="301" xfId="0" applyFont="1" applyBorder="1" applyAlignment="1">
      <alignment horizontal="centerContinuous" vertical="center"/>
    </xf>
    <xf numFmtId="166" fontId="31" fillId="0" borderId="318" xfId="0" applyNumberFormat="1" applyFont="1" applyBorder="1" applyAlignment="1">
      <alignment horizontal="centerContinuous" vertical="center"/>
    </xf>
    <xf numFmtId="166" fontId="31" fillId="0" borderId="184" xfId="0" applyNumberFormat="1" applyFont="1" applyBorder="1" applyAlignment="1">
      <alignment horizontal="centerContinuous" vertical="center"/>
    </xf>
    <xf numFmtId="166" fontId="31" fillId="0" borderId="198" xfId="0" applyNumberFormat="1" applyFont="1" applyBorder="1" applyAlignment="1">
      <alignment horizontal="centerContinuous" vertical="center"/>
    </xf>
    <xf numFmtId="166" fontId="34" fillId="0" borderId="198" xfId="0" applyNumberFormat="1" applyFont="1" applyBorder="1" applyAlignment="1">
      <alignment horizontal="centerContinuous" vertical="center"/>
    </xf>
    <xf numFmtId="166" fontId="34" fillId="0" borderId="318" xfId="0" applyNumberFormat="1" applyFont="1" applyBorder="1" applyAlignment="1">
      <alignment horizontal="centerContinuous" vertical="center"/>
    </xf>
    <xf numFmtId="166" fontId="31" fillId="0" borderId="301" xfId="0" applyNumberFormat="1" applyFont="1" applyBorder="1" applyAlignment="1">
      <alignment horizontal="centerContinuous" vertical="center"/>
    </xf>
    <xf numFmtId="166" fontId="31" fillId="0" borderId="316" xfId="0" applyNumberFormat="1" applyFont="1" applyBorder="1" applyAlignment="1">
      <alignment horizontal="centerContinuous" vertical="center"/>
    </xf>
    <xf numFmtId="166" fontId="31" fillId="0" borderId="182" xfId="0" applyNumberFormat="1" applyFont="1" applyBorder="1" applyAlignment="1">
      <alignment horizontal="centerContinuous" vertical="center"/>
    </xf>
    <xf numFmtId="166" fontId="31" fillId="0" borderId="179" xfId="0" applyNumberFormat="1" applyFont="1" applyBorder="1" applyAlignment="1">
      <alignment horizontal="centerContinuous" vertical="center"/>
    </xf>
    <xf numFmtId="166" fontId="31" fillId="0" borderId="302" xfId="0" applyNumberFormat="1" applyFont="1" applyBorder="1" applyAlignment="1">
      <alignment horizontal="centerContinuous" vertical="center"/>
    </xf>
    <xf numFmtId="166" fontId="31" fillId="0" borderId="317" xfId="0" applyNumberFormat="1" applyFont="1" applyBorder="1" applyAlignment="1">
      <alignment horizontal="centerContinuous" vertical="center"/>
    </xf>
    <xf numFmtId="166" fontId="31" fillId="0" borderId="199" xfId="0" applyNumberFormat="1" applyFont="1" applyBorder="1" applyAlignment="1">
      <alignment horizontal="centerContinuous" vertical="center"/>
    </xf>
    <xf numFmtId="166" fontId="31" fillId="0" borderId="190" xfId="0" applyNumberFormat="1" applyFont="1" applyBorder="1" applyAlignment="1">
      <alignment horizontal="centerContinuous" vertical="center"/>
    </xf>
    <xf numFmtId="1" fontId="31" fillId="0" borderId="185" xfId="0" applyNumberFormat="1" applyFont="1" applyBorder="1" applyAlignment="1">
      <alignment horizontal="centerContinuous" vertical="center"/>
    </xf>
    <xf numFmtId="1" fontId="31" fillId="0" borderId="180" xfId="0" applyNumberFormat="1" applyFont="1" applyBorder="1" applyAlignment="1">
      <alignment horizontal="centerContinuous" vertical="center"/>
    </xf>
    <xf numFmtId="1" fontId="31" fillId="0" borderId="191" xfId="0" applyNumberFormat="1" applyFont="1" applyBorder="1" applyAlignment="1">
      <alignment horizontal="centerContinuous" vertical="center"/>
    </xf>
    <xf numFmtId="0" fontId="31" fillId="2" borderId="166" xfId="0" applyFont="1" applyFill="1" applyBorder="1" applyAlignment="1">
      <alignment horizontal="right" vertical="center"/>
    </xf>
    <xf numFmtId="0" fontId="31" fillId="2" borderId="319" xfId="0" applyFont="1" applyFill="1" applyBorder="1" applyAlignment="1">
      <alignment horizontal="centerContinuous" vertical="center"/>
    </xf>
    <xf numFmtId="168" fontId="31" fillId="0" borderId="276" xfId="0" applyNumberFormat="1" applyFont="1" applyBorder="1" applyAlignment="1">
      <alignment horizontal="centerContinuous" vertical="center"/>
    </xf>
    <xf numFmtId="168" fontId="31" fillId="0" borderId="301" xfId="0" applyNumberFormat="1" applyFont="1" applyBorder="1" applyAlignment="1">
      <alignment horizontal="centerContinuous" vertical="center"/>
    </xf>
    <xf numFmtId="168" fontId="31" fillId="0" borderId="302" xfId="0" applyNumberFormat="1" applyFont="1" applyBorder="1" applyAlignment="1">
      <alignment horizontal="centerContinuous" vertical="center"/>
    </xf>
    <xf numFmtId="0" fontId="31" fillId="2" borderId="168" xfId="0" applyFont="1" applyFill="1" applyBorder="1" applyAlignment="1">
      <alignment horizontal="right" vertical="center"/>
    </xf>
    <xf numFmtId="171" fontId="19" fillId="2" borderId="0" xfId="0" applyNumberFormat="1" applyFont="1" applyFill="1" applyAlignment="1">
      <alignment horizontal="center"/>
    </xf>
    <xf numFmtId="0" fontId="44" fillId="2" borderId="222" xfId="0" applyFont="1" applyFill="1" applyBorder="1" applyAlignment="1">
      <alignment horizontal="right" vertical="center"/>
    </xf>
    <xf numFmtId="0" fontId="39" fillId="2" borderId="169" xfId="0" applyFont="1" applyFill="1" applyBorder="1" applyAlignment="1">
      <alignment horizontal="left" vertical="center"/>
    </xf>
    <xf numFmtId="0" fontId="31" fillId="0" borderId="305" xfId="0" applyFont="1" applyBorder="1" applyAlignment="1">
      <alignment horizontal="centerContinuous" vertical="center"/>
    </xf>
    <xf numFmtId="0" fontId="31" fillId="0" borderId="266" xfId="0" applyFont="1" applyBorder="1" applyAlignment="1">
      <alignment horizontal="centerContinuous" vertical="center"/>
    </xf>
    <xf numFmtId="0" fontId="31" fillId="0" borderId="304" xfId="0" applyFont="1" applyBorder="1" applyAlignment="1">
      <alignment horizontal="centerContinuous" vertical="center"/>
    </xf>
    <xf numFmtId="0" fontId="31" fillId="0" borderId="306" xfId="0" applyFont="1" applyBorder="1" applyAlignment="1">
      <alignment horizontal="centerContinuous" vertical="center"/>
    </xf>
    <xf numFmtId="168" fontId="31" fillId="0" borderId="185" xfId="0" applyNumberFormat="1" applyFont="1" applyBorder="1" applyAlignment="1">
      <alignment horizontal="centerContinuous" vertical="center"/>
    </xf>
    <xf numFmtId="168" fontId="31" fillId="0" borderId="180" xfId="0" applyNumberFormat="1" applyFont="1" applyBorder="1" applyAlignment="1">
      <alignment horizontal="centerContinuous" vertical="center"/>
    </xf>
    <xf numFmtId="168" fontId="31" fillId="0" borderId="305" xfId="0" applyNumberFormat="1" applyFont="1" applyBorder="1" applyAlignment="1">
      <alignment horizontal="centerContinuous" vertical="center"/>
    </xf>
    <xf numFmtId="168" fontId="31" fillId="0" borderId="204" xfId="0" applyNumberFormat="1" applyFont="1" applyBorder="1" applyAlignment="1">
      <alignment horizontal="centerContinuous" vertical="center"/>
    </xf>
    <xf numFmtId="168" fontId="31" fillId="0" borderId="266" xfId="0" applyNumberFormat="1" applyFont="1" applyBorder="1" applyAlignment="1">
      <alignment horizontal="centerContinuous" vertical="center"/>
    </xf>
    <xf numFmtId="168" fontId="31" fillId="0" borderId="177" xfId="0" applyNumberFormat="1" applyFont="1" applyBorder="1" applyAlignment="1">
      <alignment horizontal="centerContinuous" vertical="center"/>
    </xf>
    <xf numFmtId="168" fontId="31" fillId="0" borderId="304" xfId="0" applyNumberFormat="1" applyFont="1" applyBorder="1" applyAlignment="1">
      <alignment horizontal="centerContinuous" vertical="center"/>
    </xf>
    <xf numFmtId="168" fontId="31" fillId="0" borderId="193" xfId="0" applyNumberFormat="1" applyFont="1" applyBorder="1" applyAlignment="1">
      <alignment horizontal="centerContinuous" vertical="center"/>
    </xf>
    <xf numFmtId="168" fontId="31" fillId="0" borderId="306" xfId="0" applyNumberFormat="1" applyFont="1" applyBorder="1" applyAlignment="1">
      <alignment horizontal="centerContinuous" vertical="center"/>
    </xf>
    <xf numFmtId="168" fontId="31" fillId="0" borderId="188" xfId="0" applyNumberFormat="1" applyFont="1" applyBorder="1" applyAlignment="1">
      <alignment horizontal="centerContinuous" vertical="center"/>
    </xf>
    <xf numFmtId="0" fontId="31" fillId="0" borderId="277" xfId="0" applyFont="1" applyBorder="1" applyAlignment="1">
      <alignment horizontal="centerContinuous" vertical="center"/>
    </xf>
    <xf numFmtId="0" fontId="31" fillId="0" borderId="285" xfId="0" applyFont="1" applyBorder="1" applyAlignment="1">
      <alignment horizontal="centerContinuous" vertical="center"/>
    </xf>
    <xf numFmtId="0" fontId="31" fillId="0" borderId="287" xfId="0" applyFont="1" applyBorder="1" applyAlignment="1">
      <alignment horizontal="centerContinuous" vertical="center"/>
    </xf>
    <xf numFmtId="0" fontId="31" fillId="0" borderId="267" xfId="0" applyFont="1" applyBorder="1" applyAlignment="1">
      <alignment horizontal="centerContinuous" vertical="center"/>
    </xf>
    <xf numFmtId="0" fontId="31" fillId="0" borderId="290" xfId="0" applyFont="1" applyBorder="1" applyAlignment="1">
      <alignment horizontal="centerContinuous" vertical="center"/>
    </xf>
    <xf numFmtId="0" fontId="31" fillId="0" borderId="297" xfId="0" applyFont="1" applyBorder="1" applyAlignment="1">
      <alignment horizontal="centerContinuous" vertical="center"/>
    </xf>
    <xf numFmtId="0" fontId="31" fillId="0" borderId="198" xfId="0" applyFont="1" applyBorder="1" applyAlignment="1">
      <alignment horizontal="centerContinuous" vertical="center"/>
    </xf>
    <xf numFmtId="0" fontId="31" fillId="0" borderId="154" xfId="0" applyFont="1" applyBorder="1" applyAlignment="1">
      <alignment horizontal="centerContinuous" vertical="center"/>
    </xf>
    <xf numFmtId="0" fontId="31" fillId="0" borderId="176" xfId="0" applyFont="1" applyBorder="1" applyAlignment="1">
      <alignment horizontal="centerContinuous" vertical="center"/>
    </xf>
    <xf numFmtId="0" fontId="31" fillId="0" borderId="218" xfId="0" applyFont="1" applyBorder="1" applyAlignment="1">
      <alignment horizontal="centerContinuous" vertical="center"/>
    </xf>
    <xf numFmtId="166" fontId="31" fillId="0" borderId="154" xfId="0" applyNumberFormat="1" applyFont="1" applyBorder="1" applyAlignment="1">
      <alignment horizontal="centerContinuous" vertical="center"/>
    </xf>
    <xf numFmtId="166" fontId="31" fillId="0" borderId="176" xfId="0" applyNumberFormat="1" applyFont="1" applyBorder="1" applyAlignment="1">
      <alignment horizontal="centerContinuous" vertical="center"/>
    </xf>
    <xf numFmtId="166" fontId="31" fillId="0" borderId="157" xfId="0" applyNumberFormat="1" applyFont="1" applyBorder="1" applyAlignment="1">
      <alignment horizontal="centerContinuous" vertical="center"/>
    </xf>
    <xf numFmtId="166" fontId="31" fillId="0" borderId="218" xfId="0" applyNumberFormat="1" applyFont="1" applyBorder="1" applyAlignment="1">
      <alignment horizontal="centerContinuous" vertical="center"/>
    </xf>
    <xf numFmtId="168" fontId="6" fillId="2" borderId="320" xfId="0" applyNumberFormat="1" applyFont="1" applyFill="1" applyBorder="1" applyAlignment="1">
      <alignment horizontal="center"/>
    </xf>
    <xf numFmtId="168" fontId="6" fillId="2" borderId="321" xfId="0" applyNumberFormat="1" applyFont="1" applyFill="1" applyBorder="1" applyAlignment="1">
      <alignment horizontal="center"/>
    </xf>
    <xf numFmtId="0" fontId="6" fillId="2" borderId="321" xfId="0" applyFont="1" applyFill="1" applyBorder="1" applyAlignment="1">
      <alignment horizontal="center"/>
    </xf>
    <xf numFmtId="166" fontId="6" fillId="2" borderId="321" xfId="0" applyNumberFormat="1" applyFont="1" applyFill="1" applyBorder="1" applyAlignment="1">
      <alignment horizontal="center"/>
    </xf>
    <xf numFmtId="168" fontId="6" fillId="2" borderId="322" xfId="0" applyNumberFormat="1" applyFont="1" applyFill="1" applyBorder="1" applyAlignment="1">
      <alignment horizontal="center"/>
    </xf>
    <xf numFmtId="1" fontId="6" fillId="3" borderId="0" xfId="0" applyNumberFormat="1" applyFont="1" applyFill="1"/>
    <xf numFmtId="2" fontId="19" fillId="3" borderId="0" xfId="0" applyNumberFormat="1" applyFont="1" applyFill="1" applyAlignment="1">
      <alignment horizontal="center"/>
    </xf>
    <xf numFmtId="0" fontId="45" fillId="3" borderId="0" xfId="0" applyFont="1" applyFill="1"/>
    <xf numFmtId="0" fontId="6" fillId="2" borderId="321" xfId="0" applyFont="1" applyFill="1" applyBorder="1"/>
    <xf numFmtId="166" fontId="19" fillId="2" borderId="0" xfId="0" applyNumberFormat="1" applyFont="1" applyFill="1" applyAlignment="1">
      <alignment horizontal="center"/>
    </xf>
    <xf numFmtId="0" fontId="6" fillId="2" borderId="324" xfId="0" applyFont="1" applyFill="1" applyBorder="1"/>
    <xf numFmtId="168" fontId="6" fillId="2" borderId="324" xfId="0" applyNumberFormat="1" applyFont="1" applyFill="1" applyBorder="1" applyAlignment="1">
      <alignment horizontal="center"/>
    </xf>
    <xf numFmtId="168" fontId="6" fillId="2" borderId="125" xfId="0" applyNumberFormat="1" applyFont="1" applyFill="1" applyBorder="1" applyAlignment="1">
      <alignment horizontal="center"/>
    </xf>
    <xf numFmtId="166" fontId="6" fillId="2" borderId="324" xfId="0" applyNumberFormat="1" applyFont="1" applyFill="1" applyBorder="1" applyAlignment="1">
      <alignment horizontal="center"/>
    </xf>
    <xf numFmtId="0" fontId="39" fillId="2" borderId="169" xfId="0" applyFont="1" applyFill="1" applyBorder="1" applyAlignment="1">
      <alignment horizontal="centerContinuous" vertical="center"/>
    </xf>
    <xf numFmtId="0" fontId="39" fillId="2" borderId="168" xfId="0" applyFont="1" applyFill="1" applyBorder="1" applyAlignment="1">
      <alignment horizontal="left" vertical="center"/>
    </xf>
    <xf numFmtId="0" fontId="31" fillId="2" borderId="327" xfId="0" applyFont="1" applyFill="1" applyBorder="1" applyAlignment="1">
      <alignment horizontal="centerContinuous" vertical="center"/>
    </xf>
    <xf numFmtId="0" fontId="31" fillId="2" borderId="328" xfId="0" applyFont="1" applyFill="1" applyBorder="1" applyAlignment="1">
      <alignment horizontal="centerContinuous" vertical="center"/>
    </xf>
    <xf numFmtId="168" fontId="31" fillId="0" borderId="198" xfId="0" applyNumberFormat="1" applyFont="1" applyBorder="1" applyAlignment="1">
      <alignment horizontal="centerContinuous" vertical="center"/>
    </xf>
    <xf numFmtId="168" fontId="31" fillId="0" borderId="179" xfId="0" applyNumberFormat="1" applyFont="1" applyBorder="1" applyAlignment="1">
      <alignment horizontal="centerContinuous" vertical="center"/>
    </xf>
    <xf numFmtId="168" fontId="31" fillId="0" borderId="154" xfId="0" applyNumberFormat="1" applyFont="1" applyBorder="1" applyAlignment="1">
      <alignment horizontal="centerContinuous" vertical="center"/>
    </xf>
    <xf numFmtId="168" fontId="31" fillId="0" borderId="176" xfId="0" applyNumberFormat="1" applyFont="1" applyBorder="1" applyAlignment="1">
      <alignment horizontal="centerContinuous" vertical="center"/>
    </xf>
    <xf numFmtId="168" fontId="31" fillId="0" borderId="157" xfId="0" applyNumberFormat="1" applyFont="1" applyBorder="1" applyAlignment="1">
      <alignment horizontal="centerContinuous" vertical="center"/>
    </xf>
    <xf numFmtId="168" fontId="6" fillId="2" borderId="43" xfId="0" applyNumberFormat="1" applyFont="1" applyFill="1" applyBorder="1"/>
    <xf numFmtId="168" fontId="6" fillId="2" borderId="54" xfId="0" applyNumberFormat="1" applyFont="1" applyFill="1" applyBorder="1" applyAlignment="1">
      <alignment horizontal="center"/>
    </xf>
    <xf numFmtId="0" fontId="39" fillId="2" borderId="326" xfId="0" applyFont="1" applyFill="1" applyBorder="1" applyAlignment="1">
      <alignment horizontal="centerContinuous" vertical="center"/>
    </xf>
    <xf numFmtId="166" fontId="31" fillId="0" borderId="305" xfId="0" applyNumberFormat="1" applyFont="1" applyBorder="1" applyAlignment="1">
      <alignment horizontal="centerContinuous" vertical="center"/>
    </xf>
    <xf numFmtId="166" fontId="31" fillId="0" borderId="201" xfId="0" applyNumberFormat="1" applyFont="1" applyBorder="1" applyAlignment="1">
      <alignment horizontal="centerContinuous" vertical="center"/>
    </xf>
    <xf numFmtId="166" fontId="31" fillId="0" borderId="266" xfId="0" applyNumberFormat="1" applyFont="1" applyBorder="1" applyAlignment="1">
      <alignment horizontal="centerContinuous" vertical="center"/>
    </xf>
    <xf numFmtId="166" fontId="31" fillId="0" borderId="329" xfId="0" applyNumberFormat="1" applyFont="1" applyBorder="1" applyAlignment="1">
      <alignment horizontal="centerContinuous" vertical="center"/>
    </xf>
    <xf numFmtId="166" fontId="31" fillId="0" borderId="304" xfId="0" applyNumberFormat="1" applyFont="1" applyBorder="1" applyAlignment="1">
      <alignment horizontal="centerContinuous" vertical="center"/>
    </xf>
    <xf numFmtId="166" fontId="31" fillId="0" borderId="203" xfId="0" applyNumberFormat="1" applyFont="1" applyBorder="1" applyAlignment="1">
      <alignment horizontal="centerContinuous" vertical="center"/>
    </xf>
    <xf numFmtId="166" fontId="31" fillId="0" borderId="306" xfId="0" applyNumberFormat="1" applyFont="1" applyBorder="1" applyAlignment="1">
      <alignment horizontal="centerContinuous" vertical="center"/>
    </xf>
    <xf numFmtId="166" fontId="31" fillId="0" borderId="330" xfId="0" applyNumberFormat="1" applyFont="1" applyBorder="1" applyAlignment="1">
      <alignment horizontal="centerContinuous" vertical="center"/>
    </xf>
    <xf numFmtId="166" fontId="31" fillId="0" borderId="185" xfId="0" applyNumberFormat="1" applyFont="1" applyBorder="1" applyAlignment="1">
      <alignment horizontal="centerContinuous" vertical="center"/>
    </xf>
    <xf numFmtId="166" fontId="31" fillId="0" borderId="180" xfId="0" applyNumberFormat="1" applyFont="1" applyBorder="1" applyAlignment="1">
      <alignment horizontal="centerContinuous" vertical="center"/>
    </xf>
    <xf numFmtId="166" fontId="31" fillId="0" borderId="159" xfId="0" applyNumberFormat="1" applyFont="1" applyBorder="1" applyAlignment="1">
      <alignment horizontal="centerContinuous" vertical="center"/>
    </xf>
    <xf numFmtId="166" fontId="31" fillId="0" borderId="204" xfId="0" applyNumberFormat="1" applyFont="1" applyBorder="1" applyAlignment="1">
      <alignment horizontal="centerContinuous" vertical="center"/>
    </xf>
    <xf numFmtId="166" fontId="31" fillId="0" borderId="183" xfId="0" applyNumberFormat="1" applyFont="1" applyBorder="1" applyAlignment="1">
      <alignment horizontal="centerContinuous" vertical="center"/>
    </xf>
    <xf numFmtId="166" fontId="31" fillId="0" borderId="177" xfId="0" applyNumberFormat="1" applyFont="1" applyBorder="1" applyAlignment="1">
      <alignment horizontal="centerContinuous" vertical="center"/>
    </xf>
    <xf numFmtId="166" fontId="31" fillId="0" borderId="161" xfId="0" applyNumberFormat="1" applyFont="1" applyBorder="1" applyAlignment="1">
      <alignment horizontal="centerContinuous" vertical="center"/>
    </xf>
    <xf numFmtId="166" fontId="31" fillId="0" borderId="193" xfId="0" applyNumberFormat="1" applyFont="1" applyBorder="1" applyAlignment="1">
      <alignment horizontal="centerContinuous" vertical="center"/>
    </xf>
    <xf numFmtId="166" fontId="31" fillId="0" borderId="181" xfId="0" applyNumberFormat="1" applyFont="1" applyBorder="1" applyAlignment="1">
      <alignment horizontal="centerContinuous" vertical="center"/>
    </xf>
    <xf numFmtId="166" fontId="31" fillId="0" borderId="188" xfId="0" applyNumberFormat="1" applyFont="1" applyBorder="1" applyAlignment="1">
      <alignment horizontal="centerContinuous" vertical="center"/>
    </xf>
    <xf numFmtId="0" fontId="33" fillId="0" borderId="176" xfId="0" applyFont="1" applyBorder="1" applyAlignment="1">
      <alignment horizontal="left"/>
    </xf>
    <xf numFmtId="0" fontId="33" fillId="0" borderId="176" xfId="0" applyFont="1" applyBorder="1" applyAlignment="1">
      <alignment horizontal="right"/>
    </xf>
    <xf numFmtId="0" fontId="6" fillId="2" borderId="325" xfId="0" applyFont="1" applyFill="1" applyBorder="1"/>
    <xf numFmtId="166" fontId="6" fillId="2" borderId="331" xfId="0" applyNumberFormat="1" applyFont="1" applyFill="1" applyBorder="1"/>
    <xf numFmtId="0" fontId="33" fillId="0" borderId="266" xfId="0" applyFont="1" applyBorder="1" applyAlignment="1">
      <alignment horizontal="centerContinuous" vertical="center"/>
    </xf>
    <xf numFmtId="0" fontId="33" fillId="0" borderId="176" xfId="0" applyFont="1" applyBorder="1" applyAlignment="1">
      <alignment horizontal="centerContinuous" vertical="center"/>
    </xf>
    <xf numFmtId="0" fontId="31" fillId="2" borderId="0" xfId="0" applyFont="1" applyFill="1" applyAlignment="1">
      <alignment horizontal="centerContinuous" vertical="center"/>
    </xf>
    <xf numFmtId="0" fontId="31" fillId="2" borderId="195" xfId="0" applyFont="1" applyFill="1" applyBorder="1" applyAlignment="1">
      <alignment horizontal="centerContinuous" vertical="center"/>
    </xf>
    <xf numFmtId="0" fontId="31" fillId="2" borderId="332" xfId="0" applyFont="1" applyFill="1" applyBorder="1" applyAlignment="1">
      <alignment horizontal="centerContinuous" vertical="center"/>
    </xf>
    <xf numFmtId="0" fontId="39" fillId="2" borderId="195" xfId="0" applyFont="1" applyFill="1" applyBorder="1" applyAlignment="1">
      <alignment horizontal="centerContinuous" vertical="center"/>
    </xf>
    <xf numFmtId="168" fontId="31" fillId="0" borderId="218" xfId="0" applyNumberFormat="1" applyFont="1" applyBorder="1" applyAlignment="1">
      <alignment horizontal="centerContinuous" vertical="center"/>
    </xf>
    <xf numFmtId="0" fontId="31" fillId="2" borderId="333" xfId="0" applyFont="1" applyFill="1" applyBorder="1" applyAlignment="1">
      <alignment horizontal="centerContinuous" vertical="center"/>
    </xf>
    <xf numFmtId="0" fontId="31" fillId="2" borderId="165" xfId="0" applyFont="1" applyFill="1" applyBorder="1" applyAlignment="1">
      <alignment horizontal="centerContinuous" vertical="center"/>
    </xf>
    <xf numFmtId="0" fontId="31" fillId="2" borderId="265" xfId="0" applyFont="1" applyFill="1" applyBorder="1" applyAlignment="1">
      <alignment horizontal="centerContinuous" vertical="center"/>
    </xf>
    <xf numFmtId="170" fontId="31" fillId="0" borderId="266" xfId="0" applyNumberFormat="1" applyFont="1" applyBorder="1" applyAlignment="1">
      <alignment horizontal="centerContinuous" vertical="center"/>
    </xf>
    <xf numFmtId="170" fontId="31" fillId="0" borderId="306" xfId="0" applyNumberFormat="1" applyFont="1" applyBorder="1" applyAlignment="1">
      <alignment horizontal="centerContinuous" vertical="center"/>
    </xf>
    <xf numFmtId="0" fontId="35" fillId="2" borderId="167" xfId="0" applyFont="1" applyFill="1" applyBorder="1" applyAlignment="1">
      <alignment horizontal="centerContinuous" vertical="center"/>
    </xf>
    <xf numFmtId="0" fontId="35" fillId="2" borderId="170" xfId="0" applyFont="1" applyFill="1" applyBorder="1" applyAlignment="1">
      <alignment horizontal="centerContinuous" vertical="center"/>
    </xf>
    <xf numFmtId="0" fontId="35" fillId="2" borderId="213" xfId="0" applyFont="1" applyFill="1" applyBorder="1" applyAlignment="1">
      <alignment horizontal="centerContinuous" vertical="center"/>
    </xf>
    <xf numFmtId="0" fontId="35" fillId="2" borderId="173" xfId="0" applyFont="1" applyFill="1" applyBorder="1" applyAlignment="1">
      <alignment horizontal="centerContinuous" vertical="center"/>
    </xf>
    <xf numFmtId="0" fontId="35" fillId="2" borderId="273" xfId="0" applyFont="1" applyFill="1" applyBorder="1" applyAlignment="1">
      <alignment horizontal="centerContinuous" vertical="center"/>
    </xf>
    <xf numFmtId="0" fontId="31" fillId="2" borderId="335" xfId="0" applyFont="1" applyFill="1" applyBorder="1" applyAlignment="1">
      <alignment horizontal="left" vertical="center"/>
    </xf>
    <xf numFmtId="0" fontId="31" fillId="2" borderId="336" xfId="0" applyFont="1" applyFill="1" applyBorder="1" applyAlignment="1">
      <alignment horizontal="centerContinuous" vertical="center"/>
    </xf>
    <xf numFmtId="0" fontId="31" fillId="0" borderId="161" xfId="0" applyFont="1" applyBorder="1" applyAlignment="1">
      <alignment horizontal="centerContinuous" vertical="center"/>
    </xf>
    <xf numFmtId="0" fontId="31" fillId="0" borderId="182" xfId="0" applyFont="1" applyBorder="1" applyAlignment="1">
      <alignment horizontal="centerContinuous" vertical="center"/>
    </xf>
    <xf numFmtId="0" fontId="31" fillId="0" borderId="159" xfId="0" applyFont="1" applyBorder="1" applyAlignment="1">
      <alignment horizontal="centerContinuous" vertical="center"/>
    </xf>
    <xf numFmtId="0" fontId="31" fillId="0" borderId="183" xfId="0" applyFont="1" applyBorder="1" applyAlignment="1">
      <alignment horizontal="centerContinuous" vertical="center"/>
    </xf>
    <xf numFmtId="0" fontId="31" fillId="0" borderId="181" xfId="0" applyFont="1" applyBorder="1" applyAlignment="1">
      <alignment horizontal="centerContinuous" vertical="center"/>
    </xf>
    <xf numFmtId="166" fontId="31" fillId="0" borderId="183" xfId="0" applyNumberFormat="1" applyFont="1" applyBorder="1" applyAlignment="1">
      <alignment horizontal="left" vertical="center"/>
    </xf>
    <xf numFmtId="0" fontId="31" fillId="0" borderId="181" xfId="0" applyFont="1" applyBorder="1" applyAlignment="1">
      <alignment horizontal="left" vertical="center"/>
    </xf>
    <xf numFmtId="0" fontId="31" fillId="0" borderId="180" xfId="0" applyFont="1" applyBorder="1" applyAlignment="1">
      <alignment horizontal="centerContinuous" vertical="center"/>
    </xf>
    <xf numFmtId="0" fontId="31" fillId="0" borderId="204" xfId="0" applyFont="1" applyBorder="1" applyAlignment="1">
      <alignment horizontal="centerContinuous" vertical="center"/>
    </xf>
    <xf numFmtId="0" fontId="31" fillId="0" borderId="177" xfId="0" applyFont="1" applyBorder="1" applyAlignment="1">
      <alignment horizontal="centerContinuous" vertical="center"/>
    </xf>
    <xf numFmtId="0" fontId="31" fillId="0" borderId="188" xfId="0" applyFont="1" applyBorder="1" applyAlignment="1">
      <alignment horizontal="centerContinuous" vertical="center"/>
    </xf>
    <xf numFmtId="0" fontId="31" fillId="0" borderId="302" xfId="0" applyFont="1" applyBorder="1" applyAlignment="1">
      <alignment horizontal="centerContinuous" vertical="center"/>
    </xf>
    <xf numFmtId="0" fontId="31" fillId="0" borderId="191" xfId="0" applyFont="1" applyBorder="1" applyAlignment="1">
      <alignment horizontal="centerContinuous" vertical="center"/>
    </xf>
    <xf numFmtId="0" fontId="31" fillId="2" borderId="273" xfId="0" applyFont="1" applyFill="1" applyBorder="1" applyAlignment="1">
      <alignment horizontal="center" vertical="center"/>
    </xf>
    <xf numFmtId="0" fontId="31" fillId="2" borderId="174" xfId="0" applyFont="1" applyFill="1" applyBorder="1" applyAlignment="1">
      <alignment horizontal="center" vertical="center"/>
    </xf>
    <xf numFmtId="0" fontId="31" fillId="0" borderId="190" xfId="0" applyFont="1" applyBorder="1" applyAlignment="1">
      <alignment horizontal="centerContinuous" vertical="center"/>
    </xf>
    <xf numFmtId="0" fontId="31" fillId="2" borderId="166" xfId="0" applyFont="1" applyFill="1" applyBorder="1" applyAlignment="1">
      <alignment horizontal="center" vertical="center"/>
    </xf>
    <xf numFmtId="0" fontId="31" fillId="2" borderId="274" xfId="0" applyFont="1" applyFill="1" applyBorder="1" applyAlignment="1">
      <alignment horizontal="center" vertical="center"/>
    </xf>
    <xf numFmtId="0" fontId="31" fillId="0" borderId="215" xfId="0" applyFont="1" applyBorder="1" applyAlignment="1">
      <alignment horizontal="centerContinuous" vertical="center"/>
    </xf>
    <xf numFmtId="0" fontId="31" fillId="0" borderId="272" xfId="0" applyFont="1" applyBorder="1" applyAlignment="1">
      <alignment horizontal="centerContinuous" vertical="center"/>
    </xf>
    <xf numFmtId="0" fontId="31" fillId="0" borderId="171" xfId="0" applyFont="1" applyBorder="1" applyAlignment="1">
      <alignment horizontal="centerContinuous" vertical="center"/>
    </xf>
    <xf numFmtId="0" fontId="31" fillId="0" borderId="337" xfId="0" applyFont="1" applyBorder="1" applyAlignment="1">
      <alignment horizontal="centerContinuous" vertical="center"/>
    </xf>
    <xf numFmtId="0" fontId="31" fillId="0" borderId="185" xfId="0" applyFont="1" applyBorder="1" applyAlignment="1">
      <alignment horizontal="centerContinuous" vertical="center"/>
    </xf>
    <xf numFmtId="0" fontId="31" fillId="0" borderId="286" xfId="0" applyFont="1" applyBorder="1" applyAlignment="1">
      <alignment horizontal="centerContinuous" vertical="center"/>
    </xf>
    <xf numFmtId="0" fontId="34" fillId="0" borderId="0" xfId="0" applyFont="1" applyAlignment="1">
      <alignment vertical="center"/>
    </xf>
    <xf numFmtId="0" fontId="31" fillId="0" borderId="316" xfId="0" applyFont="1" applyBorder="1" applyAlignment="1">
      <alignment horizontal="centerContinuous" vertical="center"/>
    </xf>
    <xf numFmtId="0" fontId="31" fillId="0" borderId="201" xfId="0" applyFont="1" applyBorder="1" applyAlignment="1">
      <alignment horizontal="centerContinuous" vertical="center"/>
    </xf>
    <xf numFmtId="0" fontId="31" fillId="0" borderId="329" xfId="0" applyFont="1" applyBorder="1" applyAlignment="1">
      <alignment horizontal="centerContinuous" vertical="center"/>
    </xf>
    <xf numFmtId="0" fontId="31" fillId="0" borderId="330" xfId="0" applyFont="1" applyBorder="1" applyAlignment="1">
      <alignment horizontal="centerContinuous" vertical="center"/>
    </xf>
    <xf numFmtId="0" fontId="31" fillId="2" borderId="213" xfId="0" applyFont="1" applyFill="1" applyBorder="1" applyAlignment="1">
      <alignment vertical="center"/>
    </xf>
    <xf numFmtId="0" fontId="31" fillId="2" borderId="338" xfId="0" applyFont="1" applyFill="1" applyBorder="1" applyAlignment="1">
      <alignment horizontal="right" textRotation="90"/>
    </xf>
    <xf numFmtId="0" fontId="31" fillId="0" borderId="339" xfId="0" applyFont="1" applyBorder="1" applyAlignment="1">
      <alignment vertical="center"/>
    </xf>
    <xf numFmtId="1" fontId="31" fillId="0" borderId="340" xfId="0" applyNumberFormat="1" applyFont="1" applyBorder="1" applyAlignment="1">
      <alignment vertical="center"/>
    </xf>
    <xf numFmtId="0" fontId="31" fillId="0" borderId="341" xfId="0" applyFont="1" applyBorder="1" applyAlignment="1">
      <alignment vertical="center"/>
    </xf>
    <xf numFmtId="166" fontId="6" fillId="2" borderId="343" xfId="0" applyNumberFormat="1" applyFont="1" applyFill="1" applyBorder="1" applyAlignment="1">
      <alignment horizontal="center"/>
    </xf>
    <xf numFmtId="166" fontId="37" fillId="2" borderId="342" xfId="0" applyNumberFormat="1" applyFont="1" applyFill="1" applyBorder="1" applyAlignment="1">
      <alignment horizontal="center"/>
    </xf>
    <xf numFmtId="166" fontId="6" fillId="2" borderId="344" xfId="0" applyNumberFormat="1" applyFont="1" applyFill="1" applyBorder="1" applyAlignment="1">
      <alignment horizontal="center"/>
    </xf>
    <xf numFmtId="166" fontId="37" fillId="2" borderId="331" xfId="0" applyNumberFormat="1" applyFont="1" applyFill="1" applyBorder="1" applyAlignment="1">
      <alignment horizontal="center"/>
    </xf>
    <xf numFmtId="0" fontId="6" fillId="2" borderId="345" xfId="0" applyFont="1" applyFill="1" applyBorder="1"/>
    <xf numFmtId="166" fontId="6" fillId="2" borderId="345" xfId="0" applyNumberFormat="1" applyFont="1" applyFill="1" applyBorder="1" applyAlignment="1">
      <alignment horizontal="center"/>
    </xf>
    <xf numFmtId="166" fontId="37" fillId="2" borderId="346" xfId="0" applyNumberFormat="1" applyFont="1" applyFill="1" applyBorder="1" applyAlignment="1">
      <alignment horizontal="center"/>
    </xf>
    <xf numFmtId="0" fontId="39" fillId="2" borderId="168" xfId="0" applyFont="1" applyFill="1" applyBorder="1" applyAlignment="1">
      <alignment horizontal="centerContinuous" vertical="center"/>
    </xf>
    <xf numFmtId="0" fontId="31" fillId="2" borderId="326" xfId="0" applyFont="1" applyFill="1" applyBorder="1" applyAlignment="1">
      <alignment horizontal="centerContinuous" vertical="center"/>
    </xf>
    <xf numFmtId="0" fontId="31" fillId="0" borderId="170" xfId="0" applyFont="1" applyBorder="1" applyAlignment="1">
      <alignment horizontal="centerContinuous" vertical="center"/>
    </xf>
    <xf numFmtId="0" fontId="31" fillId="0" borderId="251" xfId="0" applyFont="1" applyBorder="1" applyAlignment="1">
      <alignment horizontal="centerContinuous" vertical="center"/>
    </xf>
    <xf numFmtId="0" fontId="31" fillId="0" borderId="173" xfId="0" applyFont="1" applyBorder="1" applyAlignment="1">
      <alignment horizontal="centerContinuous" vertical="center"/>
    </xf>
    <xf numFmtId="0" fontId="31" fillId="0" borderId="274" xfId="0" applyFont="1" applyBorder="1" applyAlignment="1">
      <alignment horizontal="centerContinuous" vertical="center"/>
    </xf>
    <xf numFmtId="1" fontId="31" fillId="0" borderId="276" xfId="0" applyNumberFormat="1" applyFont="1" applyBorder="1" applyAlignment="1">
      <alignment horizontal="centerContinuous" vertical="center"/>
    </xf>
    <xf numFmtId="1" fontId="31" fillId="0" borderId="301" xfId="0" applyNumberFormat="1" applyFont="1" applyBorder="1" applyAlignment="1">
      <alignment horizontal="left" vertical="center"/>
    </xf>
    <xf numFmtId="1" fontId="31" fillId="0" borderId="305" xfId="0" applyNumberFormat="1" applyFont="1" applyBorder="1" applyAlignment="1">
      <alignment horizontal="left" vertical="center"/>
    </xf>
    <xf numFmtId="1" fontId="31" fillId="0" borderId="266" xfId="0" applyNumberFormat="1" applyFont="1" applyBorder="1" applyAlignment="1">
      <alignment horizontal="centerContinuous" vertical="center"/>
    </xf>
    <xf numFmtId="1" fontId="31" fillId="0" borderId="304" xfId="0" applyNumberFormat="1" applyFont="1" applyBorder="1" applyAlignment="1">
      <alignment horizontal="centerContinuous" vertical="center"/>
    </xf>
    <xf numFmtId="1" fontId="31" fillId="0" borderId="266" xfId="0" applyNumberFormat="1" applyFont="1" applyBorder="1" applyAlignment="1">
      <alignment horizontal="left" vertical="center"/>
    </xf>
    <xf numFmtId="1" fontId="31" fillId="0" borderId="306" xfId="0" applyNumberFormat="1" applyFont="1" applyBorder="1" applyAlignment="1">
      <alignment horizontal="left" vertical="center"/>
    </xf>
    <xf numFmtId="170" fontId="31" fillId="0" borderId="276" xfId="0" applyNumberFormat="1" applyFont="1" applyBorder="1" applyAlignment="1">
      <alignment horizontal="left" vertical="center"/>
    </xf>
    <xf numFmtId="166" fontId="31" fillId="0" borderId="184" xfId="0" applyNumberFormat="1" applyFont="1" applyBorder="1" applyAlignment="1">
      <alignment horizontal="left" vertical="center"/>
    </xf>
    <xf numFmtId="0" fontId="31" fillId="0" borderId="318" xfId="0" applyFont="1" applyBorder="1" applyAlignment="1">
      <alignment horizontal="left" vertical="center"/>
    </xf>
    <xf numFmtId="0" fontId="31" fillId="0" borderId="161" xfId="0" applyFont="1" applyBorder="1" applyAlignment="1">
      <alignment horizontal="left" vertical="center"/>
    </xf>
    <xf numFmtId="168" fontId="31" fillId="0" borderId="198" xfId="0" applyNumberFormat="1" applyFont="1" applyBorder="1" applyAlignment="1">
      <alignment horizontal="left" vertical="center"/>
    </xf>
    <xf numFmtId="170" fontId="31" fillId="0" borderId="184" xfId="0" applyNumberFormat="1" applyFont="1" applyBorder="1" applyAlignment="1">
      <alignment horizontal="left" vertical="center"/>
    </xf>
    <xf numFmtId="166" fontId="31" fillId="0" borderId="318" xfId="0" applyNumberFormat="1" applyFont="1" applyBorder="1" applyAlignment="1">
      <alignment horizontal="left" vertical="center"/>
    </xf>
    <xf numFmtId="170" fontId="31" fillId="0" borderId="304" xfId="0" applyNumberFormat="1" applyFont="1" applyBorder="1" applyAlignment="1">
      <alignment horizontal="left" vertical="center"/>
    </xf>
    <xf numFmtId="166" fontId="31" fillId="0" borderId="157" xfId="0" applyNumberFormat="1" applyFont="1" applyBorder="1" applyAlignment="1">
      <alignment horizontal="left" vertical="center"/>
    </xf>
    <xf numFmtId="166" fontId="31" fillId="0" borderId="161" xfId="0" applyNumberFormat="1" applyFont="1" applyBorder="1" applyAlignment="1">
      <alignment horizontal="left" vertical="center"/>
    </xf>
    <xf numFmtId="0" fontId="31" fillId="0" borderId="203" xfId="0" applyFont="1" applyBorder="1" applyAlignment="1">
      <alignment horizontal="left" vertical="center"/>
    </xf>
    <xf numFmtId="168" fontId="31" fillId="0" borderId="157" xfId="0" applyNumberFormat="1" applyFont="1" applyBorder="1" applyAlignment="1">
      <alignment horizontal="left" vertical="center"/>
    </xf>
    <xf numFmtId="166" fontId="31" fillId="0" borderId="203" xfId="0" applyNumberFormat="1" applyFont="1" applyBorder="1" applyAlignment="1">
      <alignment horizontal="left" vertical="center"/>
    </xf>
    <xf numFmtId="0" fontId="6" fillId="2" borderId="351" xfId="0" applyFont="1" applyFill="1" applyBorder="1"/>
    <xf numFmtId="166" fontId="6" fillId="2" borderId="351" xfId="0" applyNumberFormat="1" applyFont="1" applyFill="1" applyBorder="1" applyAlignment="1">
      <alignment horizontal="center"/>
    </xf>
    <xf numFmtId="2" fontId="6" fillId="2" borderId="351" xfId="0" applyNumberFormat="1" applyFont="1" applyFill="1" applyBorder="1" applyAlignment="1">
      <alignment horizontal="center"/>
    </xf>
    <xf numFmtId="0" fontId="6" fillId="2" borderId="351" xfId="0" applyFont="1" applyFill="1" applyBorder="1" applyAlignment="1">
      <alignment horizontal="center"/>
    </xf>
    <xf numFmtId="166" fontId="6" fillId="2" borderId="353" xfId="0" applyNumberFormat="1" applyFont="1" applyFill="1" applyBorder="1" applyAlignment="1">
      <alignment horizontal="center"/>
    </xf>
    <xf numFmtId="166" fontId="6" fillId="2" borderId="352" xfId="0" applyNumberFormat="1" applyFont="1" applyFill="1" applyBorder="1" applyAlignment="1">
      <alignment horizontal="center"/>
    </xf>
    <xf numFmtId="0" fontId="6" fillId="2" borderId="0" xfId="0" quotePrefix="1" applyFont="1" applyFill="1" applyAlignment="1">
      <alignment horizontal="center"/>
    </xf>
    <xf numFmtId="168" fontId="6" fillId="2" borderId="351" xfId="0" applyNumberFormat="1" applyFont="1" applyFill="1" applyBorder="1" applyAlignment="1">
      <alignment horizontal="center"/>
    </xf>
    <xf numFmtId="0" fontId="31" fillId="0" borderId="203" xfId="0" applyFont="1" applyBorder="1" applyAlignment="1">
      <alignment horizontal="centerContinuous" vertical="center"/>
    </xf>
    <xf numFmtId="1" fontId="31" fillId="0" borderId="306" xfId="0" applyNumberFormat="1" applyFont="1" applyBorder="1" applyAlignment="1">
      <alignment horizontal="centerContinuous" vertical="center"/>
    </xf>
    <xf numFmtId="0" fontId="31" fillId="2" borderId="338" xfId="0" applyFont="1" applyFill="1" applyBorder="1" applyAlignment="1">
      <alignment horizontal="centerContinuous" vertical="center"/>
    </xf>
    <xf numFmtId="0" fontId="31" fillId="2" borderId="355" xfId="0" applyFont="1" applyFill="1" applyBorder="1" applyAlignment="1">
      <alignment horizontal="centerContinuous" vertical="center"/>
    </xf>
    <xf numFmtId="166" fontId="31" fillId="0" borderId="356" xfId="0" applyNumberFormat="1" applyFont="1" applyBorder="1" applyAlignment="1">
      <alignment horizontal="centerContinuous" vertical="center"/>
    </xf>
    <xf numFmtId="166" fontId="31" fillId="0" borderId="263" xfId="0" applyNumberFormat="1" applyFont="1" applyBorder="1" applyAlignment="1">
      <alignment horizontal="centerContinuous" vertical="center"/>
    </xf>
    <xf numFmtId="166" fontId="31" fillId="0" borderId="357" xfId="0" applyNumberFormat="1" applyFont="1" applyBorder="1" applyAlignment="1">
      <alignment horizontal="centerContinuous" vertical="center"/>
    </xf>
    <xf numFmtId="166" fontId="31" fillId="0" borderId="358" xfId="0" applyNumberFormat="1" applyFont="1" applyBorder="1" applyAlignment="1">
      <alignment horizontal="centerContinuous" vertical="center"/>
    </xf>
    <xf numFmtId="166" fontId="31" fillId="0" borderId="261" xfId="0" applyNumberFormat="1" applyFont="1" applyBorder="1" applyAlignment="1">
      <alignment horizontal="centerContinuous" vertical="center"/>
    </xf>
    <xf numFmtId="166" fontId="31" fillId="0" borderId="359" xfId="0" applyNumberFormat="1" applyFont="1" applyBorder="1" applyAlignment="1">
      <alignment horizontal="centerContinuous" vertical="center"/>
    </xf>
    <xf numFmtId="166" fontId="31" fillId="0" borderId="360" xfId="0" applyNumberFormat="1" applyFont="1" applyBorder="1" applyAlignment="1">
      <alignment horizontal="centerContinuous" vertical="center"/>
    </xf>
    <xf numFmtId="166" fontId="31" fillId="0" borderId="361" xfId="0" applyNumberFormat="1" applyFont="1" applyBorder="1" applyAlignment="1">
      <alignment horizontal="centerContinuous" vertical="center"/>
    </xf>
    <xf numFmtId="166" fontId="31" fillId="0" borderId="362" xfId="0" applyNumberFormat="1" applyFont="1" applyBorder="1" applyAlignment="1">
      <alignment horizontal="centerContinuous" vertical="center"/>
    </xf>
    <xf numFmtId="166" fontId="31" fillId="0" borderId="339" xfId="0" applyNumberFormat="1" applyFont="1" applyBorder="1" applyAlignment="1">
      <alignment horizontal="centerContinuous" vertical="center"/>
    </xf>
    <xf numFmtId="166" fontId="31" fillId="0" borderId="258" xfId="0" applyNumberFormat="1" applyFont="1" applyBorder="1" applyAlignment="1">
      <alignment horizontal="centerContinuous" vertical="center"/>
    </xf>
    <xf numFmtId="166" fontId="31" fillId="0" borderId="363" xfId="0" applyNumberFormat="1" applyFont="1" applyBorder="1" applyAlignment="1">
      <alignment horizontal="centerContinuous" vertical="center"/>
    </xf>
    <xf numFmtId="166" fontId="31" fillId="0" borderId="364" xfId="0" applyNumberFormat="1" applyFont="1" applyBorder="1" applyAlignment="1">
      <alignment horizontal="centerContinuous" vertical="center"/>
    </xf>
    <xf numFmtId="166" fontId="31" fillId="0" borderId="365" xfId="0" applyNumberFormat="1" applyFont="1" applyBorder="1" applyAlignment="1">
      <alignment horizontal="centerContinuous" vertical="center"/>
    </xf>
    <xf numFmtId="166" fontId="31" fillId="0" borderId="366" xfId="0" applyNumberFormat="1" applyFont="1" applyBorder="1" applyAlignment="1">
      <alignment horizontal="centerContinuous" vertical="center"/>
    </xf>
    <xf numFmtId="166" fontId="31" fillId="0" borderId="0" xfId="0" applyNumberFormat="1" applyFont="1"/>
    <xf numFmtId="166" fontId="31" fillId="0" borderId="168" xfId="0" applyNumberFormat="1" applyFont="1" applyBorder="1"/>
    <xf numFmtId="166" fontId="31" fillId="0" borderId="220" xfId="0" applyNumberFormat="1" applyFont="1" applyBorder="1"/>
    <xf numFmtId="0" fontId="31" fillId="0" borderId="0" xfId="0" applyFont="1" applyAlignment="1">
      <alignment horizontal="centerContinuous" vertical="center"/>
    </xf>
    <xf numFmtId="0" fontId="31" fillId="2" borderId="194" xfId="0" applyFont="1" applyFill="1" applyBorder="1" applyAlignment="1">
      <alignment horizontal="centerContinuous" vertical="center"/>
    </xf>
    <xf numFmtId="0" fontId="31" fillId="2" borderId="196" xfId="0" applyFont="1" applyFill="1" applyBorder="1" applyAlignment="1">
      <alignment horizontal="centerContinuous" vertical="center"/>
    </xf>
    <xf numFmtId="0" fontId="31" fillId="0" borderId="193" xfId="0" applyFont="1" applyBorder="1" applyAlignment="1">
      <alignment horizontal="centerContinuous" vertical="center"/>
    </xf>
    <xf numFmtId="2" fontId="31" fillId="0" borderId="179" xfId="0" applyNumberFormat="1" applyFont="1" applyBorder="1" applyAlignment="1">
      <alignment horizontal="centerContinuous" vertical="center"/>
    </xf>
    <xf numFmtId="2" fontId="31" fillId="0" borderId="154" xfId="0" applyNumberFormat="1" applyFont="1" applyBorder="1" applyAlignment="1">
      <alignment horizontal="centerContinuous" vertical="center"/>
    </xf>
    <xf numFmtId="2" fontId="31" fillId="0" borderId="176" xfId="0" applyNumberFormat="1" applyFont="1" applyBorder="1" applyAlignment="1">
      <alignment horizontal="centerContinuous" vertical="center"/>
    </xf>
    <xf numFmtId="2" fontId="31" fillId="0" borderId="157" xfId="0" applyNumberFormat="1" applyFont="1" applyBorder="1" applyAlignment="1">
      <alignment horizontal="centerContinuous" vertical="center"/>
    </xf>
    <xf numFmtId="2" fontId="31" fillId="0" borderId="218" xfId="0" applyNumberFormat="1" applyFont="1" applyBorder="1" applyAlignment="1">
      <alignment horizontal="centerContinuous" vertical="center"/>
    </xf>
    <xf numFmtId="0" fontId="31" fillId="2" borderId="251" xfId="0" applyFont="1" applyFill="1" applyBorder="1" applyAlignment="1">
      <alignment horizontal="centerContinuous" vertical="center"/>
    </xf>
    <xf numFmtId="0" fontId="31" fillId="2" borderId="213" xfId="0" applyFont="1" applyFill="1" applyBorder="1" applyAlignment="1">
      <alignment horizontal="centerContinuous" vertical="center"/>
    </xf>
    <xf numFmtId="0" fontId="31" fillId="2" borderId="160" xfId="0" applyFont="1" applyFill="1" applyBorder="1" applyAlignment="1">
      <alignment horizontal="centerContinuous" vertical="center"/>
    </xf>
    <xf numFmtId="0" fontId="31" fillId="2" borderId="202" xfId="0" applyFont="1" applyFill="1" applyBorder="1" applyAlignment="1">
      <alignment horizontal="centerContinuous" vertical="center"/>
    </xf>
    <xf numFmtId="0" fontId="31" fillId="2" borderId="214" xfId="0" applyFont="1" applyFill="1" applyBorder="1" applyAlignment="1">
      <alignment horizontal="centerContinuous" vertical="center"/>
    </xf>
    <xf numFmtId="0" fontId="31" fillId="2" borderId="213" xfId="0" applyFont="1" applyFill="1" applyBorder="1" applyAlignment="1">
      <alignment horizontal="left" vertical="center"/>
    </xf>
    <xf numFmtId="0" fontId="31" fillId="0" borderId="172" xfId="0" applyFont="1" applyBorder="1" applyAlignment="1">
      <alignment horizontal="centerContinuous" vertical="center"/>
    </xf>
    <xf numFmtId="0" fontId="31" fillId="2" borderId="251" xfId="0" applyFont="1" applyFill="1" applyBorder="1" applyAlignment="1">
      <alignment horizontal="center" vertical="center"/>
    </xf>
    <xf numFmtId="1" fontId="31" fillId="0" borderId="301" xfId="0" applyNumberFormat="1" applyFont="1" applyBorder="1" applyAlignment="1">
      <alignment horizontal="centerContinuous" vertical="center"/>
    </xf>
    <xf numFmtId="1" fontId="31" fillId="0" borderId="305" xfId="0" applyNumberFormat="1" applyFont="1" applyBorder="1" applyAlignment="1">
      <alignment horizontal="centerContinuous" vertical="center"/>
    </xf>
    <xf numFmtId="0" fontId="31" fillId="2" borderId="367" xfId="0" applyFont="1" applyFill="1" applyBorder="1" applyAlignment="1">
      <alignment horizontal="centerContinuous" vertical="center"/>
    </xf>
    <xf numFmtId="2" fontId="31" fillId="0" borderId="198" xfId="0" applyNumberFormat="1" applyFont="1" applyBorder="1" applyAlignment="1">
      <alignment horizontal="centerContinuous" vertical="center"/>
    </xf>
    <xf numFmtId="0" fontId="31" fillId="0" borderId="318" xfId="0" applyFont="1" applyBorder="1" applyAlignment="1">
      <alignment horizontal="centerContinuous" vertical="center"/>
    </xf>
    <xf numFmtId="166" fontId="31" fillId="0" borderId="259" xfId="0" applyNumberFormat="1" applyFont="1" applyBorder="1" applyAlignment="1">
      <alignment horizontal="centerContinuous" vertical="center"/>
    </xf>
    <xf numFmtId="0" fontId="16" fillId="2" borderId="0" xfId="0" applyFont="1" applyFill="1"/>
    <xf numFmtId="0" fontId="10" fillId="2" borderId="0" xfId="0" applyFont="1" applyFill="1"/>
    <xf numFmtId="0" fontId="6" fillId="2" borderId="10" xfId="0" applyFont="1" applyFill="1" applyBorder="1" applyAlignment="1">
      <alignment horizontal="center"/>
    </xf>
    <xf numFmtId="0" fontId="6" fillId="2" borderId="373" xfId="0" applyFont="1" applyFill="1" applyBorder="1"/>
    <xf numFmtId="0" fontId="6" fillId="2" borderId="374" xfId="0" applyFont="1" applyFill="1" applyBorder="1"/>
    <xf numFmtId="0" fontId="31" fillId="2" borderId="377" xfId="0" applyFont="1" applyFill="1" applyBorder="1" applyAlignment="1">
      <alignment horizontal="center" textRotation="90"/>
    </xf>
    <xf numFmtId="0" fontId="31" fillId="0" borderId="378" xfId="0" applyFont="1" applyBorder="1" applyAlignment="1">
      <alignment horizontal="center"/>
    </xf>
    <xf numFmtId="0" fontId="31" fillId="0" borderId="263" xfId="0" applyFont="1" applyBorder="1" applyAlignment="1">
      <alignment horizontal="center"/>
    </xf>
    <xf numFmtId="0" fontId="31" fillId="0" borderId="379" xfId="0" applyFont="1" applyBorder="1" applyAlignment="1">
      <alignment horizontal="center"/>
    </xf>
    <xf numFmtId="0" fontId="31" fillId="0" borderId="259" xfId="0" applyFont="1" applyBorder="1" applyAlignment="1">
      <alignment horizontal="center"/>
    </xf>
    <xf numFmtId="0" fontId="31" fillId="0" borderId="380" xfId="0" applyFont="1" applyBorder="1" applyAlignment="1">
      <alignment horizontal="center"/>
    </xf>
    <xf numFmtId="0" fontId="31" fillId="0" borderId="260" xfId="0" applyFont="1" applyBorder="1" applyAlignment="1">
      <alignment horizontal="center"/>
    </xf>
    <xf numFmtId="0" fontId="31" fillId="0" borderId="357" xfId="0" applyFont="1" applyBorder="1" applyAlignment="1">
      <alignment horizontal="center"/>
    </xf>
    <xf numFmtId="0" fontId="31" fillId="0" borderId="375" xfId="0" applyFont="1" applyBorder="1" applyAlignment="1">
      <alignment horizontal="center"/>
    </xf>
    <xf numFmtId="0" fontId="31" fillId="0" borderId="376" xfId="0" applyFont="1" applyBorder="1" applyAlignment="1">
      <alignment horizontal="center"/>
    </xf>
    <xf numFmtId="0" fontId="31" fillId="2" borderId="327" xfId="0" applyFont="1" applyFill="1" applyBorder="1" applyAlignment="1">
      <alignment horizontal="center" textRotation="90"/>
    </xf>
    <xf numFmtId="0" fontId="31" fillId="0" borderId="184" xfId="0" applyFont="1" applyBorder="1" applyAlignment="1">
      <alignment horizontal="center"/>
    </xf>
    <xf numFmtId="0" fontId="31" fillId="0" borderId="182" xfId="0" applyFont="1" applyBorder="1" applyAlignment="1">
      <alignment horizontal="center"/>
    </xf>
    <xf numFmtId="0" fontId="31" fillId="0" borderId="199" xfId="0" applyFont="1" applyBorder="1" applyAlignment="1">
      <alignment horizontal="center"/>
    </xf>
    <xf numFmtId="0" fontId="31" fillId="0" borderId="356" xfId="0" applyFont="1" applyBorder="1" applyAlignment="1">
      <alignment horizontal="center"/>
    </xf>
    <xf numFmtId="0" fontId="31" fillId="0" borderId="340" xfId="0" applyFont="1" applyBorder="1" applyAlignment="1">
      <alignment horizontal="center"/>
    </xf>
    <xf numFmtId="0" fontId="31" fillId="0" borderId="341" xfId="0" applyFont="1" applyBorder="1" applyAlignment="1">
      <alignment horizontal="center"/>
    </xf>
    <xf numFmtId="0" fontId="0" fillId="0" borderId="263" xfId="0" applyBorder="1" applyAlignment="1">
      <alignment horizontal="center"/>
    </xf>
    <xf numFmtId="0" fontId="0" fillId="0" borderId="259" xfId="0" applyBorder="1" applyAlignment="1">
      <alignment horizontal="center"/>
    </xf>
    <xf numFmtId="0" fontId="0" fillId="0" borderId="260" xfId="0" applyBorder="1" applyAlignment="1">
      <alignment horizontal="center"/>
    </xf>
    <xf numFmtId="0" fontId="31" fillId="0" borderId="197" xfId="0" applyFont="1" applyBorder="1" applyAlignment="1">
      <alignment horizontal="center"/>
    </xf>
    <xf numFmtId="0" fontId="31" fillId="0" borderId="178" xfId="0" applyFont="1" applyBorder="1" applyAlignment="1">
      <alignment horizontal="center"/>
    </xf>
    <xf numFmtId="0" fontId="31" fillId="0" borderId="189" xfId="0" applyFont="1" applyBorder="1" applyAlignment="1">
      <alignment horizontal="center"/>
    </xf>
    <xf numFmtId="0" fontId="31" fillId="2" borderId="216" xfId="0" applyFont="1" applyFill="1" applyBorder="1" applyAlignment="1">
      <alignment horizontal="left" vertical="center"/>
    </xf>
    <xf numFmtId="0" fontId="38" fillId="2" borderId="0" xfId="0" applyFont="1" applyFill="1"/>
    <xf numFmtId="2" fontId="19" fillId="2" borderId="0" xfId="0" applyNumberFormat="1" applyFont="1" applyFill="1"/>
    <xf numFmtId="0" fontId="38" fillId="2" borderId="61" xfId="0" applyFont="1" applyFill="1" applyBorder="1"/>
    <xf numFmtId="0" fontId="6" fillId="3" borderId="0" xfId="0" quotePrefix="1" applyFont="1" applyFill="1" applyAlignment="1">
      <alignment horizontal="left"/>
    </xf>
    <xf numFmtId="2" fontId="31" fillId="0" borderId="197" xfId="0" applyNumberFormat="1" applyFont="1" applyBorder="1" applyAlignment="1">
      <alignment vertical="center"/>
    </xf>
    <xf numFmtId="2" fontId="31" fillId="0" borderId="178" xfId="0" applyNumberFormat="1" applyFont="1" applyBorder="1" applyAlignment="1">
      <alignment vertical="center"/>
    </xf>
    <xf numFmtId="2" fontId="31" fillId="0" borderId="189" xfId="0" applyNumberFormat="1" applyFont="1" applyBorder="1" applyAlignment="1">
      <alignment vertical="center"/>
    </xf>
    <xf numFmtId="0" fontId="31" fillId="0" borderId="223" xfId="0" applyFont="1" applyBorder="1" applyAlignment="1">
      <alignment vertical="center"/>
    </xf>
    <xf numFmtId="0" fontId="6" fillId="2" borderId="14" xfId="0" applyFont="1" applyFill="1" applyBorder="1" applyAlignment="1">
      <alignment horizontal="center"/>
    </xf>
    <xf numFmtId="0" fontId="46" fillId="3" borderId="0" xfId="0" applyFont="1" applyFill="1"/>
    <xf numFmtId="2" fontId="31" fillId="0" borderId="198" xfId="0" applyNumberFormat="1" applyFont="1" applyBorder="1" applyAlignment="1">
      <alignment vertical="center"/>
    </xf>
    <xf numFmtId="2" fontId="31" fillId="0" borderId="179" xfId="0" applyNumberFormat="1" applyFont="1" applyBorder="1" applyAlignment="1">
      <alignment vertical="center"/>
    </xf>
    <xf numFmtId="2" fontId="31" fillId="0" borderId="190" xfId="0" applyNumberFormat="1" applyFont="1" applyBorder="1" applyAlignment="1">
      <alignment vertical="center"/>
    </xf>
    <xf numFmtId="0" fontId="31" fillId="0" borderId="170" xfId="0" applyFont="1" applyBorder="1" applyAlignment="1">
      <alignment horizontal="left" vertical="center"/>
    </xf>
    <xf numFmtId="0" fontId="31" fillId="0" borderId="200" xfId="0" applyFont="1" applyBorder="1" applyAlignment="1">
      <alignment horizontal="left" vertical="center"/>
    </xf>
    <xf numFmtId="0" fontId="31" fillId="0" borderId="262" xfId="0" applyFont="1" applyBorder="1" applyAlignment="1">
      <alignment horizontal="left" vertical="center"/>
    </xf>
    <xf numFmtId="0" fontId="31" fillId="0" borderId="192" xfId="0" applyFont="1" applyBorder="1" applyAlignment="1">
      <alignment horizontal="left" vertical="center"/>
    </xf>
    <xf numFmtId="1" fontId="31" fillId="0" borderId="218" xfId="0" applyNumberFormat="1" applyFont="1" applyBorder="1" applyAlignment="1">
      <alignment horizontal="centerContinuous" vertical="center"/>
    </xf>
    <xf numFmtId="0" fontId="31" fillId="0" borderId="0" xfId="0" applyFont="1" applyAlignment="1">
      <alignment horizontal="center" vertical="center"/>
    </xf>
    <xf numFmtId="0" fontId="0" fillId="0" borderId="167" xfId="0" applyBorder="1"/>
    <xf numFmtId="0" fontId="0" fillId="0" borderId="168" xfId="0" applyBorder="1"/>
    <xf numFmtId="0" fontId="0" fillId="0" borderId="169" xfId="0" applyBorder="1"/>
    <xf numFmtId="0" fontId="0" fillId="0" borderId="170" xfId="0" applyBorder="1"/>
    <xf numFmtId="0" fontId="0" fillId="0" borderId="214" xfId="0" applyBorder="1"/>
    <xf numFmtId="0" fontId="0" fillId="0" borderId="171" xfId="0" applyBorder="1"/>
    <xf numFmtId="0" fontId="0" fillId="0" borderId="172" xfId="0" applyBorder="1"/>
    <xf numFmtId="0" fontId="0" fillId="0" borderId="172" xfId="0" applyBorder="1" applyAlignment="1">
      <alignment horizontal="centerContinuous"/>
    </xf>
    <xf numFmtId="0" fontId="0" fillId="0" borderId="217" xfId="0" applyBorder="1"/>
    <xf numFmtId="0" fontId="35" fillId="0" borderId="0" xfId="0" applyFont="1"/>
    <xf numFmtId="0" fontId="31" fillId="0" borderId="172" xfId="0" applyFont="1" applyBorder="1" applyAlignment="1">
      <alignment horizontal="centerContinuous"/>
    </xf>
    <xf numFmtId="172" fontId="34" fillId="0" borderId="0" xfId="0" applyNumberFormat="1" applyFont="1" applyAlignment="1">
      <alignment horizontal="centerContinuous"/>
    </xf>
    <xf numFmtId="0" fontId="0" fillId="0" borderId="0" xfId="0" applyAlignment="1">
      <alignment horizontal="centerContinuous"/>
    </xf>
    <xf numFmtId="0" fontId="34" fillId="0" borderId="0" xfId="0" applyFont="1" applyAlignment="1">
      <alignment horizontal="centerContinuous"/>
    </xf>
    <xf numFmtId="0" fontId="33" fillId="0" borderId="0" xfId="0" applyFont="1" applyAlignment="1">
      <alignment horizontal="right" vertical="center"/>
    </xf>
    <xf numFmtId="0" fontId="33" fillId="0" borderId="0" xfId="0" applyFont="1" applyAlignment="1">
      <alignment vertical="center"/>
    </xf>
    <xf numFmtId="0" fontId="33" fillId="0" borderId="0" xfId="0" applyFont="1" applyAlignment="1">
      <alignment horizontal="right"/>
    </xf>
    <xf numFmtId="0" fontId="34" fillId="0" borderId="168" xfId="0" applyFont="1" applyBorder="1" applyAlignment="1">
      <alignment horizontal="centerContinuous" vertical="center"/>
    </xf>
    <xf numFmtId="0" fontId="0" fillId="0" borderId="168" xfId="0" applyBorder="1" applyAlignment="1">
      <alignment horizontal="centerContinuous" vertical="center"/>
    </xf>
    <xf numFmtId="166" fontId="39" fillId="0" borderId="0" xfId="0" applyNumberFormat="1" applyFont="1" applyAlignment="1">
      <alignment horizontal="left" vertical="center"/>
    </xf>
    <xf numFmtId="1" fontId="39" fillId="0" borderId="0" xfId="0" applyNumberFormat="1" applyFont="1" applyAlignment="1">
      <alignment horizontal="left" vertical="center"/>
    </xf>
    <xf numFmtId="0" fontId="6" fillId="7" borderId="0" xfId="0" applyFont="1" applyFill="1"/>
    <xf numFmtId="0" fontId="6" fillId="8" borderId="0" xfId="0" applyFont="1" applyFill="1"/>
    <xf numFmtId="168" fontId="19" fillId="2" borderId="0" xfId="0" applyNumberFormat="1" applyFont="1" applyFill="1" applyAlignment="1">
      <alignment horizontal="center"/>
    </xf>
    <xf numFmtId="0" fontId="6" fillId="2" borderId="61" xfId="0" applyFont="1" applyFill="1" applyBorder="1" applyAlignment="1">
      <alignment horizontal="right"/>
    </xf>
    <xf numFmtId="0" fontId="6" fillId="2" borderId="125" xfId="0" applyFont="1" applyFill="1" applyBorder="1" applyAlignment="1">
      <alignment horizontal="right"/>
    </xf>
    <xf numFmtId="2" fontId="6" fillId="2" borderId="10" xfId="0" applyNumberFormat="1" applyFont="1" applyFill="1" applyBorder="1" applyAlignment="1">
      <alignment horizontal="center"/>
    </xf>
    <xf numFmtId="166" fontId="6" fillId="2" borderId="10" xfId="0" applyNumberFormat="1" applyFont="1" applyFill="1" applyBorder="1" applyAlignment="1">
      <alignment horizontal="center"/>
    </xf>
    <xf numFmtId="166" fontId="6" fillId="2" borderId="10" xfId="0" applyNumberFormat="1" applyFont="1" applyFill="1" applyBorder="1"/>
    <xf numFmtId="0" fontId="27" fillId="2" borderId="14" xfId="0" applyFont="1" applyFill="1" applyBorder="1" applyAlignment="1">
      <alignment horizontal="center"/>
    </xf>
    <xf numFmtId="166" fontId="6" fillId="2" borderId="14" xfId="0" applyNumberFormat="1" applyFont="1" applyFill="1" applyBorder="1" applyAlignment="1">
      <alignment horizontal="center"/>
    </xf>
    <xf numFmtId="166" fontId="6" fillId="2" borderId="14" xfId="0" applyNumberFormat="1" applyFont="1" applyFill="1" applyBorder="1"/>
    <xf numFmtId="168" fontId="27" fillId="2" borderId="133" xfId="0" applyNumberFormat="1" applyFont="1" applyFill="1" applyBorder="1" applyAlignment="1">
      <alignment horizontal="center"/>
    </xf>
    <xf numFmtId="168" fontId="27" fillId="2" borderId="126" xfId="0" applyNumberFormat="1" applyFont="1" applyFill="1" applyBorder="1" applyAlignment="1">
      <alignment horizontal="center"/>
    </xf>
    <xf numFmtId="168" fontId="6" fillId="2" borderId="126" xfId="0" applyNumberFormat="1" applyFont="1" applyFill="1" applyBorder="1" applyAlignment="1">
      <alignment horizontal="center"/>
    </xf>
    <xf numFmtId="168" fontId="6" fillId="2" borderId="61" xfId="0" applyNumberFormat="1" applyFont="1" applyFill="1" applyBorder="1" applyAlignment="1">
      <alignment horizontal="center"/>
    </xf>
    <xf numFmtId="168" fontId="6" fillId="2" borderId="127" xfId="0" applyNumberFormat="1" applyFont="1" applyFill="1" applyBorder="1" applyAlignment="1">
      <alignment horizontal="center"/>
    </xf>
    <xf numFmtId="0" fontId="6" fillId="2" borderId="387" xfId="0" applyFont="1" applyFill="1" applyBorder="1"/>
    <xf numFmtId="0" fontId="6" fillId="2" borderId="387" xfId="0" applyFont="1" applyFill="1" applyBorder="1" applyAlignment="1">
      <alignment horizontal="center"/>
    </xf>
    <xf numFmtId="166" fontId="6" fillId="2" borderId="387" xfId="0" applyNumberFormat="1" applyFont="1" applyFill="1" applyBorder="1" applyAlignment="1">
      <alignment horizontal="center"/>
    </xf>
    <xf numFmtId="0" fontId="6" fillId="2" borderId="125" xfId="0" applyFont="1" applyFill="1" applyBorder="1" applyAlignment="1">
      <alignment horizontal="center"/>
    </xf>
    <xf numFmtId="168" fontId="27" fillId="2" borderId="0" xfId="0" applyNumberFormat="1" applyFont="1" applyFill="1" applyAlignment="1">
      <alignment horizontal="center"/>
    </xf>
    <xf numFmtId="171" fontId="19" fillId="2" borderId="133" xfId="0" applyNumberFormat="1" applyFont="1" applyFill="1" applyBorder="1" applyAlignment="1">
      <alignment horizontal="right"/>
    </xf>
    <xf numFmtId="171" fontId="6" fillId="2" borderId="124" xfId="0" applyNumberFormat="1" applyFont="1" applyFill="1" applyBorder="1" applyAlignment="1">
      <alignment horizontal="right"/>
    </xf>
    <xf numFmtId="166" fontId="19" fillId="2" borderId="10" xfId="0" applyNumberFormat="1" applyFont="1" applyFill="1" applyBorder="1" applyAlignment="1">
      <alignment horizontal="center"/>
    </xf>
    <xf numFmtId="0" fontId="6" fillId="2" borderId="391" xfId="0" applyFont="1" applyFill="1" applyBorder="1"/>
    <xf numFmtId="171" fontId="6" fillId="2" borderId="392" xfId="0" applyNumberFormat="1" applyFont="1" applyFill="1" applyBorder="1" applyAlignment="1">
      <alignment horizontal="right"/>
    </xf>
    <xf numFmtId="168" fontId="27" fillId="2" borderId="10" xfId="0" applyNumberFormat="1" applyFont="1" applyFill="1" applyBorder="1" applyAlignment="1">
      <alignment horizontal="center"/>
    </xf>
    <xf numFmtId="166" fontId="19" fillId="2" borderId="14" xfId="0" applyNumberFormat="1" applyFont="1" applyFill="1" applyBorder="1" applyAlignment="1">
      <alignment horizontal="center"/>
    </xf>
    <xf numFmtId="0" fontId="6" fillId="2" borderId="393" xfId="0" applyFont="1" applyFill="1" applyBorder="1"/>
    <xf numFmtId="171" fontId="6" fillId="2" borderId="394" xfId="0" applyNumberFormat="1" applyFont="1" applyFill="1" applyBorder="1" applyAlignment="1">
      <alignment horizontal="right"/>
    </xf>
    <xf numFmtId="168" fontId="6" fillId="2" borderId="394" xfId="0" applyNumberFormat="1" applyFont="1" applyFill="1" applyBorder="1" applyAlignment="1">
      <alignment horizontal="center"/>
    </xf>
    <xf numFmtId="168" fontId="6" fillId="2" borderId="14" xfId="0" applyNumberFormat="1" applyFont="1" applyFill="1" applyBorder="1" applyAlignment="1">
      <alignment horizontal="center"/>
    </xf>
    <xf numFmtId="168" fontId="6" fillId="2" borderId="393" xfId="0" applyNumberFormat="1" applyFont="1" applyFill="1" applyBorder="1" applyAlignment="1">
      <alignment horizontal="center"/>
    </xf>
    <xf numFmtId="168" fontId="27" fillId="2" borderId="14" xfId="0" applyNumberFormat="1" applyFont="1" applyFill="1" applyBorder="1" applyAlignment="1">
      <alignment horizontal="center"/>
    </xf>
    <xf numFmtId="168" fontId="27" fillId="2" borderId="54" xfId="0" applyNumberFormat="1" applyFont="1" applyFill="1" applyBorder="1" applyAlignment="1">
      <alignment horizontal="center"/>
    </xf>
    <xf numFmtId="171" fontId="19" fillId="2" borderId="124" xfId="0" applyNumberFormat="1" applyFont="1" applyFill="1" applyBorder="1" applyAlignment="1">
      <alignment horizontal="right"/>
    </xf>
    <xf numFmtId="0" fontId="26" fillId="0" borderId="0" xfId="0" applyFont="1"/>
    <xf numFmtId="168" fontId="36" fillId="2" borderId="43" xfId="0" applyNumberFormat="1" applyFont="1" applyFill="1" applyBorder="1" applyAlignment="1">
      <alignment horizontal="center"/>
    </xf>
    <xf numFmtId="1" fontId="6" fillId="2" borderId="351" xfId="0" applyNumberFormat="1" applyFont="1" applyFill="1" applyBorder="1" applyAlignment="1">
      <alignment horizontal="center"/>
    </xf>
    <xf numFmtId="0" fontId="31" fillId="0" borderId="184" xfId="0" applyFont="1" applyBorder="1" applyAlignment="1">
      <alignment horizontal="centerContinuous" vertical="center"/>
    </xf>
    <xf numFmtId="0" fontId="31" fillId="0" borderId="199" xfId="0" applyFont="1" applyBorder="1" applyAlignment="1">
      <alignment horizontal="centerContinuous" vertical="center"/>
    </xf>
    <xf numFmtId="0" fontId="26" fillId="2" borderId="0" xfId="0" applyFont="1" applyFill="1"/>
    <xf numFmtId="0" fontId="6" fillId="2" borderId="324" xfId="0" applyFont="1" applyFill="1" applyBorder="1" applyAlignment="1">
      <alignment horizontal="center"/>
    </xf>
    <xf numFmtId="0" fontId="49" fillId="2" borderId="168" xfId="0" applyFont="1" applyFill="1" applyBorder="1" applyAlignment="1">
      <alignment horizontal="centerContinuous" vertical="center"/>
    </xf>
    <xf numFmtId="168" fontId="31" fillId="0" borderId="318" xfId="0" applyNumberFormat="1" applyFont="1" applyBorder="1" applyAlignment="1">
      <alignment horizontal="centerContinuous" vertical="center"/>
    </xf>
    <xf numFmtId="168" fontId="31" fillId="0" borderId="316" xfId="0" applyNumberFormat="1" applyFont="1" applyBorder="1" applyAlignment="1">
      <alignment horizontal="centerContinuous" vertical="center"/>
    </xf>
    <xf numFmtId="168" fontId="31" fillId="0" borderId="201" xfId="0" applyNumberFormat="1" applyFont="1" applyBorder="1" applyAlignment="1">
      <alignment horizontal="centerContinuous" vertical="center"/>
    </xf>
    <xf numFmtId="168" fontId="31" fillId="0" borderId="329" xfId="0" applyNumberFormat="1" applyFont="1" applyBorder="1" applyAlignment="1">
      <alignment horizontal="centerContinuous" vertical="center"/>
    </xf>
    <xf numFmtId="168" fontId="31" fillId="0" borderId="203" xfId="0" applyNumberFormat="1" applyFont="1" applyBorder="1" applyAlignment="1">
      <alignment horizontal="centerContinuous" vertical="center"/>
    </xf>
    <xf numFmtId="168" fontId="31" fillId="0" borderId="330" xfId="0" applyNumberFormat="1" applyFont="1" applyBorder="1" applyAlignment="1">
      <alignment horizontal="centerContinuous" vertical="center"/>
    </xf>
    <xf numFmtId="166" fontId="31" fillId="0" borderId="0" xfId="0" applyNumberFormat="1" applyFont="1" applyAlignment="1">
      <alignment horizontal="centerContinuous" vertical="center"/>
    </xf>
    <xf numFmtId="168" fontId="31" fillId="0" borderId="0" xfId="0" applyNumberFormat="1" applyFont="1" applyAlignment="1">
      <alignment horizontal="centerContinuous" vertical="center"/>
    </xf>
    <xf numFmtId="0" fontId="35" fillId="2" borderId="168" xfId="0" applyFont="1" applyFill="1" applyBorder="1" applyAlignment="1">
      <alignment horizontal="centerContinuous" vertical="center"/>
    </xf>
    <xf numFmtId="0" fontId="35" fillId="2" borderId="0" xfId="0" applyFont="1" applyFill="1" applyAlignment="1">
      <alignment horizontal="centerContinuous" vertical="center"/>
    </xf>
    <xf numFmtId="0" fontId="35" fillId="2" borderId="166" xfId="0" applyFont="1" applyFill="1" applyBorder="1" applyAlignment="1">
      <alignment horizontal="left" vertical="center"/>
    </xf>
    <xf numFmtId="0" fontId="42" fillId="0" borderId="157" xfId="0" applyFont="1" applyBorder="1" applyAlignment="1">
      <alignment horizontal="centerContinuous" vertical="center"/>
    </xf>
    <xf numFmtId="0" fontId="42" fillId="0" borderId="179" xfId="0" applyFont="1" applyBorder="1" applyAlignment="1">
      <alignment horizontal="centerContinuous" vertical="center"/>
    </xf>
    <xf numFmtId="0" fontId="42" fillId="0" borderId="198" xfId="0" applyFont="1" applyBorder="1" applyAlignment="1">
      <alignment horizontal="centerContinuous" vertical="center"/>
    </xf>
    <xf numFmtId="0" fontId="42" fillId="0" borderId="206" xfId="0" applyFont="1" applyBorder="1" applyAlignment="1">
      <alignment horizontal="centerContinuous" vertical="center"/>
    </xf>
    <xf numFmtId="0" fontId="42" fillId="0" borderId="190" xfId="0" applyFont="1" applyBorder="1" applyAlignment="1">
      <alignment horizontal="centerContinuous" vertical="center"/>
    </xf>
    <xf numFmtId="0" fontId="35" fillId="2" borderId="395" xfId="0" applyFont="1" applyFill="1" applyBorder="1" applyAlignment="1">
      <alignment horizontal="centerContinuous" vertical="center"/>
    </xf>
    <xf numFmtId="0" fontId="35" fillId="2" borderId="348" xfId="0" applyFont="1" applyFill="1" applyBorder="1" applyAlignment="1">
      <alignment horizontal="centerContinuous" vertical="center"/>
    </xf>
    <xf numFmtId="0" fontId="35" fillId="2" borderId="349" xfId="0" applyFont="1" applyFill="1" applyBorder="1" applyAlignment="1">
      <alignment horizontal="centerContinuous" vertical="center"/>
    </xf>
    <xf numFmtId="0" fontId="42" fillId="0" borderId="348" xfId="0" applyFont="1" applyBorder="1" applyAlignment="1">
      <alignment horizontal="centerContinuous" vertical="center"/>
    </xf>
    <xf numFmtId="0" fontId="42" fillId="0" borderId="349" xfId="0" applyFont="1" applyBorder="1" applyAlignment="1">
      <alignment horizontal="centerContinuous" vertical="center"/>
    </xf>
    <xf numFmtId="0" fontId="42" fillId="0" borderId="350" xfId="0" applyFont="1" applyBorder="1" applyAlignment="1">
      <alignment horizontal="centerContinuous" vertical="center"/>
    </xf>
    <xf numFmtId="0" fontId="42" fillId="0" borderId="154" xfId="0" applyFont="1" applyBorder="1" applyAlignment="1">
      <alignment horizontal="centerContinuous" vertical="center"/>
    </xf>
    <xf numFmtId="166" fontId="42" fillId="0" borderId="213" xfId="0" applyNumberFormat="1" applyFont="1" applyBorder="1" applyAlignment="1">
      <alignment horizontal="centerContinuous" vertical="center"/>
    </xf>
    <xf numFmtId="166" fontId="42" fillId="0" borderId="367" xfId="0" applyNumberFormat="1" applyFont="1" applyBorder="1" applyAlignment="1">
      <alignment horizontal="centerContinuous" vertical="center"/>
    </xf>
    <xf numFmtId="166" fontId="42" fillId="0" borderId="0" xfId="0" applyNumberFormat="1" applyFont="1" applyAlignment="1">
      <alignment horizontal="centerContinuous" vertical="center"/>
    </xf>
    <xf numFmtId="166" fontId="42" fillId="0" borderId="273" xfId="0" applyNumberFormat="1" applyFont="1" applyBorder="1" applyAlignment="1">
      <alignment horizontal="centerContinuous" vertical="center"/>
    </xf>
    <xf numFmtId="166" fontId="42" fillId="0" borderId="257" xfId="0" applyNumberFormat="1" applyFont="1" applyBorder="1" applyAlignment="1">
      <alignment horizontal="centerContinuous" vertical="center"/>
    </xf>
    <xf numFmtId="166" fontId="42" fillId="0" borderId="166" xfId="0" applyNumberFormat="1" applyFont="1" applyBorder="1" applyAlignment="1">
      <alignment horizontal="centerContinuous" vertical="center"/>
    </xf>
    <xf numFmtId="166" fontId="42" fillId="0" borderId="157" xfId="0" applyNumberFormat="1" applyFont="1" applyBorder="1" applyAlignment="1">
      <alignment horizontal="left" vertical="center"/>
    </xf>
    <xf numFmtId="166" fontId="42" fillId="0" borderId="0" xfId="0" applyNumberFormat="1" applyFont="1" applyAlignment="1">
      <alignment horizontal="left" vertical="center"/>
    </xf>
    <xf numFmtId="166" fontId="42" fillId="0" borderId="170" xfId="0" applyNumberFormat="1" applyFont="1" applyBorder="1" applyAlignment="1">
      <alignment horizontal="left" vertical="center"/>
    </xf>
    <xf numFmtId="0" fontId="42" fillId="0" borderId="266" xfId="0" applyFont="1" applyBorder="1" applyAlignment="1">
      <alignment horizontal="centerContinuous" vertical="center"/>
    </xf>
    <xf numFmtId="166" fontId="42" fillId="0" borderId="266" xfId="0" applyNumberFormat="1" applyFont="1" applyBorder="1" applyAlignment="1">
      <alignment horizontal="centerContinuous" vertical="center"/>
    </xf>
    <xf numFmtId="166" fontId="42" fillId="0" borderId="361" xfId="0" applyNumberFormat="1" applyFont="1" applyBorder="1" applyAlignment="1">
      <alignment horizontal="centerContinuous" vertical="center"/>
    </xf>
    <xf numFmtId="166" fontId="42" fillId="0" borderId="176" xfId="0" applyNumberFormat="1" applyFont="1" applyBorder="1" applyAlignment="1">
      <alignment horizontal="centerContinuous" vertical="center"/>
    </xf>
    <xf numFmtId="166" fontId="42" fillId="0" borderId="177" xfId="0" applyNumberFormat="1" applyFont="1" applyBorder="1" applyAlignment="1">
      <alignment horizontal="centerContinuous" vertical="center"/>
    </xf>
    <xf numFmtId="0" fontId="42" fillId="0" borderId="176" xfId="0" applyFont="1" applyBorder="1" applyAlignment="1">
      <alignment horizontal="centerContinuous" vertical="center"/>
    </xf>
    <xf numFmtId="0" fontId="42" fillId="0" borderId="218" xfId="0" applyFont="1" applyBorder="1" applyAlignment="1">
      <alignment horizontal="centerContinuous" vertical="center"/>
    </xf>
    <xf numFmtId="166" fontId="42" fillId="0" borderId="306" xfId="0" applyNumberFormat="1" applyFont="1" applyBorder="1" applyAlignment="1">
      <alignment horizontal="centerContinuous" vertical="center"/>
    </xf>
    <xf numFmtId="166" fontId="42" fillId="0" borderId="365" xfId="0" applyNumberFormat="1" applyFont="1" applyBorder="1" applyAlignment="1">
      <alignment horizontal="centerContinuous" vertical="center"/>
    </xf>
    <xf numFmtId="166" fontId="42" fillId="0" borderId="218" xfId="0" applyNumberFormat="1" applyFont="1" applyBorder="1" applyAlignment="1">
      <alignment horizontal="centerContinuous" vertical="center"/>
    </xf>
    <xf numFmtId="166" fontId="42" fillId="0" borderId="188" xfId="0" applyNumberFormat="1" applyFont="1" applyBorder="1" applyAlignment="1">
      <alignment horizontal="centerContinuous" vertical="center"/>
    </xf>
    <xf numFmtId="166" fontId="42" fillId="0" borderId="176" xfId="0" applyNumberFormat="1" applyFont="1" applyBorder="1" applyAlignment="1">
      <alignment horizontal="center" vertical="center"/>
    </xf>
    <xf numFmtId="166" fontId="42" fillId="0" borderId="266" xfId="0" applyNumberFormat="1" applyFont="1" applyBorder="1" applyAlignment="1">
      <alignment horizontal="left" vertical="center"/>
    </xf>
    <xf numFmtId="166" fontId="42" fillId="0" borderId="306" xfId="0" applyNumberFormat="1" applyFont="1" applyBorder="1" applyAlignment="1">
      <alignment horizontal="left" vertical="center"/>
    </xf>
    <xf numFmtId="0" fontId="42" fillId="0" borderId="306" xfId="0" applyFont="1" applyBorder="1" applyAlignment="1">
      <alignment horizontal="centerContinuous" vertical="center"/>
    </xf>
    <xf numFmtId="166" fontId="42" fillId="0" borderId="179" xfId="0" applyNumberFormat="1" applyFont="1" applyBorder="1" applyAlignment="1">
      <alignment horizontal="left" vertical="center"/>
    </xf>
    <xf numFmtId="166" fontId="42" fillId="0" borderId="178" xfId="0" applyNumberFormat="1" applyFont="1" applyBorder="1" applyAlignment="1">
      <alignment horizontal="left" vertical="center"/>
    </xf>
    <xf numFmtId="2" fontId="42" fillId="0" borderId="192" xfId="0" applyNumberFormat="1" applyFont="1" applyBorder="1" applyAlignment="1">
      <alignment horizontal="right" vertical="center"/>
    </xf>
    <xf numFmtId="0" fontId="31" fillId="2" borderId="170" xfId="0" applyFont="1" applyFill="1" applyBorder="1" applyAlignment="1">
      <alignment horizontal="centerContinuous" vertical="center"/>
    </xf>
    <xf numFmtId="166" fontId="42" fillId="0" borderId="200" xfId="0" applyNumberFormat="1" applyFont="1" applyBorder="1" applyAlignment="1">
      <alignment horizontal="left" vertical="center"/>
    </xf>
    <xf numFmtId="166" fontId="42" fillId="0" borderId="154" xfId="0" applyNumberFormat="1" applyFont="1" applyBorder="1" applyAlignment="1">
      <alignment horizontal="left" vertical="center"/>
    </xf>
    <xf numFmtId="166" fontId="42" fillId="0" borderId="192" xfId="0" applyNumberFormat="1" applyFont="1" applyBorder="1" applyAlignment="1">
      <alignment horizontal="left" vertical="center"/>
    </xf>
    <xf numFmtId="166" fontId="42" fillId="0" borderId="175" xfId="0" applyNumberFormat="1" applyFont="1" applyBorder="1" applyAlignment="1">
      <alignment horizontal="centerContinuous" vertical="center"/>
    </xf>
    <xf numFmtId="166" fontId="42" fillId="0" borderId="262" xfId="0" applyNumberFormat="1" applyFont="1" applyBorder="1" applyAlignment="1">
      <alignment horizontal="centerContinuous" vertical="center"/>
    </xf>
    <xf numFmtId="166" fontId="42" fillId="0" borderId="193" xfId="0" applyNumberFormat="1" applyFont="1" applyBorder="1" applyAlignment="1">
      <alignment horizontal="centerContinuous" vertical="center"/>
    </xf>
    <xf numFmtId="166" fontId="42" fillId="0" borderId="180" xfId="0" applyNumberFormat="1" applyFont="1" applyBorder="1" applyAlignment="1">
      <alignment horizontal="centerContinuous" vertical="center"/>
    </xf>
    <xf numFmtId="166" fontId="42" fillId="0" borderId="305" xfId="0" applyNumberFormat="1" applyFont="1" applyBorder="1" applyAlignment="1">
      <alignment horizontal="centerContinuous" vertical="center"/>
    </xf>
    <xf numFmtId="166" fontId="42" fillId="0" borderId="154" xfId="0" applyNumberFormat="1" applyFont="1" applyBorder="1" applyAlignment="1">
      <alignment horizontal="centerContinuous" vertical="center"/>
    </xf>
    <xf numFmtId="166" fontId="42" fillId="0" borderId="204" xfId="0" applyNumberFormat="1" applyFont="1" applyBorder="1" applyAlignment="1">
      <alignment horizontal="centerContinuous" vertical="center"/>
    </xf>
    <xf numFmtId="2" fontId="31" fillId="0" borderId="277" xfId="0" applyNumberFormat="1" applyFont="1" applyBorder="1" applyAlignment="1">
      <alignment horizontal="centerContinuous" vertical="center"/>
    </xf>
    <xf numFmtId="2" fontId="31" fillId="0" borderId="184" xfId="0" applyNumberFormat="1" applyFont="1" applyBorder="1" applyAlignment="1">
      <alignment horizontal="centerContinuous" vertical="center"/>
    </xf>
    <xf numFmtId="2" fontId="31" fillId="0" borderId="285" xfId="0" applyNumberFormat="1" applyFont="1" applyBorder="1" applyAlignment="1">
      <alignment horizontal="centerContinuous" vertical="center"/>
    </xf>
    <xf numFmtId="2" fontId="31" fillId="0" borderId="182" xfId="0" applyNumberFormat="1" applyFont="1" applyBorder="1" applyAlignment="1">
      <alignment horizontal="centerContinuous" vertical="center"/>
    </xf>
    <xf numFmtId="2" fontId="31" fillId="0" borderId="287" xfId="0" applyNumberFormat="1" applyFont="1" applyBorder="1" applyAlignment="1">
      <alignment horizontal="centerContinuous" vertical="center"/>
    </xf>
    <xf numFmtId="2" fontId="31" fillId="0" borderId="159" xfId="0" applyNumberFormat="1" applyFont="1" applyBorder="1" applyAlignment="1">
      <alignment horizontal="centerContinuous" vertical="center"/>
    </xf>
    <xf numFmtId="2" fontId="31" fillId="0" borderId="267" xfId="0" applyNumberFormat="1" applyFont="1" applyBorder="1" applyAlignment="1">
      <alignment horizontal="centerContinuous" vertical="center"/>
    </xf>
    <xf numFmtId="2" fontId="31" fillId="0" borderId="183" xfId="0" applyNumberFormat="1" applyFont="1" applyBorder="1" applyAlignment="1">
      <alignment horizontal="centerContinuous" vertical="center"/>
    </xf>
    <xf numFmtId="2" fontId="31" fillId="0" borderId="290" xfId="0" applyNumberFormat="1" applyFont="1" applyBorder="1" applyAlignment="1">
      <alignment horizontal="centerContinuous" vertical="center"/>
    </xf>
    <xf numFmtId="2" fontId="31" fillId="0" borderId="161" xfId="0" applyNumberFormat="1" applyFont="1" applyBorder="1" applyAlignment="1">
      <alignment horizontal="centerContinuous" vertical="center"/>
    </xf>
    <xf numFmtId="2" fontId="31" fillId="0" borderId="297" xfId="0" applyNumberFormat="1" applyFont="1" applyBorder="1" applyAlignment="1">
      <alignment horizontal="centerContinuous" vertical="center"/>
    </xf>
    <xf numFmtId="2" fontId="31" fillId="0" borderId="181" xfId="0" applyNumberFormat="1" applyFont="1" applyBorder="1" applyAlignment="1">
      <alignment horizontal="centerContinuous" vertical="center"/>
    </xf>
    <xf numFmtId="171" fontId="31" fillId="0" borderId="198" xfId="0" applyNumberFormat="1" applyFont="1" applyBorder="1" applyAlignment="1">
      <alignment horizontal="centerContinuous" vertical="center"/>
    </xf>
    <xf numFmtId="171" fontId="31" fillId="0" borderId="179" xfId="0" applyNumberFormat="1" applyFont="1" applyBorder="1" applyAlignment="1">
      <alignment horizontal="centerContinuous" vertical="center"/>
    </xf>
    <xf numFmtId="171" fontId="31" fillId="0" borderId="154" xfId="0" applyNumberFormat="1" applyFont="1" applyBorder="1" applyAlignment="1">
      <alignment horizontal="centerContinuous" vertical="center"/>
    </xf>
    <xf numFmtId="171" fontId="31" fillId="0" borderId="176" xfId="0" applyNumberFormat="1" applyFont="1" applyBorder="1" applyAlignment="1">
      <alignment horizontal="centerContinuous" vertical="center"/>
    </xf>
    <xf numFmtId="171" fontId="31" fillId="0" borderId="157" xfId="0" applyNumberFormat="1" applyFont="1" applyBorder="1" applyAlignment="1">
      <alignment horizontal="centerContinuous" vertical="center"/>
    </xf>
    <xf numFmtId="171" fontId="31" fillId="0" borderId="218" xfId="0" applyNumberFormat="1" applyFont="1" applyBorder="1" applyAlignment="1">
      <alignment horizontal="centerContinuous" vertical="center"/>
    </xf>
    <xf numFmtId="166" fontId="31" fillId="0" borderId="191" xfId="0" applyNumberFormat="1" applyFont="1" applyBorder="1" applyAlignment="1">
      <alignment horizontal="centerContinuous" vertical="center"/>
    </xf>
    <xf numFmtId="166" fontId="31" fillId="2" borderId="168" xfId="0" applyNumberFormat="1" applyFont="1" applyFill="1" applyBorder="1" applyAlignment="1">
      <alignment horizontal="centerContinuous" vertical="center"/>
    </xf>
    <xf numFmtId="166" fontId="31" fillId="2" borderId="169" xfId="0" applyNumberFormat="1" applyFont="1" applyFill="1" applyBorder="1" applyAlignment="1">
      <alignment horizontal="centerContinuous" vertical="center"/>
    </xf>
    <xf numFmtId="166" fontId="39" fillId="2" borderId="166" xfId="0" applyNumberFormat="1" applyFont="1" applyFill="1" applyBorder="1" applyAlignment="1">
      <alignment horizontal="left" vertical="center"/>
    </xf>
    <xf numFmtId="166" fontId="31" fillId="2" borderId="166" xfId="0" applyNumberFormat="1" applyFont="1" applyFill="1" applyBorder="1" applyAlignment="1">
      <alignment horizontal="centerContinuous" vertical="center"/>
    </xf>
    <xf numFmtId="166" fontId="31" fillId="2" borderId="174" xfId="0" applyNumberFormat="1" applyFont="1" applyFill="1" applyBorder="1" applyAlignment="1">
      <alignment horizontal="centerContinuous" vertical="center"/>
    </xf>
    <xf numFmtId="166" fontId="44" fillId="2" borderId="273" xfId="0" applyNumberFormat="1" applyFont="1" applyFill="1" applyBorder="1" applyAlignment="1">
      <alignment horizontal="right" vertical="center"/>
    </xf>
    <xf numFmtId="0" fontId="39" fillId="2" borderId="0" xfId="0" applyFont="1" applyFill="1" applyAlignment="1">
      <alignment horizontal="centerContinuous" vertical="center"/>
    </xf>
    <xf numFmtId="2" fontId="31" fillId="0" borderId="276" xfId="0" applyNumberFormat="1" applyFont="1" applyBorder="1" applyAlignment="1">
      <alignment horizontal="centerContinuous" vertical="center"/>
    </xf>
    <xf numFmtId="2" fontId="31" fillId="0" borderId="301" xfId="0" applyNumberFormat="1" applyFont="1" applyBorder="1" applyAlignment="1">
      <alignment horizontal="centerContinuous" vertical="center"/>
    </xf>
    <xf numFmtId="2" fontId="31" fillId="0" borderId="305" xfId="0" applyNumberFormat="1" applyFont="1" applyBorder="1" applyAlignment="1">
      <alignment horizontal="centerContinuous" vertical="center"/>
    </xf>
    <xf numFmtId="2" fontId="31" fillId="0" borderId="266" xfId="0" applyNumberFormat="1" applyFont="1" applyBorder="1" applyAlignment="1">
      <alignment horizontal="centerContinuous" vertical="center"/>
    </xf>
    <xf numFmtId="2" fontId="31" fillId="0" borderId="304" xfId="0" applyNumberFormat="1" applyFont="1" applyBorder="1" applyAlignment="1">
      <alignment horizontal="centerContinuous" vertical="center"/>
    </xf>
    <xf numFmtId="2" fontId="31" fillId="0" borderId="306" xfId="0" applyNumberFormat="1" applyFont="1" applyBorder="1" applyAlignment="1">
      <alignment horizontal="centerContinuous" vertical="center"/>
    </xf>
    <xf numFmtId="0" fontId="42" fillId="0" borderId="276" xfId="0" applyFont="1" applyBorder="1" applyAlignment="1">
      <alignment horizontal="centerContinuous" vertical="center"/>
    </xf>
    <xf numFmtId="0" fontId="42" fillId="0" borderId="301" xfId="0" applyFont="1" applyBorder="1" applyAlignment="1">
      <alignment horizontal="centerContinuous" vertical="center"/>
    </xf>
    <xf numFmtId="0" fontId="42" fillId="0" borderId="303" xfId="0" applyFont="1" applyBorder="1" applyAlignment="1">
      <alignment horizontal="centerContinuous" vertical="center"/>
    </xf>
    <xf numFmtId="0" fontId="31" fillId="0" borderId="303" xfId="0" applyFont="1" applyBorder="1" applyAlignment="1">
      <alignment horizontal="centerContinuous" vertical="center"/>
    </xf>
    <xf numFmtId="0" fontId="31" fillId="0" borderId="294" xfId="0" applyFont="1" applyBorder="1" applyAlignment="1">
      <alignment horizontal="centerContinuous" vertical="center"/>
    </xf>
    <xf numFmtId="166" fontId="31" fillId="0" borderId="206" xfId="0" applyNumberFormat="1" applyFont="1" applyBorder="1" applyAlignment="1">
      <alignment horizontal="centerContinuous" vertical="center"/>
    </xf>
    <xf numFmtId="0" fontId="31" fillId="0" borderId="206" xfId="0" applyFont="1" applyBorder="1" applyAlignment="1">
      <alignment horizontal="centerContinuous" vertical="center"/>
    </xf>
    <xf numFmtId="2" fontId="31" fillId="0" borderId="206" xfId="0" applyNumberFormat="1" applyFont="1" applyBorder="1" applyAlignment="1">
      <alignment horizontal="centerContinuous" vertical="center"/>
    </xf>
    <xf numFmtId="2" fontId="31" fillId="0" borderId="294" xfId="0" applyNumberFormat="1" applyFont="1" applyBorder="1" applyAlignment="1">
      <alignment horizontal="centerContinuous" vertical="center"/>
    </xf>
    <xf numFmtId="171" fontId="31" fillId="0" borderId="206" xfId="0" applyNumberFormat="1" applyFont="1" applyBorder="1" applyAlignment="1">
      <alignment horizontal="centerContinuous" vertical="center"/>
    </xf>
    <xf numFmtId="2" fontId="31" fillId="0" borderId="186" xfId="0" applyNumberFormat="1" applyFont="1" applyBorder="1" applyAlignment="1">
      <alignment horizontal="centerContinuous" vertical="center"/>
    </xf>
    <xf numFmtId="168" fontId="31" fillId="0" borderId="303" xfId="0" applyNumberFormat="1" applyFont="1" applyBorder="1" applyAlignment="1">
      <alignment horizontal="centerContinuous" vertical="center"/>
    </xf>
    <xf numFmtId="168" fontId="31" fillId="0" borderId="187" xfId="0" applyNumberFormat="1" applyFont="1" applyBorder="1" applyAlignment="1">
      <alignment horizontal="centerContinuous" vertical="center"/>
    </xf>
    <xf numFmtId="0" fontId="31" fillId="2" borderId="273" xfId="0" applyFont="1" applyFill="1" applyBorder="1" applyAlignment="1">
      <alignment horizontal="left" vertical="center"/>
    </xf>
    <xf numFmtId="166" fontId="31" fillId="0" borderId="0" xfId="0" applyNumberFormat="1" applyFont="1" applyAlignment="1">
      <alignment horizontal="left" vertical="center"/>
    </xf>
    <xf numFmtId="0" fontId="31" fillId="0" borderId="168" xfId="0" applyFont="1" applyBorder="1" applyAlignment="1">
      <alignment horizontal="left" vertical="center"/>
    </xf>
    <xf numFmtId="0" fontId="39" fillId="0" borderId="0" xfId="0" applyFont="1" applyAlignment="1">
      <alignment horizontal="left" vertical="center"/>
    </xf>
    <xf numFmtId="168" fontId="31" fillId="0" borderId="0" xfId="0" applyNumberFormat="1" applyFont="1" applyAlignment="1">
      <alignment horizontal="left" vertical="center"/>
    </xf>
    <xf numFmtId="168" fontId="31" fillId="0" borderId="301" xfId="0" applyNumberFormat="1" applyFont="1" applyBorder="1" applyAlignment="1">
      <alignment horizontal="left" vertical="center"/>
    </xf>
    <xf numFmtId="168" fontId="31" fillId="0" borderId="305" xfId="0" applyNumberFormat="1" applyFont="1" applyBorder="1" applyAlignment="1">
      <alignment horizontal="left" vertical="center"/>
    </xf>
    <xf numFmtId="0" fontId="31" fillId="0" borderId="266" xfId="0" applyFont="1" applyBorder="1" applyAlignment="1">
      <alignment horizontal="left" vertical="center"/>
    </xf>
    <xf numFmtId="0" fontId="31" fillId="0" borderId="306" xfId="0" applyFont="1" applyBorder="1" applyAlignment="1">
      <alignment horizontal="left" vertical="center"/>
    </xf>
    <xf numFmtId="0" fontId="4" fillId="2" borderId="61" xfId="0" applyFont="1" applyFill="1" applyBorder="1" applyAlignment="1">
      <alignment horizontal="center"/>
    </xf>
    <xf numFmtId="0" fontId="4" fillId="2" borderId="207" xfId="0" applyFont="1" applyFill="1" applyBorder="1" applyAlignment="1">
      <alignment horizontal="center"/>
    </xf>
    <xf numFmtId="0" fontId="31" fillId="0" borderId="166" xfId="0" applyFont="1" applyBorder="1" applyAlignment="1">
      <alignment horizontal="centerContinuous" vertical="center"/>
    </xf>
    <xf numFmtId="0" fontId="3" fillId="2" borderId="61" xfId="0" applyFont="1" applyFill="1" applyBorder="1"/>
    <xf numFmtId="0" fontId="6" fillId="2" borderId="146" xfId="0" applyFont="1" applyFill="1" applyBorder="1" applyAlignment="1">
      <alignment horizontal="left"/>
    </xf>
    <xf numFmtId="0" fontId="6" fillId="2" borderId="146" xfId="0" applyFont="1" applyFill="1" applyBorder="1"/>
    <xf numFmtId="0" fontId="6" fillId="2" borderId="35" xfId="0" applyFont="1" applyFill="1" applyBorder="1" applyAlignment="1">
      <alignment horizontal="left"/>
    </xf>
    <xf numFmtId="0" fontId="6" fillId="2" borderId="35" xfId="0" applyFont="1" applyFill="1" applyBorder="1"/>
    <xf numFmtId="0" fontId="6" fillId="2" borderId="211" xfId="0" applyFont="1" applyFill="1" applyBorder="1" applyAlignment="1">
      <alignment horizontal="left"/>
    </xf>
    <xf numFmtId="0" fontId="6" fillId="2" borderId="211" xfId="0" applyFont="1" applyFill="1" applyBorder="1"/>
    <xf numFmtId="166" fontId="31" fillId="0" borderId="0" xfId="0" applyNumberFormat="1" applyFont="1" applyAlignment="1">
      <alignment vertical="center"/>
    </xf>
    <xf numFmtId="0" fontId="0" fillId="0" borderId="0" xfId="0" applyAlignment="1">
      <alignment horizontal="centerContinuous" vertical="center"/>
    </xf>
    <xf numFmtId="0" fontId="0" fillId="0" borderId="214" xfId="0" applyBorder="1" applyAlignment="1">
      <alignment horizontal="centerContinuous" vertical="center"/>
    </xf>
    <xf numFmtId="0" fontId="39" fillId="0" borderId="0" xfId="0" applyFont="1" applyAlignment="1">
      <alignment vertical="center"/>
    </xf>
    <xf numFmtId="0" fontId="50" fillId="0" borderId="0" xfId="0" applyFont="1" applyAlignment="1">
      <alignment horizontal="right" vertical="center"/>
    </xf>
    <xf numFmtId="0" fontId="52" fillId="0" borderId="0" xfId="0" applyFont="1" applyAlignment="1">
      <alignment horizontal="right" vertical="center"/>
    </xf>
    <xf numFmtId="0" fontId="35" fillId="0" borderId="214" xfId="0" applyFont="1" applyBorder="1"/>
    <xf numFmtId="0" fontId="0" fillId="0" borderId="214" xfId="0" applyBorder="1" applyAlignment="1">
      <alignment vertical="center"/>
    </xf>
    <xf numFmtId="1" fontId="31" fillId="0" borderId="0" xfId="0" applyNumberFormat="1" applyFont="1" applyAlignment="1">
      <alignment vertical="center"/>
    </xf>
    <xf numFmtId="0" fontId="0" fillId="0" borderId="170" xfId="0" applyBorder="1" applyAlignment="1">
      <alignment horizontal="right"/>
    </xf>
    <xf numFmtId="0" fontId="33" fillId="0" borderId="0" xfId="0" applyFont="1" applyAlignment="1">
      <alignment horizontal="left"/>
    </xf>
    <xf numFmtId="0" fontId="33" fillId="0" borderId="0" xfId="0" applyFont="1" applyAlignment="1">
      <alignment horizontal="center"/>
    </xf>
    <xf numFmtId="0" fontId="31" fillId="0" borderId="165" xfId="0" applyFont="1" applyBorder="1" applyAlignment="1">
      <alignment wrapText="1"/>
    </xf>
    <xf numFmtId="0" fontId="0" fillId="0" borderId="165" xfId="0" applyBorder="1" applyAlignment="1">
      <alignment horizontal="centerContinuous"/>
    </xf>
    <xf numFmtId="0" fontId="0" fillId="0" borderId="165" xfId="0" applyBorder="1"/>
    <xf numFmtId="0" fontId="31" fillId="0" borderId="272" xfId="0" applyFont="1" applyBorder="1" applyAlignment="1">
      <alignment wrapText="1"/>
    </xf>
    <xf numFmtId="0" fontId="31" fillId="0" borderId="213" xfId="0" applyFont="1" applyBorder="1" applyAlignment="1">
      <alignment horizontal="left" vertical="center"/>
    </xf>
    <xf numFmtId="0" fontId="0" fillId="0" borderId="251" xfId="0" applyBorder="1" applyAlignment="1">
      <alignment horizontal="centerContinuous" vertical="center"/>
    </xf>
    <xf numFmtId="0" fontId="0" fillId="0" borderId="333" xfId="0" applyBorder="1" applyAlignment="1">
      <alignment horizontal="centerContinuous"/>
    </xf>
    <xf numFmtId="0" fontId="0" fillId="0" borderId="272" xfId="0" applyBorder="1"/>
    <xf numFmtId="0" fontId="0" fillId="0" borderId="213" xfId="0" applyBorder="1" applyAlignment="1">
      <alignment horizontal="centerContinuous" vertical="center"/>
    </xf>
    <xf numFmtId="0" fontId="54" fillId="0" borderId="0" xfId="0" applyFont="1"/>
    <xf numFmtId="0" fontId="54" fillId="0" borderId="168" xfId="0" applyFont="1" applyBorder="1"/>
    <xf numFmtId="0" fontId="55" fillId="0" borderId="167" xfId="0" applyFont="1" applyBorder="1" applyAlignment="1">
      <alignment horizontal="right"/>
    </xf>
    <xf numFmtId="0" fontId="54" fillId="0" borderId="169" xfId="0" applyFont="1" applyBorder="1"/>
    <xf numFmtId="0" fontId="54" fillId="0" borderId="167" xfId="0" applyFont="1" applyBorder="1"/>
    <xf numFmtId="0" fontId="55" fillId="0" borderId="168" xfId="0" applyFont="1" applyBorder="1" applyAlignment="1">
      <alignment horizontal="left"/>
    </xf>
    <xf numFmtId="0" fontId="35" fillId="0" borderId="170" xfId="0" applyFont="1" applyBorder="1" applyAlignment="1">
      <alignment horizontal="right"/>
    </xf>
    <xf numFmtId="0" fontId="33" fillId="0" borderId="0" xfId="0" applyFont="1" applyAlignment="1">
      <alignment horizontal="centerContinuous"/>
    </xf>
    <xf numFmtId="0" fontId="0" fillId="0" borderId="273" xfId="0" applyBorder="1" applyAlignment="1">
      <alignment horizontal="centerContinuous" vertical="center"/>
    </xf>
    <xf numFmtId="0" fontId="0" fillId="0" borderId="166" xfId="0" applyBorder="1" applyAlignment="1">
      <alignment horizontal="centerContinuous" vertical="center"/>
    </xf>
    <xf numFmtId="0" fontId="0" fillId="0" borderId="170" xfId="0" applyBorder="1" applyAlignment="1">
      <alignment vertical="center"/>
    </xf>
    <xf numFmtId="0" fontId="3" fillId="2" borderId="126" xfId="0" applyFont="1" applyFill="1" applyBorder="1" applyAlignment="1">
      <alignment horizontal="centerContinuous"/>
    </xf>
    <xf numFmtId="0" fontId="3" fillId="2" borderId="127" xfId="0" applyFont="1" applyFill="1" applyBorder="1" applyAlignment="1">
      <alignment horizontal="centerContinuous"/>
    </xf>
    <xf numFmtId="0" fontId="6" fillId="2" borderId="396" xfId="0" applyFont="1" applyFill="1" applyBorder="1"/>
    <xf numFmtId="49" fontId="6" fillId="2" borderId="402" xfId="0" applyNumberFormat="1" applyFont="1" applyFill="1" applyBorder="1" applyAlignment="1">
      <alignment horizontal="right"/>
    </xf>
    <xf numFmtId="0" fontId="6" fillId="2" borderId="398" xfId="0" applyFont="1" applyFill="1" applyBorder="1"/>
    <xf numFmtId="49" fontId="6" fillId="2" borderId="404" xfId="0" applyNumberFormat="1" applyFont="1" applyFill="1" applyBorder="1" applyAlignment="1">
      <alignment horizontal="right"/>
    </xf>
    <xf numFmtId="49" fontId="6" fillId="2" borderId="125" xfId="0" applyNumberFormat="1" applyFont="1" applyFill="1" applyBorder="1" applyAlignment="1">
      <alignment horizontal="right"/>
    </xf>
    <xf numFmtId="0" fontId="6" fillId="2" borderId="124" xfId="0" applyFont="1" applyFill="1" applyBorder="1" applyAlignment="1">
      <alignment horizontal="right"/>
    </xf>
    <xf numFmtId="49" fontId="30" fillId="2" borderId="125" xfId="0" applyNumberFormat="1" applyFont="1" applyFill="1" applyBorder="1" applyAlignment="1">
      <alignment horizontal="right"/>
    </xf>
    <xf numFmtId="0" fontId="0" fillId="0" borderId="0" xfId="0" applyAlignment="1">
      <alignment horizontal="center"/>
    </xf>
    <xf numFmtId="0" fontId="35" fillId="0" borderId="0" xfId="0" applyFont="1" applyAlignment="1">
      <alignment horizontal="center"/>
    </xf>
    <xf numFmtId="0" fontId="31" fillId="0" borderId="0" xfId="0" applyFont="1" applyAlignment="1">
      <alignment horizontal="center"/>
    </xf>
    <xf numFmtId="49" fontId="6" fillId="3" borderId="0" xfId="0" applyNumberFormat="1" applyFont="1" applyFill="1" applyAlignment="1">
      <alignment horizontal="left"/>
    </xf>
    <xf numFmtId="0" fontId="0" fillId="0" borderId="251" xfId="0" applyBorder="1"/>
    <xf numFmtId="0" fontId="0" fillId="0" borderId="251" xfId="0" applyBorder="1" applyAlignment="1">
      <alignment vertical="center"/>
    </xf>
    <xf numFmtId="0" fontId="31" fillId="0" borderId="251" xfId="0" applyFont="1" applyBorder="1"/>
    <xf numFmtId="1" fontId="31" fillId="0" borderId="165" xfId="0" applyNumberFormat="1" applyFont="1" applyBorder="1" applyAlignment="1">
      <alignment vertical="center"/>
    </xf>
    <xf numFmtId="0" fontId="0" fillId="0" borderId="179" xfId="0" applyBorder="1" applyAlignment="1">
      <alignment vertical="center"/>
    </xf>
    <xf numFmtId="0" fontId="0" fillId="0" borderId="285" xfId="0" applyBorder="1" applyAlignment="1">
      <alignment vertical="center"/>
    </xf>
    <xf numFmtId="0" fontId="50" fillId="0" borderId="179" xfId="0" applyFont="1" applyBorder="1" applyAlignment="1">
      <alignment horizontal="right" vertical="center"/>
    </xf>
    <xf numFmtId="0" fontId="39" fillId="0" borderId="179" xfId="0" applyFont="1" applyBorder="1" applyAlignment="1">
      <alignment vertical="center"/>
    </xf>
    <xf numFmtId="0" fontId="0" fillId="0" borderId="154" xfId="0" applyBorder="1" applyAlignment="1">
      <alignment vertical="center"/>
    </xf>
    <xf numFmtId="0" fontId="0" fillId="0" borderId="287" xfId="0" applyBorder="1" applyAlignment="1">
      <alignment vertical="center"/>
    </xf>
    <xf numFmtId="0" fontId="50" fillId="0" borderId="154" xfId="0" applyFont="1" applyBorder="1" applyAlignment="1">
      <alignment horizontal="right" vertical="center"/>
    </xf>
    <xf numFmtId="1" fontId="39" fillId="0" borderId="154" xfId="0" applyNumberFormat="1" applyFont="1" applyBorder="1" applyAlignment="1">
      <alignment horizontal="left" vertical="center"/>
    </xf>
    <xf numFmtId="0" fontId="0" fillId="0" borderId="157" xfId="0" applyBorder="1" applyAlignment="1">
      <alignment vertical="center"/>
    </xf>
    <xf numFmtId="0" fontId="0" fillId="0" borderId="290" xfId="0" applyBorder="1" applyAlignment="1">
      <alignment vertical="center"/>
    </xf>
    <xf numFmtId="1" fontId="39" fillId="0" borderId="157" xfId="0" applyNumberFormat="1" applyFont="1" applyBorder="1" applyAlignment="1">
      <alignment horizontal="left" vertical="center"/>
    </xf>
    <xf numFmtId="0" fontId="39" fillId="0" borderId="179" xfId="0" applyFont="1" applyBorder="1" applyAlignment="1">
      <alignment horizontal="left" vertical="center"/>
    </xf>
    <xf numFmtId="0" fontId="51" fillId="0" borderId="179" xfId="0" applyFont="1" applyBorder="1" applyAlignment="1">
      <alignment horizontal="right" vertical="center"/>
    </xf>
    <xf numFmtId="1" fontId="39" fillId="0" borderId="179" xfId="0" applyNumberFormat="1" applyFont="1" applyBorder="1" applyAlignment="1">
      <alignment horizontal="left" vertical="center"/>
    </xf>
    <xf numFmtId="166" fontId="39" fillId="0" borderId="179" xfId="0" applyNumberFormat="1" applyFont="1" applyBorder="1" applyAlignment="1">
      <alignment horizontal="left" vertical="center"/>
    </xf>
    <xf numFmtId="0" fontId="0" fillId="0" borderId="154" xfId="0" applyBorder="1"/>
    <xf numFmtId="0" fontId="0" fillId="0" borderId="287" xfId="0" applyBorder="1"/>
    <xf numFmtId="0" fontId="31" fillId="0" borderId="154" xfId="0" applyFont="1" applyBorder="1" applyAlignment="1">
      <alignment horizontal="center" vertical="center"/>
    </xf>
    <xf numFmtId="0" fontId="31" fillId="0" borderId="154" xfId="0" applyFont="1" applyBorder="1" applyAlignment="1">
      <alignment horizontal="left" vertical="center"/>
    </xf>
    <xf numFmtId="0" fontId="39" fillId="0" borderId="154" xfId="0" applyFont="1" applyBorder="1" applyAlignment="1">
      <alignment vertical="center"/>
    </xf>
    <xf numFmtId="0" fontId="31" fillId="0" borderId="290" xfId="0" applyFont="1" applyBorder="1"/>
    <xf numFmtId="0" fontId="31" fillId="0" borderId="157" xfId="0" applyFont="1" applyBorder="1" applyAlignment="1">
      <alignment horizontal="center" vertical="center"/>
    </xf>
    <xf numFmtId="0" fontId="50" fillId="0" borderId="157" xfId="0" applyFont="1" applyBorder="1" applyAlignment="1">
      <alignment horizontal="right" vertical="center"/>
    </xf>
    <xf numFmtId="0" fontId="39" fillId="0" borderId="157" xfId="0" applyFont="1" applyBorder="1" applyAlignment="1">
      <alignment vertical="center"/>
    </xf>
    <xf numFmtId="0" fontId="31" fillId="0" borderId="285" xfId="0" applyFont="1" applyBorder="1"/>
    <xf numFmtId="0" fontId="31" fillId="0" borderId="179" xfId="0" applyFont="1" applyBorder="1" applyAlignment="1">
      <alignment horizontal="center" vertical="center"/>
    </xf>
    <xf numFmtId="0" fontId="52" fillId="0" borderId="179" xfId="0" applyFont="1" applyBorder="1" applyAlignment="1">
      <alignment horizontal="right" vertical="center"/>
    </xf>
    <xf numFmtId="166" fontId="42" fillId="0" borderId="182" xfId="0" applyNumberFormat="1" applyFont="1" applyBorder="1" applyAlignment="1">
      <alignment horizontal="centerContinuous" vertical="center"/>
    </xf>
    <xf numFmtId="166" fontId="42" fillId="0" borderId="184" xfId="0" applyNumberFormat="1" applyFont="1" applyBorder="1" applyAlignment="1">
      <alignment horizontal="centerContinuous" vertical="center"/>
    </xf>
    <xf numFmtId="166" fontId="42" fillId="0" borderId="159" xfId="0" applyNumberFormat="1" applyFont="1" applyBorder="1" applyAlignment="1">
      <alignment horizontal="centerContinuous" vertical="center"/>
    </xf>
    <xf numFmtId="166" fontId="42" fillId="0" borderId="183" xfId="0" applyNumberFormat="1" applyFont="1" applyBorder="1" applyAlignment="1">
      <alignment horizontal="left" vertical="center"/>
    </xf>
    <xf numFmtId="166" fontId="42" fillId="0" borderId="161" xfId="0" applyNumberFormat="1" applyFont="1" applyBorder="1" applyAlignment="1">
      <alignment horizontal="centerContinuous" vertical="center"/>
    </xf>
    <xf numFmtId="0" fontId="42" fillId="0" borderId="181" xfId="0" applyFont="1" applyBorder="1" applyAlignment="1">
      <alignment horizontal="left" vertical="center"/>
    </xf>
    <xf numFmtId="0" fontId="31" fillId="0" borderId="166" xfId="0" applyFont="1" applyBorder="1" applyAlignment="1">
      <alignment wrapText="1"/>
    </xf>
    <xf numFmtId="0" fontId="31" fillId="0" borderId="274" xfId="0" applyFont="1" applyBorder="1" applyAlignment="1">
      <alignment wrapText="1"/>
    </xf>
    <xf numFmtId="0" fontId="0" fillId="0" borderId="333" xfId="0" applyBorder="1" applyAlignment="1">
      <alignment horizontal="left"/>
    </xf>
    <xf numFmtId="0" fontId="0" fillId="0" borderId="213" xfId="0" applyBorder="1" applyAlignment="1">
      <alignment horizontal="left" vertical="center"/>
    </xf>
    <xf numFmtId="0" fontId="0" fillId="0" borderId="301" xfId="0" applyBorder="1" applyAlignment="1">
      <alignment horizontal="left" vertical="center"/>
    </xf>
    <xf numFmtId="0" fontId="0" fillId="0" borderId="305" xfId="0" applyBorder="1" applyAlignment="1">
      <alignment horizontal="left" vertical="center"/>
    </xf>
    <xf numFmtId="0" fontId="0" fillId="0" borderId="304" xfId="0" applyBorder="1" applyAlignment="1">
      <alignment horizontal="left" vertical="center"/>
    </xf>
    <xf numFmtId="0" fontId="0" fillId="0" borderId="213" xfId="0" applyBorder="1" applyAlignment="1">
      <alignment horizontal="left"/>
    </xf>
    <xf numFmtId="0" fontId="0" fillId="0" borderId="305" xfId="0" applyBorder="1" applyAlignment="1">
      <alignment horizontal="left"/>
    </xf>
    <xf numFmtId="0" fontId="31" fillId="0" borderId="304" xfId="0" applyFont="1" applyBorder="1" applyAlignment="1">
      <alignment horizontal="left"/>
    </xf>
    <xf numFmtId="0" fontId="31" fillId="0" borderId="213" xfId="0" applyFont="1" applyBorder="1" applyAlignment="1">
      <alignment horizontal="left"/>
    </xf>
    <xf numFmtId="0" fontId="31" fillId="0" borderId="301" xfId="0" applyFont="1" applyBorder="1" applyAlignment="1">
      <alignment horizontal="left"/>
    </xf>
    <xf numFmtId="0" fontId="0" fillId="0" borderId="275" xfId="0" applyBorder="1"/>
    <xf numFmtId="0" fontId="0" fillId="9" borderId="406" xfId="0" applyFill="1" applyBorder="1" applyAlignment="1">
      <alignment horizontal="center"/>
    </xf>
    <xf numFmtId="0" fontId="0" fillId="0" borderId="280" xfId="0" applyBorder="1"/>
    <xf numFmtId="0" fontId="0" fillId="9" borderId="280" xfId="0" applyFill="1" applyBorder="1" applyAlignment="1">
      <alignment horizontal="center"/>
    </xf>
    <xf numFmtId="173" fontId="0" fillId="9" borderId="280" xfId="0" applyNumberFormat="1" applyFill="1" applyBorder="1" applyAlignment="1">
      <alignment horizontal="center"/>
    </xf>
    <xf numFmtId="0" fontId="0" fillId="0" borderId="295" xfId="0" applyBorder="1"/>
    <xf numFmtId="0" fontId="0" fillId="9" borderId="295" xfId="0" applyFill="1" applyBorder="1" applyAlignment="1">
      <alignment horizontal="center"/>
    </xf>
    <xf numFmtId="0" fontId="0" fillId="9" borderId="275" xfId="0" applyFill="1" applyBorder="1" applyAlignment="1">
      <alignment horizontal="center"/>
    </xf>
    <xf numFmtId="2" fontId="0" fillId="9" borderId="280" xfId="0" applyNumberFormat="1" applyFill="1" applyBorder="1" applyAlignment="1">
      <alignment horizontal="center"/>
    </xf>
    <xf numFmtId="0" fontId="0" fillId="0" borderId="280" xfId="0" applyBorder="1" applyAlignment="1">
      <alignment horizontal="center"/>
    </xf>
    <xf numFmtId="0" fontId="0" fillId="0" borderId="213" xfId="0" applyBorder="1"/>
    <xf numFmtId="166" fontId="0" fillId="9" borderId="280" xfId="0" applyNumberFormat="1" applyFill="1" applyBorder="1" applyAlignment="1">
      <alignment horizontal="center"/>
    </xf>
    <xf numFmtId="1" fontId="0" fillId="9" borderId="280" xfId="0" applyNumberFormat="1" applyFill="1" applyBorder="1" applyAlignment="1">
      <alignment horizontal="center"/>
    </xf>
    <xf numFmtId="0" fontId="0" fillId="0" borderId="405" xfId="0" applyBorder="1" applyAlignment="1">
      <alignment horizontal="center" vertical="center"/>
    </xf>
    <xf numFmtId="0" fontId="0" fillId="0" borderId="275" xfId="0" applyBorder="1" applyAlignment="1">
      <alignment horizontal="center" vertical="center"/>
    </xf>
    <xf numFmtId="166" fontId="0" fillId="9" borderId="275" xfId="0" applyNumberFormat="1" applyFill="1" applyBorder="1" applyAlignment="1">
      <alignment horizontal="center" vertical="center"/>
    </xf>
    <xf numFmtId="0" fontId="0" fillId="0" borderId="280" xfId="0" applyBorder="1" applyAlignment="1">
      <alignment horizontal="center" vertical="center"/>
    </xf>
    <xf numFmtId="166" fontId="0" fillId="9" borderId="280" xfId="0" applyNumberFormat="1" applyFill="1" applyBorder="1" applyAlignment="1">
      <alignment horizontal="center" vertical="center"/>
    </xf>
    <xf numFmtId="0" fontId="0" fillId="0" borderId="295" xfId="0" applyBorder="1" applyAlignment="1">
      <alignment horizontal="center" vertical="center"/>
    </xf>
    <xf numFmtId="166" fontId="0" fillId="9" borderId="295" xfId="0" applyNumberFormat="1" applyFill="1" applyBorder="1" applyAlignment="1">
      <alignment horizontal="center" vertical="center"/>
    </xf>
    <xf numFmtId="0" fontId="6" fillId="2" borderId="243" xfId="0" applyFont="1" applyFill="1" applyBorder="1" applyAlignment="1">
      <alignment horizontal="centerContinuous"/>
    </xf>
    <xf numFmtId="0" fontId="6" fillId="2" borderId="10" xfId="0" applyFont="1" applyFill="1" applyBorder="1" applyAlignment="1">
      <alignment horizontal="centerContinuous"/>
    </xf>
    <xf numFmtId="0" fontId="6" fillId="2" borderId="43" xfId="0" applyFont="1" applyFill="1" applyBorder="1" applyAlignment="1">
      <alignment horizontal="centerContinuous"/>
    </xf>
    <xf numFmtId="0" fontId="6" fillId="0" borderId="0" xfId="0" quotePrefix="1" applyFont="1" applyAlignment="1">
      <alignment horizontal="right"/>
    </xf>
    <xf numFmtId="168" fontId="19" fillId="5" borderId="0" xfId="0" applyNumberFormat="1" applyFont="1" applyFill="1" applyAlignment="1">
      <alignment horizontal="right" vertical="center"/>
    </xf>
    <xf numFmtId="166" fontId="19" fillId="0" borderId="0" xfId="0" applyNumberFormat="1" applyFont="1" applyAlignment="1">
      <alignment horizontal="left" vertical="center"/>
    </xf>
    <xf numFmtId="2" fontId="19" fillId="5" borderId="0" xfId="0" applyNumberFormat="1" applyFont="1" applyFill="1" applyAlignment="1">
      <alignment horizontal="right" vertical="center"/>
    </xf>
    <xf numFmtId="168" fontId="6" fillId="2" borderId="69" xfId="0" applyNumberFormat="1" applyFont="1" applyFill="1" applyBorder="1"/>
    <xf numFmtId="168" fontId="6" fillId="2" borderId="10" xfId="0" applyNumberFormat="1" applyFont="1" applyFill="1" applyBorder="1"/>
    <xf numFmtId="168" fontId="6" fillId="2" borderId="54" xfId="0" applyNumberFormat="1" applyFont="1" applyFill="1" applyBorder="1"/>
    <xf numFmtId="168" fontId="31" fillId="0" borderId="157" xfId="0" applyNumberFormat="1" applyFont="1" applyBorder="1"/>
    <xf numFmtId="168" fontId="31" fillId="0" borderId="179" xfId="0" applyNumberFormat="1" applyFont="1" applyBorder="1"/>
    <xf numFmtId="168" fontId="31" fillId="0" borderId="198" xfId="0" applyNumberFormat="1" applyFont="1" applyBorder="1"/>
    <xf numFmtId="0" fontId="35" fillId="0" borderId="185" xfId="0" applyFont="1" applyBorder="1"/>
    <xf numFmtId="0" fontId="35" fillId="0" borderId="180" xfId="0" applyFont="1" applyBorder="1"/>
    <xf numFmtId="0" fontId="35" fillId="0" borderId="191" xfId="0" applyFont="1" applyBorder="1"/>
    <xf numFmtId="168" fontId="31" fillId="0" borderId="198" xfId="0" applyNumberFormat="1" applyFont="1" applyBorder="1" applyAlignment="1">
      <alignment horizontal="centerContinuous"/>
    </xf>
    <xf numFmtId="168" fontId="31" fillId="0" borderId="179" xfId="0" applyNumberFormat="1" applyFont="1" applyBorder="1" applyAlignment="1">
      <alignment horizontal="centerContinuous"/>
    </xf>
    <xf numFmtId="168" fontId="31" fillId="0" borderId="190" xfId="0" applyNumberFormat="1" applyFont="1" applyBorder="1" applyAlignment="1">
      <alignment horizontal="centerContinuous"/>
    </xf>
    <xf numFmtId="0" fontId="0" fillId="0" borderId="198" xfId="0" applyBorder="1" applyAlignment="1">
      <alignment horizontal="centerContinuous"/>
    </xf>
    <xf numFmtId="0" fontId="0" fillId="0" borderId="179" xfId="0" applyBorder="1" applyAlignment="1">
      <alignment horizontal="centerContinuous"/>
    </xf>
    <xf numFmtId="0" fontId="0" fillId="0" borderId="190" xfId="0" applyBorder="1" applyAlignment="1">
      <alignment horizontal="centerContinuous"/>
    </xf>
    <xf numFmtId="166" fontId="31" fillId="0" borderId="198" xfId="0" applyNumberFormat="1" applyFont="1" applyBorder="1" applyAlignment="1">
      <alignment horizontal="centerContinuous"/>
    </xf>
    <xf numFmtId="166" fontId="31" fillId="0" borderId="179" xfId="0" applyNumberFormat="1" applyFont="1" applyBorder="1" applyAlignment="1">
      <alignment horizontal="centerContinuous"/>
    </xf>
    <xf numFmtId="166" fontId="31" fillId="0" borderId="154" xfId="0" applyNumberFormat="1" applyFont="1" applyBorder="1" applyAlignment="1">
      <alignment horizontal="centerContinuous"/>
    </xf>
    <xf numFmtId="2" fontId="31" fillId="0" borderId="218" xfId="0" applyNumberFormat="1" applyFont="1" applyBorder="1" applyAlignment="1">
      <alignment horizontal="centerContinuous"/>
    </xf>
    <xf numFmtId="168" fontId="31" fillId="0" borderId="179" xfId="0" applyNumberFormat="1" applyFont="1" applyBorder="1" applyAlignment="1">
      <alignment horizontal="left" vertical="center"/>
    </xf>
    <xf numFmtId="168" fontId="31" fillId="0" borderId="190" xfId="0" applyNumberFormat="1" applyFont="1" applyBorder="1" applyAlignment="1">
      <alignment horizontal="left" vertical="center"/>
    </xf>
    <xf numFmtId="168" fontId="31" fillId="0" borderId="154" xfId="0" applyNumberFormat="1" applyFont="1" applyBorder="1"/>
    <xf numFmtId="168" fontId="31" fillId="0" borderId="206" xfId="0" applyNumberFormat="1" applyFont="1" applyBorder="1"/>
    <xf numFmtId="0" fontId="10" fillId="3" borderId="0" xfId="0" applyFont="1" applyFill="1" applyAlignment="1">
      <alignment horizontal="left"/>
    </xf>
    <xf numFmtId="0" fontId="35" fillId="2" borderId="251" xfId="0" applyFont="1" applyFill="1" applyBorder="1" applyAlignment="1">
      <alignment horizontal="left" vertical="top" textRotation="180"/>
    </xf>
    <xf numFmtId="0" fontId="6" fillId="2" borderId="45" xfId="0" applyFont="1" applyFill="1" applyBorder="1" applyAlignment="1">
      <alignment horizontal="left"/>
    </xf>
    <xf numFmtId="0" fontId="6" fillId="2" borderId="46" xfId="0" applyFont="1" applyFill="1" applyBorder="1" applyAlignment="1">
      <alignment horizontal="left"/>
    </xf>
    <xf numFmtId="168" fontId="6" fillId="2" borderId="42" xfId="0" applyNumberFormat="1" applyFont="1" applyFill="1" applyBorder="1" applyAlignment="1">
      <alignment horizontal="left"/>
    </xf>
    <xf numFmtId="0" fontId="6" fillId="2" borderId="68" xfId="0" applyFont="1" applyFill="1" applyBorder="1" applyAlignment="1">
      <alignment horizontal="left"/>
    </xf>
    <xf numFmtId="0" fontId="6" fillId="2" borderId="65" xfId="0" applyFont="1" applyFill="1" applyBorder="1" applyAlignment="1">
      <alignment horizontal="left"/>
    </xf>
    <xf numFmtId="0" fontId="6" fillId="2" borderId="51" xfId="0" applyFont="1" applyFill="1" applyBorder="1" applyAlignment="1">
      <alignment horizontal="left"/>
    </xf>
    <xf numFmtId="0" fontId="6" fillId="2" borderId="58" xfId="0" applyFont="1" applyFill="1" applyBorder="1" applyAlignment="1">
      <alignment horizontal="left"/>
    </xf>
    <xf numFmtId="0" fontId="6" fillId="2" borderId="117" xfId="0" applyFont="1" applyFill="1" applyBorder="1" applyAlignment="1">
      <alignment horizontal="left"/>
    </xf>
    <xf numFmtId="0" fontId="6" fillId="2" borderId="56" xfId="0" applyFont="1" applyFill="1" applyBorder="1" applyAlignment="1">
      <alignment horizontal="left"/>
    </xf>
    <xf numFmtId="0" fontId="6" fillId="2" borderId="116" xfId="0" applyFont="1" applyFill="1" applyBorder="1" applyAlignment="1">
      <alignment horizontal="left"/>
    </xf>
    <xf numFmtId="0" fontId="6" fillId="2" borderId="48" xfId="0" applyFont="1" applyFill="1" applyBorder="1" applyAlignment="1">
      <alignment horizontal="left"/>
    </xf>
    <xf numFmtId="0" fontId="6" fillId="2" borderId="120" xfId="0" applyFont="1" applyFill="1" applyBorder="1" applyAlignment="1">
      <alignment horizontal="left"/>
    </xf>
    <xf numFmtId="166" fontId="6" fillId="2" borderId="117" xfId="0" applyNumberFormat="1" applyFont="1" applyFill="1" applyBorder="1" applyAlignment="1">
      <alignment horizontal="left"/>
    </xf>
    <xf numFmtId="1" fontId="6" fillId="2" borderId="117" xfId="0" applyNumberFormat="1" applyFont="1" applyFill="1" applyBorder="1" applyAlignment="1">
      <alignment horizontal="left"/>
    </xf>
    <xf numFmtId="168" fontId="6" fillId="2" borderId="117" xfId="0" applyNumberFormat="1" applyFont="1" applyFill="1" applyBorder="1" applyAlignment="1">
      <alignment horizontal="left"/>
    </xf>
    <xf numFmtId="168" fontId="6" fillId="2" borderId="113" xfId="0" applyNumberFormat="1" applyFont="1" applyFill="1" applyBorder="1" applyAlignment="1">
      <alignment horizontal="left"/>
    </xf>
    <xf numFmtId="168" fontId="6" fillId="2" borderId="0" xfId="0" applyNumberFormat="1" applyFont="1" applyFill="1" applyAlignment="1">
      <alignment horizontal="left"/>
    </xf>
    <xf numFmtId="168" fontId="6" fillId="2" borderId="43" xfId="0" applyNumberFormat="1" applyFont="1" applyFill="1" applyBorder="1" applyAlignment="1">
      <alignment horizontal="left"/>
    </xf>
    <xf numFmtId="168" fontId="6" fillId="2" borderId="54" xfId="0" applyNumberFormat="1" applyFont="1" applyFill="1" applyBorder="1" applyAlignment="1">
      <alignment horizontal="left"/>
    </xf>
    <xf numFmtId="168" fontId="6" fillId="2" borderId="10" xfId="0" applyNumberFormat="1" applyFont="1" applyFill="1" applyBorder="1" applyAlignment="1">
      <alignment horizontal="left"/>
    </xf>
    <xf numFmtId="166" fontId="6" fillId="2" borderId="10" xfId="0" applyNumberFormat="1" applyFont="1" applyFill="1" applyBorder="1" applyAlignment="1">
      <alignment horizontal="left"/>
    </xf>
    <xf numFmtId="166" fontId="6" fillId="2" borderId="43" xfId="0" applyNumberFormat="1" applyFont="1" applyFill="1" applyBorder="1" applyAlignment="1">
      <alignment horizontal="left"/>
    </xf>
    <xf numFmtId="1" fontId="6" fillId="2" borderId="10" xfId="0" applyNumberFormat="1" applyFont="1" applyFill="1" applyBorder="1" applyAlignment="1">
      <alignment horizontal="left"/>
    </xf>
    <xf numFmtId="1" fontId="6" fillId="2" borderId="43" xfId="0" applyNumberFormat="1" applyFont="1" applyFill="1" applyBorder="1" applyAlignment="1">
      <alignment horizontal="left"/>
    </xf>
    <xf numFmtId="1" fontId="6" fillId="2" borderId="54" xfId="0" applyNumberFormat="1" applyFont="1" applyFill="1" applyBorder="1" applyAlignment="1">
      <alignment horizontal="left"/>
    </xf>
    <xf numFmtId="166" fontId="6" fillId="2" borderId="54" xfId="0" applyNumberFormat="1" applyFont="1" applyFill="1" applyBorder="1" applyAlignment="1">
      <alignment horizontal="left"/>
    </xf>
    <xf numFmtId="0" fontId="6" fillId="2" borderId="407" xfId="0" applyFont="1" applyFill="1" applyBorder="1" applyAlignment="1">
      <alignment horizontal="left"/>
    </xf>
    <xf numFmtId="0" fontId="6" fillId="2" borderId="245" xfId="0" applyFont="1" applyFill="1" applyBorder="1" applyAlignment="1">
      <alignment horizontal="left"/>
    </xf>
    <xf numFmtId="0" fontId="6" fillId="2" borderId="246" xfId="0" applyFont="1" applyFill="1" applyBorder="1" applyAlignment="1">
      <alignment horizontal="left"/>
    </xf>
    <xf numFmtId="168" fontId="6" fillId="2" borderId="112" xfId="0" applyNumberFormat="1" applyFont="1" applyFill="1" applyBorder="1" applyAlignment="1">
      <alignment horizontal="left"/>
    </xf>
    <xf numFmtId="168" fontId="6" fillId="2" borderId="61" xfId="0" applyNumberFormat="1" applyFont="1" applyFill="1" applyBorder="1" applyAlignment="1">
      <alignment horizontal="left"/>
    </xf>
    <xf numFmtId="168" fontId="6" fillId="2" borderId="44" xfId="0" applyNumberFormat="1" applyFont="1" applyFill="1" applyBorder="1" applyAlignment="1">
      <alignment horizontal="left"/>
    </xf>
    <xf numFmtId="1" fontId="6" fillId="2" borderId="42" xfId="0" applyNumberFormat="1" applyFont="1" applyFill="1" applyBorder="1" applyAlignment="1">
      <alignment horizontal="left"/>
    </xf>
    <xf numFmtId="1" fontId="6" fillId="2" borderId="112" xfId="0" applyNumberFormat="1" applyFont="1" applyFill="1" applyBorder="1" applyAlignment="1">
      <alignment horizontal="left"/>
    </xf>
    <xf numFmtId="1" fontId="6" fillId="2" borderId="113" xfId="0" applyNumberFormat="1" applyFont="1" applyFill="1" applyBorder="1" applyAlignment="1">
      <alignment horizontal="left"/>
    </xf>
    <xf numFmtId="1" fontId="6" fillId="2" borderId="61" xfId="0" applyNumberFormat="1" applyFont="1" applyFill="1" applyBorder="1" applyAlignment="1">
      <alignment horizontal="left"/>
    </xf>
    <xf numFmtId="1" fontId="6" fillId="2" borderId="44" xfId="0" applyNumberFormat="1" applyFont="1" applyFill="1" applyBorder="1" applyAlignment="1">
      <alignment horizontal="left"/>
    </xf>
    <xf numFmtId="166" fontId="6" fillId="2" borderId="42" xfId="0" applyNumberFormat="1" applyFont="1" applyFill="1" applyBorder="1" applyAlignment="1">
      <alignment horizontal="left"/>
    </xf>
    <xf numFmtId="166" fontId="6" fillId="2" borderId="61" xfId="0" applyNumberFormat="1" applyFont="1" applyFill="1" applyBorder="1" applyAlignment="1">
      <alignment horizontal="left"/>
    </xf>
    <xf numFmtId="166" fontId="6" fillId="2" borderId="44" xfId="0" applyNumberFormat="1" applyFont="1" applyFill="1" applyBorder="1" applyAlignment="1">
      <alignment horizontal="left"/>
    </xf>
    <xf numFmtId="0" fontId="6" fillId="2" borderId="38" xfId="0" applyFont="1" applyFill="1" applyBorder="1" applyAlignment="1">
      <alignment horizontal="left"/>
    </xf>
    <xf numFmtId="0" fontId="6" fillId="2" borderId="25" xfId="0" applyFont="1" applyFill="1" applyBorder="1" applyAlignment="1">
      <alignment horizontal="left"/>
    </xf>
    <xf numFmtId="168" fontId="7" fillId="2" borderId="124" xfId="0" applyNumberFormat="1" applyFont="1" applyFill="1" applyBorder="1" applyAlignment="1">
      <alignment horizontal="center"/>
    </xf>
    <xf numFmtId="168" fontId="7" fillId="2" borderId="0" xfId="0" applyNumberFormat="1" applyFont="1" applyFill="1" applyAlignment="1">
      <alignment horizontal="center"/>
    </xf>
    <xf numFmtId="168" fontId="7" fillId="2" borderId="390" xfId="0" applyNumberFormat="1" applyFont="1" applyFill="1" applyBorder="1" applyAlignment="1">
      <alignment horizontal="center"/>
    </xf>
    <xf numFmtId="168" fontId="7" fillId="2" borderId="387" xfId="0" applyNumberFormat="1" applyFont="1" applyFill="1" applyBorder="1" applyAlignment="1">
      <alignment horizontal="center"/>
    </xf>
    <xf numFmtId="168" fontId="7" fillId="2" borderId="389" xfId="0" applyNumberFormat="1" applyFont="1" applyFill="1" applyBorder="1" applyAlignment="1">
      <alignment horizontal="center"/>
    </xf>
    <xf numFmtId="168" fontId="7" fillId="2" borderId="125" xfId="0" applyNumberFormat="1" applyFont="1" applyFill="1" applyBorder="1" applyAlignment="1">
      <alignment horizontal="center"/>
    </xf>
    <xf numFmtId="168" fontId="7" fillId="2" borderId="133" xfId="0" applyNumberFormat="1" applyFont="1" applyFill="1" applyBorder="1" applyAlignment="1">
      <alignment horizontal="center"/>
    </xf>
    <xf numFmtId="168" fontId="7" fillId="2" borderId="54" xfId="0" applyNumberFormat="1" applyFont="1" applyFill="1" applyBorder="1" applyAlignment="1">
      <alignment horizontal="center"/>
    </xf>
    <xf numFmtId="168" fontId="7" fillId="2" borderId="130" xfId="0" applyNumberFormat="1" applyFont="1" applyFill="1" applyBorder="1" applyAlignment="1">
      <alignment horizontal="center"/>
    </xf>
    <xf numFmtId="168" fontId="7" fillId="2" borderId="392" xfId="0" applyNumberFormat="1" applyFont="1" applyFill="1" applyBorder="1" applyAlignment="1">
      <alignment horizontal="center"/>
    </xf>
    <xf numFmtId="168" fontId="7" fillId="2" borderId="10" xfId="0" applyNumberFormat="1" applyFont="1" applyFill="1" applyBorder="1" applyAlignment="1">
      <alignment horizontal="center"/>
    </xf>
    <xf numFmtId="168" fontId="7" fillId="2" borderId="391" xfId="0" applyNumberFormat="1" applyFont="1" applyFill="1" applyBorder="1" applyAlignment="1">
      <alignment horizontal="center"/>
    </xf>
    <xf numFmtId="166" fontId="7" fillId="2" borderId="54" xfId="0" applyNumberFormat="1" applyFont="1" applyFill="1" applyBorder="1" applyAlignment="1">
      <alignment horizontal="center"/>
    </xf>
    <xf numFmtId="166" fontId="7" fillId="2" borderId="0" xfId="0" applyNumberFormat="1" applyFont="1" applyFill="1" applyAlignment="1">
      <alignment horizontal="center"/>
    </xf>
    <xf numFmtId="166" fontId="7" fillId="2" borderId="324" xfId="0" applyNumberFormat="1" applyFont="1" applyFill="1" applyBorder="1" applyAlignment="1">
      <alignment horizontal="center"/>
    </xf>
    <xf numFmtId="166" fontId="7" fillId="2" borderId="131" xfId="0" applyNumberFormat="1" applyFont="1" applyFill="1" applyBorder="1"/>
    <xf numFmtId="166" fontId="7" fillId="2" borderId="331" xfId="0" applyNumberFormat="1" applyFont="1" applyFill="1" applyBorder="1"/>
    <xf numFmtId="166" fontId="7" fillId="2" borderId="345" xfId="0" applyNumberFormat="1" applyFont="1" applyFill="1" applyBorder="1" applyAlignment="1">
      <alignment horizontal="center"/>
    </xf>
    <xf numFmtId="1" fontId="7" fillId="2" borderId="54" xfId="0" applyNumberFormat="1" applyFont="1" applyFill="1" applyBorder="1" applyAlignment="1">
      <alignment horizontal="center"/>
    </xf>
    <xf numFmtId="1" fontId="7" fillId="2" borderId="0" xfId="0" applyNumberFormat="1" applyFont="1" applyFill="1" applyAlignment="1">
      <alignment horizontal="center"/>
    </xf>
    <xf numFmtId="166" fontId="7" fillId="2" borderId="124" xfId="0" applyNumberFormat="1" applyFont="1" applyFill="1" applyBorder="1" applyAlignment="1">
      <alignment horizontal="center"/>
    </xf>
    <xf numFmtId="0" fontId="35" fillId="0" borderId="157" xfId="0" applyFont="1" applyBorder="1"/>
    <xf numFmtId="0" fontId="35" fillId="0" borderId="179" xfId="0" applyFont="1" applyBorder="1"/>
    <xf numFmtId="0" fontId="35" fillId="0" borderId="154" xfId="0" applyFont="1" applyBorder="1"/>
    <xf numFmtId="0" fontId="35" fillId="0" borderId="198" xfId="0" applyFont="1" applyBorder="1"/>
    <xf numFmtId="166" fontId="35" fillId="0" borderId="277" xfId="0" applyNumberFormat="1" applyFont="1" applyBorder="1" applyAlignment="1">
      <alignment horizontal="center" vertical="center"/>
    </xf>
    <xf numFmtId="166" fontId="35" fillId="0" borderId="285" xfId="0" applyNumberFormat="1" applyFont="1" applyBorder="1" applyAlignment="1">
      <alignment horizontal="center" vertical="center"/>
    </xf>
    <xf numFmtId="166" fontId="35" fillId="0" borderId="287" xfId="0" applyNumberFormat="1" applyFont="1" applyBorder="1" applyAlignment="1">
      <alignment horizontal="center" vertical="center"/>
    </xf>
    <xf numFmtId="166" fontId="35" fillId="0" borderId="267" xfId="0" applyNumberFormat="1" applyFont="1" applyBorder="1" applyAlignment="1">
      <alignment horizontal="center" vertical="center"/>
    </xf>
    <xf numFmtId="166" fontId="35" fillId="0" borderId="290" xfId="0" applyNumberFormat="1" applyFont="1" applyBorder="1" applyAlignment="1">
      <alignment horizontal="center" vertical="center"/>
    </xf>
    <xf numFmtId="166" fontId="35" fillId="0" borderId="297" xfId="0" applyNumberFormat="1" applyFont="1" applyBorder="1" applyAlignment="1">
      <alignment horizontal="center" vertical="center"/>
    </xf>
    <xf numFmtId="166" fontId="35" fillId="0" borderId="277" xfId="0" applyNumberFormat="1" applyFont="1" applyBorder="1" applyAlignment="1">
      <alignment horizontal="centerContinuous" vertical="center"/>
    </xf>
    <xf numFmtId="166" fontId="35" fillId="0" borderId="285" xfId="0" applyNumberFormat="1" applyFont="1" applyBorder="1" applyAlignment="1">
      <alignment horizontal="centerContinuous" vertical="center"/>
    </xf>
    <xf numFmtId="166" fontId="35" fillId="0" borderId="287" xfId="0" applyNumberFormat="1" applyFont="1" applyBorder="1" applyAlignment="1">
      <alignment horizontal="centerContinuous" vertical="center"/>
    </xf>
    <xf numFmtId="166" fontId="35" fillId="0" borderId="267" xfId="0" applyNumberFormat="1" applyFont="1" applyBorder="1" applyAlignment="1">
      <alignment horizontal="centerContinuous" vertical="center"/>
    </xf>
    <xf numFmtId="166" fontId="35" fillId="0" borderId="290" xfId="0" applyNumberFormat="1" applyFont="1" applyBorder="1" applyAlignment="1">
      <alignment horizontal="centerContinuous" vertical="center"/>
    </xf>
    <xf numFmtId="166" fontId="35" fillId="0" borderId="297" xfId="0" applyNumberFormat="1" applyFont="1" applyBorder="1" applyAlignment="1">
      <alignment horizontal="centerContinuous" vertical="center"/>
    </xf>
    <xf numFmtId="0" fontId="61" fillId="3" borderId="0" xfId="0" applyFont="1" applyFill="1"/>
    <xf numFmtId="0" fontId="60" fillId="3" borderId="0" xfId="0" applyFont="1" applyFill="1"/>
    <xf numFmtId="0" fontId="61" fillId="2" borderId="0" xfId="0" applyFont="1" applyFill="1"/>
    <xf numFmtId="0" fontId="6" fillId="5" borderId="0" xfId="0" applyFont="1" applyFill="1" applyAlignment="1">
      <alignment horizontal="center"/>
    </xf>
    <xf numFmtId="168" fontId="6" fillId="5" borderId="0" xfId="0" applyNumberFormat="1" applyFont="1" applyFill="1"/>
    <xf numFmtId="1" fontId="6" fillId="0" borderId="0" xfId="0" applyNumberFormat="1" applyFont="1"/>
    <xf numFmtId="168" fontId="31" fillId="0" borderId="200" xfId="0" applyNumberFormat="1" applyFont="1" applyBorder="1"/>
    <xf numFmtId="166" fontId="19" fillId="5" borderId="0" xfId="0" applyNumberFormat="1" applyFont="1" applyFill="1" applyAlignment="1">
      <alignment horizontal="center" vertical="center"/>
    </xf>
    <xf numFmtId="0" fontId="34" fillId="0" borderId="0" xfId="0" applyFont="1" applyAlignment="1">
      <alignment horizontal="right" vertical="center"/>
    </xf>
    <xf numFmtId="0" fontId="34" fillId="0" borderId="0" xfId="0" applyFont="1" applyAlignment="1">
      <alignment horizontal="left" vertical="center"/>
    </xf>
    <xf numFmtId="0" fontId="35" fillId="0" borderId="0" xfId="0" applyFont="1" applyAlignment="1">
      <alignment horizontal="left" vertical="center"/>
    </xf>
    <xf numFmtId="0" fontId="32" fillId="0" borderId="269" xfId="0" applyFont="1" applyBorder="1"/>
    <xf numFmtId="0" fontId="33" fillId="0" borderId="168" xfId="0" applyFont="1" applyBorder="1" applyAlignment="1">
      <alignment vertical="center"/>
    </xf>
    <xf numFmtId="0" fontId="34" fillId="0" borderId="172" xfId="0" applyFont="1" applyBorder="1" applyAlignment="1">
      <alignment vertical="center"/>
    </xf>
    <xf numFmtId="0" fontId="34" fillId="0" borderId="204" xfId="0" applyFont="1" applyBorder="1" applyAlignment="1">
      <alignment horizontal="centerContinuous" vertical="center"/>
    </xf>
    <xf numFmtId="0" fontId="35" fillId="0" borderId="254" xfId="0" applyFont="1" applyBorder="1" applyAlignment="1">
      <alignment vertical="center"/>
    </xf>
    <xf numFmtId="0" fontId="35" fillId="0" borderId="254" xfId="0" applyFont="1" applyBorder="1" applyAlignment="1">
      <alignment horizontal="left" vertical="center"/>
    </xf>
    <xf numFmtId="0" fontId="31" fillId="0" borderId="254" xfId="0" applyFont="1" applyBorder="1" applyAlignment="1">
      <alignment horizontal="left" vertical="center"/>
    </xf>
    <xf numFmtId="0" fontId="31" fillId="0" borderId="427" xfId="0" applyFont="1" applyBorder="1" applyAlignment="1">
      <alignment horizontal="center" textRotation="90"/>
    </xf>
    <xf numFmtId="0" fontId="31" fillId="0" borderId="421" xfId="0" applyFont="1" applyBorder="1" applyAlignment="1">
      <alignment horizontal="center" textRotation="90"/>
    </xf>
    <xf numFmtId="0" fontId="31" fillId="0" borderId="428" xfId="0" applyFont="1" applyBorder="1" applyAlignment="1">
      <alignment horizontal="center" textRotation="90"/>
    </xf>
    <xf numFmtId="0" fontId="31" fillId="0" borderId="426" xfId="0" applyFont="1" applyBorder="1" applyAlignment="1">
      <alignment horizontal="center" textRotation="90"/>
    </xf>
    <xf numFmtId="0" fontId="31" fillId="0" borderId="425" xfId="0" applyFont="1" applyBorder="1" applyAlignment="1">
      <alignment horizontal="center" textRotation="90"/>
    </xf>
    <xf numFmtId="0" fontId="31" fillId="0" borderId="422" xfId="0" applyFont="1" applyBorder="1" applyAlignment="1">
      <alignment horizontal="center" textRotation="90"/>
    </xf>
    <xf numFmtId="0" fontId="31" fillId="0" borderId="420" xfId="0" applyFont="1" applyBorder="1" applyAlignment="1">
      <alignment horizontal="center" textRotation="90" wrapText="1"/>
    </xf>
    <xf numFmtId="0" fontId="31" fillId="0" borderId="421" xfId="0" applyFont="1" applyBorder="1" applyAlignment="1">
      <alignment horizontal="center" textRotation="90" wrapText="1"/>
    </xf>
    <xf numFmtId="0" fontId="31" fillId="0" borderId="433" xfId="0" applyFont="1" applyBorder="1" applyAlignment="1">
      <alignment horizontal="center" vertical="center"/>
    </xf>
    <xf numFmtId="0" fontId="31" fillId="0" borderId="434" xfId="0" applyFont="1" applyBorder="1" applyAlignment="1">
      <alignment horizontal="center" vertical="center"/>
    </xf>
    <xf numFmtId="0" fontId="31" fillId="0" borderId="435" xfId="0" applyFont="1" applyBorder="1" applyAlignment="1">
      <alignment horizontal="center" vertical="center"/>
    </xf>
    <xf numFmtId="0" fontId="31" fillId="0" borderId="436" xfId="0" applyFont="1" applyBorder="1" applyAlignment="1">
      <alignment horizontal="center" vertical="center"/>
    </xf>
    <xf numFmtId="0" fontId="31" fillId="0" borderId="437" xfId="0" applyFont="1" applyBorder="1" applyAlignment="1">
      <alignment horizontal="center" vertical="center"/>
    </xf>
    <xf numFmtId="0" fontId="31" fillId="0" borderId="438" xfId="0" applyFont="1" applyBorder="1" applyAlignment="1">
      <alignment horizontal="center" vertical="center"/>
    </xf>
    <xf numFmtId="0" fontId="39" fillId="0" borderId="0" xfId="0" applyFont="1" applyAlignment="1">
      <alignment horizontal="centerContinuous" vertical="center"/>
    </xf>
    <xf numFmtId="0" fontId="31" fillId="0" borderId="219" xfId="0" applyFont="1" applyBorder="1" applyAlignment="1">
      <alignment horizontal="left" vertical="center"/>
    </xf>
    <xf numFmtId="0" fontId="31" fillId="0" borderId="220" xfId="0" applyFont="1" applyBorder="1" applyAlignment="1">
      <alignment horizontal="centerContinuous" vertical="center"/>
    </xf>
    <xf numFmtId="0" fontId="39" fillId="0" borderId="220" xfId="0" applyFont="1" applyBorder="1" applyAlignment="1">
      <alignment horizontal="centerContinuous" vertical="center"/>
    </xf>
    <xf numFmtId="0" fontId="31" fillId="0" borderId="221" xfId="0" applyFont="1" applyBorder="1" applyAlignment="1">
      <alignment horizontal="left" vertical="center"/>
    </xf>
    <xf numFmtId="0" fontId="6" fillId="12" borderId="0" xfId="0" applyFont="1" applyFill="1" applyAlignment="1">
      <alignment horizontal="left"/>
    </xf>
    <xf numFmtId="0" fontId="6" fillId="12" borderId="0" xfId="0" applyFont="1" applyFill="1"/>
    <xf numFmtId="165" fontId="31" fillId="0" borderId="0" xfId="0" applyNumberFormat="1" applyFont="1" applyAlignment="1">
      <alignment horizontal="left"/>
    </xf>
    <xf numFmtId="0" fontId="31" fillId="0" borderId="303" xfId="0" applyFont="1" applyBorder="1" applyAlignment="1">
      <alignment horizontal="left"/>
    </xf>
    <xf numFmtId="0" fontId="31" fillId="0" borderId="294" xfId="0" applyFont="1" applyBorder="1"/>
    <xf numFmtId="0" fontId="31" fillId="0" borderId="206" xfId="0" applyFont="1" applyBorder="1" applyAlignment="1">
      <alignment horizontal="right" vertical="center"/>
    </xf>
    <xf numFmtId="0" fontId="39" fillId="0" borderId="206" xfId="0" applyFont="1" applyBorder="1" applyAlignment="1">
      <alignment horizontal="left" vertical="center"/>
    </xf>
    <xf numFmtId="0" fontId="0" fillId="11" borderId="0" xfId="0" applyFill="1" applyAlignment="1">
      <alignment horizontal="center" vertical="center"/>
    </xf>
    <xf numFmtId="0" fontId="3" fillId="2" borderId="207" xfId="0" applyFont="1" applyFill="1" applyBorder="1" applyAlignment="1">
      <alignment horizontal="center"/>
    </xf>
    <xf numFmtId="0" fontId="31" fillId="11" borderId="0" xfId="0" applyFont="1" applyFill="1" applyAlignment="1">
      <alignment horizontal="center"/>
    </xf>
    <xf numFmtId="0" fontId="0" fillId="11" borderId="0" xfId="0" applyFill="1" applyAlignment="1">
      <alignment horizontal="center"/>
    </xf>
    <xf numFmtId="0" fontId="54"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0" fillId="2" borderId="0" xfId="0" applyFill="1" applyAlignment="1">
      <alignment horizontal="left"/>
    </xf>
    <xf numFmtId="0" fontId="55" fillId="0" borderId="0" xfId="0" applyFont="1" applyAlignment="1">
      <alignment horizontal="left"/>
    </xf>
    <xf numFmtId="0" fontId="0" fillId="2" borderId="441" xfId="0" applyFill="1" applyBorder="1"/>
    <xf numFmtId="0" fontId="1" fillId="2" borderId="61" xfId="0" applyFont="1" applyFill="1" applyBorder="1"/>
    <xf numFmtId="0" fontId="31" fillId="2" borderId="169" xfId="0" applyFont="1" applyFill="1" applyBorder="1" applyAlignment="1">
      <alignment vertical="center"/>
    </xf>
    <xf numFmtId="0" fontId="31" fillId="2" borderId="214" xfId="0" applyFont="1" applyFill="1" applyBorder="1" applyAlignment="1">
      <alignment vertical="center"/>
    </xf>
    <xf numFmtId="168" fontId="31" fillId="2" borderId="355" xfId="0" applyNumberFormat="1" applyFont="1" applyFill="1" applyBorder="1" applyAlignment="1">
      <alignment horizontal="right" textRotation="90"/>
    </xf>
    <xf numFmtId="166" fontId="40" fillId="0" borderId="363" xfId="0" applyNumberFormat="1" applyFont="1" applyBorder="1" applyAlignment="1">
      <alignment vertical="center"/>
    </xf>
    <xf numFmtId="166" fontId="35" fillId="0" borderId="375" xfId="0" applyNumberFormat="1" applyFont="1" applyBorder="1" applyAlignment="1">
      <alignment vertical="center"/>
    </xf>
    <xf numFmtId="166" fontId="35" fillId="0" borderId="376" xfId="0" applyNumberFormat="1" applyFont="1" applyBorder="1" applyAlignment="1">
      <alignment vertical="center"/>
    </xf>
    <xf numFmtId="0" fontId="42" fillId="0" borderId="0" xfId="0" applyFont="1" applyAlignment="1">
      <alignment horizontal="centerContinuous" vertical="center"/>
    </xf>
    <xf numFmtId="166" fontId="19" fillId="2" borderId="0" xfId="0" applyNumberFormat="1" applyFont="1" applyFill="1"/>
    <xf numFmtId="2" fontId="31" fillId="0" borderId="0" xfId="0" applyNumberFormat="1" applyFont="1" applyAlignment="1">
      <alignment horizontal="left" vertical="center"/>
    </xf>
    <xf numFmtId="0" fontId="29" fillId="3" borderId="0" xfId="0" applyFont="1" applyFill="1" applyAlignment="1">
      <alignment horizontal="left"/>
    </xf>
    <xf numFmtId="0" fontId="34" fillId="0" borderId="171" xfId="0" applyFont="1" applyBorder="1"/>
    <xf numFmtId="0" fontId="31" fillId="0" borderId="190" xfId="0" applyFont="1" applyBorder="1" applyAlignment="1">
      <alignment horizontal="right" vertical="center"/>
    </xf>
    <xf numFmtId="0" fontId="39" fillId="0" borderId="190" xfId="0" applyFont="1" applyBorder="1" applyAlignment="1">
      <alignment horizontal="left" vertical="center"/>
    </xf>
    <xf numFmtId="0" fontId="31" fillId="0" borderId="286" xfId="0" applyFont="1" applyBorder="1"/>
    <xf numFmtId="0" fontId="0" fillId="0" borderId="213" xfId="0" applyBorder="1" applyAlignment="1">
      <alignment vertical="center"/>
    </xf>
    <xf numFmtId="0" fontId="31" fillId="0" borderId="194" xfId="0" applyFont="1" applyBorder="1" applyAlignment="1">
      <alignment horizontal="centerContinuous" vertical="center"/>
    </xf>
    <xf numFmtId="0" fontId="0" fillId="0" borderId="195" xfId="0" applyBorder="1" applyAlignment="1">
      <alignment horizontal="centerContinuous" vertical="center"/>
    </xf>
    <xf numFmtId="0" fontId="34" fillId="0" borderId="195" xfId="0" applyFont="1" applyBorder="1" applyAlignment="1">
      <alignment horizontal="centerContinuous" vertical="center"/>
    </xf>
    <xf numFmtId="0" fontId="0" fillId="0" borderId="332" xfId="0" applyBorder="1" applyAlignment="1">
      <alignment horizontal="centerContinuous" vertical="center"/>
    </xf>
    <xf numFmtId="0" fontId="0" fillId="0" borderId="442" xfId="0" applyBorder="1" applyAlignment="1">
      <alignment horizontal="centerContinuous" vertical="center"/>
    </xf>
    <xf numFmtId="0" fontId="0" fillId="0" borderId="301" xfId="0" applyBorder="1" applyAlignment="1">
      <alignment vertical="center"/>
    </xf>
    <xf numFmtId="0" fontId="0" fillId="0" borderId="305" xfId="0" applyBorder="1" applyAlignment="1">
      <alignment vertical="center"/>
    </xf>
    <xf numFmtId="0" fontId="0" fillId="0" borderId="304" xfId="0" applyBorder="1" applyAlignment="1">
      <alignment vertical="center"/>
    </xf>
    <xf numFmtId="0" fontId="31" fillId="0" borderId="304" xfId="0" applyFont="1" applyBorder="1"/>
    <xf numFmtId="0" fontId="31" fillId="0" borderId="301" xfId="0" applyFont="1" applyBorder="1"/>
    <xf numFmtId="0" fontId="31" fillId="0" borderId="302" xfId="0" applyFont="1" applyBorder="1"/>
    <xf numFmtId="0" fontId="31" fillId="11" borderId="0" xfId="0" quotePrefix="1" applyFont="1" applyFill="1" applyAlignment="1">
      <alignment horizontal="center"/>
    </xf>
    <xf numFmtId="0" fontId="31" fillId="6" borderId="0" xfId="0" quotePrefix="1" applyFont="1" applyFill="1" applyAlignment="1">
      <alignment horizontal="center"/>
    </xf>
    <xf numFmtId="0" fontId="35" fillId="0" borderId="167" xfId="0" applyFont="1" applyBorder="1"/>
    <xf numFmtId="0" fontId="35" fillId="0" borderId="168" xfId="0" applyFont="1" applyBorder="1"/>
    <xf numFmtId="0" fontId="66" fillId="0" borderId="171" xfId="0" applyFont="1" applyBorder="1"/>
    <xf numFmtId="166" fontId="39" fillId="0" borderId="154" xfId="0" applyNumberFormat="1" applyFont="1" applyBorder="1" applyAlignment="1">
      <alignment horizontal="left" vertical="center"/>
    </xf>
    <xf numFmtId="0" fontId="31" fillId="0" borderId="333" xfId="0" applyFont="1" applyBorder="1"/>
    <xf numFmtId="0" fontId="39" fillId="0" borderId="154" xfId="0" applyFont="1" applyBorder="1" applyAlignment="1">
      <alignment horizontal="left" vertical="center"/>
    </xf>
    <xf numFmtId="0" fontId="39" fillId="0" borderId="157" xfId="0" applyFont="1" applyBorder="1" applyAlignment="1">
      <alignment horizontal="left" vertical="center"/>
    </xf>
    <xf numFmtId="0" fontId="51" fillId="0" borderId="154" xfId="0" applyFont="1" applyBorder="1" applyAlignment="1">
      <alignment horizontal="right" vertical="center"/>
    </xf>
    <xf numFmtId="0" fontId="51" fillId="0" borderId="157" xfId="0" applyFont="1" applyBorder="1" applyAlignment="1">
      <alignment horizontal="right" vertical="center"/>
    </xf>
    <xf numFmtId="166" fontId="39" fillId="0" borderId="157" xfId="0" applyNumberFormat="1" applyFont="1" applyBorder="1" applyAlignment="1">
      <alignment horizontal="left" vertical="center"/>
    </xf>
    <xf numFmtId="0" fontId="7" fillId="2" borderId="0" xfId="0" applyFont="1" applyFill="1"/>
    <xf numFmtId="0" fontId="59" fillId="3" borderId="0" xfId="0" applyFont="1" applyFill="1"/>
    <xf numFmtId="2" fontId="31" fillId="0" borderId="178" xfId="0" applyNumberFormat="1" applyFont="1" applyBorder="1" applyAlignment="1">
      <alignment horizontal="right" vertical="center"/>
    </xf>
    <xf numFmtId="2" fontId="31" fillId="0" borderId="189" xfId="0" applyNumberFormat="1" applyFont="1" applyBorder="1" applyAlignment="1">
      <alignment horizontal="right" vertical="center"/>
    </xf>
    <xf numFmtId="166" fontId="42" fillId="0" borderId="157" xfId="0" applyNumberFormat="1" applyFont="1" applyBorder="1"/>
    <xf numFmtId="0" fontId="42" fillId="0" borderId="193" xfId="0" applyFont="1" applyBorder="1"/>
    <xf numFmtId="166" fontId="42" fillId="0" borderId="154" xfId="0" applyNumberFormat="1" applyFont="1" applyBorder="1"/>
    <xf numFmtId="0" fontId="42" fillId="0" borderId="204" xfId="0" applyFont="1" applyBorder="1"/>
    <xf numFmtId="166" fontId="19" fillId="2" borderId="61" xfId="0" applyNumberFormat="1" applyFont="1" applyFill="1" applyBorder="1" applyAlignment="1">
      <alignment horizontal="center"/>
    </xf>
    <xf numFmtId="171" fontId="6" fillId="2" borderId="126" xfId="0" applyNumberFormat="1" applyFont="1" applyFill="1" applyBorder="1" applyAlignment="1">
      <alignment horizontal="right"/>
    </xf>
    <xf numFmtId="168" fontId="7" fillId="2" borderId="126" xfId="0" applyNumberFormat="1" applyFont="1" applyFill="1" applyBorder="1" applyAlignment="1">
      <alignment horizontal="center"/>
    </xf>
    <xf numFmtId="168" fontId="7" fillId="2" borderId="61" xfId="0" applyNumberFormat="1" applyFont="1" applyFill="1" applyBorder="1" applyAlignment="1">
      <alignment horizontal="center"/>
    </xf>
    <xf numFmtId="168" fontId="7" fillId="2" borderId="127" xfId="0" applyNumberFormat="1" applyFont="1" applyFill="1" applyBorder="1" applyAlignment="1">
      <alignment horizontal="center"/>
    </xf>
    <xf numFmtId="168" fontId="27" fillId="2" borderId="61" xfId="0" applyNumberFormat="1" applyFont="1" applyFill="1" applyBorder="1" applyAlignment="1">
      <alignment horizontal="center"/>
    </xf>
    <xf numFmtId="0" fontId="67" fillId="0" borderId="0" xfId="0" applyFont="1"/>
    <xf numFmtId="0" fontId="68" fillId="0" borderId="0" xfId="0" applyFont="1" applyAlignment="1">
      <alignment vertical="center"/>
    </xf>
    <xf numFmtId="0" fontId="68" fillId="0" borderId="0" xfId="0" applyFont="1" applyAlignment="1">
      <alignment horizontal="left" vertical="center"/>
    </xf>
    <xf numFmtId="0" fontId="31" fillId="0" borderId="198" xfId="0" applyFont="1" applyBorder="1" applyAlignment="1">
      <alignment horizontal="center" vertical="center"/>
    </xf>
    <xf numFmtId="166" fontId="42" fillId="0" borderId="276" xfId="0" applyNumberFormat="1" applyFont="1" applyBorder="1" applyAlignment="1">
      <alignment horizontal="center" vertical="center"/>
    </xf>
    <xf numFmtId="166" fontId="42" fillId="0" borderId="185" xfId="0" applyNumberFormat="1" applyFont="1" applyBorder="1" applyAlignment="1">
      <alignment horizontal="center" vertical="center"/>
    </xf>
    <xf numFmtId="0" fontId="34" fillId="0" borderId="0" xfId="0" applyFont="1"/>
    <xf numFmtId="0" fontId="68" fillId="0" borderId="0" xfId="0" applyFont="1"/>
    <xf numFmtId="0" fontId="31" fillId="0" borderId="385" xfId="0" applyFont="1" applyBorder="1" applyAlignment="1">
      <alignment horizontal="left" vertical="center"/>
    </xf>
    <xf numFmtId="0" fontId="31" fillId="0" borderId="335" xfId="0" applyFont="1" applyBorder="1" applyAlignment="1">
      <alignment horizontal="left" vertical="center"/>
    </xf>
    <xf numFmtId="0" fontId="31" fillId="0" borderId="319" xfId="0" applyFont="1" applyBorder="1" applyAlignment="1">
      <alignment horizontal="left" vertical="center"/>
    </xf>
    <xf numFmtId="0" fontId="6" fillId="3" borderId="0" xfId="0" applyFont="1" applyFill="1" applyProtection="1">
      <protection locked="0"/>
    </xf>
    <xf numFmtId="0" fontId="6" fillId="2" borderId="11" xfId="0" applyFont="1" applyFill="1" applyBorder="1" applyProtection="1">
      <protection locked="0"/>
    </xf>
    <xf numFmtId="0" fontId="6" fillId="2" borderId="12" xfId="0" applyFont="1" applyFill="1" applyBorder="1" applyProtection="1">
      <protection locked="0"/>
    </xf>
    <xf numFmtId="0" fontId="6" fillId="2" borderId="13" xfId="0" applyFont="1" applyFill="1" applyBorder="1" applyProtection="1">
      <protection locked="0"/>
    </xf>
    <xf numFmtId="0" fontId="6" fillId="2" borderId="1" xfId="0" applyFont="1" applyFill="1" applyBorder="1" applyProtection="1">
      <protection locked="0"/>
    </xf>
    <xf numFmtId="0" fontId="6" fillId="2" borderId="4" xfId="0" applyFont="1" applyFill="1" applyBorder="1" applyProtection="1">
      <protection locked="0"/>
    </xf>
    <xf numFmtId="0" fontId="6" fillId="2" borderId="5" xfId="0" applyFont="1" applyFill="1" applyBorder="1" applyProtection="1">
      <protection locked="0"/>
    </xf>
    <xf numFmtId="0" fontId="6" fillId="4" borderId="23" xfId="0" applyFont="1" applyFill="1" applyBorder="1" applyAlignment="1" applyProtection="1">
      <alignment horizontal="center"/>
      <protection locked="0"/>
    </xf>
    <xf numFmtId="0" fontId="6" fillId="4" borderId="24" xfId="0" applyFont="1" applyFill="1" applyBorder="1" applyAlignment="1" applyProtection="1">
      <alignment horizontal="center"/>
      <protection locked="0"/>
    </xf>
    <xf numFmtId="0" fontId="6" fillId="4" borderId="25"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8"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1"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29" xfId="0" applyFont="1" applyFill="1" applyBorder="1" applyProtection="1">
      <protection locked="0"/>
    </xf>
    <xf numFmtId="0" fontId="6" fillId="4" borderId="25" xfId="0" applyFont="1" applyFill="1" applyBorder="1" applyProtection="1">
      <protection locked="0"/>
    </xf>
    <xf numFmtId="0" fontId="6" fillId="4" borderId="101" xfId="0" applyFont="1" applyFill="1" applyBorder="1" applyProtection="1">
      <protection locked="0"/>
    </xf>
    <xf numFmtId="0" fontId="6" fillId="4" borderId="103" xfId="0" applyFont="1" applyFill="1" applyBorder="1" applyProtection="1">
      <protection locked="0"/>
    </xf>
    <xf numFmtId="0" fontId="6" fillId="4" borderId="91" xfId="0" applyFont="1" applyFill="1" applyBorder="1" applyProtection="1">
      <protection locked="0"/>
    </xf>
    <xf numFmtId="0" fontId="6" fillId="4" borderId="93" xfId="0" applyFont="1" applyFill="1" applyBorder="1" applyProtection="1">
      <protection locked="0"/>
    </xf>
    <xf numFmtId="0" fontId="6" fillId="4" borderId="97" xfId="0" applyFont="1" applyFill="1" applyBorder="1" applyProtection="1">
      <protection locked="0"/>
    </xf>
    <xf numFmtId="0" fontId="6" fillId="4" borderId="99" xfId="0" applyFont="1" applyFill="1" applyBorder="1" applyProtection="1">
      <protection locked="0"/>
    </xf>
    <xf numFmtId="0" fontId="6" fillId="4" borderId="95" xfId="0" applyFont="1" applyFill="1" applyBorder="1" applyProtection="1">
      <protection locked="0"/>
    </xf>
    <xf numFmtId="0" fontId="6" fillId="4" borderId="96" xfId="0" applyFont="1" applyFill="1" applyBorder="1" applyProtection="1">
      <protection locked="0"/>
    </xf>
    <xf numFmtId="0" fontId="6" fillId="4" borderId="87" xfId="0" applyFont="1" applyFill="1" applyBorder="1" applyProtection="1">
      <protection locked="0"/>
    </xf>
    <xf numFmtId="0" fontId="6" fillId="4" borderId="89" xfId="0" applyFont="1" applyFill="1" applyBorder="1" applyProtection="1">
      <protection locked="0"/>
    </xf>
    <xf numFmtId="0" fontId="6" fillId="4" borderId="27" xfId="0" applyFont="1" applyFill="1" applyBorder="1" applyProtection="1">
      <protection locked="0"/>
    </xf>
    <xf numFmtId="0" fontId="6" fillId="4" borderId="31" xfId="0" applyFont="1" applyFill="1" applyBorder="1" applyProtection="1">
      <protection locked="0"/>
    </xf>
    <xf numFmtId="0" fontId="6" fillId="4" borderId="39" xfId="0" applyFont="1" applyFill="1" applyBorder="1" applyProtection="1">
      <protection locked="0"/>
    </xf>
    <xf numFmtId="0" fontId="6" fillId="4" borderId="41" xfId="0" applyFont="1" applyFill="1" applyBorder="1" applyProtection="1">
      <protection locked="0"/>
    </xf>
    <xf numFmtId="0" fontId="6" fillId="4" borderId="36" xfId="0" applyFont="1" applyFill="1" applyBorder="1" applyProtection="1">
      <protection locked="0"/>
    </xf>
    <xf numFmtId="0" fontId="6" fillId="4" borderId="38" xfId="0" applyFont="1" applyFill="1" applyBorder="1" applyProtection="1">
      <protection locked="0"/>
    </xf>
    <xf numFmtId="0" fontId="6" fillId="2" borderId="0" xfId="0" applyFont="1" applyFill="1" applyProtection="1">
      <protection locked="0"/>
    </xf>
    <xf numFmtId="0" fontId="6" fillId="2" borderId="26" xfId="0" applyFont="1" applyFill="1" applyBorder="1" applyProtection="1">
      <protection locked="0"/>
    </xf>
    <xf numFmtId="0" fontId="6" fillId="4" borderId="33" xfId="0" applyFont="1" applyFill="1" applyBorder="1" applyProtection="1">
      <protection locked="0"/>
    </xf>
    <xf numFmtId="0" fontId="6" fillId="0" borderId="0" xfId="0" applyFont="1" applyAlignment="1" applyProtection="1">
      <alignment horizontal="center"/>
      <protection locked="0"/>
    </xf>
    <xf numFmtId="0" fontId="6" fillId="2" borderId="14" xfId="0" applyFont="1" applyFill="1" applyBorder="1" applyProtection="1">
      <protection locked="0"/>
    </xf>
    <xf numFmtId="0" fontId="6" fillId="2" borderId="15" xfId="0" applyFont="1" applyFill="1" applyBorder="1" applyProtection="1">
      <protection locked="0"/>
    </xf>
    <xf numFmtId="0" fontId="6" fillId="4" borderId="30" xfId="0" applyFont="1" applyFill="1" applyBorder="1" applyProtection="1">
      <protection locked="0"/>
    </xf>
    <xf numFmtId="0" fontId="6" fillId="4" borderId="28" xfId="0" applyFont="1" applyFill="1" applyBorder="1" applyProtection="1">
      <protection locked="0"/>
    </xf>
    <xf numFmtId="0" fontId="6" fillId="2" borderId="16" xfId="0" applyFont="1" applyFill="1" applyBorder="1" applyProtection="1">
      <protection locked="0"/>
    </xf>
    <xf numFmtId="0" fontId="6" fillId="4" borderId="32" xfId="0" applyFont="1" applyFill="1" applyBorder="1" applyProtection="1">
      <protection locked="0"/>
    </xf>
    <xf numFmtId="0" fontId="6" fillId="2" borderId="3" xfId="0" applyFont="1" applyFill="1" applyBorder="1" applyProtection="1">
      <protection locked="0"/>
    </xf>
    <xf numFmtId="0" fontId="6" fillId="2" borderId="8" xfId="0" applyFont="1" applyFill="1" applyBorder="1" applyProtection="1">
      <protection locked="0"/>
    </xf>
    <xf numFmtId="49" fontId="6" fillId="4" borderId="47" xfId="0" applyNumberFormat="1" applyFont="1" applyFill="1" applyBorder="1" applyProtection="1">
      <protection locked="0"/>
    </xf>
    <xf numFmtId="0" fontId="6" fillId="4" borderId="42" xfId="0" applyFont="1" applyFill="1" applyBorder="1" applyProtection="1">
      <protection locked="0"/>
    </xf>
    <xf numFmtId="0" fontId="6" fillId="4" borderId="47" xfId="0" applyFont="1" applyFill="1" applyBorder="1" applyProtection="1">
      <protection locked="0"/>
    </xf>
    <xf numFmtId="0" fontId="6" fillId="0" borderId="42" xfId="0" applyFont="1" applyBorder="1" applyAlignment="1" applyProtection="1">
      <alignment horizontal="center"/>
      <protection locked="0"/>
    </xf>
    <xf numFmtId="49" fontId="6" fillId="4" borderId="50" xfId="0" applyNumberFormat="1" applyFont="1" applyFill="1" applyBorder="1" applyProtection="1">
      <protection locked="0"/>
    </xf>
    <xf numFmtId="0" fontId="6" fillId="4" borderId="43" xfId="0" applyFont="1" applyFill="1" applyBorder="1" applyProtection="1">
      <protection locked="0"/>
    </xf>
    <xf numFmtId="0" fontId="6" fillId="4" borderId="50" xfId="0" applyFont="1" applyFill="1" applyBorder="1" applyProtection="1">
      <protection locked="0"/>
    </xf>
    <xf numFmtId="0" fontId="6" fillId="0" borderId="43" xfId="0" applyFont="1" applyBorder="1" applyAlignment="1" applyProtection="1">
      <alignment horizontal="center"/>
      <protection locked="0"/>
    </xf>
    <xf numFmtId="49" fontId="6" fillId="4" borderId="60" xfId="0" applyNumberFormat="1" applyFont="1" applyFill="1" applyBorder="1" applyProtection="1">
      <protection locked="0"/>
    </xf>
    <xf numFmtId="0" fontId="6" fillId="4" borderId="54" xfId="0" applyFont="1" applyFill="1" applyBorder="1" applyProtection="1">
      <protection locked="0"/>
    </xf>
    <xf numFmtId="0" fontId="6" fillId="4" borderId="60" xfId="0" applyFont="1" applyFill="1" applyBorder="1" applyProtection="1">
      <protection locked="0"/>
    </xf>
    <xf numFmtId="0" fontId="6" fillId="0" borderId="44"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4" borderId="77" xfId="0" applyFont="1" applyFill="1" applyBorder="1" applyProtection="1">
      <protection locked="0"/>
    </xf>
    <xf numFmtId="0" fontId="6" fillId="4" borderId="78" xfId="0" applyFont="1" applyFill="1" applyBorder="1" applyProtection="1">
      <protection locked="0"/>
    </xf>
    <xf numFmtId="0" fontId="6" fillId="4" borderId="79" xfId="0" applyFont="1" applyFill="1" applyBorder="1" applyProtection="1">
      <protection locked="0"/>
    </xf>
    <xf numFmtId="0" fontId="6" fillId="4" borderId="80" xfId="0" applyFont="1" applyFill="1" applyBorder="1" applyProtection="1">
      <protection locked="0"/>
    </xf>
    <xf numFmtId="0" fontId="6" fillId="4" borderId="43" xfId="0" applyFont="1" applyFill="1" applyBorder="1" applyAlignment="1" applyProtection="1">
      <alignment horizontal="left"/>
      <protection locked="0"/>
    </xf>
    <xf numFmtId="0" fontId="6" fillId="2" borderId="42" xfId="0" applyFont="1" applyFill="1" applyBorder="1" applyProtection="1">
      <protection locked="0"/>
    </xf>
    <xf numFmtId="0" fontId="6" fillId="4" borderId="368" xfId="0" applyFont="1" applyFill="1" applyBorder="1" applyProtection="1">
      <protection locked="0"/>
    </xf>
    <xf numFmtId="0" fontId="6" fillId="4" borderId="83" xfId="0" applyFont="1" applyFill="1" applyBorder="1" applyProtection="1">
      <protection locked="0"/>
    </xf>
    <xf numFmtId="0" fontId="6" fillId="2" borderId="46" xfId="0" applyFont="1" applyFill="1" applyBorder="1" applyProtection="1">
      <protection locked="0"/>
    </xf>
    <xf numFmtId="166" fontId="6" fillId="4" borderId="69" xfId="0" applyNumberFormat="1" applyFont="1" applyFill="1" applyBorder="1" applyProtection="1">
      <protection locked="0"/>
    </xf>
    <xf numFmtId="0" fontId="6" fillId="4" borderId="61" xfId="0" applyFont="1" applyFill="1" applyBorder="1" applyProtection="1">
      <protection locked="0"/>
    </xf>
    <xf numFmtId="0" fontId="6" fillId="2" borderId="61" xfId="0" applyFont="1" applyFill="1" applyBorder="1" applyProtection="1">
      <protection locked="0"/>
    </xf>
    <xf numFmtId="0" fontId="6" fillId="4" borderId="369" xfId="0" applyFont="1" applyFill="1" applyBorder="1" applyProtection="1">
      <protection locked="0"/>
    </xf>
    <xf numFmtId="0" fontId="6" fillId="4" borderId="372" xfId="0" applyFont="1" applyFill="1" applyBorder="1" applyProtection="1">
      <protection locked="0"/>
    </xf>
    <xf numFmtId="0" fontId="6" fillId="2" borderId="64" xfId="0" applyFont="1" applyFill="1" applyBorder="1" applyProtection="1">
      <protection locked="0"/>
    </xf>
    <xf numFmtId="0" fontId="6" fillId="4" borderId="104" xfId="0" applyFont="1" applyFill="1" applyBorder="1" applyProtection="1">
      <protection locked="0"/>
    </xf>
    <xf numFmtId="0" fontId="6" fillId="4" borderId="105" xfId="0" applyFont="1" applyFill="1" applyBorder="1" applyProtection="1">
      <protection locked="0"/>
    </xf>
    <xf numFmtId="166" fontId="6" fillId="4" borderId="66" xfId="0" applyNumberFormat="1" applyFont="1" applyFill="1" applyBorder="1" applyProtection="1">
      <protection locked="0"/>
    </xf>
    <xf numFmtId="0" fontId="6" fillId="2" borderId="43" xfId="0" applyFont="1" applyFill="1" applyBorder="1" applyProtection="1">
      <protection locked="0"/>
    </xf>
    <xf numFmtId="0" fontId="6" fillId="4" borderId="370" xfId="0" applyFont="1" applyFill="1" applyBorder="1" applyProtection="1">
      <protection locked="0"/>
    </xf>
    <xf numFmtId="0" fontId="6" fillId="4" borderId="84" xfId="0" applyFont="1" applyFill="1" applyBorder="1" applyProtection="1">
      <protection locked="0"/>
    </xf>
    <xf numFmtId="0" fontId="6" fillId="2" borderId="49" xfId="0" applyFont="1" applyFill="1" applyBorder="1" applyProtection="1">
      <protection locked="0"/>
    </xf>
    <xf numFmtId="166" fontId="6" fillId="4" borderId="52" xfId="0" applyNumberFormat="1" applyFont="1" applyFill="1" applyBorder="1" applyProtection="1">
      <protection locked="0"/>
    </xf>
    <xf numFmtId="0" fontId="6" fillId="2" borderId="54" xfId="0" applyFont="1" applyFill="1" applyBorder="1" applyProtection="1">
      <protection locked="0"/>
    </xf>
    <xf numFmtId="0" fontId="6" fillId="4" borderId="371" xfId="0" applyFont="1" applyFill="1" applyBorder="1" applyProtection="1">
      <protection locked="0"/>
    </xf>
    <xf numFmtId="0" fontId="6" fillId="4" borderId="85" xfId="0" applyFont="1" applyFill="1" applyBorder="1" applyProtection="1">
      <protection locked="0"/>
    </xf>
    <xf numFmtId="0" fontId="6" fillId="2" borderId="57" xfId="0" applyFont="1" applyFill="1" applyBorder="1" applyProtection="1">
      <protection locked="0"/>
    </xf>
    <xf numFmtId="0" fontId="6" fillId="4" borderId="81" xfId="0" applyFont="1" applyFill="1" applyBorder="1" applyProtection="1">
      <protection locked="0"/>
    </xf>
    <xf numFmtId="0" fontId="6" fillId="4" borderId="82" xfId="0" applyFont="1" applyFill="1" applyBorder="1" applyProtection="1">
      <protection locked="0"/>
    </xf>
    <xf numFmtId="166" fontId="6" fillId="4" borderId="59" xfId="0" applyNumberFormat="1" applyFont="1" applyFill="1" applyBorder="1" applyProtection="1">
      <protection locked="0"/>
    </xf>
    <xf numFmtId="0" fontId="6" fillId="0" borderId="125" xfId="0" applyFont="1" applyBorder="1" applyAlignment="1" applyProtection="1">
      <alignment horizontal="right"/>
      <protection locked="0"/>
    </xf>
    <xf numFmtId="0" fontId="6" fillId="0" borderId="125" xfId="0" applyFont="1" applyBorder="1" applyProtection="1">
      <protection locked="0"/>
    </xf>
    <xf numFmtId="0" fontId="6" fillId="4" borderId="67" xfId="0" applyFont="1" applyFill="1" applyBorder="1" applyProtection="1">
      <protection locked="0"/>
    </xf>
    <xf numFmtId="0" fontId="6" fillId="4" borderId="74" xfId="0" applyFont="1" applyFill="1" applyBorder="1" applyProtection="1">
      <protection locked="0"/>
    </xf>
    <xf numFmtId="0" fontId="6" fillId="0" borderId="47" xfId="0" applyFont="1" applyBorder="1" applyProtection="1">
      <protection locked="0"/>
    </xf>
    <xf numFmtId="0" fontId="6" fillId="0" borderId="106" xfId="0" applyFont="1" applyBorder="1" applyAlignment="1" applyProtection="1">
      <alignment horizontal="center"/>
      <protection locked="0"/>
    </xf>
    <xf numFmtId="0" fontId="6" fillId="0" borderId="107" xfId="0" applyFont="1" applyBorder="1" applyAlignment="1" applyProtection="1">
      <alignment horizontal="center"/>
      <protection locked="0"/>
    </xf>
    <xf numFmtId="0" fontId="6" fillId="0" borderId="108" xfId="0" applyFont="1" applyBorder="1" applyAlignment="1" applyProtection="1">
      <alignment horizontal="center"/>
      <protection locked="0"/>
    </xf>
    <xf numFmtId="0" fontId="6" fillId="4" borderId="229" xfId="0" applyFont="1" applyFill="1" applyBorder="1" applyProtection="1">
      <protection locked="0"/>
    </xf>
    <xf numFmtId="2" fontId="6" fillId="4" borderId="42" xfId="0" applyNumberFormat="1" applyFont="1" applyFill="1" applyBorder="1" applyProtection="1">
      <protection locked="0"/>
    </xf>
    <xf numFmtId="2" fontId="6" fillId="4" borderId="54" xfId="0" applyNumberFormat="1" applyFont="1" applyFill="1" applyBorder="1" applyProtection="1">
      <protection locked="0"/>
    </xf>
    <xf numFmtId="0" fontId="6" fillId="0" borderId="115" xfId="0" applyFont="1" applyBorder="1" applyAlignment="1" applyProtection="1">
      <alignment horizontal="center"/>
      <protection locked="0"/>
    </xf>
    <xf numFmtId="2" fontId="6" fillId="4" borderId="112" xfId="0" applyNumberFormat="1" applyFont="1" applyFill="1" applyBorder="1" applyProtection="1">
      <protection locked="0"/>
    </xf>
    <xf numFmtId="2" fontId="6" fillId="4" borderId="43" xfId="0" applyNumberFormat="1" applyFont="1" applyFill="1" applyBorder="1" applyProtection="1">
      <protection locked="0"/>
    </xf>
    <xf numFmtId="0" fontId="6" fillId="0" borderId="119" xfId="0" applyFont="1" applyBorder="1" applyAlignment="1" applyProtection="1">
      <alignment horizontal="center"/>
      <protection locked="0"/>
    </xf>
    <xf numFmtId="2" fontId="6" fillId="4" borderId="113" xfId="0" applyNumberFormat="1" applyFont="1" applyFill="1" applyBorder="1" applyProtection="1">
      <protection locked="0"/>
    </xf>
    <xf numFmtId="0" fontId="6" fillId="0" borderId="109" xfId="0" applyFont="1" applyBorder="1" applyAlignment="1" applyProtection="1">
      <alignment horizontal="center"/>
      <protection locked="0"/>
    </xf>
    <xf numFmtId="2" fontId="6" fillId="4" borderId="61" xfId="0" applyNumberFormat="1" applyFont="1" applyFill="1" applyBorder="1" applyProtection="1">
      <protection locked="0"/>
    </xf>
    <xf numFmtId="166" fontId="6" fillId="4" borderId="122" xfId="0" applyNumberFormat="1" applyFont="1" applyFill="1" applyBorder="1" applyProtection="1">
      <protection locked="0"/>
    </xf>
    <xf numFmtId="166" fontId="6" fillId="4" borderId="123" xfId="0" applyNumberFormat="1" applyFont="1" applyFill="1" applyBorder="1" applyProtection="1">
      <protection locked="0"/>
    </xf>
    <xf numFmtId="166" fontId="6" fillId="4" borderId="62" xfId="0" applyNumberFormat="1" applyFont="1" applyFill="1" applyBorder="1" applyProtection="1">
      <protection locked="0"/>
    </xf>
    <xf numFmtId="166" fontId="6" fillId="4" borderId="53" xfId="0" applyNumberFormat="1" applyFont="1" applyFill="1" applyBorder="1" applyProtection="1">
      <protection locked="0"/>
    </xf>
    <xf numFmtId="166" fontId="6" fillId="4" borderId="55" xfId="0" applyNumberFormat="1" applyFont="1" applyFill="1" applyBorder="1" applyProtection="1">
      <protection locked="0"/>
    </xf>
    <xf numFmtId="2" fontId="6" fillId="0" borderId="42" xfId="0" applyNumberFormat="1" applyFont="1" applyBorder="1" applyAlignment="1" applyProtection="1">
      <alignment horizontal="center"/>
      <protection locked="0"/>
    </xf>
    <xf numFmtId="2" fontId="6" fillId="0" borderId="43" xfId="0" applyNumberFormat="1" applyFont="1" applyBorder="1" applyAlignment="1" applyProtection="1">
      <alignment horizontal="center"/>
      <protection locked="0"/>
    </xf>
    <xf numFmtId="2" fontId="6" fillId="0" borderId="113" xfId="0" applyNumberFormat="1" applyFont="1" applyBorder="1" applyAlignment="1" applyProtection="1">
      <alignment horizontal="center"/>
      <protection locked="0"/>
    </xf>
    <xf numFmtId="2" fontId="6" fillId="0" borderId="112" xfId="0" applyNumberFormat="1" applyFont="1" applyBorder="1" applyAlignment="1" applyProtection="1">
      <alignment horizontal="center"/>
      <protection locked="0"/>
    </xf>
    <xf numFmtId="2" fontId="6" fillId="0" borderId="61" xfId="0" applyNumberFormat="1" applyFont="1" applyBorder="1" applyAlignment="1" applyProtection="1">
      <alignment horizontal="center"/>
      <protection locked="0"/>
    </xf>
    <xf numFmtId="1" fontId="6" fillId="0" borderId="0" xfId="0" applyNumberFormat="1" applyFont="1" applyAlignment="1" applyProtection="1">
      <alignment horizontal="center"/>
      <protection locked="0"/>
    </xf>
    <xf numFmtId="0" fontId="0" fillId="0" borderId="0" xfId="0" applyAlignment="1" applyProtection="1">
      <alignment horizontal="center"/>
      <protection locked="0"/>
    </xf>
    <xf numFmtId="0" fontId="0" fillId="2" borderId="0" xfId="0" applyFill="1" applyAlignment="1" applyProtection="1">
      <alignment horizontal="center" vertical="center"/>
      <protection locked="0"/>
    </xf>
    <xf numFmtId="0" fontId="0" fillId="11" borderId="0" xfId="0" applyFill="1" applyAlignment="1" applyProtection="1">
      <alignment horizontal="center" vertical="center"/>
      <protection locked="0"/>
    </xf>
    <xf numFmtId="0" fontId="31" fillId="6" borderId="0" xfId="0" quotePrefix="1" applyFont="1" applyFill="1" applyAlignment="1" applyProtection="1">
      <alignment horizontal="center"/>
      <protection locked="0"/>
    </xf>
    <xf numFmtId="0" fontId="31" fillId="11" borderId="0" xfId="0" applyFont="1" applyFill="1" applyAlignment="1" applyProtection="1">
      <alignment horizontal="center" vertical="center"/>
      <protection locked="0"/>
    </xf>
    <xf numFmtId="0" fontId="31" fillId="11" borderId="0" xfId="0" applyFont="1" applyFill="1" applyAlignment="1" applyProtection="1">
      <alignment horizontal="center"/>
      <protection locked="0"/>
    </xf>
    <xf numFmtId="0" fontId="0" fillId="11" borderId="0" xfId="0" applyFill="1" applyAlignment="1" applyProtection="1">
      <alignment horizontal="center"/>
      <protection locked="0"/>
    </xf>
    <xf numFmtId="0" fontId="0" fillId="6" borderId="0" xfId="0" applyFill="1" applyAlignment="1" applyProtection="1">
      <alignment horizontal="center"/>
      <protection locked="0"/>
    </xf>
    <xf numFmtId="0" fontId="31" fillId="11" borderId="0" xfId="0" quotePrefix="1" applyFont="1" applyFill="1" applyAlignment="1" applyProtection="1">
      <alignment horizontal="center"/>
      <protection locked="0"/>
    </xf>
    <xf numFmtId="0" fontId="0" fillId="0" borderId="0" xfId="0" applyProtection="1">
      <protection locked="0"/>
    </xf>
    <xf numFmtId="0" fontId="0" fillId="0" borderId="214" xfId="0" applyBorder="1" applyProtection="1">
      <protection locked="0"/>
    </xf>
    <xf numFmtId="0" fontId="0" fillId="0" borderId="172" xfId="0" applyBorder="1" applyProtection="1">
      <protection locked="0"/>
    </xf>
    <xf numFmtId="0" fontId="0" fillId="0" borderId="217" xfId="0" applyBorder="1" applyProtection="1">
      <protection locked="0"/>
    </xf>
    <xf numFmtId="0" fontId="19" fillId="2" borderId="0" xfId="0" applyFont="1" applyFill="1" applyProtection="1">
      <protection locked="0"/>
    </xf>
    <xf numFmtId="0" fontId="19"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6" fillId="0" borderId="14" xfId="0" applyFont="1" applyBorder="1" applyAlignment="1" applyProtection="1">
      <alignment horizontal="center"/>
      <protection locked="0"/>
    </xf>
    <xf numFmtId="166" fontId="6" fillId="0" borderId="0" xfId="0" applyNumberFormat="1" applyFont="1" applyAlignment="1" applyProtection="1">
      <alignment horizontal="center"/>
      <protection locked="0"/>
    </xf>
    <xf numFmtId="166" fontId="6" fillId="0" borderId="10" xfId="0" applyNumberFormat="1" applyFont="1" applyBorder="1" applyAlignment="1" applyProtection="1">
      <alignment horizontal="center"/>
      <protection locked="0"/>
    </xf>
    <xf numFmtId="166" fontId="6" fillId="0" borderId="14" xfId="0" applyNumberFormat="1" applyFont="1" applyBorder="1" applyAlignment="1" applyProtection="1">
      <alignment horizontal="center"/>
      <protection locked="0"/>
    </xf>
    <xf numFmtId="166" fontId="6" fillId="0" borderId="128" xfId="0" applyNumberFormat="1" applyFont="1" applyBorder="1" applyAlignment="1" applyProtection="1">
      <alignment horizontal="center"/>
      <protection locked="0"/>
    </xf>
    <xf numFmtId="166" fontId="6" fillId="0" borderId="323" xfId="0" applyNumberFormat="1" applyFont="1" applyBorder="1" applyAlignment="1" applyProtection="1">
      <alignment horizontal="center"/>
      <protection locked="0"/>
    </xf>
    <xf numFmtId="166" fontId="6" fillId="0" borderId="388" xfId="0" applyNumberFormat="1" applyFont="1" applyBorder="1" applyAlignment="1" applyProtection="1">
      <alignment horizontal="center"/>
      <protection locked="0"/>
    </xf>
    <xf numFmtId="166" fontId="6" fillId="0" borderId="129" xfId="0" applyNumberFormat="1" applyFont="1" applyBorder="1" applyAlignment="1" applyProtection="1">
      <alignment horizontal="center"/>
      <protection locked="0"/>
    </xf>
    <xf numFmtId="0" fontId="6" fillId="2" borderId="0" xfId="0" applyFont="1" applyFill="1" applyAlignment="1" applyProtection="1">
      <alignment horizontal="center"/>
      <protection locked="0"/>
    </xf>
    <xf numFmtId="166" fontId="6" fillId="2" borderId="0" xfId="0" applyNumberFormat="1" applyFont="1" applyFill="1" applyAlignment="1" applyProtection="1">
      <alignment horizontal="center"/>
      <protection locked="0"/>
    </xf>
    <xf numFmtId="0" fontId="6" fillId="2" borderId="321" xfId="0" applyFont="1" applyFill="1" applyBorder="1" applyAlignment="1" applyProtection="1">
      <alignment horizontal="center"/>
      <protection locked="0"/>
    </xf>
    <xf numFmtId="166" fontId="6" fillId="0" borderId="321" xfId="0" applyNumberFormat="1" applyFont="1" applyBorder="1" applyAlignment="1" applyProtection="1">
      <alignment horizontal="center"/>
      <protection locked="0"/>
    </xf>
    <xf numFmtId="166" fontId="6" fillId="2" borderId="321" xfId="0" applyNumberFormat="1" applyFont="1" applyFill="1" applyBorder="1" applyAlignment="1" applyProtection="1">
      <alignment horizontal="center"/>
      <protection locked="0"/>
    </xf>
    <xf numFmtId="0" fontId="6" fillId="2" borderId="387" xfId="0" applyFont="1" applyFill="1" applyBorder="1" applyAlignment="1" applyProtection="1">
      <alignment horizontal="center"/>
      <protection locked="0"/>
    </xf>
    <xf numFmtId="166" fontId="6" fillId="0" borderId="387" xfId="0" applyNumberFormat="1" applyFont="1" applyBorder="1" applyAlignment="1" applyProtection="1">
      <alignment horizontal="center"/>
      <protection locked="0"/>
    </xf>
    <xf numFmtId="166" fontId="6" fillId="2" borderId="387" xfId="0" applyNumberFormat="1" applyFont="1" applyFill="1" applyBorder="1" applyAlignment="1" applyProtection="1">
      <alignment horizontal="center"/>
      <protection locked="0"/>
    </xf>
    <xf numFmtId="0" fontId="6" fillId="2" borderId="61" xfId="0" applyFont="1" applyFill="1" applyBorder="1" applyAlignment="1" applyProtection="1">
      <alignment horizontal="center"/>
      <protection locked="0"/>
    </xf>
    <xf numFmtId="166" fontId="6" fillId="0" borderId="61" xfId="0" applyNumberFormat="1" applyFont="1" applyBorder="1" applyAlignment="1" applyProtection="1">
      <alignment horizontal="center"/>
      <protection locked="0"/>
    </xf>
    <xf numFmtId="166" fontId="6" fillId="2" borderId="61" xfId="0" applyNumberFormat="1" applyFont="1" applyFill="1" applyBorder="1" applyAlignment="1" applyProtection="1">
      <alignment horizontal="center"/>
      <protection locked="0"/>
    </xf>
    <xf numFmtId="0" fontId="6" fillId="2" borderId="10" xfId="0" applyFont="1" applyFill="1" applyBorder="1" applyProtection="1">
      <protection locked="0"/>
    </xf>
    <xf numFmtId="166" fontId="6" fillId="0" borderId="133" xfId="0" applyNumberFormat="1" applyFont="1" applyBorder="1" applyAlignment="1" applyProtection="1">
      <alignment horizontal="center"/>
      <protection locked="0"/>
    </xf>
    <xf numFmtId="166" fontId="6" fillId="0" borderId="54" xfId="0" applyNumberFormat="1" applyFont="1" applyBorder="1" applyAlignment="1" applyProtection="1">
      <alignment horizontal="center"/>
      <protection locked="0"/>
    </xf>
    <xf numFmtId="0" fontId="6" fillId="2" borderId="130" xfId="0" applyFont="1" applyFill="1" applyBorder="1" applyProtection="1">
      <protection locked="0"/>
    </xf>
    <xf numFmtId="166" fontId="6" fillId="0" borderId="124" xfId="0" applyNumberFormat="1" applyFont="1" applyBorder="1" applyAlignment="1" applyProtection="1">
      <alignment horizontal="center"/>
      <protection locked="0"/>
    </xf>
    <xf numFmtId="0" fontId="6" fillId="2" borderId="125" xfId="0" applyFont="1" applyFill="1" applyBorder="1" applyProtection="1">
      <protection locked="0"/>
    </xf>
    <xf numFmtId="166" fontId="6" fillId="0" borderId="126" xfId="0" applyNumberFormat="1" applyFont="1" applyBorder="1" applyAlignment="1" applyProtection="1">
      <alignment horizontal="center"/>
      <protection locked="0"/>
    </xf>
    <xf numFmtId="0" fontId="6" fillId="2" borderId="127" xfId="0" applyFont="1" applyFill="1" applyBorder="1" applyProtection="1">
      <protection locked="0"/>
    </xf>
    <xf numFmtId="166" fontId="6" fillId="0" borderId="394" xfId="0" applyNumberFormat="1" applyFont="1" applyBorder="1" applyAlignment="1" applyProtection="1">
      <alignment horizontal="center"/>
      <protection locked="0"/>
    </xf>
    <xf numFmtId="0" fontId="6" fillId="2" borderId="393" xfId="0" applyFont="1" applyFill="1" applyBorder="1" applyProtection="1">
      <protection locked="0"/>
    </xf>
    <xf numFmtId="166" fontId="6" fillId="0" borderId="392" xfId="0" applyNumberFormat="1" applyFont="1" applyBorder="1" applyAlignment="1" applyProtection="1">
      <alignment horizontal="center"/>
      <protection locked="0"/>
    </xf>
    <xf numFmtId="0" fontId="6" fillId="2" borderId="391" xfId="0" applyFont="1" applyFill="1" applyBorder="1" applyProtection="1">
      <protection locked="0"/>
    </xf>
    <xf numFmtId="2" fontId="19" fillId="0" borderId="54" xfId="0" applyNumberFormat="1" applyFont="1" applyBorder="1" applyAlignment="1" applyProtection="1">
      <alignment horizontal="center"/>
      <protection locked="0"/>
    </xf>
    <xf numFmtId="2" fontId="19" fillId="0" borderId="0" xfId="0" applyNumberFormat="1" applyFont="1" applyAlignment="1" applyProtection="1">
      <alignment horizontal="center"/>
      <protection locked="0"/>
    </xf>
    <xf numFmtId="0" fontId="6" fillId="0" borderId="324" xfId="0" applyFont="1" applyBorder="1" applyAlignment="1" applyProtection="1">
      <alignment horizontal="center"/>
      <protection locked="0"/>
    </xf>
    <xf numFmtId="168" fontId="6" fillId="0" borderId="54" xfId="0" applyNumberFormat="1" applyFont="1" applyBorder="1" applyAlignment="1" applyProtection="1">
      <alignment horizontal="center"/>
      <protection locked="0"/>
    </xf>
    <xf numFmtId="0" fontId="6" fillId="2" borderId="54" xfId="0" applyFont="1" applyFill="1" applyBorder="1" applyAlignment="1" applyProtection="1">
      <alignment horizontal="center"/>
      <protection locked="0"/>
    </xf>
    <xf numFmtId="168" fontId="6" fillId="0" borderId="0" xfId="0" applyNumberFormat="1" applyFont="1" applyAlignment="1" applyProtection="1">
      <alignment horizontal="center"/>
      <protection locked="0"/>
    </xf>
    <xf numFmtId="168" fontId="6" fillId="0" borderId="324" xfId="0" applyNumberFormat="1" applyFont="1" applyBorder="1" applyAlignment="1" applyProtection="1">
      <alignment horizontal="center"/>
      <protection locked="0"/>
    </xf>
    <xf numFmtId="0" fontId="6" fillId="2" borderId="324" xfId="0" applyFont="1" applyFill="1" applyBorder="1" applyAlignment="1" applyProtection="1">
      <alignment horizontal="center"/>
      <protection locked="0"/>
    </xf>
    <xf numFmtId="166" fontId="6" fillId="0" borderId="324" xfId="0" applyNumberFormat="1" applyFont="1" applyBorder="1" applyAlignment="1" applyProtection="1">
      <alignment horizontal="center"/>
      <protection locked="0"/>
    </xf>
    <xf numFmtId="49" fontId="6" fillId="0" borderId="0" xfId="0" applyNumberFormat="1" applyFont="1" applyAlignment="1" applyProtection="1">
      <alignment horizontal="left"/>
      <protection locked="0"/>
    </xf>
    <xf numFmtId="49" fontId="6" fillId="0" borderId="0" xfId="0" applyNumberFormat="1" applyFont="1" applyAlignment="1" applyProtection="1">
      <alignment horizontal="center"/>
      <protection locked="0"/>
    </xf>
    <xf numFmtId="49" fontId="6" fillId="0" borderId="324" xfId="0" applyNumberFormat="1" applyFont="1" applyBorder="1" applyAlignment="1" applyProtection="1">
      <alignment horizontal="center"/>
      <protection locked="0"/>
    </xf>
    <xf numFmtId="49" fontId="6" fillId="0" borderId="54" xfId="0" applyNumberFormat="1" applyFont="1" applyBorder="1" applyAlignment="1" applyProtection="1">
      <alignment horizontal="center"/>
      <protection locked="0"/>
    </xf>
    <xf numFmtId="0" fontId="6" fillId="0" borderId="0" xfId="0" applyFont="1" applyAlignment="1" applyProtection="1">
      <alignment horizontal="left"/>
      <protection locked="0"/>
    </xf>
    <xf numFmtId="0" fontId="6" fillId="2" borderId="0" xfId="0" applyFont="1" applyFill="1" applyAlignment="1" applyProtection="1">
      <alignment horizontal="centerContinuous"/>
      <protection locked="0"/>
    </xf>
    <xf numFmtId="0" fontId="6" fillId="0" borderId="0" xfId="0" applyFont="1" applyAlignment="1" applyProtection="1">
      <alignment horizontal="right"/>
      <protection locked="0"/>
    </xf>
    <xf numFmtId="166" fontId="6" fillId="0" borderId="0" xfId="0" applyNumberFormat="1" applyFont="1" applyAlignment="1" applyProtection="1">
      <alignment horizontal="left"/>
      <protection locked="0"/>
    </xf>
    <xf numFmtId="0" fontId="6" fillId="0" borderId="141" xfId="0" applyFont="1" applyBorder="1" applyAlignment="1" applyProtection="1">
      <alignment horizontal="center"/>
      <protection locked="0"/>
    </xf>
    <xf numFmtId="0" fontId="6" fillId="0" borderId="345" xfId="0" applyFont="1" applyBorder="1" applyAlignment="1" applyProtection="1">
      <alignment horizontal="center"/>
      <protection locked="0"/>
    </xf>
    <xf numFmtId="166" fontId="6" fillId="0" borderId="142" xfId="0" applyNumberFormat="1" applyFont="1" applyBorder="1" applyAlignment="1" applyProtection="1">
      <alignment horizontal="center"/>
      <protection locked="0"/>
    </xf>
    <xf numFmtId="166" fontId="6" fillId="0" borderId="141" xfId="0" applyNumberFormat="1" applyFont="1" applyBorder="1" applyAlignment="1" applyProtection="1">
      <alignment horizontal="center"/>
      <protection locked="0"/>
    </xf>
    <xf numFmtId="166" fontId="6" fillId="2" borderId="141" xfId="0" applyNumberFormat="1" applyFont="1" applyFill="1" applyBorder="1" applyAlignment="1" applyProtection="1">
      <alignment horizontal="center"/>
      <protection locked="0"/>
    </xf>
    <xf numFmtId="1" fontId="6" fillId="0" borderId="141" xfId="0" applyNumberFormat="1" applyFont="1" applyBorder="1" applyAlignment="1" applyProtection="1">
      <alignment horizontal="center"/>
      <protection locked="0"/>
    </xf>
    <xf numFmtId="0" fontId="6" fillId="2" borderId="141" xfId="0" applyFont="1" applyFill="1" applyBorder="1" applyAlignment="1" applyProtection="1">
      <alignment horizontal="center"/>
      <protection locked="0"/>
    </xf>
    <xf numFmtId="166" fontId="6" fillId="0" borderId="346" xfId="0" applyNumberFormat="1" applyFont="1" applyBorder="1" applyAlignment="1" applyProtection="1">
      <alignment horizontal="center"/>
      <protection locked="0"/>
    </xf>
    <xf numFmtId="166" fontId="6" fillId="0" borderId="345" xfId="0" applyNumberFormat="1" applyFont="1" applyBorder="1" applyAlignment="1" applyProtection="1">
      <alignment horizontal="center"/>
      <protection locked="0"/>
    </xf>
    <xf numFmtId="166" fontId="6" fillId="2" borderId="345" xfId="0" applyNumberFormat="1" applyFont="1" applyFill="1" applyBorder="1" applyAlignment="1" applyProtection="1">
      <alignment horizontal="center"/>
      <protection locked="0"/>
    </xf>
    <xf numFmtId="166" fontId="6" fillId="0" borderId="331" xfId="0" applyNumberFormat="1" applyFont="1" applyBorder="1" applyAlignment="1" applyProtection="1">
      <alignment horizontal="center"/>
      <protection locked="0"/>
    </xf>
    <xf numFmtId="166" fontId="6" fillId="2" borderId="324" xfId="0" applyNumberFormat="1" applyFont="1" applyFill="1" applyBorder="1" applyAlignment="1" applyProtection="1">
      <alignment horizontal="center"/>
      <protection locked="0"/>
    </xf>
    <xf numFmtId="166" fontId="6" fillId="0" borderId="131" xfId="0" applyNumberFormat="1" applyFont="1" applyBorder="1" applyAlignment="1" applyProtection="1">
      <alignment horizontal="center"/>
      <protection locked="0"/>
    </xf>
    <xf numFmtId="166" fontId="6" fillId="2" borderId="135" xfId="0" applyNumberFormat="1" applyFont="1" applyFill="1" applyBorder="1" applyProtection="1">
      <protection locked="0"/>
    </xf>
    <xf numFmtId="166" fontId="6" fillId="2" borderId="43" xfId="0" applyNumberFormat="1" applyFont="1" applyFill="1" applyBorder="1" applyAlignment="1" applyProtection="1">
      <alignment horizontal="center"/>
      <protection locked="0"/>
    </xf>
    <xf numFmtId="0" fontId="6" fillId="2" borderId="43" xfId="0" applyFont="1" applyFill="1" applyBorder="1" applyAlignment="1" applyProtection="1">
      <alignment horizontal="center"/>
      <protection locked="0"/>
    </xf>
    <xf numFmtId="166" fontId="6" fillId="2" borderId="135" xfId="0" applyNumberFormat="1" applyFont="1" applyFill="1" applyBorder="1" applyAlignment="1" applyProtection="1">
      <alignment horizontal="center"/>
      <protection locked="0"/>
    </xf>
    <xf numFmtId="166" fontId="6" fillId="2" borderId="142" xfId="0" applyNumberFormat="1" applyFont="1" applyFill="1" applyBorder="1" applyAlignment="1" applyProtection="1">
      <alignment horizontal="center"/>
      <protection locked="0"/>
    </xf>
    <xf numFmtId="0" fontId="6" fillId="0" borderId="321" xfId="0" applyFont="1" applyBorder="1" applyAlignment="1" applyProtection="1">
      <alignment horizontal="center"/>
      <protection locked="0"/>
    </xf>
    <xf numFmtId="166" fontId="6" fillId="0" borderId="342" xfId="0" applyNumberFormat="1" applyFont="1" applyBorder="1" applyAlignment="1" applyProtection="1">
      <alignment horizontal="center"/>
      <protection locked="0"/>
    </xf>
    <xf numFmtId="166" fontId="6" fillId="0" borderId="0" xfId="0" quotePrefix="1" applyNumberFormat="1" applyFont="1" applyAlignment="1" applyProtection="1">
      <alignment horizontal="center"/>
      <protection locked="0"/>
    </xf>
    <xf numFmtId="0" fontId="6" fillId="0" borderId="351" xfId="0" applyFont="1" applyBorder="1" applyAlignment="1" applyProtection="1">
      <alignment horizontal="center"/>
      <protection locked="0"/>
    </xf>
    <xf numFmtId="166" fontId="6" fillId="0" borderId="351" xfId="0" applyNumberFormat="1" applyFont="1" applyBorder="1" applyAlignment="1" applyProtection="1">
      <alignment horizontal="center"/>
      <protection locked="0"/>
    </xf>
    <xf numFmtId="166" fontId="6" fillId="2" borderId="43" xfId="0" applyNumberFormat="1" applyFont="1" applyFill="1" applyBorder="1" applyProtection="1">
      <protection locked="0"/>
    </xf>
    <xf numFmtId="0" fontId="6" fillId="0" borderId="0" xfId="0" applyFont="1" applyAlignment="1" applyProtection="1">
      <alignment horizontal="centerContinuous"/>
      <protection locked="0"/>
    </xf>
    <xf numFmtId="166" fontId="6" fillId="0" borderId="0" xfId="0" applyNumberFormat="1" applyFont="1" applyProtection="1">
      <protection locked="0"/>
    </xf>
    <xf numFmtId="166" fontId="6" fillId="0" borderId="324" xfId="0" applyNumberFormat="1" applyFont="1" applyBorder="1" applyProtection="1">
      <protection locked="0"/>
    </xf>
    <xf numFmtId="1" fontId="6" fillId="0" borderId="0" xfId="0" applyNumberFormat="1" applyFont="1" applyAlignment="1" applyProtection="1">
      <alignment horizontal="left"/>
      <protection locked="0"/>
    </xf>
    <xf numFmtId="0" fontId="6" fillId="4" borderId="234" xfId="0" applyFont="1" applyFill="1" applyBorder="1" applyAlignment="1" applyProtection="1">
      <alignment horizontal="center"/>
      <protection locked="0"/>
    </xf>
    <xf numFmtId="0" fontId="6" fillId="4" borderId="236" xfId="0" applyFont="1" applyFill="1" applyBorder="1" applyAlignment="1" applyProtection="1">
      <alignment horizontal="center"/>
      <protection locked="0"/>
    </xf>
    <xf numFmtId="0" fontId="6" fillId="4" borderId="240" xfId="0" applyFont="1" applyFill="1" applyBorder="1" applyAlignment="1" applyProtection="1">
      <alignment horizontal="center"/>
      <protection locked="0"/>
    </xf>
    <xf numFmtId="0" fontId="6" fillId="4" borderId="352" xfId="0" applyFont="1" applyFill="1" applyBorder="1" applyAlignment="1" applyProtection="1">
      <alignment horizontal="center"/>
      <protection locked="0"/>
    </xf>
    <xf numFmtId="166" fontId="6" fillId="2" borderId="134" xfId="0" applyNumberFormat="1" applyFont="1" applyFill="1" applyBorder="1" applyAlignment="1" applyProtection="1">
      <alignment horizontal="center"/>
      <protection locked="0"/>
    </xf>
    <xf numFmtId="166" fontId="6" fillId="4" borderId="234" xfId="0" applyNumberFormat="1" applyFont="1" applyFill="1" applyBorder="1" applyAlignment="1" applyProtection="1">
      <alignment horizontal="center"/>
      <protection locked="0"/>
    </xf>
    <xf numFmtId="166" fontId="6" fillId="4" borderId="238" xfId="0" applyNumberFormat="1" applyFont="1" applyFill="1" applyBorder="1" applyAlignment="1" applyProtection="1">
      <alignment horizontal="center"/>
      <protection locked="0"/>
    </xf>
    <xf numFmtId="166" fontId="6" fillId="4" borderId="235" xfId="0" applyNumberFormat="1" applyFont="1" applyFill="1" applyBorder="1" applyAlignment="1" applyProtection="1">
      <alignment horizontal="center"/>
      <protection locked="0"/>
    </xf>
    <xf numFmtId="166" fontId="6" fillId="4" borderId="236" xfId="0" applyNumberFormat="1" applyFont="1" applyFill="1" applyBorder="1" applyAlignment="1" applyProtection="1">
      <alignment horizontal="center"/>
      <protection locked="0"/>
    </xf>
    <xf numFmtId="166" fontId="6" fillId="4" borderId="239" xfId="0" applyNumberFormat="1" applyFont="1" applyFill="1" applyBorder="1" applyAlignment="1" applyProtection="1">
      <alignment horizontal="center"/>
      <protection locked="0"/>
    </xf>
    <xf numFmtId="166" fontId="6" fillId="4" borderId="237" xfId="0" applyNumberFormat="1" applyFont="1" applyFill="1" applyBorder="1" applyAlignment="1" applyProtection="1">
      <alignment horizontal="center"/>
      <protection locked="0"/>
    </xf>
    <xf numFmtId="166" fontId="6" fillId="4" borderId="240" xfId="0" applyNumberFormat="1" applyFont="1" applyFill="1" applyBorder="1" applyAlignment="1" applyProtection="1">
      <alignment horizontal="center"/>
      <protection locked="0"/>
    </xf>
    <xf numFmtId="166" fontId="6" fillId="4" borderId="241" xfId="0" applyNumberFormat="1" applyFont="1" applyFill="1" applyBorder="1" applyAlignment="1" applyProtection="1">
      <alignment horizontal="center"/>
      <protection locked="0"/>
    </xf>
    <xf numFmtId="166" fontId="6" fillId="4" borderId="242" xfId="0" applyNumberFormat="1" applyFont="1" applyFill="1" applyBorder="1" applyAlignment="1" applyProtection="1">
      <alignment horizontal="center"/>
      <protection locked="0"/>
    </xf>
    <xf numFmtId="166" fontId="6" fillId="4" borderId="352" xfId="0" applyNumberFormat="1" applyFont="1" applyFill="1" applyBorder="1" applyAlignment="1" applyProtection="1">
      <alignment horizontal="center"/>
      <protection locked="0"/>
    </xf>
    <xf numFmtId="166" fontId="6" fillId="4" borderId="354" xfId="0" applyNumberFormat="1" applyFont="1" applyFill="1" applyBorder="1" applyAlignment="1" applyProtection="1">
      <alignment horizontal="center"/>
      <protection locked="0"/>
    </xf>
    <xf numFmtId="166" fontId="6" fillId="4" borderId="351" xfId="0" applyNumberFormat="1" applyFont="1" applyFill="1" applyBorder="1" applyAlignment="1" applyProtection="1">
      <alignment horizontal="center"/>
      <protection locked="0"/>
    </xf>
    <xf numFmtId="49" fontId="6" fillId="4" borderId="208" xfId="0" applyNumberFormat="1" applyFont="1" applyFill="1" applyBorder="1" applyAlignment="1" applyProtection="1">
      <alignment horizontal="center"/>
      <protection locked="0"/>
    </xf>
    <xf numFmtId="0" fontId="6" fillId="4" borderId="146" xfId="0" applyFont="1" applyFill="1" applyBorder="1" applyAlignment="1" applyProtection="1">
      <alignment horizontal="center"/>
      <protection locked="0"/>
    </xf>
    <xf numFmtId="49" fontId="6" fillId="4" borderId="210" xfId="0" applyNumberFormat="1"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49" fontId="6" fillId="4" borderId="212" xfId="0" applyNumberFormat="1" applyFont="1" applyFill="1" applyBorder="1" applyAlignment="1" applyProtection="1">
      <alignment horizontal="center"/>
      <protection locked="0"/>
    </xf>
    <xf numFmtId="0" fontId="6" fillId="4" borderId="211" xfId="0" applyFont="1" applyFill="1" applyBorder="1" applyAlignment="1" applyProtection="1">
      <alignment horizontal="center"/>
      <protection locked="0"/>
    </xf>
    <xf numFmtId="49" fontId="6" fillId="4" borderId="209" xfId="0" applyNumberFormat="1" applyFont="1" applyFill="1" applyBorder="1" applyAlignment="1" applyProtection="1">
      <alignment horizontal="center"/>
      <protection locked="0"/>
    </xf>
    <xf numFmtId="0" fontId="6" fillId="0" borderId="440" xfId="0" applyFont="1" applyBorder="1" applyAlignment="1" applyProtection="1">
      <alignment horizontal="left"/>
      <protection locked="0"/>
    </xf>
    <xf numFmtId="0" fontId="6" fillId="0" borderId="439" xfId="0" applyFont="1" applyBorder="1" applyAlignment="1" applyProtection="1">
      <alignment horizontal="left"/>
      <protection locked="0"/>
    </xf>
    <xf numFmtId="0" fontId="6" fillId="0" borderId="443" xfId="0" applyFont="1" applyBorder="1" applyAlignment="1" applyProtection="1">
      <alignment horizontal="right"/>
      <protection locked="0"/>
    </xf>
    <xf numFmtId="166" fontId="7" fillId="2" borderId="0" xfId="0" applyNumberFormat="1" applyFont="1" applyFill="1"/>
    <xf numFmtId="0" fontId="6" fillId="0" borderId="0" xfId="0" applyFont="1" applyProtection="1">
      <protection locked="0"/>
    </xf>
    <xf numFmtId="0" fontId="64" fillId="3" borderId="0" xfId="0" applyFont="1" applyFill="1" applyAlignment="1">
      <alignment horizontal="left"/>
    </xf>
    <xf numFmtId="14" fontId="6" fillId="0" borderId="0" xfId="0" applyNumberFormat="1" applyFont="1"/>
    <xf numFmtId="0" fontId="70" fillId="0" borderId="0" xfId="0" applyFont="1"/>
    <xf numFmtId="0" fontId="50" fillId="0" borderId="0" xfId="0" applyFont="1"/>
    <xf numFmtId="0" fontId="10" fillId="3" borderId="444" xfId="0" applyFont="1" applyFill="1" applyBorder="1"/>
    <xf numFmtId="0" fontId="6" fillId="3" borderId="445" xfId="0" applyFont="1" applyFill="1" applyBorder="1"/>
    <xf numFmtId="0" fontId="6" fillId="3" borderId="446" xfId="0" applyFont="1" applyFill="1" applyBorder="1"/>
    <xf numFmtId="0" fontId="10" fillId="3" borderId="447" xfId="0" applyFont="1" applyFill="1" applyBorder="1"/>
    <xf numFmtId="0" fontId="6" fillId="3" borderId="448" xfId="0" applyFont="1" applyFill="1" applyBorder="1"/>
    <xf numFmtId="0" fontId="10" fillId="3" borderId="449" xfId="0" applyFont="1" applyFill="1" applyBorder="1"/>
    <xf numFmtId="0" fontId="6" fillId="3" borderId="450" xfId="0" applyFont="1" applyFill="1" applyBorder="1"/>
    <xf numFmtId="0" fontId="6" fillId="3" borderId="451" xfId="0" applyFont="1" applyFill="1" applyBorder="1"/>
    <xf numFmtId="165" fontId="0" fillId="0" borderId="0" xfId="0" applyNumberFormat="1" applyAlignment="1">
      <alignment horizontal="center"/>
    </xf>
    <xf numFmtId="0" fontId="0" fillId="0" borderId="0" xfId="0" applyAlignment="1">
      <alignment horizontal="left"/>
    </xf>
    <xf numFmtId="165" fontId="33" fillId="0" borderId="0" xfId="0" applyNumberFormat="1" applyFont="1" applyAlignment="1">
      <alignment horizontal="center"/>
    </xf>
    <xf numFmtId="0" fontId="56" fillId="0" borderId="0" xfId="0" applyFont="1"/>
    <xf numFmtId="0" fontId="33" fillId="0" borderId="0" xfId="0" applyFont="1" applyProtection="1">
      <protection locked="0"/>
    </xf>
    <xf numFmtId="0" fontId="57" fillId="0" borderId="0" xfId="0" applyFont="1" applyProtection="1">
      <protection locked="0"/>
    </xf>
    <xf numFmtId="0" fontId="35" fillId="0" borderId="0" xfId="0" applyFont="1" applyAlignment="1" applyProtection="1">
      <alignment horizontal="left" vertical="center"/>
      <protection locked="0"/>
    </xf>
    <xf numFmtId="0" fontId="35" fillId="0" borderId="0" xfId="0" applyFont="1" applyAlignment="1" applyProtection="1">
      <alignment vertical="center"/>
      <protection locked="0"/>
    </xf>
    <xf numFmtId="0" fontId="32" fillId="0" borderId="166" xfId="0" applyFont="1" applyBorder="1" applyAlignment="1">
      <alignment horizontal="centerContinuous"/>
    </xf>
    <xf numFmtId="0" fontId="33" fillId="10" borderId="266" xfId="0" applyFont="1" applyFill="1" applyBorder="1" applyAlignment="1">
      <alignment horizontal="centerContinuous"/>
    </xf>
    <xf numFmtId="0" fontId="33" fillId="10" borderId="176" xfId="0" applyFont="1" applyFill="1" applyBorder="1" applyAlignment="1">
      <alignment horizontal="centerContinuous"/>
    </xf>
    <xf numFmtId="0" fontId="33" fillId="10" borderId="267" xfId="0" applyFont="1" applyFill="1" applyBorder="1" applyAlignment="1">
      <alignment horizontal="centerContinuous"/>
    </xf>
    <xf numFmtId="0" fontId="33" fillId="10" borderId="405" xfId="0" applyFont="1" applyFill="1" applyBorder="1" applyAlignment="1">
      <alignment horizontal="centerContinuous"/>
    </xf>
    <xf numFmtId="0" fontId="57" fillId="0" borderId="304" xfId="0" applyFont="1" applyBorder="1" applyAlignment="1">
      <alignment vertical="center"/>
    </xf>
    <xf numFmtId="0" fontId="57" fillId="0" borderId="301" xfId="0" applyFont="1" applyBorder="1" applyAlignment="1">
      <alignment vertical="center"/>
    </xf>
    <xf numFmtId="166" fontId="57" fillId="0" borderId="280" xfId="0" applyNumberFormat="1" applyFont="1" applyBorder="1" applyAlignment="1">
      <alignment horizontal="center" vertical="center"/>
    </xf>
    <xf numFmtId="166" fontId="0" fillId="0" borderId="280" xfId="0" applyNumberFormat="1" applyBorder="1" applyAlignment="1">
      <alignment horizontal="center" vertical="center"/>
    </xf>
    <xf numFmtId="0" fontId="57" fillId="0" borderId="213" xfId="0" applyFont="1" applyBorder="1" applyAlignment="1">
      <alignment vertical="center"/>
    </xf>
    <xf numFmtId="0" fontId="0" fillId="0" borderId="291" xfId="0" applyBorder="1" applyAlignment="1">
      <alignment horizontal="center" vertical="center"/>
    </xf>
    <xf numFmtId="2" fontId="0" fillId="0" borderId="288" xfId="0" applyNumberFormat="1" applyBorder="1" applyAlignment="1">
      <alignment horizontal="center" vertical="center"/>
    </xf>
    <xf numFmtId="0" fontId="6" fillId="13" borderId="0" xfId="0" applyFont="1" applyFill="1"/>
    <xf numFmtId="2" fontId="42" fillId="0" borderId="0" xfId="0" applyNumberFormat="1" applyFont="1" applyAlignment="1">
      <alignment horizontal="right" vertical="center"/>
    </xf>
    <xf numFmtId="0" fontId="35" fillId="0" borderId="0" xfId="0" applyFont="1" applyAlignment="1">
      <alignment horizontal="centerContinuous" vertical="center"/>
    </xf>
    <xf numFmtId="0" fontId="35" fillId="0" borderId="0" xfId="0" applyFont="1" applyAlignment="1">
      <alignment horizontal="right" vertical="center"/>
    </xf>
    <xf numFmtId="1" fontId="42" fillId="0" borderId="304" xfId="0" applyNumberFormat="1" applyFont="1" applyBorder="1" applyAlignment="1">
      <alignment horizontal="centerContinuous" vertical="center"/>
    </xf>
    <xf numFmtId="1" fontId="42" fillId="0" borderId="301" xfId="0" applyNumberFormat="1" applyFont="1" applyBorder="1" applyAlignment="1">
      <alignment horizontal="centerContinuous" vertical="center"/>
    </xf>
    <xf numFmtId="1" fontId="42" fillId="0" borderId="276" xfId="0" applyNumberFormat="1" applyFont="1" applyBorder="1" applyAlignment="1">
      <alignment horizontal="centerContinuous" vertical="center"/>
    </xf>
    <xf numFmtId="1" fontId="42" fillId="0" borderId="303" xfId="0" applyNumberFormat="1" applyFont="1" applyBorder="1" applyAlignment="1">
      <alignment horizontal="centerContinuous" vertical="center"/>
    </xf>
    <xf numFmtId="1" fontId="42" fillId="0" borderId="182" xfId="0" applyNumberFormat="1" applyFont="1" applyBorder="1" applyAlignment="1">
      <alignment horizontal="centerContinuous" vertical="center"/>
    </xf>
    <xf numFmtId="1" fontId="42" fillId="0" borderId="161" xfId="0" applyNumberFormat="1" applyFont="1" applyBorder="1" applyAlignment="1">
      <alignment horizontal="centerContinuous" vertical="center"/>
    </xf>
    <xf numFmtId="1" fontId="42" fillId="0" borderId="186" xfId="0" applyNumberFormat="1" applyFont="1" applyBorder="1" applyAlignment="1">
      <alignment horizontal="centerContinuous" vertical="center"/>
    </xf>
    <xf numFmtId="1" fontId="42" fillId="0" borderId="184" xfId="0" applyNumberFormat="1" applyFont="1" applyBorder="1" applyAlignment="1">
      <alignment horizontal="centerContinuous" vertical="center"/>
    </xf>
    <xf numFmtId="1" fontId="42" fillId="0" borderId="157" xfId="0" applyNumberFormat="1" applyFont="1" applyBorder="1" applyAlignment="1">
      <alignment horizontal="centerContinuous" vertical="center"/>
    </xf>
    <xf numFmtId="1" fontId="42" fillId="0" borderId="193" xfId="0" applyNumberFormat="1" applyFont="1" applyBorder="1" applyAlignment="1">
      <alignment horizontal="centerContinuous" vertical="center"/>
    </xf>
    <xf numFmtId="1" fontId="42" fillId="0" borderId="213" xfId="0" applyNumberFormat="1" applyFont="1" applyBorder="1" applyAlignment="1">
      <alignment horizontal="centerContinuous" vertical="center"/>
    </xf>
    <xf numFmtId="1" fontId="42" fillId="0" borderId="0" xfId="0" applyNumberFormat="1" applyFont="1" applyAlignment="1">
      <alignment horizontal="centerContinuous" vertical="center"/>
    </xf>
    <xf numFmtId="1" fontId="42" fillId="0" borderId="160" xfId="0" applyNumberFormat="1" applyFont="1" applyBorder="1" applyAlignment="1">
      <alignment horizontal="centerContinuous" vertical="center"/>
    </xf>
    <xf numFmtId="1" fontId="42" fillId="0" borderId="214" xfId="0" applyNumberFormat="1" applyFont="1" applyBorder="1" applyAlignment="1">
      <alignment horizontal="centerContinuous" vertical="center"/>
    </xf>
    <xf numFmtId="1" fontId="42" fillId="0" borderId="266" xfId="0" applyNumberFormat="1" applyFont="1" applyBorder="1" applyAlignment="1">
      <alignment horizontal="left" vertical="center"/>
    </xf>
    <xf numFmtId="1" fontId="42" fillId="0" borderId="176" xfId="0" applyNumberFormat="1" applyFont="1" applyBorder="1" applyAlignment="1">
      <alignment horizontal="centerContinuous" vertical="center"/>
    </xf>
    <xf numFmtId="1" fontId="42" fillId="0" borderId="183" xfId="0" applyNumberFormat="1" applyFont="1" applyBorder="1" applyAlignment="1">
      <alignment horizontal="centerContinuous" vertical="center"/>
    </xf>
    <xf numFmtId="1" fontId="42" fillId="0" borderId="177" xfId="0" applyNumberFormat="1" applyFont="1" applyBorder="1" applyAlignment="1">
      <alignment horizontal="centerContinuous" vertical="center"/>
    </xf>
    <xf numFmtId="1" fontId="42" fillId="0" borderId="198" xfId="0" applyNumberFormat="1" applyFont="1" applyBorder="1" applyAlignment="1">
      <alignment horizontal="centerContinuous" vertical="center"/>
    </xf>
    <xf numFmtId="1" fontId="42" fillId="0" borderId="185" xfId="0" applyNumberFormat="1" applyFont="1" applyBorder="1" applyAlignment="1">
      <alignment horizontal="centerContinuous" vertical="center"/>
    </xf>
    <xf numFmtId="1" fontId="42" fillId="0" borderId="273" xfId="0" applyNumberFormat="1" applyFont="1" applyBorder="1" applyAlignment="1">
      <alignment horizontal="centerContinuous" vertical="center"/>
    </xf>
    <xf numFmtId="1" fontId="42" fillId="0" borderId="166" xfId="0" applyNumberFormat="1" applyFont="1" applyBorder="1" applyAlignment="1">
      <alignment horizontal="centerContinuous" vertical="center"/>
    </xf>
    <xf numFmtId="1" fontId="42" fillId="0" borderId="327" xfId="0" applyNumberFormat="1" applyFont="1" applyBorder="1" applyAlignment="1">
      <alignment horizontal="centerContinuous" vertical="center"/>
    </xf>
    <xf numFmtId="1" fontId="42" fillId="0" borderId="174" xfId="0" applyNumberFormat="1" applyFont="1" applyBorder="1" applyAlignment="1">
      <alignment horizontal="centerContinuous" vertical="center"/>
    </xf>
    <xf numFmtId="1" fontId="42" fillId="0" borderId="306" xfId="0" applyNumberFormat="1" applyFont="1" applyBorder="1" applyAlignment="1">
      <alignment horizontal="left" vertical="center"/>
    </xf>
    <xf numFmtId="1" fontId="42" fillId="0" borderId="218" xfId="0" applyNumberFormat="1" applyFont="1" applyBorder="1" applyAlignment="1">
      <alignment horizontal="centerContinuous" vertical="center"/>
    </xf>
    <xf numFmtId="1" fontId="42" fillId="0" borderId="181" xfId="0" applyNumberFormat="1" applyFont="1" applyBorder="1" applyAlignment="1">
      <alignment horizontal="centerContinuous" vertical="center"/>
    </xf>
    <xf numFmtId="1" fontId="42" fillId="0" borderId="188" xfId="0" applyNumberFormat="1" applyFont="1" applyBorder="1" applyAlignment="1">
      <alignment horizontal="centerContinuous" vertical="center"/>
    </xf>
    <xf numFmtId="1" fontId="31" fillId="0" borderId="198" xfId="0" applyNumberFormat="1" applyFont="1" applyBorder="1" applyAlignment="1">
      <alignment horizontal="centerContinuous" vertical="center"/>
    </xf>
    <xf numFmtId="1" fontId="31" fillId="0" borderId="179" xfId="0" applyNumberFormat="1" applyFont="1" applyBorder="1" applyAlignment="1">
      <alignment horizontal="centerContinuous" vertical="center"/>
    </xf>
    <xf numFmtId="1" fontId="31" fillId="0" borderId="154" xfId="0" applyNumberFormat="1" applyFont="1" applyBorder="1" applyAlignment="1">
      <alignment horizontal="centerContinuous" vertical="center"/>
    </xf>
    <xf numFmtId="1" fontId="31" fillId="0" borderId="176" xfId="0" applyNumberFormat="1" applyFont="1" applyBorder="1" applyAlignment="1">
      <alignment horizontal="centerContinuous" vertical="center"/>
    </xf>
    <xf numFmtId="1" fontId="31" fillId="0" borderId="157" xfId="0" applyNumberFormat="1" applyFont="1" applyBorder="1" applyAlignment="1">
      <alignment horizontal="centerContinuous" vertical="center"/>
    </xf>
    <xf numFmtId="1" fontId="31" fillId="0" borderId="277" xfId="0" applyNumberFormat="1" applyFont="1" applyBorder="1" applyAlignment="1">
      <alignment horizontal="centerContinuous" vertical="center"/>
    </xf>
    <xf numFmtId="1" fontId="31" fillId="0" borderId="285" xfId="0" applyNumberFormat="1" applyFont="1" applyBorder="1" applyAlignment="1">
      <alignment horizontal="centerContinuous" vertical="center"/>
    </xf>
    <xf numFmtId="1" fontId="31" fillId="0" borderId="287" xfId="0" applyNumberFormat="1" applyFont="1" applyBorder="1" applyAlignment="1">
      <alignment horizontal="centerContinuous" vertical="center"/>
    </xf>
    <xf numFmtId="1" fontId="31" fillId="0" borderId="267" xfId="0" applyNumberFormat="1" applyFont="1" applyBorder="1" applyAlignment="1">
      <alignment horizontal="centerContinuous" vertical="center"/>
    </xf>
    <xf numFmtId="1" fontId="31" fillId="0" borderId="290" xfId="0" applyNumberFormat="1" applyFont="1" applyBorder="1" applyAlignment="1">
      <alignment horizontal="centerContinuous" vertical="center"/>
    </xf>
    <xf numFmtId="1" fontId="42" fillId="0" borderId="179" xfId="0" applyNumberFormat="1" applyFont="1" applyBorder="1" applyAlignment="1">
      <alignment horizontal="centerContinuous" vertical="center"/>
    </xf>
    <xf numFmtId="1" fontId="42" fillId="0" borderId="180" xfId="0" applyNumberFormat="1" applyFont="1" applyBorder="1" applyAlignment="1">
      <alignment horizontal="centerContinuous" vertical="center"/>
    </xf>
    <xf numFmtId="1" fontId="42" fillId="0" borderId="206" xfId="0" applyNumberFormat="1" applyFont="1" applyBorder="1" applyAlignment="1">
      <alignment horizontal="centerContinuous" vertical="center"/>
    </xf>
    <xf numFmtId="1" fontId="42" fillId="0" borderId="187" xfId="0" applyNumberFormat="1" applyFont="1" applyBorder="1" applyAlignment="1">
      <alignment horizontal="centerContinuous" vertical="center"/>
    </xf>
    <xf numFmtId="1" fontId="31" fillId="0" borderId="303" xfId="0" applyNumberFormat="1" applyFont="1" applyBorder="1" applyAlignment="1">
      <alignment horizontal="centerContinuous" vertical="center"/>
    </xf>
    <xf numFmtId="1" fontId="42" fillId="0" borderId="302" xfId="0" applyNumberFormat="1" applyFont="1" applyBorder="1" applyAlignment="1">
      <alignment horizontal="centerContinuous" vertical="center"/>
    </xf>
    <xf numFmtId="1" fontId="42" fillId="0" borderId="190" xfId="0" applyNumberFormat="1" applyFont="1" applyBorder="1" applyAlignment="1">
      <alignment horizontal="centerContinuous" vertical="center"/>
    </xf>
    <xf numFmtId="1" fontId="42" fillId="0" borderId="199" xfId="0" applyNumberFormat="1" applyFont="1" applyBorder="1" applyAlignment="1">
      <alignment horizontal="centerContinuous" vertical="center"/>
    </xf>
    <xf numFmtId="1" fontId="42" fillId="0" borderId="191" xfId="0" applyNumberFormat="1" applyFont="1" applyBorder="1" applyAlignment="1">
      <alignment horizontal="centerContinuous" vertical="center"/>
    </xf>
    <xf numFmtId="166" fontId="42" fillId="0" borderId="294" xfId="0" applyNumberFormat="1" applyFont="1" applyBorder="1" applyAlignment="1">
      <alignment horizontal="centerContinuous" vertical="center"/>
    </xf>
    <xf numFmtId="166" fontId="42" fillId="0" borderId="286" xfId="0" applyNumberFormat="1" applyFont="1" applyBorder="1" applyAlignment="1">
      <alignment horizontal="centerContinuous" vertical="center"/>
    </xf>
    <xf numFmtId="1" fontId="31" fillId="0" borderId="334" xfId="0" applyNumberFormat="1" applyFont="1" applyBorder="1" applyAlignment="1">
      <alignment horizontal="centerContinuous" vertical="center"/>
    </xf>
    <xf numFmtId="1" fontId="31" fillId="0" borderId="299" xfId="0" applyNumberFormat="1" applyFont="1" applyBorder="1" applyAlignment="1">
      <alignment horizontal="centerContinuous" vertical="center"/>
    </xf>
    <xf numFmtId="0" fontId="31" fillId="0" borderId="307" xfId="0" applyFont="1" applyBorder="1" applyAlignment="1" applyProtection="1">
      <alignment vertical="center"/>
      <protection locked="0"/>
    </xf>
    <xf numFmtId="0" fontId="31" fillId="0" borderId="278" xfId="0" applyFont="1" applyBorder="1" applyAlignment="1" applyProtection="1">
      <alignment vertical="center"/>
      <protection locked="0"/>
    </xf>
    <xf numFmtId="0" fontId="31" fillId="0" borderId="279" xfId="0" applyFont="1" applyBorder="1" applyAlignment="1" applyProtection="1">
      <alignment vertical="center"/>
      <protection locked="0"/>
    </xf>
    <xf numFmtId="0" fontId="31" fillId="0" borderId="308" xfId="0" applyFont="1" applyBorder="1" applyAlignment="1" applyProtection="1">
      <alignment vertical="center"/>
      <protection locked="0"/>
    </xf>
    <xf numFmtId="0" fontId="31" fillId="0" borderId="280" xfId="0" applyFont="1" applyBorder="1" applyAlignment="1" applyProtection="1">
      <alignment vertical="center"/>
      <protection locked="0"/>
    </xf>
    <xf numFmtId="0" fontId="31" fillId="0" borderId="281" xfId="0" applyFont="1" applyBorder="1" applyAlignment="1" applyProtection="1">
      <alignment vertical="center"/>
      <protection locked="0"/>
    </xf>
    <xf numFmtId="0" fontId="31" fillId="0" borderId="309" xfId="0" applyFont="1" applyBorder="1" applyAlignment="1" applyProtection="1">
      <alignment vertical="center"/>
      <protection locked="0"/>
    </xf>
    <xf numFmtId="0" fontId="31" fillId="0" borderId="288" xfId="0" applyFont="1" applyBorder="1" applyAlignment="1" applyProtection="1">
      <alignment vertical="center"/>
      <protection locked="0"/>
    </xf>
    <xf numFmtId="0" fontId="31" fillId="0" borderId="289" xfId="0" applyFont="1" applyBorder="1" applyAlignment="1" applyProtection="1">
      <alignment vertical="center"/>
      <protection locked="0"/>
    </xf>
    <xf numFmtId="0" fontId="31" fillId="0" borderId="310" xfId="0" applyFont="1" applyBorder="1" applyAlignment="1" applyProtection="1">
      <alignment vertical="center"/>
      <protection locked="0"/>
    </xf>
    <xf numFmtId="0" fontId="31" fillId="0" borderId="275" xfId="0" applyFont="1" applyBorder="1" applyAlignment="1" applyProtection="1">
      <alignment vertical="center"/>
      <protection locked="0"/>
    </xf>
    <xf numFmtId="0" fontId="31" fillId="0" borderId="293" xfId="0" applyFont="1" applyBorder="1" applyAlignment="1" applyProtection="1">
      <alignment vertical="center"/>
      <protection locked="0"/>
    </xf>
    <xf numFmtId="0" fontId="31" fillId="0" borderId="311" xfId="0" applyFont="1" applyBorder="1" applyAlignment="1" applyProtection="1">
      <alignment vertical="center"/>
      <protection locked="0"/>
    </xf>
    <xf numFmtId="0" fontId="31" fillId="0" borderId="295" xfId="0" applyFont="1" applyBorder="1" applyAlignment="1" applyProtection="1">
      <alignment vertical="center"/>
      <protection locked="0"/>
    </xf>
    <xf numFmtId="0" fontId="31" fillId="0" borderId="296" xfId="0" applyFont="1" applyBorder="1" applyAlignment="1" applyProtection="1">
      <alignment vertical="center"/>
      <protection locked="0"/>
    </xf>
    <xf numFmtId="0" fontId="31" fillId="0" borderId="312" xfId="0" applyFont="1" applyBorder="1" applyAlignment="1" applyProtection="1">
      <alignment vertical="center"/>
      <protection locked="0"/>
    </xf>
    <xf numFmtId="0" fontId="31" fillId="0" borderId="291" xfId="0" applyFont="1" applyBorder="1" applyAlignment="1" applyProtection="1">
      <alignment vertical="center"/>
      <protection locked="0"/>
    </xf>
    <xf numFmtId="0" fontId="31" fillId="0" borderId="292" xfId="0" applyFont="1" applyBorder="1" applyAlignment="1" applyProtection="1">
      <alignment vertical="center"/>
      <protection locked="0"/>
    </xf>
    <xf numFmtId="0" fontId="31" fillId="0" borderId="313" xfId="0" applyFont="1" applyBorder="1" applyAlignment="1" applyProtection="1">
      <alignment vertical="center"/>
      <protection locked="0"/>
    </xf>
    <xf numFmtId="0" fontId="31" fillId="0" borderId="298" xfId="0" applyFont="1" applyBorder="1" applyAlignment="1" applyProtection="1">
      <alignment vertical="center"/>
      <protection locked="0"/>
    </xf>
    <xf numFmtId="0" fontId="31" fillId="0" borderId="299" xfId="0" applyFont="1" applyBorder="1" applyAlignment="1" applyProtection="1">
      <alignment vertical="center"/>
      <protection locked="0"/>
    </xf>
    <xf numFmtId="0" fontId="31" fillId="0" borderId="377" xfId="0" applyFont="1" applyBorder="1" applyAlignment="1" applyProtection="1">
      <alignment horizontal="center" vertical="center"/>
      <protection locked="0"/>
    </xf>
    <xf numFmtId="0" fontId="31" fillId="0" borderId="257" xfId="0" applyFont="1" applyBorder="1" applyAlignment="1" applyProtection="1">
      <alignment horizontal="center" vertical="center"/>
      <protection locked="0"/>
    </xf>
    <xf numFmtId="0" fontId="31" fillId="0" borderId="327" xfId="0" applyFont="1" applyBorder="1" applyAlignment="1" applyProtection="1">
      <alignment horizontal="center" vertical="center"/>
      <protection locked="0"/>
    </xf>
    <xf numFmtId="0" fontId="31" fillId="0" borderId="338" xfId="0" applyFont="1" applyBorder="1" applyAlignment="1" applyProtection="1">
      <alignment horizontal="center" vertical="center"/>
      <protection locked="0"/>
    </xf>
    <xf numFmtId="0" fontId="31" fillId="0" borderId="431" xfId="0" applyFont="1" applyBorder="1" applyAlignment="1" applyProtection="1">
      <alignment horizontal="center" vertical="center"/>
      <protection locked="0"/>
    </xf>
    <xf numFmtId="0" fontId="31" fillId="0" borderId="328" xfId="0" applyFont="1" applyBorder="1" applyAlignment="1" applyProtection="1">
      <alignment horizontal="center" vertical="center"/>
      <protection locked="0"/>
    </xf>
    <xf numFmtId="0" fontId="31" fillId="0" borderId="355" xfId="0" applyFont="1" applyBorder="1" applyAlignment="1" applyProtection="1">
      <alignment horizontal="center" vertical="center"/>
      <protection locked="0"/>
    </xf>
    <xf numFmtId="0" fontId="31" fillId="0" borderId="423" xfId="0" applyFont="1" applyBorder="1" applyAlignment="1" applyProtection="1">
      <alignment horizontal="center" vertical="center"/>
      <protection locked="0"/>
    </xf>
    <xf numFmtId="0" fontId="31" fillId="0" borderId="361" xfId="0" applyFont="1" applyBorder="1" applyAlignment="1" applyProtection="1">
      <alignment horizontal="center" vertical="center"/>
      <protection locked="0"/>
    </xf>
    <xf numFmtId="0" fontId="31" fillId="0" borderId="183" xfId="0" applyFont="1" applyBorder="1" applyAlignment="1" applyProtection="1">
      <alignment horizontal="center" vertical="center"/>
      <protection locked="0"/>
    </xf>
    <xf numFmtId="0" fontId="31" fillId="0" borderId="360" xfId="0" applyFont="1" applyBorder="1" applyAlignment="1" applyProtection="1">
      <alignment horizontal="center" vertical="center"/>
      <protection locked="0"/>
    </xf>
    <xf numFmtId="0" fontId="31" fillId="0" borderId="429" xfId="0" applyFont="1" applyBorder="1" applyAlignment="1" applyProtection="1">
      <alignment horizontal="center" vertical="center"/>
      <protection locked="0"/>
    </xf>
    <xf numFmtId="0" fontId="31" fillId="0" borderId="329" xfId="0" applyFont="1" applyBorder="1" applyAlignment="1" applyProtection="1">
      <alignment horizontal="center" vertical="center"/>
      <protection locked="0"/>
    </xf>
    <xf numFmtId="0" fontId="31" fillId="0" borderId="362" xfId="0" applyFont="1" applyBorder="1" applyAlignment="1" applyProtection="1">
      <alignment horizontal="center" vertical="center"/>
      <protection locked="0"/>
    </xf>
    <xf numFmtId="0" fontId="35" fillId="0" borderId="423" xfId="0" applyFont="1" applyBorder="1" applyAlignment="1" applyProtection="1">
      <alignment horizontal="center" vertical="center"/>
      <protection locked="0"/>
    </xf>
    <xf numFmtId="0" fontId="35" fillId="0" borderId="361" xfId="0" applyFont="1" applyBorder="1" applyAlignment="1" applyProtection="1">
      <alignment horizontal="center" vertical="center"/>
      <protection locked="0"/>
    </xf>
    <xf numFmtId="0" fontId="35" fillId="0" borderId="183" xfId="0" applyFont="1" applyBorder="1" applyAlignment="1" applyProtection="1">
      <alignment horizontal="center" vertical="center"/>
      <protection locked="0"/>
    </xf>
    <xf numFmtId="0" fontId="35" fillId="0" borderId="360" xfId="0" applyFont="1" applyBorder="1" applyAlignment="1" applyProtection="1">
      <alignment horizontal="center" vertical="center"/>
      <protection locked="0"/>
    </xf>
    <xf numFmtId="0" fontId="35" fillId="0" borderId="429" xfId="0" applyFont="1" applyBorder="1" applyAlignment="1" applyProtection="1">
      <alignment horizontal="center" vertical="center"/>
      <protection locked="0"/>
    </xf>
    <xf numFmtId="0" fontId="35" fillId="0" borderId="329" xfId="0" applyFont="1" applyBorder="1" applyAlignment="1" applyProtection="1">
      <alignment horizontal="center" vertical="center"/>
      <protection locked="0"/>
    </xf>
    <xf numFmtId="0" fontId="35" fillId="0" borderId="362" xfId="0" applyFont="1" applyBorder="1" applyAlignment="1" applyProtection="1">
      <alignment horizontal="center" vertical="center"/>
      <protection locked="0"/>
    </xf>
    <xf numFmtId="0" fontId="31" fillId="0" borderId="424" xfId="0" applyFont="1" applyBorder="1" applyAlignment="1" applyProtection="1">
      <alignment horizontal="center" vertical="center"/>
      <protection locked="0"/>
    </xf>
    <xf numFmtId="0" fontId="31" fillId="0" borderId="365" xfId="0" applyFont="1" applyBorder="1" applyAlignment="1" applyProtection="1">
      <alignment horizontal="center" vertical="center"/>
      <protection locked="0"/>
    </xf>
    <xf numFmtId="0" fontId="31" fillId="0" borderId="181" xfId="0" applyFont="1" applyBorder="1" applyAlignment="1" applyProtection="1">
      <alignment horizontal="center" vertical="center"/>
      <protection locked="0"/>
    </xf>
    <xf numFmtId="0" fontId="31" fillId="0" borderId="364" xfId="0" applyFont="1" applyBorder="1" applyAlignment="1" applyProtection="1">
      <alignment horizontal="center" vertical="center"/>
      <protection locked="0"/>
    </xf>
    <xf numFmtId="0" fontId="31" fillId="0" borderId="430" xfId="0" applyFont="1" applyBorder="1" applyAlignment="1" applyProtection="1">
      <alignment horizontal="center" vertical="center"/>
      <protection locked="0"/>
    </xf>
    <xf numFmtId="0" fontId="31" fillId="0" borderId="330" xfId="0" applyFont="1" applyBorder="1" applyAlignment="1" applyProtection="1">
      <alignment horizontal="center" vertical="center"/>
      <protection locked="0"/>
    </xf>
    <xf numFmtId="0" fontId="31" fillId="0" borderId="366" xfId="0" applyFont="1" applyBorder="1" applyAlignment="1" applyProtection="1">
      <alignment horizontal="center" vertical="center"/>
      <protection locked="0"/>
    </xf>
    <xf numFmtId="10" fontId="31" fillId="0" borderId="300" xfId="0" applyNumberFormat="1" applyFont="1" applyBorder="1" applyAlignment="1">
      <alignment vertical="center"/>
    </xf>
    <xf numFmtId="10" fontId="31" fillId="0" borderId="254" xfId="0" applyNumberFormat="1" applyFont="1" applyBorder="1" applyAlignment="1">
      <alignment vertical="center"/>
    </xf>
    <xf numFmtId="10" fontId="31" fillId="0" borderId="255" xfId="0" applyNumberFormat="1" applyFont="1" applyBorder="1" applyAlignment="1">
      <alignment vertical="center"/>
    </xf>
    <xf numFmtId="10" fontId="31" fillId="0" borderId="301" xfId="0" applyNumberFormat="1" applyFont="1" applyBorder="1" applyAlignment="1">
      <alignment vertical="center"/>
    </xf>
    <xf numFmtId="10" fontId="31" fillId="0" borderId="179" xfId="0" applyNumberFormat="1" applyFont="1" applyBorder="1" applyAlignment="1">
      <alignment vertical="center"/>
    </xf>
    <xf numFmtId="10" fontId="31" fillId="0" borderId="180" xfId="0" applyNumberFormat="1" applyFont="1" applyBorder="1" applyAlignment="1">
      <alignment vertical="center"/>
    </xf>
    <xf numFmtId="10" fontId="31" fillId="0" borderId="302" xfId="0" applyNumberFormat="1" applyFont="1" applyBorder="1" applyAlignment="1">
      <alignment vertical="center"/>
    </xf>
    <xf numFmtId="10" fontId="31" fillId="0" borderId="190" xfId="0" applyNumberFormat="1" applyFont="1" applyBorder="1" applyAlignment="1">
      <alignment vertical="center"/>
    </xf>
    <xf numFmtId="10" fontId="31" fillId="0" borderId="191" xfId="0" applyNumberFormat="1" applyFont="1" applyBorder="1" applyAlignment="1">
      <alignment vertical="center"/>
    </xf>
    <xf numFmtId="0" fontId="31" fillId="0" borderId="314" xfId="0" applyFont="1" applyBorder="1" applyAlignment="1" applyProtection="1">
      <alignment vertical="center"/>
      <protection locked="0"/>
    </xf>
    <xf numFmtId="0" fontId="31" fillId="0" borderId="282" xfId="0" applyFont="1" applyBorder="1" applyAlignment="1" applyProtection="1">
      <alignment vertical="center"/>
      <protection locked="0"/>
    </xf>
    <xf numFmtId="0" fontId="31" fillId="0" borderId="283" xfId="0" applyFont="1" applyBorder="1" applyAlignment="1" applyProtection="1">
      <alignment vertical="center"/>
      <protection locked="0"/>
    </xf>
    <xf numFmtId="166" fontId="6" fillId="0" borderId="42" xfId="0" applyNumberFormat="1" applyFont="1" applyBorder="1" applyProtection="1">
      <protection locked="0"/>
    </xf>
    <xf numFmtId="166" fontId="6" fillId="0" borderId="43" xfId="0" applyNumberFormat="1" applyFont="1" applyBorder="1" applyProtection="1">
      <protection locked="0"/>
    </xf>
    <xf numFmtId="166" fontId="6" fillId="0" borderId="54" xfId="0" applyNumberFormat="1" applyFont="1" applyBorder="1" applyProtection="1">
      <protection locked="0"/>
    </xf>
    <xf numFmtId="166" fontId="6" fillId="4" borderId="45" xfId="0" applyNumberFormat="1" applyFont="1" applyFill="1" applyBorder="1" applyProtection="1">
      <protection locked="0"/>
    </xf>
    <xf numFmtId="166" fontId="6" fillId="4" borderId="63" xfId="0" applyNumberFormat="1" applyFont="1" applyFill="1" applyBorder="1" applyProtection="1">
      <protection locked="0"/>
    </xf>
    <xf numFmtId="166" fontId="6" fillId="4" borderId="48" xfId="0" applyNumberFormat="1" applyFont="1" applyFill="1" applyBorder="1" applyProtection="1">
      <protection locked="0"/>
    </xf>
    <xf numFmtId="166" fontId="6" fillId="4" borderId="70" xfId="0" applyNumberFormat="1" applyFont="1" applyFill="1" applyBorder="1" applyProtection="1">
      <protection locked="0"/>
    </xf>
    <xf numFmtId="166" fontId="6" fillId="0" borderId="45" xfId="0" applyNumberFormat="1" applyFont="1" applyBorder="1" applyProtection="1">
      <protection locked="0"/>
    </xf>
    <xf numFmtId="0" fontId="42" fillId="0" borderId="295" xfId="0" applyFont="1" applyBorder="1" applyAlignment="1">
      <alignment horizontal="centerContinuous" vertical="center"/>
    </xf>
    <xf numFmtId="0" fontId="42" fillId="0" borderId="165" xfId="0" applyFont="1" applyBorder="1" applyAlignment="1">
      <alignment horizontal="centerContinuous" vertical="center"/>
    </xf>
    <xf numFmtId="0" fontId="42" fillId="0" borderId="280" xfId="0" applyFont="1" applyBorder="1" applyAlignment="1">
      <alignment horizontal="centerContinuous" vertical="center"/>
    </xf>
    <xf numFmtId="166" fontId="0" fillId="0" borderId="291" xfId="0" applyNumberFormat="1" applyBorder="1" applyAlignment="1">
      <alignment horizontal="center" vertical="center"/>
    </xf>
    <xf numFmtId="168" fontId="0" fillId="0" borderId="280" xfId="0" applyNumberFormat="1" applyBorder="1" applyAlignment="1">
      <alignment horizontal="center" vertical="center"/>
    </xf>
    <xf numFmtId="170" fontId="6" fillId="5" borderId="0" xfId="0" applyNumberFormat="1" applyFont="1" applyFill="1"/>
    <xf numFmtId="166" fontId="0" fillId="0" borderId="0" xfId="0" applyNumberFormat="1" applyProtection="1">
      <protection locked="0"/>
    </xf>
    <xf numFmtId="166" fontId="0" fillId="0" borderId="301" xfId="0" applyNumberFormat="1" applyBorder="1" applyAlignment="1">
      <alignment horizontal="center" vertical="center"/>
    </xf>
    <xf numFmtId="2" fontId="0" fillId="0" borderId="295" xfId="0" applyNumberFormat="1" applyBorder="1" applyAlignment="1">
      <alignment horizontal="center" vertical="center"/>
    </xf>
    <xf numFmtId="0" fontId="0" fillId="0" borderId="251" xfId="0" applyBorder="1" applyAlignment="1">
      <alignment horizontal="right" vertical="center"/>
    </xf>
    <xf numFmtId="0" fontId="0" fillId="0" borderId="157" xfId="0" applyBorder="1"/>
    <xf numFmtId="0" fontId="0" fillId="0" borderId="290" xfId="0" applyBorder="1"/>
    <xf numFmtId="0" fontId="0" fillId="0" borderId="179" xfId="0" applyBorder="1"/>
    <xf numFmtId="0" fontId="0" fillId="0" borderId="285" xfId="0" applyBorder="1"/>
    <xf numFmtId="0" fontId="57" fillId="0" borderId="179" xfId="0" applyFont="1" applyBorder="1"/>
    <xf numFmtId="0" fontId="57" fillId="0" borderId="285" xfId="0" applyFont="1" applyBorder="1"/>
    <xf numFmtId="0" fontId="57" fillId="0" borderId="280" xfId="0" applyFont="1" applyBorder="1" applyAlignment="1">
      <alignment horizontal="center" vertical="center"/>
    </xf>
    <xf numFmtId="1" fontId="0" fillId="0" borderId="280" xfId="0" applyNumberFormat="1" applyBorder="1" applyAlignment="1">
      <alignment horizontal="center" vertical="center"/>
    </xf>
    <xf numFmtId="174" fontId="0" fillId="0" borderId="280" xfId="2" applyNumberFormat="1" applyFont="1" applyFill="1" applyBorder="1" applyAlignment="1" applyProtection="1">
      <alignment horizontal="center" vertical="center"/>
    </xf>
    <xf numFmtId="166" fontId="57" fillId="14" borderId="280" xfId="0" applyNumberFormat="1" applyFont="1" applyFill="1" applyBorder="1" applyAlignment="1" applyProtection="1">
      <alignment horizontal="center" vertical="center"/>
      <protection locked="0"/>
    </xf>
    <xf numFmtId="0" fontId="0" fillId="14" borderId="291" xfId="0" applyFill="1" applyBorder="1" applyAlignment="1" applyProtection="1">
      <alignment horizontal="center" vertical="center"/>
      <protection locked="0"/>
    </xf>
    <xf numFmtId="0" fontId="0" fillId="14" borderId="280" xfId="0" applyFill="1" applyBorder="1" applyAlignment="1" applyProtection="1">
      <alignment horizontal="center" vertical="center"/>
      <protection locked="0"/>
    </xf>
    <xf numFmtId="0" fontId="57" fillId="14" borderId="280" xfId="0" applyFont="1" applyFill="1" applyBorder="1" applyAlignment="1" applyProtection="1">
      <alignment horizontal="center" vertical="center"/>
      <protection locked="0"/>
    </xf>
    <xf numFmtId="168" fontId="0" fillId="14" borderId="280" xfId="0" applyNumberFormat="1" applyFill="1" applyBorder="1" applyAlignment="1" applyProtection="1">
      <alignment horizontal="center" vertical="center"/>
      <protection locked="0"/>
    </xf>
    <xf numFmtId="0" fontId="0" fillId="14" borderId="288" xfId="0" applyFill="1" applyBorder="1" applyAlignment="1" applyProtection="1">
      <alignment horizontal="center" vertical="center"/>
      <protection locked="0"/>
    </xf>
    <xf numFmtId="0" fontId="0" fillId="14" borderId="295" xfId="0" applyFill="1" applyBorder="1" applyAlignment="1" applyProtection="1">
      <alignment horizontal="center" vertical="center"/>
      <protection locked="0"/>
    </xf>
    <xf numFmtId="0" fontId="0" fillId="0" borderId="291" xfId="0" applyBorder="1" applyAlignment="1" applyProtection="1">
      <alignment horizontal="center" vertical="center"/>
      <protection locked="0"/>
    </xf>
    <xf numFmtId="0" fontId="57" fillId="0" borderId="288" xfId="0" applyFont="1" applyBorder="1" applyAlignment="1">
      <alignment horizontal="center" vertical="center"/>
    </xf>
    <xf numFmtId="0" fontId="57" fillId="0" borderId="295" xfId="0" applyFont="1" applyBorder="1" applyAlignment="1">
      <alignment horizontal="center" vertical="center"/>
    </xf>
    <xf numFmtId="0" fontId="57" fillId="0" borderId="291" xfId="0" applyFont="1" applyBorder="1" applyAlignment="1">
      <alignment horizontal="center" vertical="center"/>
    </xf>
    <xf numFmtId="0" fontId="0" fillId="0" borderId="280" xfId="0" applyBorder="1" applyAlignment="1" applyProtection="1">
      <alignment horizontal="center" vertical="center"/>
      <protection locked="0"/>
    </xf>
    <xf numFmtId="0" fontId="57" fillId="0" borderId="280" xfId="0" applyFont="1" applyBorder="1" applyAlignment="1" applyProtection="1">
      <alignment horizontal="center" vertical="center"/>
      <protection locked="0"/>
    </xf>
    <xf numFmtId="0" fontId="0" fillId="0" borderId="280" xfId="0" applyBorder="1" applyProtection="1">
      <protection locked="0"/>
    </xf>
    <xf numFmtId="0" fontId="31" fillId="0" borderId="432" xfId="0" applyFont="1" applyBorder="1" applyAlignment="1" applyProtection="1">
      <alignment horizontal="center" vertical="center"/>
      <protection locked="0"/>
    </xf>
    <xf numFmtId="0" fontId="31" fillId="0" borderId="433" xfId="0" applyFont="1" applyBorder="1" applyAlignment="1" applyProtection="1">
      <alignment horizontal="center" vertical="center"/>
      <protection locked="0"/>
    </xf>
    <xf numFmtId="0" fontId="31" fillId="0" borderId="434" xfId="0" applyFont="1" applyBorder="1" applyAlignment="1" applyProtection="1">
      <alignment horizontal="center" vertical="center"/>
      <protection locked="0"/>
    </xf>
    <xf numFmtId="0" fontId="31" fillId="0" borderId="435" xfId="0" applyFont="1" applyBorder="1" applyAlignment="1" applyProtection="1">
      <alignment horizontal="center" vertical="center"/>
      <protection locked="0"/>
    </xf>
    <xf numFmtId="0" fontId="31" fillId="0" borderId="436" xfId="0" applyFont="1" applyBorder="1" applyAlignment="1" applyProtection="1">
      <alignment horizontal="center" vertical="center"/>
      <protection locked="0"/>
    </xf>
    <xf numFmtId="0" fontId="31" fillId="0" borderId="300" xfId="0" applyFont="1" applyBorder="1" applyAlignment="1" applyProtection="1">
      <alignment vertical="center"/>
      <protection locked="0"/>
    </xf>
    <xf numFmtId="0" fontId="31" fillId="0" borderId="301" xfId="0" applyFont="1" applyBorder="1" applyAlignment="1" applyProtection="1">
      <alignment vertical="center"/>
      <protection locked="0"/>
    </xf>
    <xf numFmtId="0" fontId="31" fillId="0" borderId="302" xfId="0" applyFont="1" applyBorder="1" applyAlignment="1" applyProtection="1">
      <alignment vertical="center"/>
      <protection locked="0"/>
    </xf>
    <xf numFmtId="166" fontId="0" fillId="14" borderId="280" xfId="0" applyNumberFormat="1" applyFill="1" applyBorder="1" applyAlignment="1" applyProtection="1">
      <alignment horizontal="center" vertical="center"/>
      <protection locked="0"/>
    </xf>
    <xf numFmtId="166" fontId="42" fillId="0" borderId="347" xfId="0" applyNumberFormat="1" applyFont="1" applyBorder="1" applyAlignment="1">
      <alignment horizontal="centerContinuous" vertical="center"/>
    </xf>
    <xf numFmtId="166" fontId="42" fillId="0" borderId="348" xfId="0" applyNumberFormat="1" applyFont="1" applyBorder="1" applyAlignment="1">
      <alignment horizontal="centerContinuous" vertical="center"/>
    </xf>
    <xf numFmtId="166" fontId="42" fillId="0" borderId="349" xfId="0" applyNumberFormat="1" applyFont="1" applyBorder="1" applyAlignment="1">
      <alignment horizontal="centerContinuous" vertical="center"/>
    </xf>
    <xf numFmtId="166" fontId="42" fillId="0" borderId="350" xfId="0" applyNumberFormat="1" applyFont="1" applyBorder="1" applyAlignment="1">
      <alignment horizontal="centerContinuous" vertical="center"/>
    </xf>
    <xf numFmtId="166" fontId="31" fillId="0" borderId="215" xfId="0" applyNumberFormat="1" applyFont="1" applyBorder="1" applyAlignment="1">
      <alignment horizontal="centerContinuous" vertical="center"/>
    </xf>
    <xf numFmtId="166" fontId="31" fillId="0" borderId="272" xfId="0" applyNumberFormat="1" applyFont="1" applyBorder="1" applyAlignment="1">
      <alignment horizontal="centerContinuous" vertical="center"/>
    </xf>
    <xf numFmtId="166" fontId="31" fillId="0" borderId="170" xfId="0" applyNumberFormat="1" applyFont="1" applyBorder="1" applyAlignment="1">
      <alignment horizontal="centerContinuous" vertical="center"/>
    </xf>
    <xf numFmtId="166" fontId="31" fillId="0" borderId="251" xfId="0" applyNumberFormat="1" applyFont="1" applyBorder="1" applyAlignment="1">
      <alignment horizontal="centerContinuous" vertical="center"/>
    </xf>
    <xf numFmtId="166" fontId="31" fillId="0" borderId="173" xfId="0" applyNumberFormat="1" applyFont="1" applyBorder="1" applyAlignment="1">
      <alignment horizontal="centerContinuous" vertical="center"/>
    </xf>
    <xf numFmtId="166" fontId="31" fillId="0" borderId="274" xfId="0" applyNumberFormat="1" applyFont="1" applyBorder="1" applyAlignment="1">
      <alignment horizontal="centerContinuous" vertical="center"/>
    </xf>
    <xf numFmtId="166" fontId="31" fillId="0" borderId="171" xfId="0" applyNumberFormat="1" applyFont="1" applyBorder="1" applyAlignment="1">
      <alignment horizontal="centerContinuous" vertical="center"/>
    </xf>
    <xf numFmtId="166" fontId="31" fillId="0" borderId="337" xfId="0" applyNumberFormat="1" applyFont="1" applyBorder="1" applyAlignment="1">
      <alignment horizontal="centerContinuous" vertical="center"/>
    </xf>
    <xf numFmtId="166" fontId="31" fillId="0" borderId="192" xfId="0" applyNumberFormat="1" applyFont="1" applyBorder="1" applyAlignment="1">
      <alignment horizontal="centerContinuous" vertical="center"/>
    </xf>
    <xf numFmtId="166" fontId="31" fillId="0" borderId="178" xfId="0" applyNumberFormat="1" applyFont="1" applyBorder="1" applyAlignment="1">
      <alignment horizontal="centerContinuous" vertical="center"/>
    </xf>
    <xf numFmtId="166" fontId="31" fillId="0" borderId="189" xfId="0" applyNumberFormat="1" applyFont="1" applyBorder="1" applyAlignment="1">
      <alignment horizontal="centerContinuous" vertical="center"/>
    </xf>
    <xf numFmtId="166" fontId="31" fillId="0" borderId="347" xfId="0" applyNumberFormat="1" applyFont="1" applyBorder="1" applyAlignment="1">
      <alignment horizontal="centerContinuous" vertical="center"/>
    </xf>
    <xf numFmtId="166" fontId="31" fillId="0" borderId="348" xfId="0" applyNumberFormat="1" applyFont="1" applyBorder="1" applyAlignment="1">
      <alignment horizontal="centerContinuous" vertical="center"/>
    </xf>
    <xf numFmtId="166" fontId="31" fillId="0" borderId="349" xfId="0" applyNumberFormat="1" applyFont="1" applyBorder="1" applyAlignment="1">
      <alignment horizontal="centerContinuous" vertical="center"/>
    </xf>
    <xf numFmtId="166" fontId="31" fillId="0" borderId="350" xfId="0" applyNumberFormat="1" applyFont="1" applyBorder="1" applyAlignment="1">
      <alignment horizontal="centerContinuous" vertical="center"/>
    </xf>
    <xf numFmtId="166" fontId="31" fillId="0" borderId="262" xfId="0" applyNumberFormat="1" applyFont="1" applyBorder="1" applyAlignment="1">
      <alignment horizontal="centerContinuous" vertical="center"/>
    </xf>
    <xf numFmtId="166" fontId="0" fillId="14" borderId="291" xfId="0" applyNumberFormat="1" applyFill="1" applyBorder="1" applyAlignment="1" applyProtection="1">
      <alignment horizontal="center" vertical="center"/>
      <protection locked="0"/>
    </xf>
    <xf numFmtId="1" fontId="0" fillId="14" borderId="280" xfId="0" applyNumberFormat="1" applyFill="1" applyBorder="1" applyAlignment="1" applyProtection="1">
      <alignment horizontal="center" vertical="center"/>
      <protection locked="0"/>
    </xf>
    <xf numFmtId="1" fontId="57" fillId="14" borderId="280" xfId="0" applyNumberFormat="1" applyFont="1" applyFill="1" applyBorder="1" applyAlignment="1" applyProtection="1">
      <alignment horizontal="center" vertical="center"/>
      <protection locked="0"/>
    </xf>
    <xf numFmtId="166" fontId="31" fillId="0" borderId="356" xfId="0" applyNumberFormat="1" applyFont="1" applyBorder="1" applyAlignment="1">
      <alignment horizontal="center"/>
    </xf>
    <xf numFmtId="166" fontId="31" fillId="0" borderId="357" xfId="0" applyNumberFormat="1" applyFont="1" applyBorder="1" applyAlignment="1">
      <alignment horizontal="center"/>
    </xf>
    <xf numFmtId="0" fontId="0" fillId="0" borderId="271" xfId="0" applyBorder="1" applyProtection="1">
      <protection locked="0"/>
    </xf>
    <xf numFmtId="0" fontId="0" fillId="0" borderId="270" xfId="0" applyBorder="1" applyProtection="1">
      <protection locked="0"/>
    </xf>
    <xf numFmtId="0" fontId="0" fillId="0" borderId="452" xfId="0" applyBorder="1"/>
    <xf numFmtId="14" fontId="0" fillId="9" borderId="452" xfId="0" applyNumberFormat="1" applyFill="1" applyBorder="1"/>
    <xf numFmtId="1" fontId="6" fillId="0" borderId="324" xfId="0" applyNumberFormat="1" applyFont="1" applyBorder="1" applyAlignment="1" applyProtection="1">
      <alignment horizontal="center"/>
      <protection locked="0"/>
    </xf>
    <xf numFmtId="1" fontId="6" fillId="2" borderId="43" xfId="0" applyNumberFormat="1" applyFont="1" applyFill="1" applyBorder="1" applyAlignment="1" applyProtection="1">
      <alignment horizontal="center"/>
      <protection locked="0"/>
    </xf>
    <xf numFmtId="1" fontId="6" fillId="0" borderId="54" xfId="0" applyNumberFormat="1" applyFont="1" applyBorder="1" applyAlignment="1" applyProtection="1">
      <alignment horizontal="center"/>
      <protection locked="0"/>
    </xf>
    <xf numFmtId="1" fontId="6" fillId="2" borderId="0" xfId="0" applyNumberFormat="1" applyFont="1" applyFill="1" applyAlignment="1">
      <alignment horizontal="center"/>
    </xf>
    <xf numFmtId="1" fontId="6" fillId="2" borderId="453" xfId="0" applyNumberFormat="1" applyFont="1" applyFill="1" applyBorder="1" applyAlignment="1">
      <alignment horizontal="center"/>
    </xf>
    <xf numFmtId="1" fontId="6" fillId="2" borderId="454" xfId="0" applyNumberFormat="1" applyFont="1" applyFill="1" applyBorder="1" applyAlignment="1">
      <alignment horizontal="center"/>
    </xf>
    <xf numFmtId="0" fontId="12" fillId="3" borderId="0" xfId="0" applyFont="1" applyFill="1"/>
    <xf numFmtId="0" fontId="12" fillId="5" borderId="0" xfId="0" applyFont="1" applyFill="1"/>
    <xf numFmtId="0" fontId="19" fillId="2" borderId="0" xfId="0" applyFont="1" applyFill="1" applyAlignment="1">
      <alignment horizontal="center"/>
    </xf>
    <xf numFmtId="0" fontId="12" fillId="3" borderId="213" xfId="0" applyFont="1" applyFill="1" applyBorder="1"/>
    <xf numFmtId="0" fontId="8" fillId="3" borderId="0" xfId="0" applyFont="1" applyFill="1" applyAlignment="1">
      <alignment horizontal="center"/>
    </xf>
    <xf numFmtId="0" fontId="74" fillId="3" borderId="0" xfId="0" applyFont="1" applyFill="1" applyAlignment="1">
      <alignment horizontal="center"/>
    </xf>
    <xf numFmtId="14" fontId="19" fillId="0" borderId="213" xfId="0" applyNumberFormat="1" applyFont="1" applyBorder="1" applyAlignment="1">
      <alignment horizontal="center"/>
    </xf>
    <xf numFmtId="0" fontId="19" fillId="0" borderId="213" xfId="0" applyFont="1" applyBorder="1" applyAlignment="1">
      <alignment horizontal="center"/>
    </xf>
    <xf numFmtId="0" fontId="19" fillId="0" borderId="0" xfId="0" applyFont="1" applyAlignment="1">
      <alignment horizontal="center"/>
    </xf>
    <xf numFmtId="2" fontId="19" fillId="0" borderId="213" xfId="0" applyNumberFormat="1" applyFont="1" applyBorder="1" applyAlignment="1">
      <alignment horizontal="center"/>
    </xf>
    <xf numFmtId="0" fontId="19" fillId="3" borderId="213" xfId="0" applyFont="1" applyFill="1" applyBorder="1" applyAlignment="1">
      <alignment horizontal="center"/>
    </xf>
    <xf numFmtId="0" fontId="19" fillId="3" borderId="0" xfId="0" applyFont="1" applyFill="1" applyAlignment="1">
      <alignment horizontal="center"/>
    </xf>
    <xf numFmtId="0" fontId="19" fillId="2" borderId="213" xfId="0" applyFont="1" applyFill="1" applyBorder="1" applyAlignment="1">
      <alignment horizontal="center"/>
    </xf>
    <xf numFmtId="14" fontId="19" fillId="2" borderId="0" xfId="0" applyNumberFormat="1" applyFont="1" applyFill="1" applyAlignment="1">
      <alignment horizontal="center"/>
    </xf>
    <xf numFmtId="2" fontId="19" fillId="2" borderId="0" xfId="0" applyNumberFormat="1" applyFont="1" applyFill="1" applyAlignment="1">
      <alignment horizontal="center"/>
    </xf>
    <xf numFmtId="0" fontId="19" fillId="2" borderId="0" xfId="0" applyFont="1" applyFill="1" applyAlignment="1">
      <alignment horizontal="center"/>
    </xf>
    <xf numFmtId="0" fontId="6" fillId="4" borderId="166" xfId="0" applyFont="1" applyFill="1" applyBorder="1"/>
    <xf numFmtId="0" fontId="19" fillId="0" borderId="273" xfId="0" applyFont="1" applyBorder="1" applyAlignment="1">
      <alignment horizontal="center"/>
    </xf>
    <xf numFmtId="0" fontId="19" fillId="0" borderId="166" xfId="0" applyFont="1" applyBorder="1" applyAlignment="1">
      <alignment horizontal="center"/>
    </xf>
    <xf numFmtId="0" fontId="19" fillId="0" borderId="274" xfId="0" applyFont="1" applyBorder="1" applyAlignment="1">
      <alignment horizontal="center"/>
    </xf>
    <xf numFmtId="0" fontId="6" fillId="4" borderId="0" xfId="0" applyFont="1" applyFill="1" applyAlignment="1">
      <alignment horizontal="center"/>
    </xf>
    <xf numFmtId="0" fontId="6" fillId="4" borderId="405" xfId="0" applyFont="1" applyFill="1" applyBorder="1"/>
    <xf numFmtId="2" fontId="6" fillId="0" borderId="166" xfId="0" applyNumberFormat="1" applyFont="1" applyBorder="1" applyAlignment="1">
      <alignment horizontal="center"/>
    </xf>
    <xf numFmtId="0" fontId="6" fillId="4" borderId="405" xfId="0" applyFont="1" applyFill="1" applyBorder="1" applyAlignment="1">
      <alignment horizontal="center"/>
    </xf>
    <xf numFmtId="0" fontId="19" fillId="0" borderId="405" xfId="0" applyFont="1" applyBorder="1" applyAlignment="1">
      <alignment horizontal="center"/>
    </xf>
    <xf numFmtId="9" fontId="19" fillId="0" borderId="213" xfId="0" applyNumberFormat="1" applyFont="1" applyBorder="1" applyAlignment="1">
      <alignment horizontal="center"/>
    </xf>
    <xf numFmtId="2" fontId="6" fillId="4" borderId="405" xfId="0" applyNumberFormat="1" applyFont="1" applyFill="1" applyBorder="1"/>
    <xf numFmtId="0" fontId="6" fillId="4" borderId="2" xfId="0" applyFont="1" applyFill="1" applyBorder="1" applyAlignment="1" applyProtection="1">
      <alignment horizontal="center"/>
      <protection locked="0"/>
    </xf>
    <xf numFmtId="0" fontId="6" fillId="4" borderId="7" xfId="0" applyFont="1" applyFill="1" applyBorder="1" applyAlignment="1" applyProtection="1">
      <alignment horizontal="center"/>
      <protection locked="0"/>
    </xf>
    <xf numFmtId="0" fontId="6" fillId="4" borderId="6" xfId="0" applyFont="1" applyFill="1" applyBorder="1" applyAlignment="1" applyProtection="1">
      <alignment horizontal="center"/>
      <protection locked="0"/>
    </xf>
    <xf numFmtId="0" fontId="6" fillId="0" borderId="0" xfId="0" applyFont="1" applyAlignment="1" applyProtection="1">
      <alignment horizontal="left"/>
      <protection locked="0"/>
    </xf>
    <xf numFmtId="0" fontId="6" fillId="0" borderId="17" xfId="0" applyFont="1" applyBorder="1" applyAlignment="1" applyProtection="1">
      <alignment horizontal="left"/>
      <protection locked="0"/>
    </xf>
    <xf numFmtId="0" fontId="6" fillId="0" borderId="1" xfId="0" applyFont="1" applyBorder="1" applyAlignment="1" applyProtection="1">
      <alignment horizontal="left"/>
      <protection locked="0"/>
    </xf>
    <xf numFmtId="0" fontId="6" fillId="0" borderId="2" xfId="0" applyFont="1" applyBorder="1" applyAlignment="1" applyProtection="1">
      <alignment horizontal="left"/>
      <protection locked="0"/>
    </xf>
    <xf numFmtId="0" fontId="53" fillId="0" borderId="3" xfId="1" applyFont="1" applyFill="1" applyBorder="1" applyAlignment="1" applyProtection="1">
      <alignment horizontal="left"/>
      <protection locked="0"/>
    </xf>
    <xf numFmtId="0" fontId="19" fillId="0" borderId="0" xfId="1" applyFont="1" applyFill="1" applyBorder="1" applyAlignment="1" applyProtection="1">
      <alignment horizontal="left"/>
      <protection locked="0"/>
    </xf>
    <xf numFmtId="0" fontId="6" fillId="0" borderId="2" xfId="0" applyFont="1" applyBorder="1" applyAlignment="1" applyProtection="1">
      <alignment horizontal="center"/>
      <protection locked="0"/>
    </xf>
    <xf numFmtId="0" fontId="6" fillId="0" borderId="7" xfId="0" applyFont="1" applyBorder="1" applyAlignment="1" applyProtection="1">
      <alignment horizontal="center"/>
      <protection locked="0"/>
    </xf>
    <xf numFmtId="0" fontId="6" fillId="0" borderId="6" xfId="0" applyFont="1" applyBorder="1" applyAlignment="1" applyProtection="1">
      <alignment horizontal="center"/>
      <protection locked="0"/>
    </xf>
    <xf numFmtId="0" fontId="6" fillId="4" borderId="1" xfId="0" applyFont="1" applyFill="1" applyBorder="1" applyAlignment="1" applyProtection="1">
      <alignment horizontal="left"/>
      <protection locked="0"/>
    </xf>
    <xf numFmtId="0" fontId="6" fillId="4" borderId="2" xfId="0" applyFont="1" applyFill="1" applyBorder="1" applyAlignment="1" applyProtection="1">
      <alignment horizontal="left"/>
      <protection locked="0"/>
    </xf>
    <xf numFmtId="0" fontId="6" fillId="4" borderId="3" xfId="0" applyFont="1" applyFill="1" applyBorder="1" applyAlignment="1" applyProtection="1">
      <alignment horizontal="left"/>
      <protection locked="0"/>
    </xf>
    <xf numFmtId="0" fontId="6" fillId="4" borderId="1" xfId="0" applyFont="1" applyFill="1" applyBorder="1" applyAlignment="1" applyProtection="1">
      <alignment horizontal="center"/>
      <protection locked="0"/>
    </xf>
    <xf numFmtId="0" fontId="6" fillId="4" borderId="5" xfId="0" applyFont="1" applyFill="1" applyBorder="1" applyAlignment="1" applyProtection="1">
      <alignment horizontal="center"/>
      <protection locked="0"/>
    </xf>
    <xf numFmtId="0" fontId="6" fillId="4" borderId="21" xfId="0" applyFont="1" applyFill="1" applyBorder="1" applyAlignment="1" applyProtection="1">
      <alignment horizontal="left"/>
      <protection locked="0"/>
    </xf>
    <xf numFmtId="0" fontId="6" fillId="4" borderId="4" xfId="0" applyFont="1" applyFill="1" applyBorder="1" applyAlignment="1" applyProtection="1">
      <alignment horizontal="center"/>
      <protection locked="0"/>
    </xf>
    <xf numFmtId="0" fontId="6" fillId="0" borderId="3" xfId="0" applyFont="1" applyBorder="1" applyAlignment="1" applyProtection="1">
      <alignment horizontal="center"/>
      <protection locked="0"/>
    </xf>
    <xf numFmtId="0" fontId="6" fillId="0" borderId="9" xfId="0" applyFont="1" applyBorder="1" applyAlignment="1" applyProtection="1">
      <alignment horizontal="center"/>
      <protection locked="0"/>
    </xf>
    <xf numFmtId="0" fontId="6" fillId="0" borderId="8" xfId="0" applyFont="1" applyBorder="1" applyAlignment="1" applyProtection="1">
      <alignment horizontal="center"/>
      <protection locked="0"/>
    </xf>
    <xf numFmtId="0" fontId="6" fillId="0" borderId="14" xfId="0" applyFont="1" applyBorder="1" applyAlignment="1" applyProtection="1">
      <alignment horizontal="center"/>
      <protection locked="0"/>
    </xf>
    <xf numFmtId="0" fontId="6" fillId="0" borderId="401" xfId="0" applyFont="1" applyBorder="1" applyAlignment="1" applyProtection="1">
      <alignment horizontal="center"/>
      <protection locked="0"/>
    </xf>
    <xf numFmtId="0" fontId="6" fillId="0" borderId="37" xfId="0" applyFont="1" applyBorder="1" applyAlignment="1" applyProtection="1">
      <alignment horizontal="center"/>
      <protection locked="0"/>
    </xf>
    <xf numFmtId="0" fontId="6" fillId="4" borderId="16" xfId="0" applyFont="1" applyFill="1" applyBorder="1" applyAlignment="1" applyProtection="1">
      <alignment horizontal="center"/>
      <protection locked="0"/>
    </xf>
    <xf numFmtId="0" fontId="6" fillId="4" borderId="15" xfId="0" applyFont="1" applyFill="1" applyBorder="1" applyAlignment="1" applyProtection="1">
      <alignment horizontal="center"/>
      <protection locked="0"/>
    </xf>
    <xf numFmtId="0" fontId="6" fillId="4" borderId="408" xfId="0" applyFont="1" applyFill="1" applyBorder="1" applyAlignment="1" applyProtection="1">
      <alignment horizontal="center"/>
      <protection locked="0"/>
    </xf>
    <xf numFmtId="0" fontId="6" fillId="4" borderId="14" xfId="0" applyFont="1" applyFill="1" applyBorder="1" applyAlignment="1" applyProtection="1">
      <alignment horizontal="right"/>
      <protection locked="0"/>
    </xf>
    <xf numFmtId="0" fontId="6" fillId="4" borderId="34" xfId="0" applyFont="1" applyFill="1" applyBorder="1" applyAlignment="1" applyProtection="1">
      <alignment horizontal="right"/>
      <protection locked="0"/>
    </xf>
    <xf numFmtId="0" fontId="11" fillId="3" borderId="0" xfId="0" applyFont="1" applyFill="1" applyAlignment="1">
      <alignment horizontal="center"/>
    </xf>
    <xf numFmtId="165" fontId="6" fillId="4" borderId="1" xfId="0" applyNumberFormat="1" applyFont="1" applyFill="1" applyBorder="1" applyAlignment="1" applyProtection="1">
      <alignment horizontal="center"/>
      <protection locked="0"/>
    </xf>
    <xf numFmtId="0" fontId="13" fillId="2" borderId="0" xfId="0" applyFont="1" applyFill="1" applyAlignment="1">
      <alignment horizontal="center"/>
    </xf>
    <xf numFmtId="165" fontId="6" fillId="4" borderId="3" xfId="0" applyNumberFormat="1" applyFont="1" applyFill="1" applyBorder="1" applyAlignment="1" applyProtection="1">
      <alignment horizontal="center"/>
      <protection locked="0"/>
    </xf>
    <xf numFmtId="0" fontId="6" fillId="4" borderId="20" xfId="0" applyFont="1" applyFill="1" applyBorder="1" applyAlignment="1" applyProtection="1">
      <alignment horizontal="left"/>
      <protection locked="0"/>
    </xf>
    <xf numFmtId="49" fontId="6" fillId="4" borderId="6" xfId="0" applyNumberFormat="1" applyFont="1" applyFill="1" applyBorder="1" applyAlignment="1" applyProtection="1">
      <alignment horizontal="center"/>
      <protection locked="0"/>
    </xf>
    <xf numFmtId="49" fontId="6" fillId="4" borderId="2" xfId="0" applyNumberFormat="1" applyFont="1" applyFill="1" applyBorder="1" applyAlignment="1" applyProtection="1">
      <alignment horizontal="center"/>
      <protection locked="0"/>
    </xf>
    <xf numFmtId="49" fontId="6" fillId="4" borderId="7" xfId="0" applyNumberFormat="1" applyFont="1" applyFill="1" applyBorder="1" applyAlignment="1" applyProtection="1">
      <alignment horizontal="center"/>
      <protection locked="0"/>
    </xf>
    <xf numFmtId="49" fontId="6" fillId="4" borderId="4" xfId="0" applyNumberFormat="1" applyFont="1" applyFill="1" applyBorder="1" applyAlignment="1" applyProtection="1">
      <alignment horizontal="center"/>
      <protection locked="0"/>
    </xf>
    <xf numFmtId="49" fontId="6" fillId="4" borderId="1" xfId="0" applyNumberFormat="1" applyFont="1" applyFill="1" applyBorder="1" applyAlignment="1" applyProtection="1">
      <alignment horizontal="center"/>
      <protection locked="0"/>
    </xf>
    <xf numFmtId="49" fontId="6" fillId="4" borderId="5" xfId="0" applyNumberFormat="1" applyFont="1" applyFill="1" applyBorder="1" applyAlignment="1" applyProtection="1">
      <alignment horizontal="center"/>
      <protection locked="0"/>
    </xf>
    <xf numFmtId="49" fontId="6" fillId="4" borderId="100" xfId="0" applyNumberFormat="1" applyFont="1" applyFill="1" applyBorder="1" applyAlignment="1" applyProtection="1">
      <alignment horizontal="left"/>
      <protection locked="0"/>
    </xf>
    <xf numFmtId="49" fontId="6" fillId="4" borderId="411" xfId="0" applyNumberFormat="1" applyFont="1" applyFill="1" applyBorder="1" applyAlignment="1" applyProtection="1">
      <alignment horizontal="left"/>
      <protection locked="0"/>
    </xf>
    <xf numFmtId="49" fontId="6" fillId="4" borderId="90" xfId="0" applyNumberFormat="1" applyFont="1" applyFill="1" applyBorder="1" applyAlignment="1" applyProtection="1">
      <alignment horizontal="left"/>
      <protection locked="0"/>
    </xf>
    <xf numFmtId="49" fontId="6" fillId="4" borderId="412" xfId="0" applyNumberFormat="1" applyFont="1" applyFill="1" applyBorder="1" applyAlignment="1" applyProtection="1">
      <alignment horizontal="left"/>
      <protection locked="0"/>
    </xf>
    <xf numFmtId="49" fontId="6" fillId="4" borderId="94" xfId="0" applyNumberFormat="1" applyFont="1" applyFill="1" applyBorder="1" applyAlignment="1" applyProtection="1">
      <alignment horizontal="left"/>
      <protection locked="0"/>
    </xf>
    <xf numFmtId="49" fontId="6" fillId="4" borderId="413" xfId="0" applyNumberFormat="1" applyFont="1" applyFill="1" applyBorder="1" applyAlignment="1" applyProtection="1">
      <alignment horizontal="left"/>
      <protection locked="0"/>
    </xf>
    <xf numFmtId="49" fontId="6" fillId="4" borderId="414" xfId="0" applyNumberFormat="1" applyFont="1" applyFill="1" applyBorder="1" applyAlignment="1" applyProtection="1">
      <alignment horizontal="left"/>
      <protection locked="0"/>
    </xf>
    <xf numFmtId="49" fontId="6" fillId="4" borderId="415" xfId="0" applyNumberFormat="1" applyFont="1" applyFill="1" applyBorder="1" applyAlignment="1" applyProtection="1">
      <alignment horizontal="left"/>
      <protection locked="0"/>
    </xf>
    <xf numFmtId="0" fontId="13" fillId="2" borderId="10" xfId="0" applyFont="1" applyFill="1" applyBorder="1" applyAlignment="1">
      <alignment horizontal="center"/>
    </xf>
    <xf numFmtId="0" fontId="6" fillId="4" borderId="14" xfId="0" applyFont="1" applyFill="1" applyBorder="1" applyAlignment="1" applyProtection="1">
      <alignment horizontal="center"/>
      <protection locked="0"/>
    </xf>
    <xf numFmtId="0" fontId="6" fillId="4" borderId="37" xfId="0"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0" fontId="6" fillId="4" borderId="40"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9" xfId="0" applyFont="1" applyFill="1" applyBorder="1" applyAlignment="1" applyProtection="1">
      <alignment horizontal="center"/>
      <protection locked="0"/>
    </xf>
    <xf numFmtId="49" fontId="6" fillId="4" borderId="102" xfId="0" applyNumberFormat="1" applyFont="1" applyFill="1" applyBorder="1" applyAlignment="1" applyProtection="1">
      <alignment horizontal="left"/>
      <protection locked="0"/>
    </xf>
    <xf numFmtId="49" fontId="6" fillId="4" borderId="92" xfId="0" applyNumberFormat="1" applyFont="1" applyFill="1" applyBorder="1" applyAlignment="1" applyProtection="1">
      <alignment horizontal="left"/>
      <protection locked="0"/>
    </xf>
    <xf numFmtId="49" fontId="6" fillId="4" borderId="98" xfId="0" applyNumberFormat="1" applyFont="1" applyFill="1" applyBorder="1" applyAlignment="1" applyProtection="1">
      <alignment horizontal="left"/>
      <protection locked="0"/>
    </xf>
    <xf numFmtId="49" fontId="6" fillId="4" borderId="418" xfId="0" applyNumberFormat="1" applyFont="1" applyFill="1" applyBorder="1" applyAlignment="1" applyProtection="1">
      <alignment horizontal="left"/>
      <protection locked="0"/>
    </xf>
    <xf numFmtId="49" fontId="6" fillId="4" borderId="88" xfId="0" applyNumberFormat="1" applyFont="1" applyFill="1" applyBorder="1" applyAlignment="1" applyProtection="1">
      <alignment horizontal="left"/>
      <protection locked="0"/>
    </xf>
    <xf numFmtId="49" fontId="6" fillId="4" borderId="416" xfId="0" applyNumberFormat="1" applyFont="1" applyFill="1" applyBorder="1" applyAlignment="1" applyProtection="1">
      <alignment horizontal="left"/>
      <protection locked="0"/>
    </xf>
    <xf numFmtId="0" fontId="6" fillId="4" borderId="22" xfId="0" applyFont="1" applyFill="1" applyBorder="1" applyAlignment="1" applyProtection="1">
      <alignment horizontal="left"/>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8" xfId="0" applyFont="1" applyFill="1" applyBorder="1" applyAlignment="1" applyProtection="1">
      <alignment horizontal="center"/>
      <protection locked="0"/>
    </xf>
    <xf numFmtId="0" fontId="6" fillId="2" borderId="3" xfId="0" applyFont="1" applyFill="1" applyBorder="1" applyAlignment="1" applyProtection="1">
      <alignment horizontal="left"/>
      <protection locked="0"/>
    </xf>
    <xf numFmtId="49" fontId="6" fillId="4" borderId="86" xfId="0" applyNumberFormat="1" applyFont="1" applyFill="1" applyBorder="1" applyAlignment="1" applyProtection="1">
      <alignment horizontal="left"/>
      <protection locked="0"/>
    </xf>
    <xf numFmtId="49" fontId="6" fillId="4" borderId="409" xfId="0" applyNumberFormat="1" applyFont="1" applyFill="1" applyBorder="1" applyAlignment="1" applyProtection="1">
      <alignment horizontal="left"/>
      <protection locked="0"/>
    </xf>
    <xf numFmtId="49" fontId="6" fillId="4" borderId="410" xfId="0" applyNumberFormat="1" applyFont="1" applyFill="1" applyBorder="1" applyAlignment="1" applyProtection="1">
      <alignment horizontal="left"/>
      <protection locked="0"/>
    </xf>
    <xf numFmtId="49" fontId="6" fillId="4" borderId="417" xfId="0" applyNumberFormat="1" applyFont="1" applyFill="1" applyBorder="1" applyAlignment="1" applyProtection="1">
      <alignment horizontal="left"/>
      <protection locked="0"/>
    </xf>
    <xf numFmtId="49" fontId="6" fillId="4" borderId="69" xfId="0" quotePrefix="1" applyNumberFormat="1" applyFont="1" applyFill="1" applyBorder="1" applyAlignment="1" applyProtection="1">
      <alignment horizontal="left"/>
      <protection locked="0"/>
    </xf>
    <xf numFmtId="49" fontId="6" fillId="4" borderId="42" xfId="0" applyNumberFormat="1" applyFont="1" applyFill="1" applyBorder="1" applyAlignment="1" applyProtection="1">
      <alignment horizontal="left"/>
      <protection locked="0"/>
    </xf>
    <xf numFmtId="49" fontId="6" fillId="4" borderId="52" xfId="0" applyNumberFormat="1" applyFont="1" applyFill="1" applyBorder="1" applyAlignment="1" applyProtection="1">
      <alignment horizontal="left"/>
      <protection locked="0"/>
    </xf>
    <xf numFmtId="49" fontId="6" fillId="4" borderId="43" xfId="0" applyNumberFormat="1" applyFont="1" applyFill="1" applyBorder="1" applyAlignment="1" applyProtection="1">
      <alignment horizontal="left"/>
      <protection locked="0"/>
    </xf>
    <xf numFmtId="0" fontId="6" fillId="2" borderId="0" xfId="0" applyFont="1" applyFill="1" applyAlignment="1">
      <alignment horizontal="center"/>
    </xf>
    <xf numFmtId="0" fontId="17" fillId="2" borderId="0" xfId="0" applyFont="1" applyFill="1" applyAlignment="1">
      <alignment horizontal="center"/>
    </xf>
    <xf numFmtId="168" fontId="6" fillId="4" borderId="48" xfId="0" applyNumberFormat="1" applyFont="1" applyFill="1" applyBorder="1" applyAlignment="1" applyProtection="1">
      <alignment horizontal="left"/>
      <protection locked="0"/>
    </xf>
    <xf numFmtId="168" fontId="6" fillId="4" borderId="49" xfId="0" applyNumberFormat="1" applyFont="1" applyFill="1" applyBorder="1" applyAlignment="1" applyProtection="1">
      <alignment horizontal="left"/>
      <protection locked="0"/>
    </xf>
    <xf numFmtId="1" fontId="6" fillId="4" borderId="45" xfId="0" applyNumberFormat="1" applyFont="1" applyFill="1" applyBorder="1" applyAlignment="1" applyProtection="1">
      <alignment horizontal="left"/>
      <protection locked="0"/>
    </xf>
    <xf numFmtId="1" fontId="6" fillId="4" borderId="46" xfId="0" applyNumberFormat="1" applyFont="1" applyFill="1" applyBorder="1" applyAlignment="1" applyProtection="1">
      <alignment horizontal="left"/>
      <protection locked="0"/>
    </xf>
    <xf numFmtId="1" fontId="6" fillId="4" borderId="48" xfId="0" applyNumberFormat="1" applyFont="1" applyFill="1" applyBorder="1" applyAlignment="1" applyProtection="1">
      <alignment horizontal="left"/>
      <protection locked="0"/>
    </xf>
    <xf numFmtId="1" fontId="6" fillId="4" borderId="49" xfId="0" applyNumberFormat="1" applyFont="1" applyFill="1" applyBorder="1" applyAlignment="1" applyProtection="1">
      <alignment horizontal="left"/>
      <protection locked="0"/>
    </xf>
    <xf numFmtId="0" fontId="6" fillId="0" borderId="45" xfId="0" applyFont="1" applyBorder="1" applyAlignment="1" applyProtection="1">
      <alignment horizontal="left"/>
      <protection locked="0"/>
    </xf>
    <xf numFmtId="0" fontId="6" fillId="0" borderId="46" xfId="0" applyFont="1" applyBorder="1" applyAlignment="1" applyProtection="1">
      <alignment horizontal="left"/>
      <protection locked="0"/>
    </xf>
    <xf numFmtId="0" fontId="6" fillId="0" borderId="48" xfId="0" applyFont="1" applyBorder="1" applyAlignment="1" applyProtection="1">
      <alignment horizontal="left"/>
      <protection locked="0"/>
    </xf>
    <xf numFmtId="0" fontId="6" fillId="0" borderId="49" xfId="0" applyFont="1" applyBorder="1" applyAlignment="1" applyProtection="1">
      <alignment horizontal="left"/>
      <protection locked="0"/>
    </xf>
    <xf numFmtId="0" fontId="6" fillId="0" borderId="56" xfId="0" applyFont="1" applyBorder="1" applyAlignment="1" applyProtection="1">
      <alignment horizontal="left"/>
      <protection locked="0"/>
    </xf>
    <xf numFmtId="0" fontId="6" fillId="0" borderId="57" xfId="0" applyFont="1" applyBorder="1" applyAlignment="1" applyProtection="1">
      <alignment horizontal="left"/>
      <protection locked="0"/>
    </xf>
    <xf numFmtId="0" fontId="6" fillId="4" borderId="70" xfId="0" applyFont="1" applyFill="1" applyBorder="1" applyAlignment="1" applyProtection="1">
      <alignment horizontal="left"/>
      <protection locked="0"/>
    </xf>
    <xf numFmtId="0" fontId="6" fillId="4" borderId="44" xfId="0" applyFont="1" applyFill="1" applyBorder="1" applyAlignment="1" applyProtection="1">
      <alignment horizontal="left"/>
      <protection locked="0"/>
    </xf>
    <xf numFmtId="0" fontId="6" fillId="4" borderId="71" xfId="0" applyFont="1" applyFill="1" applyBorder="1" applyAlignment="1" applyProtection="1">
      <alignment horizontal="left"/>
      <protection locked="0"/>
    </xf>
    <xf numFmtId="0" fontId="6" fillId="4" borderId="45" xfId="0" applyFont="1" applyFill="1" applyBorder="1" applyAlignment="1" applyProtection="1">
      <alignment horizontal="left"/>
      <protection locked="0"/>
    </xf>
    <xf numFmtId="0" fontId="6" fillId="4" borderId="42" xfId="0" applyFont="1" applyFill="1" applyBorder="1" applyAlignment="1" applyProtection="1">
      <alignment horizontal="left"/>
      <protection locked="0"/>
    </xf>
    <xf numFmtId="0" fontId="6" fillId="4" borderId="46" xfId="0" applyFont="1" applyFill="1" applyBorder="1" applyAlignment="1" applyProtection="1">
      <alignment horizontal="left"/>
      <protection locked="0"/>
    </xf>
    <xf numFmtId="0" fontId="6" fillId="4" borderId="48" xfId="0" applyFont="1" applyFill="1" applyBorder="1" applyAlignment="1" applyProtection="1">
      <alignment horizontal="left"/>
      <protection locked="0"/>
    </xf>
    <xf numFmtId="0" fontId="6" fillId="4" borderId="43" xfId="0" applyFont="1" applyFill="1" applyBorder="1" applyAlignment="1" applyProtection="1">
      <alignment horizontal="left"/>
      <protection locked="0"/>
    </xf>
    <xf numFmtId="0" fontId="6" fillId="4" borderId="49" xfId="0" applyFont="1" applyFill="1" applyBorder="1" applyAlignment="1" applyProtection="1">
      <alignment horizontal="left"/>
      <protection locked="0"/>
    </xf>
    <xf numFmtId="166" fontId="6" fillId="4" borderId="45" xfId="0" applyNumberFormat="1" applyFont="1" applyFill="1" applyBorder="1" applyAlignment="1" applyProtection="1">
      <alignment horizontal="left"/>
      <protection locked="0"/>
    </xf>
    <xf numFmtId="166" fontId="6" fillId="4" borderId="42" xfId="0" applyNumberFormat="1" applyFont="1" applyFill="1" applyBorder="1" applyAlignment="1" applyProtection="1">
      <alignment horizontal="left"/>
      <protection locked="0"/>
    </xf>
    <xf numFmtId="166" fontId="6" fillId="4" borderId="48" xfId="0" applyNumberFormat="1" applyFont="1" applyFill="1" applyBorder="1" applyAlignment="1" applyProtection="1">
      <alignment horizontal="left"/>
      <protection locked="0"/>
    </xf>
    <xf numFmtId="166" fontId="6" fillId="4" borderId="43" xfId="0" applyNumberFormat="1" applyFont="1" applyFill="1" applyBorder="1" applyAlignment="1" applyProtection="1">
      <alignment horizontal="left"/>
      <protection locked="0"/>
    </xf>
    <xf numFmtId="166" fontId="6" fillId="4" borderId="56" xfId="0" applyNumberFormat="1" applyFont="1" applyFill="1" applyBorder="1" applyAlignment="1" applyProtection="1">
      <alignment horizontal="left"/>
      <protection locked="0"/>
    </xf>
    <xf numFmtId="166" fontId="6" fillId="4" borderId="54" xfId="0" applyNumberFormat="1" applyFont="1" applyFill="1" applyBorder="1" applyAlignment="1" applyProtection="1">
      <alignment horizontal="left"/>
      <protection locked="0"/>
    </xf>
    <xf numFmtId="49" fontId="6" fillId="0" borderId="0" xfId="0" applyNumberFormat="1" applyFont="1" applyAlignment="1" applyProtection="1">
      <alignment horizontal="left"/>
      <protection locked="0"/>
    </xf>
    <xf numFmtId="0" fontId="19" fillId="2" borderId="0" xfId="0" applyFont="1" applyFill="1" applyAlignment="1">
      <alignment horizontal="center"/>
    </xf>
    <xf numFmtId="0" fontId="6" fillId="2" borderId="43" xfId="0" applyFont="1" applyFill="1" applyBorder="1" applyAlignment="1">
      <alignment horizontal="center"/>
    </xf>
    <xf numFmtId="0" fontId="6" fillId="2" borderId="49" xfId="0" applyFont="1" applyFill="1" applyBorder="1" applyAlignment="1">
      <alignment horizontal="center"/>
    </xf>
    <xf numFmtId="0" fontId="6" fillId="2" borderId="54" xfId="0" applyFont="1" applyFill="1" applyBorder="1" applyAlignment="1">
      <alignment horizontal="center"/>
    </xf>
    <xf numFmtId="0" fontId="6" fillId="2" borderId="57" xfId="0" applyFont="1" applyFill="1" applyBorder="1" applyAlignment="1">
      <alignment horizontal="center"/>
    </xf>
    <xf numFmtId="0" fontId="6" fillId="2" borderId="42" xfId="0" applyFont="1" applyFill="1" applyBorder="1" applyAlignment="1">
      <alignment horizontal="center"/>
    </xf>
    <xf numFmtId="0" fontId="6" fillId="2" borderId="46" xfId="0" applyFont="1" applyFill="1" applyBorder="1" applyAlignment="1">
      <alignment horizontal="center"/>
    </xf>
    <xf numFmtId="0" fontId="6" fillId="4" borderId="56" xfId="0" applyFont="1" applyFill="1" applyBorder="1" applyAlignment="1" applyProtection="1">
      <alignment horizontal="left"/>
      <protection locked="0"/>
    </xf>
    <xf numFmtId="0" fontId="6" fillId="4" borderId="54" xfId="0" applyFont="1" applyFill="1" applyBorder="1" applyAlignment="1" applyProtection="1">
      <alignment horizontal="left"/>
      <protection locked="0"/>
    </xf>
    <xf numFmtId="0" fontId="6" fillId="4" borderId="57" xfId="0" applyFont="1" applyFill="1" applyBorder="1" applyAlignment="1" applyProtection="1">
      <alignment horizontal="left"/>
      <protection locked="0"/>
    </xf>
    <xf numFmtId="0" fontId="6" fillId="4" borderId="48" xfId="0" applyFont="1" applyFill="1" applyBorder="1" applyProtection="1">
      <protection locked="0"/>
    </xf>
    <xf numFmtId="0" fontId="6" fillId="4" borderId="49" xfId="0" applyFont="1" applyFill="1" applyBorder="1" applyProtection="1">
      <protection locked="0"/>
    </xf>
    <xf numFmtId="0" fontId="6" fillId="4" borderId="56" xfId="0" applyFont="1" applyFill="1" applyBorder="1" applyProtection="1">
      <protection locked="0"/>
    </xf>
    <xf numFmtId="0" fontId="6" fillId="4" borderId="57" xfId="0" applyFont="1" applyFill="1" applyBorder="1" applyProtection="1">
      <protection locked="0"/>
    </xf>
    <xf numFmtId="0" fontId="6" fillId="4" borderId="45" xfId="0" applyFont="1" applyFill="1" applyBorder="1" applyProtection="1">
      <protection locked="0"/>
    </xf>
    <xf numFmtId="0" fontId="6" fillId="4" borderId="46" xfId="0" applyFont="1" applyFill="1" applyBorder="1" applyProtection="1">
      <protection locked="0"/>
    </xf>
    <xf numFmtId="0" fontId="6" fillId="4" borderId="70" xfId="0" applyFont="1" applyFill="1" applyBorder="1" applyProtection="1">
      <protection locked="0"/>
    </xf>
    <xf numFmtId="0" fontId="6" fillId="4" borderId="71" xfId="0" applyFont="1" applyFill="1" applyBorder="1" applyProtection="1">
      <protection locked="0"/>
    </xf>
    <xf numFmtId="0" fontId="6" fillId="4" borderId="48" xfId="0" applyFont="1" applyFill="1" applyBorder="1" applyAlignment="1" applyProtection="1">
      <alignment horizontal="left" wrapText="1"/>
      <protection locked="0"/>
    </xf>
    <xf numFmtId="168" fontId="6" fillId="4" borderId="45" xfId="0" applyNumberFormat="1" applyFont="1" applyFill="1" applyBorder="1" applyAlignment="1" applyProtection="1">
      <alignment horizontal="left"/>
      <protection locked="0"/>
    </xf>
    <xf numFmtId="168" fontId="6" fillId="4" borderId="46" xfId="0" applyNumberFormat="1" applyFont="1" applyFill="1" applyBorder="1" applyAlignment="1" applyProtection="1">
      <alignment horizontal="left"/>
      <protection locked="0"/>
    </xf>
    <xf numFmtId="168" fontId="6" fillId="4" borderId="70" xfId="0" applyNumberFormat="1" applyFont="1" applyFill="1" applyBorder="1" applyAlignment="1" applyProtection="1">
      <alignment horizontal="left"/>
      <protection locked="0"/>
    </xf>
    <xf numFmtId="168" fontId="6" fillId="4" borderId="71" xfId="0" applyNumberFormat="1" applyFont="1" applyFill="1" applyBorder="1" applyAlignment="1" applyProtection="1">
      <alignment horizontal="left"/>
      <protection locked="0"/>
    </xf>
    <xf numFmtId="168" fontId="6" fillId="4" borderId="56" xfId="0" applyNumberFormat="1" applyFont="1" applyFill="1" applyBorder="1" applyAlignment="1" applyProtection="1">
      <alignment horizontal="left"/>
      <protection locked="0"/>
    </xf>
    <xf numFmtId="168" fontId="6" fillId="4" borderId="57" xfId="0" applyNumberFormat="1" applyFont="1" applyFill="1" applyBorder="1" applyAlignment="1" applyProtection="1">
      <alignment horizontal="left"/>
      <protection locked="0"/>
    </xf>
    <xf numFmtId="49" fontId="6" fillId="4" borderId="45" xfId="0" applyNumberFormat="1" applyFont="1" applyFill="1" applyBorder="1" applyAlignment="1" applyProtection="1">
      <alignment horizontal="left"/>
      <protection locked="0"/>
    </xf>
    <xf numFmtId="49" fontId="6" fillId="4" borderId="46" xfId="0" applyNumberFormat="1" applyFont="1" applyFill="1" applyBorder="1" applyAlignment="1" applyProtection="1">
      <alignment horizontal="left"/>
      <protection locked="0"/>
    </xf>
    <xf numFmtId="49" fontId="6" fillId="4" borderId="48" xfId="0" applyNumberFormat="1" applyFont="1" applyFill="1" applyBorder="1" applyAlignment="1" applyProtection="1">
      <alignment horizontal="left"/>
      <protection locked="0"/>
    </xf>
    <xf numFmtId="49" fontId="6" fillId="4" borderId="49" xfId="0" applyNumberFormat="1" applyFont="1" applyFill="1" applyBorder="1" applyAlignment="1" applyProtection="1">
      <alignment horizontal="left"/>
      <protection locked="0"/>
    </xf>
    <xf numFmtId="49" fontId="6" fillId="4" borderId="56" xfId="0" applyNumberFormat="1" applyFont="1" applyFill="1" applyBorder="1" applyAlignment="1" applyProtection="1">
      <alignment horizontal="left"/>
      <protection locked="0"/>
    </xf>
    <xf numFmtId="49" fontId="6" fillId="4" borderId="54" xfId="0" applyNumberFormat="1" applyFont="1" applyFill="1" applyBorder="1" applyAlignment="1" applyProtection="1">
      <alignment horizontal="left"/>
      <protection locked="0"/>
    </xf>
    <xf numFmtId="49" fontId="6" fillId="4" borderId="57" xfId="0" applyNumberFormat="1" applyFont="1" applyFill="1" applyBorder="1" applyAlignment="1" applyProtection="1">
      <alignment horizontal="left"/>
      <protection locked="0"/>
    </xf>
    <xf numFmtId="166" fontId="6" fillId="4" borderId="107" xfId="0" applyNumberFormat="1" applyFont="1" applyFill="1" applyBorder="1" applyAlignment="1" applyProtection="1">
      <alignment horizontal="left"/>
      <protection locked="0"/>
    </xf>
    <xf numFmtId="166" fontId="6" fillId="4" borderId="106" xfId="0" applyNumberFormat="1" applyFont="1" applyFill="1" applyBorder="1" applyAlignment="1" applyProtection="1">
      <alignment horizontal="left"/>
      <protection locked="0"/>
    </xf>
    <xf numFmtId="166" fontId="6" fillId="4" borderId="108" xfId="0" applyNumberFormat="1" applyFont="1" applyFill="1" applyBorder="1" applyAlignment="1" applyProtection="1">
      <alignment horizontal="left"/>
      <protection locked="0"/>
    </xf>
    <xf numFmtId="0" fontId="6" fillId="4" borderId="83" xfId="0" applyFont="1" applyFill="1" applyBorder="1" applyAlignment="1" applyProtection="1">
      <alignment horizontal="left"/>
      <protection locked="0"/>
    </xf>
    <xf numFmtId="0" fontId="6" fillId="4" borderId="106" xfId="0" applyFont="1" applyFill="1" applyBorder="1" applyAlignment="1" applyProtection="1">
      <alignment horizontal="left"/>
      <protection locked="0"/>
    </xf>
    <xf numFmtId="0" fontId="6" fillId="4" borderId="84" xfId="0" applyFont="1" applyFill="1" applyBorder="1" applyAlignment="1" applyProtection="1">
      <alignment horizontal="left"/>
      <protection locked="0"/>
    </xf>
    <xf numFmtId="0" fontId="6" fillId="4" borderId="107" xfId="0" applyFont="1" applyFill="1" applyBorder="1" applyAlignment="1" applyProtection="1">
      <alignment horizontal="left"/>
      <protection locked="0"/>
    </xf>
    <xf numFmtId="0" fontId="6" fillId="4" borderId="85" xfId="0" applyFont="1" applyFill="1" applyBorder="1" applyAlignment="1" applyProtection="1">
      <alignment horizontal="left"/>
      <protection locked="0"/>
    </xf>
    <xf numFmtId="0" fontId="6" fillId="4" borderId="108" xfId="0" applyFont="1" applyFill="1" applyBorder="1" applyAlignment="1" applyProtection="1">
      <alignment horizontal="left"/>
      <protection locked="0"/>
    </xf>
    <xf numFmtId="166" fontId="6" fillId="4" borderId="83" xfId="0" applyNumberFormat="1" applyFont="1" applyFill="1" applyBorder="1" applyAlignment="1" applyProtection="1">
      <alignment horizontal="left"/>
      <protection locked="0"/>
    </xf>
    <xf numFmtId="1" fontId="6" fillId="4" borderId="52" xfId="0" applyNumberFormat="1" applyFont="1" applyFill="1" applyBorder="1" applyAlignment="1" applyProtection="1">
      <alignment horizontal="left"/>
      <protection locked="0"/>
    </xf>
    <xf numFmtId="1" fontId="6" fillId="4" borderId="51" xfId="0" applyNumberFormat="1" applyFont="1" applyFill="1" applyBorder="1" applyAlignment="1" applyProtection="1">
      <alignment horizontal="left"/>
      <protection locked="0"/>
    </xf>
    <xf numFmtId="1" fontId="6" fillId="4" borderId="59" xfId="0" applyNumberFormat="1" applyFont="1" applyFill="1" applyBorder="1" applyAlignment="1" applyProtection="1">
      <alignment horizontal="left"/>
      <protection locked="0"/>
    </xf>
    <xf numFmtId="1" fontId="6" fillId="4" borderId="58" xfId="0" applyNumberFormat="1" applyFont="1" applyFill="1" applyBorder="1" applyAlignment="1" applyProtection="1">
      <alignment horizontal="left"/>
      <protection locked="0"/>
    </xf>
    <xf numFmtId="166" fontId="6" fillId="4" borderId="51" xfId="0" applyNumberFormat="1" applyFont="1" applyFill="1" applyBorder="1" applyAlignment="1" applyProtection="1">
      <alignment horizontal="left"/>
      <protection locked="0"/>
    </xf>
    <xf numFmtId="1" fontId="6" fillId="4" borderId="69" xfId="0" applyNumberFormat="1" applyFont="1" applyFill="1" applyBorder="1" applyAlignment="1" applyProtection="1">
      <alignment horizontal="left"/>
      <protection locked="0"/>
    </xf>
    <xf numFmtId="1" fontId="6" fillId="4" borderId="68" xfId="0" applyNumberFormat="1" applyFont="1" applyFill="1" applyBorder="1" applyAlignment="1" applyProtection="1">
      <alignment horizontal="left"/>
      <protection locked="0"/>
    </xf>
    <xf numFmtId="166" fontId="6" fillId="4" borderId="59" xfId="0" applyNumberFormat="1" applyFont="1" applyFill="1" applyBorder="1" applyAlignment="1" applyProtection="1">
      <alignment horizontal="left"/>
      <protection locked="0"/>
    </xf>
    <xf numFmtId="166" fontId="6" fillId="4" borderId="57" xfId="0" applyNumberFormat="1" applyFont="1" applyFill="1" applyBorder="1" applyAlignment="1" applyProtection="1">
      <alignment horizontal="left"/>
      <protection locked="0"/>
    </xf>
    <xf numFmtId="1" fontId="6" fillId="4" borderId="56" xfId="0" applyNumberFormat="1" applyFont="1" applyFill="1" applyBorder="1" applyAlignment="1" applyProtection="1">
      <alignment horizontal="left"/>
      <protection locked="0"/>
    </xf>
    <xf numFmtId="1" fontId="6" fillId="4" borderId="57" xfId="0" applyNumberFormat="1" applyFont="1" applyFill="1" applyBorder="1" applyAlignment="1" applyProtection="1">
      <alignment horizontal="left"/>
      <protection locked="0"/>
    </xf>
    <xf numFmtId="166" fontId="6" fillId="4" borderId="69" xfId="0" applyNumberFormat="1" applyFont="1" applyFill="1" applyBorder="1" applyAlignment="1" applyProtection="1">
      <alignment horizontal="left"/>
      <protection locked="0"/>
    </xf>
    <xf numFmtId="166" fontId="6" fillId="4" borderId="46" xfId="0" applyNumberFormat="1" applyFont="1" applyFill="1" applyBorder="1" applyAlignment="1" applyProtection="1">
      <alignment horizontal="left"/>
      <protection locked="0"/>
    </xf>
    <xf numFmtId="166" fontId="6" fillId="4" borderId="52" xfId="0" applyNumberFormat="1" applyFont="1" applyFill="1" applyBorder="1" applyAlignment="1" applyProtection="1">
      <alignment horizontal="left"/>
      <protection locked="0"/>
    </xf>
    <xf numFmtId="166" fontId="6" fillId="4" borderId="49" xfId="0" applyNumberFormat="1" applyFont="1" applyFill="1" applyBorder="1" applyAlignment="1" applyProtection="1">
      <alignment horizontal="left"/>
      <protection locked="0"/>
    </xf>
    <xf numFmtId="168" fontId="6" fillId="4" borderId="68" xfId="0" applyNumberFormat="1" applyFont="1" applyFill="1" applyBorder="1" applyAlignment="1" applyProtection="1">
      <alignment horizontal="left"/>
      <protection locked="0"/>
    </xf>
    <xf numFmtId="168" fontId="6" fillId="4" borderId="51" xfId="0" applyNumberFormat="1" applyFont="1" applyFill="1" applyBorder="1" applyAlignment="1" applyProtection="1">
      <alignment horizontal="left"/>
      <protection locked="0"/>
    </xf>
    <xf numFmtId="168" fontId="6" fillId="4" borderId="72" xfId="0" applyNumberFormat="1" applyFont="1" applyFill="1" applyBorder="1" applyAlignment="1" applyProtection="1">
      <alignment horizontal="left"/>
      <protection locked="0"/>
    </xf>
    <xf numFmtId="168" fontId="6" fillId="4" borderId="73" xfId="0" applyNumberFormat="1" applyFont="1" applyFill="1" applyBorder="1" applyAlignment="1" applyProtection="1">
      <alignment horizontal="left"/>
      <protection locked="0"/>
    </xf>
    <xf numFmtId="168" fontId="6" fillId="4" borderId="69" xfId="0" applyNumberFormat="1" applyFont="1" applyFill="1" applyBorder="1" applyAlignment="1" applyProtection="1">
      <alignment horizontal="left"/>
      <protection locked="0"/>
    </xf>
    <xf numFmtId="168" fontId="6" fillId="4" borderId="52" xfId="0" applyNumberFormat="1" applyFont="1" applyFill="1" applyBorder="1" applyAlignment="1" applyProtection="1">
      <alignment horizontal="left"/>
      <protection locked="0"/>
    </xf>
    <xf numFmtId="168" fontId="6" fillId="4" borderId="59" xfId="0" applyNumberFormat="1" applyFont="1" applyFill="1" applyBorder="1" applyAlignment="1" applyProtection="1">
      <alignment horizontal="left"/>
      <protection locked="0"/>
    </xf>
    <xf numFmtId="0" fontId="6" fillId="2" borderId="45" xfId="0" applyFont="1" applyFill="1" applyBorder="1" applyAlignment="1">
      <alignment horizontal="left"/>
    </xf>
    <xf numFmtId="0" fontId="6" fillId="2" borderId="46" xfId="0" applyFont="1" applyFill="1" applyBorder="1" applyAlignment="1">
      <alignment horizontal="left"/>
    </xf>
    <xf numFmtId="1" fontId="6" fillId="4" borderId="42" xfId="0" applyNumberFormat="1" applyFont="1" applyFill="1" applyBorder="1" applyAlignment="1" applyProtection="1">
      <alignment horizontal="left"/>
      <protection locked="0"/>
    </xf>
    <xf numFmtId="1" fontId="6" fillId="4" borderId="43" xfId="0" applyNumberFormat="1" applyFont="1" applyFill="1" applyBorder="1" applyAlignment="1" applyProtection="1">
      <alignment horizontal="left"/>
      <protection locked="0"/>
    </xf>
    <xf numFmtId="1" fontId="6" fillId="4" borderId="70" xfId="0" applyNumberFormat="1" applyFont="1" applyFill="1" applyBorder="1" applyAlignment="1" applyProtection="1">
      <alignment horizontal="left"/>
      <protection locked="0"/>
    </xf>
    <xf numFmtId="1" fontId="6" fillId="4" borderId="44" xfId="0" applyNumberFormat="1" applyFont="1" applyFill="1" applyBorder="1" applyAlignment="1" applyProtection="1">
      <alignment horizontal="left"/>
      <protection locked="0"/>
    </xf>
    <xf numFmtId="0" fontId="6" fillId="2" borderId="42" xfId="0" applyFont="1" applyFill="1" applyBorder="1" applyAlignment="1">
      <alignment horizontal="left"/>
    </xf>
    <xf numFmtId="0" fontId="6" fillId="2" borderId="48" xfId="0" applyFont="1" applyFill="1" applyBorder="1" applyAlignment="1">
      <alignment horizontal="left"/>
    </xf>
    <xf numFmtId="0" fontId="6" fillId="2" borderId="43" xfId="0" applyFont="1" applyFill="1" applyBorder="1" applyAlignment="1">
      <alignment horizontal="left"/>
    </xf>
    <xf numFmtId="0" fontId="6" fillId="2" borderId="56" xfId="0" applyFont="1" applyFill="1" applyBorder="1" applyAlignment="1">
      <alignment horizontal="left"/>
    </xf>
    <xf numFmtId="0" fontId="6" fillId="2" borderId="54" xfId="0" applyFont="1" applyFill="1" applyBorder="1" applyAlignment="1">
      <alignment horizontal="left"/>
    </xf>
    <xf numFmtId="0" fontId="6" fillId="2" borderId="61" xfId="0" applyFont="1" applyFill="1" applyBorder="1" applyAlignment="1">
      <alignment horizontal="center"/>
    </xf>
    <xf numFmtId="0" fontId="6" fillId="0" borderId="0" xfId="0" applyFont="1" applyAlignment="1" applyProtection="1">
      <alignment horizontal="center"/>
      <protection locked="0"/>
    </xf>
    <xf numFmtId="2" fontId="6" fillId="2" borderId="42" xfId="0" applyNumberFormat="1" applyFont="1" applyFill="1" applyBorder="1" applyAlignment="1">
      <alignment horizontal="center"/>
    </xf>
    <xf numFmtId="2" fontId="6" fillId="2" borderId="46" xfId="0" applyNumberFormat="1" applyFont="1" applyFill="1" applyBorder="1" applyAlignment="1">
      <alignment horizontal="center"/>
    </xf>
    <xf numFmtId="2" fontId="6" fillId="0" borderId="43" xfId="0" applyNumberFormat="1" applyFont="1" applyBorder="1" applyAlignment="1" applyProtection="1">
      <alignment horizontal="center"/>
      <protection locked="0"/>
    </xf>
    <xf numFmtId="2" fontId="6" fillId="0" borderId="49" xfId="0" applyNumberFormat="1" applyFont="1" applyBorder="1" applyAlignment="1" applyProtection="1">
      <alignment horizontal="center"/>
      <protection locked="0"/>
    </xf>
    <xf numFmtId="2" fontId="6" fillId="0" borderId="54" xfId="0" applyNumberFormat="1" applyFont="1" applyBorder="1" applyAlignment="1" applyProtection="1">
      <alignment horizontal="center"/>
      <protection locked="0"/>
    </xf>
    <xf numFmtId="2" fontId="6" fillId="0" borderId="57" xfId="0" applyNumberFormat="1" applyFont="1" applyBorder="1" applyAlignment="1" applyProtection="1">
      <alignment horizontal="center"/>
      <protection locked="0"/>
    </xf>
    <xf numFmtId="166" fontId="6" fillId="4" borderId="42" xfId="0" applyNumberFormat="1" applyFont="1" applyFill="1" applyBorder="1" applyAlignment="1" applyProtection="1">
      <alignment horizontal="center"/>
      <protection locked="0"/>
    </xf>
    <xf numFmtId="166" fontId="6" fillId="4" borderId="46" xfId="0" applyNumberFormat="1" applyFont="1" applyFill="1" applyBorder="1" applyAlignment="1" applyProtection="1">
      <alignment horizontal="center"/>
      <protection locked="0"/>
    </xf>
    <xf numFmtId="166" fontId="6" fillId="4" borderId="84" xfId="0" applyNumberFormat="1" applyFont="1" applyFill="1" applyBorder="1" applyAlignment="1" applyProtection="1">
      <alignment horizontal="center"/>
      <protection locked="0"/>
    </xf>
    <xf numFmtId="166" fontId="6" fillId="4" borderId="49" xfId="0" applyNumberFormat="1" applyFont="1" applyFill="1" applyBorder="1" applyAlignment="1" applyProtection="1">
      <alignment horizontal="center"/>
      <protection locked="0"/>
    </xf>
    <xf numFmtId="166" fontId="6" fillId="4" borderId="54" xfId="0" applyNumberFormat="1" applyFont="1" applyFill="1" applyBorder="1" applyAlignment="1" applyProtection="1">
      <alignment horizontal="center"/>
      <protection locked="0"/>
    </xf>
    <xf numFmtId="166" fontId="6" fillId="4" borderId="57" xfId="0" applyNumberFormat="1" applyFont="1" applyFill="1" applyBorder="1" applyAlignment="1" applyProtection="1">
      <alignment horizontal="center"/>
      <protection locked="0"/>
    </xf>
    <xf numFmtId="0" fontId="6" fillId="2" borderId="14" xfId="0" applyFont="1" applyFill="1" applyBorder="1" applyAlignment="1">
      <alignment horizontal="center"/>
    </xf>
    <xf numFmtId="168" fontId="6" fillId="4" borderId="14" xfId="0" applyNumberFormat="1" applyFont="1" applyFill="1" applyBorder="1" applyAlignment="1" applyProtection="1">
      <alignment horizontal="left"/>
      <protection locked="0"/>
    </xf>
    <xf numFmtId="168" fontId="6" fillId="4" borderId="0" xfId="0" applyNumberFormat="1" applyFont="1" applyFill="1" applyAlignment="1" applyProtection="1">
      <alignment horizontal="left"/>
      <protection locked="0"/>
    </xf>
    <xf numFmtId="0" fontId="6" fillId="2" borderId="225" xfId="0" applyFont="1" applyFill="1" applyBorder="1" applyAlignment="1">
      <alignment horizontal="center"/>
    </xf>
    <xf numFmtId="0" fontId="6" fillId="2" borderId="243" xfId="0" applyFont="1" applyFill="1" applyBorder="1" applyAlignment="1">
      <alignment horizontal="center"/>
    </xf>
    <xf numFmtId="1" fontId="6" fillId="4" borderId="38" xfId="0" applyNumberFormat="1" applyFont="1" applyFill="1" applyBorder="1" applyAlignment="1" applyProtection="1">
      <alignment horizontal="left"/>
      <protection locked="0"/>
    </xf>
    <xf numFmtId="1" fontId="6" fillId="4" borderId="34" xfId="0" applyNumberFormat="1" applyFont="1" applyFill="1" applyBorder="1" applyAlignment="1" applyProtection="1">
      <alignment horizontal="left"/>
      <protection locked="0"/>
    </xf>
    <xf numFmtId="1" fontId="6" fillId="4" borderId="25" xfId="0" applyNumberFormat="1" applyFont="1" applyFill="1" applyBorder="1" applyAlignment="1" applyProtection="1">
      <alignment horizontal="left"/>
      <protection locked="0"/>
    </xf>
    <xf numFmtId="1" fontId="6" fillId="4" borderId="23" xfId="0" applyNumberFormat="1" applyFont="1" applyFill="1" applyBorder="1" applyAlignment="1" applyProtection="1">
      <alignment horizontal="left"/>
      <protection locked="0"/>
    </xf>
    <xf numFmtId="166" fontId="6" fillId="4" borderId="14" xfId="0" applyNumberFormat="1" applyFont="1" applyFill="1" applyBorder="1" applyAlignment="1" applyProtection="1">
      <alignment horizontal="left"/>
      <protection locked="0"/>
    </xf>
    <xf numFmtId="166" fontId="6" fillId="4" borderId="0" xfId="0" applyNumberFormat="1" applyFont="1" applyFill="1" applyAlignment="1" applyProtection="1">
      <alignment horizontal="left"/>
      <protection locked="0"/>
    </xf>
    <xf numFmtId="0" fontId="6" fillId="2" borderId="0" xfId="0" quotePrefix="1" applyFont="1" applyFill="1" applyAlignment="1">
      <alignment horizontal="center"/>
    </xf>
    <xf numFmtId="0" fontId="21" fillId="2" borderId="0" xfId="0" applyFont="1" applyFill="1" applyAlignment="1">
      <alignment horizontal="center"/>
    </xf>
    <xf numFmtId="1" fontId="6" fillId="4" borderId="0" xfId="0" applyNumberFormat="1" applyFont="1" applyFill="1" applyAlignment="1" applyProtection="1">
      <alignment horizontal="left"/>
      <protection locked="0"/>
    </xf>
    <xf numFmtId="168" fontId="6" fillId="4" borderId="23" xfId="0" applyNumberFormat="1" applyFont="1" applyFill="1" applyBorder="1" applyAlignment="1" applyProtection="1">
      <alignment horizontal="left"/>
      <protection locked="0"/>
    </xf>
    <xf numFmtId="166" fontId="6" fillId="2" borderId="43" xfId="0" applyNumberFormat="1" applyFont="1" applyFill="1" applyBorder="1" applyAlignment="1">
      <alignment horizontal="center"/>
    </xf>
    <xf numFmtId="166" fontId="6" fillId="2" borderId="49" xfId="0" applyNumberFormat="1" applyFont="1" applyFill="1" applyBorder="1" applyAlignment="1">
      <alignment horizontal="center"/>
    </xf>
    <xf numFmtId="2" fontId="6" fillId="2" borderId="85" xfId="0" applyNumberFormat="1" applyFont="1" applyFill="1" applyBorder="1" applyAlignment="1">
      <alignment horizontal="center"/>
    </xf>
    <xf numFmtId="2" fontId="6" fillId="2" borderId="54" xfId="0" applyNumberFormat="1" applyFont="1" applyFill="1" applyBorder="1" applyAlignment="1">
      <alignment horizontal="center"/>
    </xf>
    <xf numFmtId="166" fontId="6" fillId="2" borderId="42" xfId="0" applyNumberFormat="1" applyFont="1" applyFill="1" applyBorder="1" applyAlignment="1">
      <alignment horizontal="center"/>
    </xf>
    <xf numFmtId="166" fontId="6" fillId="2" borderId="46"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57" xfId="0" applyNumberFormat="1" applyFont="1" applyFill="1" applyBorder="1" applyAlignment="1">
      <alignment horizontal="center"/>
    </xf>
    <xf numFmtId="2" fontId="6" fillId="2" borderId="61" xfId="0" applyNumberFormat="1" applyFont="1" applyFill="1" applyBorder="1" applyAlignment="1">
      <alignment horizontal="right"/>
    </xf>
    <xf numFmtId="1" fontId="6" fillId="4" borderId="374" xfId="0" applyNumberFormat="1" applyFont="1" applyFill="1" applyBorder="1" applyAlignment="1" applyProtection="1">
      <alignment horizontal="left"/>
      <protection locked="0"/>
    </xf>
    <xf numFmtId="1" fontId="6" fillId="4" borderId="419" xfId="0" applyNumberFormat="1" applyFont="1" applyFill="1" applyBorder="1" applyAlignment="1" applyProtection="1">
      <alignment horizontal="left"/>
      <protection locked="0"/>
    </xf>
    <xf numFmtId="0" fontId="6" fillId="4" borderId="0" xfId="0" applyFont="1" applyFill="1" applyAlignment="1" applyProtection="1">
      <alignment horizontal="left"/>
      <protection locked="0"/>
    </xf>
    <xf numFmtId="49" fontId="6" fillId="2" borderId="397" xfId="0" applyNumberFormat="1" applyFont="1" applyFill="1" applyBorder="1" applyAlignment="1">
      <alignment horizontal="right"/>
    </xf>
    <xf numFmtId="49" fontId="6" fillId="2" borderId="403" xfId="0" applyNumberFormat="1" applyFont="1" applyFill="1" applyBorder="1" applyAlignment="1">
      <alignment horizontal="right"/>
    </xf>
    <xf numFmtId="49" fontId="6" fillId="0" borderId="399" xfId="0" applyNumberFormat="1" applyFont="1" applyBorder="1" applyAlignment="1" applyProtection="1">
      <alignment horizontal="right"/>
      <protection locked="0"/>
    </xf>
    <xf numFmtId="49" fontId="6" fillId="0" borderId="400" xfId="0" applyNumberFormat="1" applyFont="1" applyBorder="1" applyAlignment="1" applyProtection="1">
      <alignment horizontal="right"/>
      <protection locked="0"/>
    </xf>
    <xf numFmtId="49" fontId="6" fillId="0" borderId="124" xfId="0" applyNumberFormat="1" applyFont="1" applyBorder="1" applyAlignment="1" applyProtection="1">
      <alignment horizontal="right"/>
      <protection locked="0"/>
    </xf>
    <xf numFmtId="49" fontId="6" fillId="0" borderId="125" xfId="0" applyNumberFormat="1" applyFont="1" applyBorder="1" applyAlignment="1" applyProtection="1">
      <alignment horizontal="right"/>
      <protection locked="0"/>
    </xf>
    <xf numFmtId="0" fontId="2" fillId="2" borderId="126" xfId="0" applyFont="1" applyFill="1" applyBorder="1" applyAlignment="1">
      <alignment horizontal="center"/>
    </xf>
    <xf numFmtId="0" fontId="2" fillId="2" borderId="61" xfId="0" applyFont="1" applyFill="1" applyBorder="1" applyAlignment="1">
      <alignment horizontal="center"/>
    </xf>
    <xf numFmtId="0" fontId="6" fillId="0" borderId="124" xfId="0" applyFont="1" applyBorder="1" applyAlignment="1" applyProtection="1">
      <alignment horizontal="left"/>
      <protection locked="0"/>
    </xf>
    <xf numFmtId="0" fontId="6" fillId="0" borderId="3" xfId="0" applyFont="1" applyBorder="1" applyAlignment="1" applyProtection="1">
      <alignment horizontal="left"/>
      <protection locked="0"/>
    </xf>
    <xf numFmtId="1" fontId="6" fillId="2" borderId="43" xfId="0" applyNumberFormat="1" applyFont="1" applyFill="1" applyBorder="1" applyAlignment="1">
      <alignment horizontal="center"/>
    </xf>
    <xf numFmtId="0" fontId="6" fillId="4" borderId="146" xfId="0" applyFont="1" applyFill="1" applyBorder="1" applyAlignment="1" applyProtection="1">
      <alignment horizontal="left"/>
      <protection locked="0"/>
    </xf>
    <xf numFmtId="0" fontId="6" fillId="4" borderId="402" xfId="0" applyFont="1" applyFill="1" applyBorder="1" applyAlignment="1" applyProtection="1">
      <alignment horizontal="left"/>
      <protection locked="0"/>
    </xf>
    <xf numFmtId="0" fontId="6" fillId="4" borderId="35" xfId="0" applyFont="1" applyFill="1" applyBorder="1" applyAlignment="1" applyProtection="1">
      <alignment horizontal="left"/>
      <protection locked="0"/>
    </xf>
    <xf numFmtId="0" fontId="6" fillId="4" borderId="403" xfId="0" applyFont="1" applyFill="1" applyBorder="1" applyAlignment="1" applyProtection="1">
      <alignment horizontal="left"/>
      <protection locked="0"/>
    </xf>
    <xf numFmtId="0" fontId="6" fillId="4" borderId="211" xfId="0" applyFont="1" applyFill="1" applyBorder="1" applyAlignment="1" applyProtection="1">
      <alignment horizontal="left"/>
      <protection locked="0"/>
    </xf>
    <xf numFmtId="0" fontId="6" fillId="4" borderId="404" xfId="0" applyFont="1" applyFill="1" applyBorder="1" applyAlignment="1" applyProtection="1">
      <alignment horizontal="left"/>
      <protection locked="0"/>
    </xf>
    <xf numFmtId="0" fontId="6" fillId="4" borderId="400" xfId="0" applyFont="1" applyFill="1" applyBorder="1" applyAlignment="1" applyProtection="1">
      <alignment horizontal="left"/>
      <protection locked="0"/>
    </xf>
    <xf numFmtId="0" fontId="6" fillId="2" borderId="0" xfId="0" applyFont="1" applyFill="1" applyAlignment="1">
      <alignment horizontal="left"/>
    </xf>
    <xf numFmtId="0" fontId="6" fillId="0" borderId="321" xfId="0" applyFont="1" applyBorder="1" applyAlignment="1" applyProtection="1">
      <alignment horizontal="center"/>
      <protection locked="0"/>
    </xf>
    <xf numFmtId="0" fontId="6" fillId="0" borderId="322" xfId="0" applyFont="1" applyBorder="1" applyAlignment="1" applyProtection="1">
      <alignment horizontal="center"/>
      <protection locked="0"/>
    </xf>
    <xf numFmtId="2" fontId="6" fillId="4" borderId="45" xfId="0" applyNumberFormat="1" applyFont="1" applyFill="1" applyBorder="1" applyAlignment="1" applyProtection="1">
      <alignment horizontal="center"/>
      <protection locked="0"/>
    </xf>
    <xf numFmtId="2" fontId="6" fillId="4" borderId="42" xfId="0" applyNumberFormat="1" applyFont="1" applyFill="1" applyBorder="1" applyAlignment="1" applyProtection="1">
      <alignment horizontal="center"/>
      <protection locked="0"/>
    </xf>
    <xf numFmtId="0" fontId="6" fillId="0" borderId="125" xfId="0" applyFont="1" applyBorder="1" applyAlignment="1" applyProtection="1">
      <alignment horizontal="center"/>
      <protection locked="0"/>
    </xf>
    <xf numFmtId="2" fontId="6" fillId="2" borderId="0" xfId="0" applyNumberFormat="1" applyFont="1" applyFill="1" applyAlignment="1">
      <alignment horizontal="center"/>
    </xf>
    <xf numFmtId="0" fontId="6" fillId="0" borderId="387" xfId="0" applyFont="1" applyBorder="1" applyAlignment="1" applyProtection="1">
      <alignment horizontal="center"/>
      <protection locked="0"/>
    </xf>
    <xf numFmtId="0" fontId="6" fillId="0" borderId="389"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127" xfId="0" applyFont="1" applyBorder="1" applyAlignment="1" applyProtection="1">
      <alignment horizontal="center"/>
      <protection locked="0"/>
    </xf>
    <xf numFmtId="169" fontId="6" fillId="0" borderId="54" xfId="0" applyNumberFormat="1" applyFont="1" applyBorder="1" applyAlignment="1" applyProtection="1">
      <alignment horizontal="center"/>
      <protection locked="0"/>
    </xf>
    <xf numFmtId="169" fontId="6" fillId="0" borderId="130" xfId="0" applyNumberFormat="1" applyFont="1" applyBorder="1" applyAlignment="1" applyProtection="1">
      <alignment horizontal="center"/>
      <protection locked="0"/>
    </xf>
    <xf numFmtId="0" fontId="6" fillId="4" borderId="147" xfId="0" applyFont="1" applyFill="1" applyBorder="1" applyAlignment="1" applyProtection="1">
      <alignment horizontal="left"/>
      <protection locked="0"/>
    </xf>
    <xf numFmtId="49" fontId="6" fillId="4" borderId="145" xfId="0" applyNumberFormat="1" applyFont="1" applyFill="1" applyBorder="1" applyAlignment="1" applyProtection="1">
      <alignment horizontal="left"/>
      <protection locked="0"/>
    </xf>
    <xf numFmtId="0" fontId="19" fillId="4" borderId="1" xfId="0" applyFont="1" applyFill="1" applyBorder="1" applyAlignment="1" applyProtection="1">
      <alignment horizontal="left"/>
      <protection locked="0"/>
    </xf>
    <xf numFmtId="0" fontId="6" fillId="4" borderId="61" xfId="0" applyFont="1" applyFill="1" applyBorder="1" applyAlignment="1" applyProtection="1">
      <alignment horizontal="left"/>
      <protection locked="0"/>
    </xf>
    <xf numFmtId="0" fontId="6" fillId="4" borderId="386" xfId="0" applyFont="1" applyFill="1" applyBorder="1" applyAlignment="1" applyProtection="1">
      <alignment horizontal="left"/>
      <protection locked="0"/>
    </xf>
    <xf numFmtId="0" fontId="6" fillId="4" borderId="144" xfId="0" applyFont="1" applyFill="1" applyBorder="1" applyAlignment="1" applyProtection="1">
      <alignment horizontal="left"/>
      <protection locked="0"/>
    </xf>
    <xf numFmtId="0" fontId="6" fillId="4" borderId="145" xfId="0" applyFont="1" applyFill="1" applyBorder="1" applyAlignment="1" applyProtection="1">
      <alignment horizontal="left"/>
      <protection locked="0"/>
    </xf>
    <xf numFmtId="0" fontId="6" fillId="0" borderId="1" xfId="0" applyFont="1" applyBorder="1" applyAlignment="1" applyProtection="1">
      <alignment horizontal="center"/>
      <protection locked="0"/>
    </xf>
    <xf numFmtId="0" fontId="6" fillId="0" borderId="124" xfId="0" applyFont="1" applyBorder="1" applyAlignment="1" applyProtection="1">
      <alignment horizontal="center"/>
      <protection locked="0"/>
    </xf>
    <xf numFmtId="0" fontId="19" fillId="0" borderId="351" xfId="0" applyFont="1" applyBorder="1" applyAlignment="1" applyProtection="1">
      <alignment horizontal="center"/>
      <protection locked="0"/>
    </xf>
    <xf numFmtId="0" fontId="19" fillId="2" borderId="54" xfId="0" applyFont="1" applyFill="1" applyBorder="1" applyAlignment="1">
      <alignment horizontal="center"/>
    </xf>
    <xf numFmtId="0" fontId="19" fillId="0" borderId="0" xfId="0" applyFont="1" applyAlignment="1" applyProtection="1">
      <alignment horizontal="center"/>
      <protection locked="0"/>
    </xf>
    <xf numFmtId="0" fontId="19" fillId="0" borderId="324" xfId="0" applyFont="1" applyBorder="1" applyAlignment="1" applyProtection="1">
      <alignment horizontal="center"/>
      <protection locked="0"/>
    </xf>
    <xf numFmtId="0" fontId="19" fillId="0" borderId="54" xfId="0" applyFont="1" applyBorder="1" applyAlignment="1" applyProtection="1">
      <alignment horizontal="center"/>
      <protection locked="0"/>
    </xf>
    <xf numFmtId="0" fontId="19" fillId="2" borderId="43" xfId="0" applyFont="1" applyFill="1" applyBorder="1" applyAlignment="1" applyProtection="1">
      <alignment horizontal="center"/>
      <protection locked="0"/>
    </xf>
    <xf numFmtId="0" fontId="6" fillId="0" borderId="133" xfId="0" applyFont="1" applyBorder="1" applyAlignment="1" applyProtection="1">
      <alignment horizontal="left"/>
      <protection locked="0"/>
    </xf>
    <xf numFmtId="0" fontId="6" fillId="0" borderId="54" xfId="0" applyFont="1" applyBorder="1" applyAlignment="1" applyProtection="1">
      <alignment horizontal="left"/>
      <protection locked="0"/>
    </xf>
    <xf numFmtId="0" fontId="1" fillId="2" borderId="126" xfId="0" applyFont="1" applyFill="1" applyBorder="1" applyAlignment="1">
      <alignment horizontal="center"/>
    </xf>
    <xf numFmtId="0" fontId="1" fillId="2" borderId="61" xfId="0" applyFont="1" applyFill="1" applyBorder="1" applyAlignment="1">
      <alignment horizontal="center"/>
    </xf>
    <xf numFmtId="0" fontId="1" fillId="2" borderId="127" xfId="0" applyFont="1" applyFill="1" applyBorder="1" applyAlignment="1">
      <alignment horizontal="center"/>
    </xf>
    <xf numFmtId="0" fontId="6" fillId="0" borderId="133"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0" borderId="130" xfId="0" applyFont="1" applyBorder="1" applyAlignment="1" applyProtection="1">
      <alignment horizontal="center"/>
      <protection locked="0"/>
    </xf>
    <xf numFmtId="2" fontId="6" fillId="4" borderId="146" xfId="0" applyNumberFormat="1" applyFont="1" applyFill="1" applyBorder="1" applyAlignment="1" applyProtection="1">
      <alignment horizontal="left"/>
      <protection locked="0"/>
    </xf>
    <xf numFmtId="2" fontId="6" fillId="4" borderId="35" xfId="0" applyNumberFormat="1" applyFont="1" applyFill="1" applyBorder="1" applyAlignment="1" applyProtection="1">
      <alignment horizontal="left"/>
      <protection locked="0"/>
    </xf>
    <xf numFmtId="0" fontId="31" fillId="0" borderId="182" xfId="0" applyFont="1" applyBorder="1" applyAlignment="1">
      <alignment horizontal="right" vertical="center"/>
    </xf>
    <xf numFmtId="0" fontId="31" fillId="0" borderId="179" xfId="0" applyFont="1" applyBorder="1" applyAlignment="1">
      <alignment horizontal="right" vertical="center"/>
    </xf>
    <xf numFmtId="168" fontId="31" fillId="0" borderId="182" xfId="0" applyNumberFormat="1" applyFont="1" applyBorder="1" applyAlignment="1">
      <alignment horizontal="right" vertical="center"/>
    </xf>
    <xf numFmtId="168" fontId="31" fillId="0" borderId="179" xfId="0" applyNumberFormat="1" applyFont="1" applyBorder="1" applyAlignment="1">
      <alignment horizontal="right" vertical="center"/>
    </xf>
    <xf numFmtId="2" fontId="31" fillId="0" borderId="184" xfId="0" applyNumberFormat="1" applyFont="1" applyBorder="1" applyAlignment="1">
      <alignment horizontal="right" vertical="center"/>
    </xf>
    <xf numFmtId="0" fontId="31" fillId="0" borderId="198" xfId="0" applyFont="1" applyBorder="1" applyAlignment="1">
      <alignment horizontal="right" vertical="center"/>
    </xf>
    <xf numFmtId="168" fontId="31" fillId="0" borderId="157" xfId="0" applyNumberFormat="1" applyFont="1" applyBorder="1" applyAlignment="1">
      <alignment horizontal="right" vertical="center"/>
    </xf>
    <xf numFmtId="0" fontId="31" fillId="0" borderId="0" xfId="0" applyFont="1" applyAlignment="1">
      <alignment horizontal="right" vertical="center"/>
    </xf>
    <xf numFmtId="166" fontId="31" fillId="0" borderId="182" xfId="0" applyNumberFormat="1" applyFont="1" applyBorder="1" applyAlignment="1">
      <alignment horizontal="right" vertical="center"/>
    </xf>
    <xf numFmtId="166" fontId="31" fillId="0" borderId="179" xfId="0" applyNumberFormat="1" applyFont="1" applyBorder="1" applyAlignment="1">
      <alignment horizontal="right" vertical="center"/>
    </xf>
    <xf numFmtId="2" fontId="31" fillId="0" borderId="178" xfId="0" applyNumberFormat="1" applyFont="1" applyBorder="1" applyAlignment="1">
      <alignment horizontal="center" vertical="center"/>
    </xf>
    <xf numFmtId="2" fontId="31" fillId="0" borderId="179" xfId="0" applyNumberFormat="1" applyFont="1" applyBorder="1" applyAlignment="1">
      <alignment horizontal="center" vertical="center"/>
    </xf>
    <xf numFmtId="166" fontId="31" fillId="0" borderId="197" xfId="0" applyNumberFormat="1" applyFont="1" applyBorder="1" applyAlignment="1">
      <alignment horizontal="center" vertical="center"/>
    </xf>
    <xf numFmtId="166" fontId="31" fillId="0" borderId="198" xfId="0" applyNumberFormat="1" applyFont="1" applyBorder="1" applyAlignment="1">
      <alignment horizontal="center" vertical="center"/>
    </xf>
    <xf numFmtId="166" fontId="31" fillId="0" borderId="178" xfId="0" applyNumberFormat="1" applyFont="1" applyBorder="1" applyAlignment="1">
      <alignment horizontal="center" vertical="center"/>
    </xf>
    <xf numFmtId="166" fontId="31" fillId="0" borderId="179" xfId="0" applyNumberFormat="1" applyFont="1" applyBorder="1" applyAlignment="1">
      <alignment horizontal="center" vertical="center"/>
    </xf>
    <xf numFmtId="166" fontId="31" fillId="0" borderId="205" xfId="0" applyNumberFormat="1" applyFont="1" applyBorder="1" applyAlignment="1">
      <alignment horizontal="center" vertical="center"/>
    </xf>
    <xf numFmtId="166" fontId="31" fillId="0" borderId="206" xfId="0" applyNumberFormat="1" applyFont="1" applyBorder="1" applyAlignment="1">
      <alignment horizontal="center" vertical="center"/>
    </xf>
    <xf numFmtId="2" fontId="31" fillId="0" borderId="192" xfId="0" applyNumberFormat="1" applyFont="1" applyBorder="1" applyAlignment="1">
      <alignment horizontal="center" vertical="center"/>
    </xf>
    <xf numFmtId="2" fontId="31" fillId="0" borderId="157" xfId="0" applyNumberFormat="1" applyFont="1" applyBorder="1" applyAlignment="1">
      <alignment horizontal="center" vertical="center"/>
    </xf>
    <xf numFmtId="2" fontId="31" fillId="0" borderId="197" xfId="0" applyNumberFormat="1" applyFont="1" applyBorder="1" applyAlignment="1">
      <alignment horizontal="center" vertical="center"/>
    </xf>
    <xf numFmtId="2" fontId="31" fillId="0" borderId="198" xfId="0" applyNumberFormat="1" applyFont="1" applyBorder="1" applyAlignment="1">
      <alignment horizontal="center" vertical="center"/>
    </xf>
    <xf numFmtId="2" fontId="31" fillId="0" borderId="205" xfId="0" applyNumberFormat="1" applyFont="1" applyBorder="1" applyAlignment="1">
      <alignment horizontal="center" vertical="center"/>
    </xf>
    <xf numFmtId="2" fontId="31" fillId="0" borderId="206" xfId="0" applyNumberFormat="1" applyFont="1" applyBorder="1" applyAlignment="1">
      <alignment horizontal="center" vertical="center"/>
    </xf>
    <xf numFmtId="166" fontId="31" fillId="0" borderId="184" xfId="0" applyNumberFormat="1" applyFont="1" applyBorder="1" applyAlignment="1">
      <alignment horizontal="center" vertical="center"/>
    </xf>
    <xf numFmtId="166" fontId="31" fillId="0" borderId="185" xfId="0" applyNumberFormat="1" applyFont="1" applyBorder="1" applyAlignment="1">
      <alignment horizontal="center" vertical="center"/>
    </xf>
    <xf numFmtId="166" fontId="31" fillId="0" borderId="182" xfId="0" applyNumberFormat="1" applyFont="1" applyBorder="1" applyAlignment="1">
      <alignment horizontal="center" vertical="center"/>
    </xf>
    <xf numFmtId="166" fontId="31" fillId="0" borderId="180" xfId="0" applyNumberFormat="1" applyFont="1" applyBorder="1" applyAlignment="1">
      <alignment horizontal="center" vertical="center"/>
    </xf>
    <xf numFmtId="166" fontId="31" fillId="0" borderId="186" xfId="0" applyNumberFormat="1" applyFont="1" applyBorder="1" applyAlignment="1">
      <alignment horizontal="center" vertical="center"/>
    </xf>
    <xf numFmtId="0" fontId="31" fillId="0" borderId="187" xfId="0" applyFont="1" applyBorder="1" applyAlignment="1">
      <alignment horizontal="center" vertical="center"/>
    </xf>
    <xf numFmtId="166" fontId="31" fillId="0" borderId="183" xfId="0" applyNumberFormat="1" applyFont="1" applyBorder="1" applyAlignment="1">
      <alignment horizontal="center" vertical="center"/>
    </xf>
    <xf numFmtId="166" fontId="31" fillId="0" borderId="177" xfId="0" applyNumberFormat="1" applyFont="1" applyBorder="1" applyAlignment="1">
      <alignment horizontal="center" vertical="center"/>
    </xf>
    <xf numFmtId="2" fontId="31" fillId="0" borderId="181" xfId="0" applyNumberFormat="1" applyFont="1" applyBorder="1" applyAlignment="1">
      <alignment horizontal="center" vertical="center"/>
    </xf>
    <xf numFmtId="0" fontId="31" fillId="0" borderId="188" xfId="0" applyFont="1" applyBorder="1" applyAlignment="1">
      <alignment horizontal="center" vertical="center"/>
    </xf>
    <xf numFmtId="2" fontId="31" fillId="0" borderId="200" xfId="0" applyNumberFormat="1" applyFont="1" applyBorder="1" applyAlignment="1">
      <alignment horizontal="center" vertical="center"/>
    </xf>
    <xf numFmtId="2" fontId="31" fillId="0" borderId="154" xfId="0" applyNumberFormat="1" applyFont="1" applyBorder="1" applyAlignment="1">
      <alignment horizontal="center" vertical="center"/>
    </xf>
    <xf numFmtId="166" fontId="31" fillId="0" borderId="200" xfId="0" applyNumberFormat="1" applyFont="1" applyBorder="1" applyAlignment="1">
      <alignment horizontal="center" vertical="center"/>
    </xf>
    <xf numFmtId="166" fontId="31" fillId="0" borderId="154" xfId="0" applyNumberFormat="1" applyFont="1" applyBorder="1" applyAlignment="1">
      <alignment horizontal="center" vertical="center"/>
    </xf>
    <xf numFmtId="2" fontId="31" fillId="0" borderId="182" xfId="0" applyNumberFormat="1" applyFont="1" applyBorder="1" applyAlignment="1">
      <alignment horizontal="right" vertical="center"/>
    </xf>
    <xf numFmtId="2" fontId="31" fillId="0" borderId="179" xfId="0" applyNumberFormat="1" applyFont="1" applyBorder="1" applyAlignment="1">
      <alignment horizontal="right" vertical="center"/>
    </xf>
    <xf numFmtId="0" fontId="31" fillId="0" borderId="199" xfId="0" applyFont="1" applyBorder="1" applyAlignment="1">
      <alignment horizontal="right" vertical="center"/>
    </xf>
    <xf numFmtId="0" fontId="31" fillId="0" borderId="190" xfId="0" applyFont="1" applyBorder="1" applyAlignment="1">
      <alignment horizontal="right" vertical="center"/>
    </xf>
    <xf numFmtId="0" fontId="35" fillId="2" borderId="165" xfId="0" applyFont="1" applyFill="1" applyBorder="1" applyAlignment="1">
      <alignment horizontal="right" vertical="center"/>
    </xf>
    <xf numFmtId="2" fontId="31" fillId="0" borderId="189" xfId="0" applyNumberFormat="1" applyFont="1" applyBorder="1" applyAlignment="1">
      <alignment horizontal="center" vertical="center"/>
    </xf>
    <xf numFmtId="2" fontId="31" fillId="0" borderId="190" xfId="0" applyNumberFormat="1" applyFont="1" applyBorder="1" applyAlignment="1">
      <alignment horizontal="center" vertical="center"/>
    </xf>
    <xf numFmtId="0" fontId="33" fillId="0" borderId="170" xfId="0" applyFont="1" applyBorder="1" applyAlignment="1">
      <alignment horizontal="left" vertical="top" textRotation="180"/>
    </xf>
    <xf numFmtId="0" fontId="35" fillId="2" borderId="251" xfId="0" applyFont="1" applyFill="1" applyBorder="1" applyAlignment="1">
      <alignment horizontal="left" textRotation="180"/>
    </xf>
    <xf numFmtId="0" fontId="35" fillId="2" borderId="251" xfId="0" applyFont="1" applyFill="1" applyBorder="1" applyAlignment="1">
      <alignment horizontal="left" vertical="top" textRotation="180"/>
    </xf>
    <xf numFmtId="0" fontId="35" fillId="2" borderId="251" xfId="0" applyFont="1" applyFill="1" applyBorder="1" applyAlignment="1">
      <alignment horizontal="center" textRotation="180"/>
    </xf>
    <xf numFmtId="0" fontId="33" fillId="0" borderId="170" xfId="0" applyFont="1" applyBorder="1" applyAlignment="1">
      <alignment horizontal="center" vertical="top" textRotation="180"/>
    </xf>
    <xf numFmtId="0" fontId="31" fillId="0" borderId="0" xfId="0" applyFont="1" applyAlignment="1">
      <alignment horizontal="left"/>
    </xf>
    <xf numFmtId="0" fontId="31" fillId="0" borderId="214" xfId="0" applyFont="1" applyBorder="1" applyAlignment="1">
      <alignment horizontal="left"/>
    </xf>
    <xf numFmtId="0" fontId="34" fillId="0" borderId="176" xfId="0" applyFont="1" applyBorder="1" applyAlignment="1">
      <alignment horizontal="left"/>
    </xf>
    <xf numFmtId="0" fontId="34" fillId="0" borderId="177" xfId="0" applyFont="1" applyBorder="1" applyAlignment="1">
      <alignment horizontal="left"/>
    </xf>
    <xf numFmtId="0" fontId="31" fillId="2" borderId="381" xfId="0" applyFont="1" applyFill="1" applyBorder="1" applyAlignment="1">
      <alignment horizontal="center" textRotation="90"/>
    </xf>
    <xf numFmtId="0" fontId="31" fillId="2" borderId="338" xfId="0" applyFont="1" applyFill="1" applyBorder="1" applyAlignment="1">
      <alignment horizontal="center" textRotation="90"/>
    </xf>
    <xf numFmtId="0" fontId="31" fillId="2" borderId="256" xfId="0" applyFont="1" applyFill="1" applyBorder="1" applyAlignment="1">
      <alignment horizontal="center" textRotation="90"/>
    </xf>
    <xf numFmtId="0" fontId="31" fillId="2" borderId="257" xfId="0" applyFont="1" applyFill="1" applyBorder="1" applyAlignment="1">
      <alignment horizontal="center" textRotation="90"/>
    </xf>
    <xf numFmtId="0" fontId="31" fillId="0" borderId="215" xfId="0" applyFont="1" applyBorder="1" applyAlignment="1">
      <alignment horizontal="center" textRotation="90"/>
    </xf>
    <xf numFmtId="0" fontId="31" fillId="0" borderId="170" xfId="0" applyFont="1" applyBorder="1" applyAlignment="1">
      <alignment horizontal="center" textRotation="90"/>
    </xf>
    <xf numFmtId="0" fontId="31" fillId="0" borderId="173" xfId="0" applyFont="1" applyBorder="1" applyAlignment="1">
      <alignment horizontal="center" textRotation="90"/>
    </xf>
    <xf numFmtId="0" fontId="31" fillId="0" borderId="381" xfId="0" applyFont="1" applyBorder="1" applyAlignment="1">
      <alignment horizontal="center" textRotation="90"/>
    </xf>
    <xf numFmtId="0" fontId="31" fillId="0" borderId="384" xfId="0" applyFont="1" applyBorder="1" applyAlignment="1">
      <alignment horizontal="center" textRotation="90"/>
    </xf>
    <xf numFmtId="0" fontId="31" fillId="0" borderId="338" xfId="0" applyFont="1" applyBorder="1" applyAlignment="1">
      <alignment horizontal="center" textRotation="90"/>
    </xf>
    <xf numFmtId="0" fontId="31" fillId="0" borderId="256" xfId="0" applyFont="1" applyBorder="1" applyAlignment="1">
      <alignment horizontal="center" textRotation="90"/>
    </xf>
    <xf numFmtId="0" fontId="31" fillId="0" borderId="367" xfId="0" applyFont="1" applyBorder="1" applyAlignment="1">
      <alignment horizontal="center" textRotation="90"/>
    </xf>
    <xf numFmtId="0" fontId="31" fillId="0" borderId="257" xfId="0" applyFont="1" applyBorder="1" applyAlignment="1">
      <alignment horizontal="center" textRotation="90"/>
    </xf>
    <xf numFmtId="0" fontId="31" fillId="0" borderId="382" xfId="0" applyFont="1" applyBorder="1" applyAlignment="1">
      <alignment horizontal="center" textRotation="90"/>
    </xf>
    <xf numFmtId="0" fontId="31" fillId="0" borderId="383" xfId="0" applyFont="1" applyBorder="1" applyAlignment="1">
      <alignment horizontal="center" textRotation="90"/>
    </xf>
    <xf numFmtId="0" fontId="31" fillId="0" borderId="355" xfId="0" applyFont="1" applyBorder="1" applyAlignment="1">
      <alignment horizontal="center" textRotation="90"/>
    </xf>
    <xf numFmtId="14" fontId="31" fillId="0" borderId="195" xfId="0" applyNumberFormat="1" applyFont="1" applyBorder="1" applyAlignment="1">
      <alignment horizontal="left"/>
    </xf>
    <xf numFmtId="165" fontId="31" fillId="0" borderId="166" xfId="0" applyNumberFormat="1" applyFont="1" applyBorder="1" applyAlignment="1">
      <alignment horizontal="left"/>
    </xf>
    <xf numFmtId="0" fontId="31" fillId="2" borderId="222" xfId="0" applyFont="1" applyFill="1" applyBorder="1" applyAlignment="1">
      <alignment horizontal="center" vertical="center"/>
    </xf>
    <xf numFmtId="0" fontId="31" fillId="2" borderId="168" xfId="0" applyFont="1" applyFill="1" applyBorder="1" applyAlignment="1">
      <alignment horizontal="center" vertical="center"/>
    </xf>
    <xf numFmtId="0" fontId="31" fillId="2" borderId="169" xfId="0" applyFont="1" applyFill="1" applyBorder="1" applyAlignment="1">
      <alignment horizontal="center" vertical="center"/>
    </xf>
    <xf numFmtId="0" fontId="31" fillId="2" borderId="273" xfId="0" applyFont="1" applyFill="1" applyBorder="1" applyAlignment="1">
      <alignment horizontal="center" vertical="center"/>
    </xf>
    <xf numFmtId="0" fontId="31" fillId="2" borderId="166" xfId="0" applyFont="1" applyFill="1" applyBorder="1" applyAlignment="1">
      <alignment horizontal="center" vertical="center"/>
    </xf>
    <xf numFmtId="0" fontId="31" fillId="2" borderId="174" xfId="0" applyFont="1" applyFill="1" applyBorder="1" applyAlignment="1">
      <alignment horizontal="center" vertical="center"/>
    </xf>
    <xf numFmtId="2" fontId="34" fillId="0" borderId="276" xfId="0" applyNumberFormat="1" applyFont="1" applyBorder="1" applyAlignment="1">
      <alignment horizontal="center" vertical="center"/>
    </xf>
    <xf numFmtId="2" fontId="34" fillId="0" borderId="198" xfId="0" applyNumberFormat="1" applyFont="1" applyBorder="1" applyAlignment="1">
      <alignment horizontal="center" vertical="center"/>
    </xf>
    <xf numFmtId="2" fontId="34" fillId="0" borderId="185" xfId="0" applyNumberFormat="1" applyFont="1" applyBorder="1" applyAlignment="1">
      <alignment horizontal="center" vertical="center"/>
    </xf>
    <xf numFmtId="2" fontId="31" fillId="0" borderId="301" xfId="0" applyNumberFormat="1" applyFont="1" applyBorder="1" applyAlignment="1">
      <alignment horizontal="center" vertical="center"/>
    </xf>
    <xf numFmtId="2" fontId="31" fillId="0" borderId="180" xfId="0" applyNumberFormat="1" applyFont="1" applyBorder="1" applyAlignment="1">
      <alignment horizontal="center" vertical="center"/>
    </xf>
    <xf numFmtId="2" fontId="31" fillId="0" borderId="302" xfId="0" applyNumberFormat="1" applyFont="1" applyBorder="1" applyAlignment="1">
      <alignment horizontal="center" vertical="center"/>
    </xf>
    <xf numFmtId="2" fontId="31" fillId="0" borderId="191" xfId="0" applyNumberFormat="1" applyFont="1" applyBorder="1" applyAlignment="1">
      <alignment horizontal="center" vertical="center"/>
    </xf>
    <xf numFmtId="0" fontId="31" fillId="0" borderId="0" xfId="0" applyFont="1" applyAlignment="1">
      <alignment horizontal="left" vertical="center"/>
    </xf>
    <xf numFmtId="2" fontId="31" fillId="0" borderId="220" xfId="0" applyNumberFormat="1" applyFont="1" applyBorder="1" applyAlignment="1">
      <alignment horizontal="right" vertical="center"/>
    </xf>
    <xf numFmtId="166" fontId="31" fillId="0" borderId="304" xfId="0" applyNumberFormat="1" applyFont="1" applyBorder="1" applyAlignment="1">
      <alignment horizontal="center" vertical="center"/>
    </xf>
    <xf numFmtId="166" fontId="31" fillId="0" borderId="157" xfId="0" applyNumberFormat="1" applyFont="1" applyBorder="1" applyAlignment="1">
      <alignment horizontal="center" vertical="center"/>
    </xf>
    <xf numFmtId="166" fontId="31" fillId="0" borderId="193" xfId="0" applyNumberFormat="1" applyFont="1" applyBorder="1" applyAlignment="1">
      <alignment horizontal="center" vertical="center"/>
    </xf>
    <xf numFmtId="166" fontId="31" fillId="0" borderId="301" xfId="0" applyNumberFormat="1" applyFont="1" applyBorder="1" applyAlignment="1">
      <alignment horizontal="center" vertical="center"/>
    </xf>
    <xf numFmtId="166" fontId="31" fillId="0" borderId="305" xfId="0" applyNumberFormat="1" applyFont="1" applyBorder="1" applyAlignment="1">
      <alignment horizontal="center" vertical="center"/>
    </xf>
    <xf numFmtId="166" fontId="31" fillId="0" borderId="204" xfId="0" applyNumberFormat="1" applyFont="1" applyBorder="1" applyAlignment="1">
      <alignment horizontal="center" vertical="center"/>
    </xf>
    <xf numFmtId="1" fontId="31" fillId="0" borderId="266" xfId="0" applyNumberFormat="1" applyFont="1" applyBorder="1" applyAlignment="1">
      <alignment horizontal="center" vertical="center"/>
    </xf>
    <xf numFmtId="1" fontId="31" fillId="0" borderId="176" xfId="0" applyNumberFormat="1" applyFont="1" applyBorder="1" applyAlignment="1">
      <alignment horizontal="center" vertical="center"/>
    </xf>
    <xf numFmtId="1" fontId="31" fillId="0" borderId="177" xfId="0" applyNumberFormat="1" applyFont="1" applyBorder="1" applyAlignment="1">
      <alignment horizontal="center" vertical="center"/>
    </xf>
    <xf numFmtId="1" fontId="31" fillId="0" borderId="306" xfId="0" applyNumberFormat="1" applyFont="1" applyBorder="1" applyAlignment="1">
      <alignment horizontal="center" vertical="center"/>
    </xf>
    <xf numFmtId="1" fontId="31" fillId="0" borderId="218" xfId="0" applyNumberFormat="1" applyFont="1" applyBorder="1" applyAlignment="1">
      <alignment horizontal="center" vertical="center"/>
    </xf>
    <xf numFmtId="1" fontId="31" fillId="0" borderId="188" xfId="0" applyNumberFormat="1" applyFont="1" applyBorder="1" applyAlignment="1">
      <alignment horizontal="center" vertical="center"/>
    </xf>
    <xf numFmtId="0" fontId="0" fillId="0" borderId="195" xfId="0" applyBorder="1" applyAlignment="1">
      <alignment horizontal="center" vertical="center"/>
    </xf>
    <xf numFmtId="0" fontId="0" fillId="0" borderId="196" xfId="0" applyBorder="1" applyAlignment="1">
      <alignment horizontal="center" vertical="center"/>
    </xf>
    <xf numFmtId="168" fontId="31" fillId="0" borderId="0" xfId="0" applyNumberFormat="1" applyFont="1" applyAlignment="1">
      <alignment horizontal="right" vertical="center"/>
    </xf>
    <xf numFmtId="0" fontId="33" fillId="0" borderId="0" xfId="0" applyFont="1" applyAlignment="1">
      <alignment horizontal="left"/>
    </xf>
    <xf numFmtId="14" fontId="50" fillId="0" borderId="0" xfId="0" applyNumberFormat="1" applyFont="1" applyAlignment="1" applyProtection="1">
      <alignment horizontal="left"/>
      <protection locked="0"/>
    </xf>
    <xf numFmtId="0" fontId="50" fillId="0" borderId="0" xfId="0" applyFont="1" applyAlignment="1" applyProtection="1">
      <alignment horizontal="left"/>
      <protection locked="0"/>
    </xf>
    <xf numFmtId="0" fontId="33" fillId="0" borderId="0" xfId="0" applyFont="1" applyAlignment="1">
      <alignment horizontal="center"/>
    </xf>
    <xf numFmtId="0" fontId="31" fillId="0" borderId="273" xfId="0" applyFont="1" applyBorder="1" applyAlignment="1">
      <alignment horizontal="left" vertical="center" wrapText="1"/>
    </xf>
    <xf numFmtId="0" fontId="31" fillId="0" borderId="166" xfId="0" applyFont="1" applyBorder="1" applyAlignment="1">
      <alignment horizontal="left" vertical="center" wrapText="1"/>
    </xf>
    <xf numFmtId="0" fontId="31" fillId="0" borderId="333" xfId="0" applyFont="1" applyBorder="1" applyAlignment="1">
      <alignment horizontal="left" wrapText="1"/>
    </xf>
    <xf numFmtId="0" fontId="31" fillId="0" borderId="165" xfId="0" applyFont="1" applyBorder="1" applyAlignment="1">
      <alignment horizontal="left" wrapText="1"/>
    </xf>
    <xf numFmtId="0" fontId="31" fillId="0" borderId="213" xfId="0" applyFont="1" applyBorder="1" applyAlignment="1">
      <alignment horizontal="left" vertical="center" wrapText="1"/>
    </xf>
    <xf numFmtId="0" fontId="31" fillId="0" borderId="0" xfId="0" applyFont="1" applyAlignment="1">
      <alignment horizontal="left" vertical="center" wrapText="1"/>
    </xf>
    <xf numFmtId="0" fontId="0" fillId="0" borderId="266" xfId="0" applyBorder="1" applyAlignment="1">
      <alignment horizontal="center" vertical="center"/>
    </xf>
    <xf numFmtId="0" fontId="0" fillId="0" borderId="176" xfId="0" applyBorder="1" applyAlignment="1">
      <alignment horizontal="center" vertical="center"/>
    </xf>
    <xf numFmtId="0" fontId="0" fillId="0" borderId="267" xfId="0" applyBorder="1" applyAlignment="1">
      <alignment horizontal="center" vertical="center"/>
    </xf>
    <xf numFmtId="0" fontId="72" fillId="0" borderId="0" xfId="0" applyFont="1" applyAlignment="1">
      <alignment horizontal="center"/>
    </xf>
    <xf numFmtId="0" fontId="33" fillId="0" borderId="0" xfId="0" applyFont="1" applyAlignment="1">
      <alignment horizontal="center" vertical="center"/>
    </xf>
    <xf numFmtId="0" fontId="32" fillId="0" borderId="270" xfId="0" applyFont="1" applyBorder="1" applyAlignment="1">
      <alignment horizontal="left"/>
    </xf>
    <xf numFmtId="0" fontId="34" fillId="0" borderId="0" xfId="0" applyFont="1" applyAlignment="1">
      <alignment horizontal="center" vertical="center"/>
    </xf>
    <xf numFmtId="0" fontId="31" fillId="0" borderId="167" xfId="0" applyFont="1" applyBorder="1" applyAlignment="1">
      <alignment horizontal="left" vertical="center"/>
    </xf>
    <xf numFmtId="0" fontId="31" fillId="0" borderId="168" xfId="0" applyFont="1" applyBorder="1" applyAlignment="1">
      <alignment horizontal="left" vertical="center"/>
    </xf>
    <xf numFmtId="0" fontId="31" fillId="0" borderId="169" xfId="0" applyFont="1" applyBorder="1" applyAlignment="1">
      <alignment horizontal="left" vertical="center"/>
    </xf>
    <xf numFmtId="0" fontId="31" fillId="0" borderId="170" xfId="0" applyFont="1" applyBorder="1" applyAlignment="1">
      <alignment horizontal="left" vertical="center"/>
    </xf>
    <xf numFmtId="0" fontId="31" fillId="0" borderId="214" xfId="0" applyFont="1" applyBorder="1" applyAlignment="1">
      <alignment horizontal="left" vertical="center"/>
    </xf>
    <xf numFmtId="0" fontId="31" fillId="0" borderId="171" xfId="0" applyFont="1" applyBorder="1" applyAlignment="1">
      <alignment horizontal="left" vertical="center"/>
    </xf>
    <xf numFmtId="0" fontId="31" fillId="0" borderId="172" xfId="0" applyFont="1" applyBorder="1" applyAlignment="1">
      <alignment horizontal="left" vertical="center"/>
    </xf>
    <xf numFmtId="0" fontId="31" fillId="0" borderId="217" xfId="0" applyFont="1" applyBorder="1" applyAlignment="1">
      <alignment horizontal="left" vertical="center"/>
    </xf>
    <xf numFmtId="0" fontId="34" fillId="0" borderId="172" xfId="0" applyFont="1" applyBorder="1" applyAlignment="1">
      <alignment horizontal="center" vertical="center"/>
    </xf>
    <xf numFmtId="0" fontId="57" fillId="0" borderId="280" xfId="0" applyFont="1" applyBorder="1" applyAlignment="1">
      <alignment horizontal="left" vertical="center"/>
    </xf>
    <xf numFmtId="0" fontId="0" fillId="0" borderId="405" xfId="0" applyBorder="1" applyAlignment="1">
      <alignment horizontal="center"/>
    </xf>
    <xf numFmtId="0" fontId="0" fillId="0" borderId="405" xfId="0" applyBorder="1" applyAlignment="1">
      <alignment horizontal="center" vertical="center"/>
    </xf>
    <xf numFmtId="0" fontId="0" fillId="0" borderId="266" xfId="0" applyBorder="1" applyAlignment="1">
      <alignment horizontal="center"/>
    </xf>
    <xf numFmtId="0" fontId="0" fillId="0" borderId="176" xfId="0" applyBorder="1" applyAlignment="1">
      <alignment horizontal="center"/>
    </xf>
    <xf numFmtId="0" fontId="0" fillId="0" borderId="267" xfId="0" applyBorder="1" applyAlignment="1">
      <alignment horizontal="center"/>
    </xf>
  </cellXfs>
  <cellStyles count="3">
    <cellStyle name="Comma" xfId="2" builtinId="3"/>
    <cellStyle name="Hyperlink" xfId="1" builtinId="8"/>
    <cellStyle name="Normal" xfId="0" builtinId="0"/>
  </cellStyles>
  <dxfs count="13">
    <dxf>
      <font>
        <color theme="0" tint="-0.24994659260841701"/>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theme="0" tint="-0.499984740745262"/>
      </font>
    </dxf>
    <dxf>
      <font>
        <color theme="0" tint="-0.34998626667073579"/>
      </font>
    </dxf>
    <dxf>
      <font>
        <color theme="0" tint="-0.24994659260841701"/>
      </font>
    </dxf>
    <dxf>
      <font>
        <color theme="0" tint="-0.34998626667073579"/>
      </font>
    </dxf>
  </dxfs>
  <tableStyles count="0" defaultTableStyle="TableStyleMedium9" defaultPivotStyle="PivotStyleLight16"/>
  <colors>
    <mruColors>
      <color rgb="FFFF99FF"/>
      <color rgb="FFCCE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19</xdr:col>
      <xdr:colOff>295275</xdr:colOff>
      <xdr:row>54</xdr:row>
      <xdr:rowOff>28575</xdr:rowOff>
    </xdr:from>
    <xdr:to>
      <xdr:col>19</xdr:col>
      <xdr:colOff>340994</xdr:colOff>
      <xdr:row>55</xdr:row>
      <xdr:rowOff>9525</xdr:rowOff>
    </xdr:to>
    <xdr:sp macro="" textlink="">
      <xdr:nvSpPr>
        <xdr:cNvPr id="2" name="PIJL-OMLAAG 1">
          <a:extLst>
            <a:ext uri="{FF2B5EF4-FFF2-40B4-BE49-F238E27FC236}">
              <a16:creationId xmlns:a16="http://schemas.microsoft.com/office/drawing/2014/main" id="{00000000-0008-0000-0000-000002000000}"/>
            </a:ext>
          </a:extLst>
        </xdr:cNvPr>
        <xdr:cNvSpPr/>
      </xdr:nvSpPr>
      <xdr:spPr>
        <a:xfrm>
          <a:off x="11877675" y="7924800"/>
          <a:ext cx="45719" cy="1619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47</xdr:row>
      <xdr:rowOff>38100</xdr:rowOff>
    </xdr:from>
    <xdr:to>
      <xdr:col>4</xdr:col>
      <xdr:colOff>226694</xdr:colOff>
      <xdr:row>55</xdr:row>
      <xdr:rowOff>171450</xdr:rowOff>
    </xdr:to>
    <xdr:sp macro="" textlink="">
      <xdr:nvSpPr>
        <xdr:cNvPr id="3" name="PIJL-OMLAAG 2">
          <a:extLst>
            <a:ext uri="{FF2B5EF4-FFF2-40B4-BE49-F238E27FC236}">
              <a16:creationId xmlns:a16="http://schemas.microsoft.com/office/drawing/2014/main" id="{00000000-0008-0000-0100-000003000000}"/>
            </a:ext>
          </a:extLst>
        </xdr:cNvPr>
        <xdr:cNvSpPr/>
      </xdr:nvSpPr>
      <xdr:spPr>
        <a:xfrm>
          <a:off x="2133600" y="8639175"/>
          <a:ext cx="45719" cy="1581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133350</xdr:colOff>
      <xdr:row>47</xdr:row>
      <xdr:rowOff>38100</xdr:rowOff>
    </xdr:from>
    <xdr:to>
      <xdr:col>7</xdr:col>
      <xdr:colOff>200025</xdr:colOff>
      <xdr:row>54</xdr:row>
      <xdr:rowOff>142875</xdr:rowOff>
    </xdr:to>
    <xdr:sp macro="" textlink="">
      <xdr:nvSpPr>
        <xdr:cNvPr id="4" name="PIJL-OMLAAG 3">
          <a:extLst>
            <a:ext uri="{FF2B5EF4-FFF2-40B4-BE49-F238E27FC236}">
              <a16:creationId xmlns:a16="http://schemas.microsoft.com/office/drawing/2014/main" id="{00000000-0008-0000-0100-000004000000}"/>
            </a:ext>
          </a:extLst>
        </xdr:cNvPr>
        <xdr:cNvSpPr/>
      </xdr:nvSpPr>
      <xdr:spPr>
        <a:xfrm>
          <a:off x="3429000" y="8639175"/>
          <a:ext cx="6667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382906</xdr:colOff>
      <xdr:row>47</xdr:row>
      <xdr:rowOff>38100</xdr:rowOff>
    </xdr:from>
    <xdr:to>
      <xdr:col>8</xdr:col>
      <xdr:colOff>428625</xdr:colOff>
      <xdr:row>53</xdr:row>
      <xdr:rowOff>123825</xdr:rowOff>
    </xdr:to>
    <xdr:sp macro="" textlink="">
      <xdr:nvSpPr>
        <xdr:cNvPr id="5" name="PIJL-OMLAAG 4">
          <a:extLst>
            <a:ext uri="{FF2B5EF4-FFF2-40B4-BE49-F238E27FC236}">
              <a16:creationId xmlns:a16="http://schemas.microsoft.com/office/drawing/2014/main" id="{00000000-0008-0000-0100-000005000000}"/>
            </a:ext>
          </a:extLst>
        </xdr:cNvPr>
        <xdr:cNvSpPr/>
      </xdr:nvSpPr>
      <xdr:spPr>
        <a:xfrm>
          <a:off x="4126231" y="8639175"/>
          <a:ext cx="45719" cy="1171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333375</xdr:colOff>
      <xdr:row>47</xdr:row>
      <xdr:rowOff>38100</xdr:rowOff>
    </xdr:from>
    <xdr:to>
      <xdr:col>10</xdr:col>
      <xdr:colOff>379094</xdr:colOff>
      <xdr:row>52</xdr:row>
      <xdr:rowOff>152400</xdr:rowOff>
    </xdr:to>
    <xdr:sp macro="" textlink="">
      <xdr:nvSpPr>
        <xdr:cNvPr id="6" name="PIJL-OMLAAG 5">
          <a:extLst>
            <a:ext uri="{FF2B5EF4-FFF2-40B4-BE49-F238E27FC236}">
              <a16:creationId xmlns:a16="http://schemas.microsoft.com/office/drawing/2014/main" id="{00000000-0008-0000-0100-000006000000}"/>
            </a:ext>
          </a:extLst>
        </xdr:cNvPr>
        <xdr:cNvSpPr/>
      </xdr:nvSpPr>
      <xdr:spPr>
        <a:xfrm>
          <a:off x="4972050" y="8639175"/>
          <a:ext cx="45719" cy="1019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47</xdr:row>
      <xdr:rowOff>47625</xdr:rowOff>
    </xdr:from>
    <xdr:to>
      <xdr:col>13</xdr:col>
      <xdr:colOff>323850</xdr:colOff>
      <xdr:row>51</xdr:row>
      <xdr:rowOff>161925</xdr:rowOff>
    </xdr:to>
    <xdr:sp macro="" textlink="">
      <xdr:nvSpPr>
        <xdr:cNvPr id="7" name="PIJL-OMLAAG 6">
          <a:extLst>
            <a:ext uri="{FF2B5EF4-FFF2-40B4-BE49-F238E27FC236}">
              <a16:creationId xmlns:a16="http://schemas.microsoft.com/office/drawing/2014/main" id="{00000000-0008-0000-0100-000007000000}"/>
            </a:ext>
          </a:extLst>
        </xdr:cNvPr>
        <xdr:cNvSpPr/>
      </xdr:nvSpPr>
      <xdr:spPr>
        <a:xfrm>
          <a:off x="6259831" y="864870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47</xdr:row>
      <xdr:rowOff>38100</xdr:rowOff>
    </xdr:from>
    <xdr:to>
      <xdr:col>16</xdr:col>
      <xdr:colOff>293369</xdr:colOff>
      <xdr:row>50</xdr:row>
      <xdr:rowOff>152400</xdr:rowOff>
    </xdr:to>
    <xdr:sp macro="" textlink="">
      <xdr:nvSpPr>
        <xdr:cNvPr id="8" name="PIJL-OMLAAG 7">
          <a:extLst>
            <a:ext uri="{FF2B5EF4-FFF2-40B4-BE49-F238E27FC236}">
              <a16:creationId xmlns:a16="http://schemas.microsoft.com/office/drawing/2014/main" id="{00000000-0008-0000-0100-000008000000}"/>
            </a:ext>
          </a:extLst>
        </xdr:cNvPr>
        <xdr:cNvSpPr/>
      </xdr:nvSpPr>
      <xdr:spPr>
        <a:xfrm>
          <a:off x="7572375" y="8639175"/>
          <a:ext cx="45719" cy="657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295275</xdr:colOff>
      <xdr:row>47</xdr:row>
      <xdr:rowOff>38100</xdr:rowOff>
    </xdr:from>
    <xdr:to>
      <xdr:col>18</xdr:col>
      <xdr:colOff>340994</xdr:colOff>
      <xdr:row>50</xdr:row>
      <xdr:rowOff>0</xdr:rowOff>
    </xdr:to>
    <xdr:sp macro="" textlink="">
      <xdr:nvSpPr>
        <xdr:cNvPr id="9" name="PIJL-OMLAAG 8">
          <a:extLst>
            <a:ext uri="{FF2B5EF4-FFF2-40B4-BE49-F238E27FC236}">
              <a16:creationId xmlns:a16="http://schemas.microsoft.com/office/drawing/2014/main" id="{00000000-0008-0000-0100-000009000000}"/>
            </a:ext>
          </a:extLst>
        </xdr:cNvPr>
        <xdr:cNvSpPr/>
      </xdr:nvSpPr>
      <xdr:spPr>
        <a:xfrm>
          <a:off x="8515350" y="8639175"/>
          <a:ext cx="45719" cy="504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47</xdr:row>
      <xdr:rowOff>38100</xdr:rowOff>
    </xdr:from>
    <xdr:to>
      <xdr:col>20</xdr:col>
      <xdr:colOff>333375</xdr:colOff>
      <xdr:row>48</xdr:row>
      <xdr:rowOff>161925</xdr:rowOff>
    </xdr:to>
    <xdr:sp macro="" textlink="">
      <xdr:nvSpPr>
        <xdr:cNvPr id="10" name="PIJL-OMLAAG 9">
          <a:extLst>
            <a:ext uri="{FF2B5EF4-FFF2-40B4-BE49-F238E27FC236}">
              <a16:creationId xmlns:a16="http://schemas.microsoft.com/office/drawing/2014/main" id="{00000000-0008-0000-0100-00000A000000}"/>
            </a:ext>
          </a:extLst>
        </xdr:cNvPr>
        <xdr:cNvSpPr/>
      </xdr:nvSpPr>
      <xdr:spPr>
        <a:xfrm>
          <a:off x="9401175" y="8639175"/>
          <a:ext cx="47625"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66675</xdr:colOff>
      <xdr:row>47</xdr:row>
      <xdr:rowOff>47625</xdr:rowOff>
    </xdr:from>
    <xdr:to>
      <xdr:col>23</xdr:col>
      <xdr:colOff>112394</xdr:colOff>
      <xdr:row>47</xdr:row>
      <xdr:rowOff>171450</xdr:rowOff>
    </xdr:to>
    <xdr:sp macro="" textlink="">
      <xdr:nvSpPr>
        <xdr:cNvPr id="11" name="PIJL-OMLAAG 10">
          <a:extLst>
            <a:ext uri="{FF2B5EF4-FFF2-40B4-BE49-F238E27FC236}">
              <a16:creationId xmlns:a16="http://schemas.microsoft.com/office/drawing/2014/main" id="{00000000-0008-0000-0100-00000B000000}"/>
            </a:ext>
          </a:extLst>
        </xdr:cNvPr>
        <xdr:cNvSpPr/>
      </xdr:nvSpPr>
      <xdr:spPr>
        <a:xfrm>
          <a:off x="10525125" y="8648700"/>
          <a:ext cx="45719"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144781</xdr:colOff>
      <xdr:row>66</xdr:row>
      <xdr:rowOff>57150</xdr:rowOff>
    </xdr:from>
    <xdr:to>
      <xdr:col>7</xdr:col>
      <xdr:colOff>190500</xdr:colOff>
      <xdr:row>76</xdr:row>
      <xdr:rowOff>152400</xdr:rowOff>
    </xdr:to>
    <xdr:sp macro="" textlink="">
      <xdr:nvSpPr>
        <xdr:cNvPr id="13" name="PIJL-OMLAAG 12">
          <a:extLst>
            <a:ext uri="{FF2B5EF4-FFF2-40B4-BE49-F238E27FC236}">
              <a16:creationId xmlns:a16="http://schemas.microsoft.com/office/drawing/2014/main" id="{00000000-0008-0000-0100-00000D000000}"/>
            </a:ext>
          </a:extLst>
        </xdr:cNvPr>
        <xdr:cNvSpPr/>
      </xdr:nvSpPr>
      <xdr:spPr>
        <a:xfrm>
          <a:off x="3440431" y="12668250"/>
          <a:ext cx="45719" cy="19050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200025</xdr:colOff>
      <xdr:row>66</xdr:row>
      <xdr:rowOff>47625</xdr:rowOff>
    </xdr:from>
    <xdr:to>
      <xdr:col>11</xdr:col>
      <xdr:colOff>245744</xdr:colOff>
      <xdr:row>75</xdr:row>
      <xdr:rowOff>123825</xdr:rowOff>
    </xdr:to>
    <xdr:sp macro="" textlink="">
      <xdr:nvSpPr>
        <xdr:cNvPr id="14" name="PIJL-OMLAAG 13">
          <a:extLst>
            <a:ext uri="{FF2B5EF4-FFF2-40B4-BE49-F238E27FC236}">
              <a16:creationId xmlns:a16="http://schemas.microsoft.com/office/drawing/2014/main" id="{00000000-0008-0000-0100-00000E000000}"/>
            </a:ext>
          </a:extLst>
        </xdr:cNvPr>
        <xdr:cNvSpPr/>
      </xdr:nvSpPr>
      <xdr:spPr>
        <a:xfrm>
          <a:off x="5286375" y="12658725"/>
          <a:ext cx="45719" cy="17049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14</xdr:col>
      <xdr:colOff>133350</xdr:colOff>
      <xdr:row>66</xdr:row>
      <xdr:rowOff>47625</xdr:rowOff>
    </xdr:from>
    <xdr:to>
      <xdr:col>14</xdr:col>
      <xdr:colOff>180975</xdr:colOff>
      <xdr:row>74</xdr:row>
      <xdr:rowOff>133350</xdr:rowOff>
    </xdr:to>
    <xdr:sp macro="" textlink="">
      <xdr:nvSpPr>
        <xdr:cNvPr id="15" name="PIJL-OMLAAG 14">
          <a:extLst>
            <a:ext uri="{FF2B5EF4-FFF2-40B4-BE49-F238E27FC236}">
              <a16:creationId xmlns:a16="http://schemas.microsoft.com/office/drawing/2014/main" id="{00000000-0008-0000-0100-00000F000000}"/>
            </a:ext>
          </a:extLst>
        </xdr:cNvPr>
        <xdr:cNvSpPr/>
      </xdr:nvSpPr>
      <xdr:spPr>
        <a:xfrm>
          <a:off x="6562725" y="12658725"/>
          <a:ext cx="47625"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66</xdr:row>
      <xdr:rowOff>38100</xdr:rowOff>
    </xdr:from>
    <xdr:to>
      <xdr:col>16</xdr:col>
      <xdr:colOff>295275</xdr:colOff>
      <xdr:row>69</xdr:row>
      <xdr:rowOff>171450</xdr:rowOff>
    </xdr:to>
    <xdr:sp macro="" textlink="">
      <xdr:nvSpPr>
        <xdr:cNvPr id="16" name="PIJL-OMLAAG 15">
          <a:extLst>
            <a:ext uri="{FF2B5EF4-FFF2-40B4-BE49-F238E27FC236}">
              <a16:creationId xmlns:a16="http://schemas.microsoft.com/office/drawing/2014/main" id="{00000000-0008-0000-0100-000010000000}"/>
            </a:ext>
          </a:extLst>
        </xdr:cNvPr>
        <xdr:cNvSpPr/>
      </xdr:nvSpPr>
      <xdr:spPr>
        <a:xfrm>
          <a:off x="7574281" y="12649200"/>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66</xdr:row>
      <xdr:rowOff>57150</xdr:rowOff>
    </xdr:from>
    <xdr:to>
      <xdr:col>18</xdr:col>
      <xdr:colOff>398144</xdr:colOff>
      <xdr:row>69</xdr:row>
      <xdr:rowOff>0</xdr:rowOff>
    </xdr:to>
    <xdr:sp macro="" textlink="">
      <xdr:nvSpPr>
        <xdr:cNvPr id="17" name="PIJL-OMLAAG 16">
          <a:extLst>
            <a:ext uri="{FF2B5EF4-FFF2-40B4-BE49-F238E27FC236}">
              <a16:creationId xmlns:a16="http://schemas.microsoft.com/office/drawing/2014/main" id="{00000000-0008-0000-0100-000011000000}"/>
            </a:ext>
          </a:extLst>
        </xdr:cNvPr>
        <xdr:cNvSpPr/>
      </xdr:nvSpPr>
      <xdr:spPr>
        <a:xfrm>
          <a:off x="8572500" y="12668250"/>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66</xdr:row>
      <xdr:rowOff>47625</xdr:rowOff>
    </xdr:from>
    <xdr:to>
      <xdr:col>21</xdr:col>
      <xdr:colOff>7619</xdr:colOff>
      <xdr:row>68</xdr:row>
      <xdr:rowOff>0</xdr:rowOff>
    </xdr:to>
    <xdr:sp macro="" textlink="">
      <xdr:nvSpPr>
        <xdr:cNvPr id="18" name="PIJL-OMLAAG 17">
          <a:extLst>
            <a:ext uri="{FF2B5EF4-FFF2-40B4-BE49-F238E27FC236}">
              <a16:creationId xmlns:a16="http://schemas.microsoft.com/office/drawing/2014/main" id="{00000000-0008-0000-0100-000012000000}"/>
            </a:ext>
          </a:extLst>
        </xdr:cNvPr>
        <xdr:cNvSpPr/>
      </xdr:nvSpPr>
      <xdr:spPr>
        <a:xfrm>
          <a:off x="9525000" y="12658725"/>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66</xdr:row>
      <xdr:rowOff>38100</xdr:rowOff>
    </xdr:from>
    <xdr:to>
      <xdr:col>23</xdr:col>
      <xdr:colOff>102869</xdr:colOff>
      <xdr:row>66</xdr:row>
      <xdr:rowOff>171450</xdr:rowOff>
    </xdr:to>
    <xdr:sp macro="" textlink="">
      <xdr:nvSpPr>
        <xdr:cNvPr id="19" name="PIJL-OMLAAG 18">
          <a:extLst>
            <a:ext uri="{FF2B5EF4-FFF2-40B4-BE49-F238E27FC236}">
              <a16:creationId xmlns:a16="http://schemas.microsoft.com/office/drawing/2014/main" id="{00000000-0008-0000-0100-000013000000}"/>
            </a:ext>
          </a:extLst>
        </xdr:cNvPr>
        <xdr:cNvSpPr/>
      </xdr:nvSpPr>
      <xdr:spPr>
        <a:xfrm>
          <a:off x="10515600" y="126492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180975</xdr:colOff>
      <xdr:row>102</xdr:row>
      <xdr:rowOff>47625</xdr:rowOff>
    </xdr:from>
    <xdr:to>
      <xdr:col>4</xdr:col>
      <xdr:colOff>226694</xdr:colOff>
      <xdr:row>113</xdr:row>
      <xdr:rowOff>133350</xdr:rowOff>
    </xdr:to>
    <xdr:sp macro="" textlink="">
      <xdr:nvSpPr>
        <xdr:cNvPr id="21" name="PIJL-OMLAAG 20">
          <a:extLst>
            <a:ext uri="{FF2B5EF4-FFF2-40B4-BE49-F238E27FC236}">
              <a16:creationId xmlns:a16="http://schemas.microsoft.com/office/drawing/2014/main" id="{00000000-0008-0000-0100-000015000000}"/>
            </a:ext>
          </a:extLst>
        </xdr:cNvPr>
        <xdr:cNvSpPr/>
      </xdr:nvSpPr>
      <xdr:spPr>
        <a:xfrm>
          <a:off x="2133600" y="1636395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104775</xdr:colOff>
      <xdr:row>102</xdr:row>
      <xdr:rowOff>38100</xdr:rowOff>
    </xdr:from>
    <xdr:to>
      <xdr:col>8</xdr:col>
      <xdr:colOff>152400</xdr:colOff>
      <xdr:row>113</xdr:row>
      <xdr:rowOff>0</xdr:rowOff>
    </xdr:to>
    <xdr:sp macro="" textlink="">
      <xdr:nvSpPr>
        <xdr:cNvPr id="22" name="PIJL-OMLAAG 21">
          <a:extLst>
            <a:ext uri="{FF2B5EF4-FFF2-40B4-BE49-F238E27FC236}">
              <a16:creationId xmlns:a16="http://schemas.microsoft.com/office/drawing/2014/main" id="{00000000-0008-0000-0100-000016000000}"/>
            </a:ext>
          </a:extLst>
        </xdr:cNvPr>
        <xdr:cNvSpPr/>
      </xdr:nvSpPr>
      <xdr:spPr>
        <a:xfrm>
          <a:off x="3848100" y="16354425"/>
          <a:ext cx="47625" cy="19526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373381</xdr:colOff>
      <xdr:row>102</xdr:row>
      <xdr:rowOff>28575</xdr:rowOff>
    </xdr:from>
    <xdr:to>
      <xdr:col>10</xdr:col>
      <xdr:colOff>419100</xdr:colOff>
      <xdr:row>111</xdr:row>
      <xdr:rowOff>142875</xdr:rowOff>
    </xdr:to>
    <xdr:sp macro="" textlink="">
      <xdr:nvSpPr>
        <xdr:cNvPr id="23" name="PIJL-OMLAAG 22">
          <a:extLst>
            <a:ext uri="{FF2B5EF4-FFF2-40B4-BE49-F238E27FC236}">
              <a16:creationId xmlns:a16="http://schemas.microsoft.com/office/drawing/2014/main" id="{00000000-0008-0000-0100-000017000000}"/>
            </a:ext>
          </a:extLst>
        </xdr:cNvPr>
        <xdr:cNvSpPr/>
      </xdr:nvSpPr>
      <xdr:spPr>
        <a:xfrm>
          <a:off x="5012056" y="16344900"/>
          <a:ext cx="45719"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102</xdr:row>
      <xdr:rowOff>57150</xdr:rowOff>
    </xdr:from>
    <xdr:to>
      <xdr:col>13</xdr:col>
      <xdr:colOff>323850</xdr:colOff>
      <xdr:row>110</xdr:row>
      <xdr:rowOff>142875</xdr:rowOff>
    </xdr:to>
    <xdr:sp macro="" textlink="">
      <xdr:nvSpPr>
        <xdr:cNvPr id="24" name="PIJL-OMLAAG 23">
          <a:extLst>
            <a:ext uri="{FF2B5EF4-FFF2-40B4-BE49-F238E27FC236}">
              <a16:creationId xmlns:a16="http://schemas.microsoft.com/office/drawing/2014/main" id="{00000000-0008-0000-0100-000018000000}"/>
            </a:ext>
          </a:extLst>
        </xdr:cNvPr>
        <xdr:cNvSpPr/>
      </xdr:nvSpPr>
      <xdr:spPr>
        <a:xfrm>
          <a:off x="6259831" y="16373475"/>
          <a:ext cx="45719"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102</xdr:row>
      <xdr:rowOff>47625</xdr:rowOff>
    </xdr:from>
    <xdr:to>
      <xdr:col>16</xdr:col>
      <xdr:colOff>293369</xdr:colOff>
      <xdr:row>106</xdr:row>
      <xdr:rowOff>171450</xdr:rowOff>
    </xdr:to>
    <xdr:sp macro="" textlink="">
      <xdr:nvSpPr>
        <xdr:cNvPr id="25" name="PIJL-OMLAAG 24">
          <a:extLst>
            <a:ext uri="{FF2B5EF4-FFF2-40B4-BE49-F238E27FC236}">
              <a16:creationId xmlns:a16="http://schemas.microsoft.com/office/drawing/2014/main" id="{00000000-0008-0000-0100-000019000000}"/>
            </a:ext>
          </a:extLst>
        </xdr:cNvPr>
        <xdr:cNvSpPr/>
      </xdr:nvSpPr>
      <xdr:spPr>
        <a:xfrm>
          <a:off x="7572375" y="16363950"/>
          <a:ext cx="45719" cy="8477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266700</xdr:colOff>
      <xdr:row>102</xdr:row>
      <xdr:rowOff>47625</xdr:rowOff>
    </xdr:from>
    <xdr:to>
      <xdr:col>18</xdr:col>
      <xdr:colOff>312419</xdr:colOff>
      <xdr:row>105</xdr:row>
      <xdr:rowOff>142875</xdr:rowOff>
    </xdr:to>
    <xdr:sp macro="" textlink="">
      <xdr:nvSpPr>
        <xdr:cNvPr id="26" name="PIJL-OMLAAG 25">
          <a:extLst>
            <a:ext uri="{FF2B5EF4-FFF2-40B4-BE49-F238E27FC236}">
              <a16:creationId xmlns:a16="http://schemas.microsoft.com/office/drawing/2014/main" id="{00000000-0008-0000-0100-00001A000000}"/>
            </a:ext>
          </a:extLst>
        </xdr:cNvPr>
        <xdr:cNvSpPr/>
      </xdr:nvSpPr>
      <xdr:spPr>
        <a:xfrm>
          <a:off x="8486775" y="16363950"/>
          <a:ext cx="45719" cy="638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102</xdr:row>
      <xdr:rowOff>47625</xdr:rowOff>
    </xdr:from>
    <xdr:to>
      <xdr:col>20</xdr:col>
      <xdr:colOff>331469</xdr:colOff>
      <xdr:row>104</xdr:row>
      <xdr:rowOff>161925</xdr:rowOff>
    </xdr:to>
    <xdr:sp macro="" textlink="">
      <xdr:nvSpPr>
        <xdr:cNvPr id="27" name="PIJL-OMLAAG 26">
          <a:extLst>
            <a:ext uri="{FF2B5EF4-FFF2-40B4-BE49-F238E27FC236}">
              <a16:creationId xmlns:a16="http://schemas.microsoft.com/office/drawing/2014/main" id="{00000000-0008-0000-0100-00001B000000}"/>
            </a:ext>
          </a:extLst>
        </xdr:cNvPr>
        <xdr:cNvSpPr/>
      </xdr:nvSpPr>
      <xdr:spPr>
        <a:xfrm>
          <a:off x="9401175" y="16363950"/>
          <a:ext cx="45719" cy="4762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371475</xdr:colOff>
      <xdr:row>102</xdr:row>
      <xdr:rowOff>47625</xdr:rowOff>
    </xdr:from>
    <xdr:to>
      <xdr:col>22</xdr:col>
      <xdr:colOff>417194</xdr:colOff>
      <xdr:row>103</xdr:row>
      <xdr:rowOff>142875</xdr:rowOff>
    </xdr:to>
    <xdr:sp macro="" textlink="">
      <xdr:nvSpPr>
        <xdr:cNvPr id="28" name="PIJL-OMLAAG 27">
          <a:extLst>
            <a:ext uri="{FF2B5EF4-FFF2-40B4-BE49-F238E27FC236}">
              <a16:creationId xmlns:a16="http://schemas.microsoft.com/office/drawing/2014/main" id="{00000000-0008-0000-0100-00001C000000}"/>
            </a:ext>
          </a:extLst>
        </xdr:cNvPr>
        <xdr:cNvSpPr/>
      </xdr:nvSpPr>
      <xdr:spPr>
        <a:xfrm>
          <a:off x="10382250" y="16363950"/>
          <a:ext cx="45719" cy="276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438150</xdr:colOff>
      <xdr:row>102</xdr:row>
      <xdr:rowOff>28575</xdr:rowOff>
    </xdr:from>
    <xdr:to>
      <xdr:col>25</xdr:col>
      <xdr:colOff>36194</xdr:colOff>
      <xdr:row>102</xdr:row>
      <xdr:rowOff>142875</xdr:rowOff>
    </xdr:to>
    <xdr:sp macro="" textlink="">
      <xdr:nvSpPr>
        <xdr:cNvPr id="29" name="PIJL-OMLAAG 28">
          <a:extLst>
            <a:ext uri="{FF2B5EF4-FFF2-40B4-BE49-F238E27FC236}">
              <a16:creationId xmlns:a16="http://schemas.microsoft.com/office/drawing/2014/main" id="{00000000-0008-0000-0100-00001D000000}"/>
            </a:ext>
          </a:extLst>
        </xdr:cNvPr>
        <xdr:cNvSpPr/>
      </xdr:nvSpPr>
      <xdr:spPr>
        <a:xfrm>
          <a:off x="11344275" y="16344900"/>
          <a:ext cx="45719" cy="114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130</xdr:row>
      <xdr:rowOff>47625</xdr:rowOff>
    </xdr:from>
    <xdr:to>
      <xdr:col>13</xdr:col>
      <xdr:colOff>323850</xdr:colOff>
      <xdr:row>142</xdr:row>
      <xdr:rowOff>171450</xdr:rowOff>
    </xdr:to>
    <xdr:sp macro="" textlink="">
      <xdr:nvSpPr>
        <xdr:cNvPr id="31" name="PIJL-OMLAAG 30">
          <a:extLst>
            <a:ext uri="{FF2B5EF4-FFF2-40B4-BE49-F238E27FC236}">
              <a16:creationId xmlns:a16="http://schemas.microsoft.com/office/drawing/2014/main" id="{00000000-0008-0000-0100-00001F000000}"/>
            </a:ext>
          </a:extLst>
        </xdr:cNvPr>
        <xdr:cNvSpPr/>
      </xdr:nvSpPr>
      <xdr:spPr>
        <a:xfrm>
          <a:off x="6259831" y="20612100"/>
          <a:ext cx="45719" cy="2295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240031</xdr:colOff>
      <xdr:row>130</xdr:row>
      <xdr:rowOff>47625</xdr:rowOff>
    </xdr:from>
    <xdr:to>
      <xdr:col>20</xdr:col>
      <xdr:colOff>285750</xdr:colOff>
      <xdr:row>141</xdr:row>
      <xdr:rowOff>133350</xdr:rowOff>
    </xdr:to>
    <xdr:sp macro="" textlink="">
      <xdr:nvSpPr>
        <xdr:cNvPr id="32" name="PIJL-OMLAAG 31">
          <a:extLst>
            <a:ext uri="{FF2B5EF4-FFF2-40B4-BE49-F238E27FC236}">
              <a16:creationId xmlns:a16="http://schemas.microsoft.com/office/drawing/2014/main" id="{00000000-0008-0000-0100-000020000000}"/>
            </a:ext>
          </a:extLst>
        </xdr:cNvPr>
        <xdr:cNvSpPr/>
      </xdr:nvSpPr>
      <xdr:spPr>
        <a:xfrm>
          <a:off x="7564756" y="2061210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335281</xdr:colOff>
      <xdr:row>130</xdr:row>
      <xdr:rowOff>47625</xdr:rowOff>
    </xdr:from>
    <xdr:to>
      <xdr:col>22</xdr:col>
      <xdr:colOff>381000</xdr:colOff>
      <xdr:row>140</xdr:row>
      <xdr:rowOff>133350</xdr:rowOff>
    </xdr:to>
    <xdr:sp macro="" textlink="">
      <xdr:nvSpPr>
        <xdr:cNvPr id="33" name="PIJL-OMLAAG 32">
          <a:extLst>
            <a:ext uri="{FF2B5EF4-FFF2-40B4-BE49-F238E27FC236}">
              <a16:creationId xmlns:a16="http://schemas.microsoft.com/office/drawing/2014/main" id="{00000000-0008-0000-0100-000021000000}"/>
            </a:ext>
          </a:extLst>
        </xdr:cNvPr>
        <xdr:cNvSpPr/>
      </xdr:nvSpPr>
      <xdr:spPr>
        <a:xfrm>
          <a:off x="8555356" y="20612100"/>
          <a:ext cx="45719" cy="18954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297181</xdr:colOff>
      <xdr:row>130</xdr:row>
      <xdr:rowOff>38100</xdr:rowOff>
    </xdr:from>
    <xdr:to>
      <xdr:col>24</xdr:col>
      <xdr:colOff>342900</xdr:colOff>
      <xdr:row>139</xdr:row>
      <xdr:rowOff>142875</xdr:rowOff>
    </xdr:to>
    <xdr:sp macro="" textlink="">
      <xdr:nvSpPr>
        <xdr:cNvPr id="34" name="PIJL-OMLAAG 33">
          <a:extLst>
            <a:ext uri="{FF2B5EF4-FFF2-40B4-BE49-F238E27FC236}">
              <a16:creationId xmlns:a16="http://schemas.microsoft.com/office/drawing/2014/main" id="{00000000-0008-0000-0100-000022000000}"/>
            </a:ext>
          </a:extLst>
        </xdr:cNvPr>
        <xdr:cNvSpPr/>
      </xdr:nvSpPr>
      <xdr:spPr>
        <a:xfrm>
          <a:off x="9412606" y="20602575"/>
          <a:ext cx="45719" cy="17335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26</xdr:col>
      <xdr:colOff>316231</xdr:colOff>
      <xdr:row>130</xdr:row>
      <xdr:rowOff>47625</xdr:rowOff>
    </xdr:from>
    <xdr:to>
      <xdr:col>26</xdr:col>
      <xdr:colOff>361950</xdr:colOff>
      <xdr:row>138</xdr:row>
      <xdr:rowOff>152400</xdr:rowOff>
    </xdr:to>
    <xdr:sp macro="" textlink="">
      <xdr:nvSpPr>
        <xdr:cNvPr id="35" name="PIJL-OMLAAG 34">
          <a:extLst>
            <a:ext uri="{FF2B5EF4-FFF2-40B4-BE49-F238E27FC236}">
              <a16:creationId xmlns:a16="http://schemas.microsoft.com/office/drawing/2014/main" id="{00000000-0008-0000-0100-000023000000}"/>
            </a:ext>
          </a:extLst>
        </xdr:cNvPr>
        <xdr:cNvSpPr/>
      </xdr:nvSpPr>
      <xdr:spPr>
        <a:xfrm>
          <a:off x="10327006" y="20612100"/>
          <a:ext cx="45719" cy="1552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28</xdr:col>
      <xdr:colOff>428625</xdr:colOff>
      <xdr:row>130</xdr:row>
      <xdr:rowOff>57150</xdr:rowOff>
    </xdr:from>
    <xdr:to>
      <xdr:col>29</xdr:col>
      <xdr:colOff>28575</xdr:colOff>
      <xdr:row>137</xdr:row>
      <xdr:rowOff>161925</xdr:rowOff>
    </xdr:to>
    <xdr:sp macro="" textlink="">
      <xdr:nvSpPr>
        <xdr:cNvPr id="36" name="PIJL-OMLAAG 35">
          <a:extLst>
            <a:ext uri="{FF2B5EF4-FFF2-40B4-BE49-F238E27FC236}">
              <a16:creationId xmlns:a16="http://schemas.microsoft.com/office/drawing/2014/main" id="{00000000-0008-0000-0100-000024000000}"/>
            </a:ext>
          </a:extLst>
        </xdr:cNvPr>
        <xdr:cNvSpPr/>
      </xdr:nvSpPr>
      <xdr:spPr>
        <a:xfrm>
          <a:off x="11334750" y="20621625"/>
          <a:ext cx="4762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30</xdr:col>
      <xdr:colOff>325756</xdr:colOff>
      <xdr:row>130</xdr:row>
      <xdr:rowOff>38100</xdr:rowOff>
    </xdr:from>
    <xdr:to>
      <xdr:col>30</xdr:col>
      <xdr:colOff>371475</xdr:colOff>
      <xdr:row>136</xdr:row>
      <xdr:rowOff>171450</xdr:rowOff>
    </xdr:to>
    <xdr:sp macro="" textlink="">
      <xdr:nvSpPr>
        <xdr:cNvPr id="37" name="PIJL-OMLAAG 36">
          <a:extLst>
            <a:ext uri="{FF2B5EF4-FFF2-40B4-BE49-F238E27FC236}">
              <a16:creationId xmlns:a16="http://schemas.microsoft.com/office/drawing/2014/main" id="{00000000-0008-0000-0100-000025000000}"/>
            </a:ext>
          </a:extLst>
        </xdr:cNvPr>
        <xdr:cNvSpPr/>
      </xdr:nvSpPr>
      <xdr:spPr>
        <a:xfrm>
          <a:off x="12127231" y="20602575"/>
          <a:ext cx="45719" cy="1219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32</xdr:col>
      <xdr:colOff>314325</xdr:colOff>
      <xdr:row>130</xdr:row>
      <xdr:rowOff>47625</xdr:rowOff>
    </xdr:from>
    <xdr:to>
      <xdr:col>32</xdr:col>
      <xdr:colOff>371475</xdr:colOff>
      <xdr:row>135</xdr:row>
      <xdr:rowOff>133350</xdr:rowOff>
    </xdr:to>
    <xdr:sp macro="" textlink="">
      <xdr:nvSpPr>
        <xdr:cNvPr id="38" name="PIJL-OMLAAG 37">
          <a:extLst>
            <a:ext uri="{FF2B5EF4-FFF2-40B4-BE49-F238E27FC236}">
              <a16:creationId xmlns:a16="http://schemas.microsoft.com/office/drawing/2014/main" id="{00000000-0008-0000-0100-000026000000}"/>
            </a:ext>
          </a:extLst>
        </xdr:cNvPr>
        <xdr:cNvSpPr/>
      </xdr:nvSpPr>
      <xdr:spPr>
        <a:xfrm>
          <a:off x="13011150" y="20612100"/>
          <a:ext cx="57150" cy="990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34</xdr:col>
      <xdr:colOff>352425</xdr:colOff>
      <xdr:row>130</xdr:row>
      <xdr:rowOff>47625</xdr:rowOff>
    </xdr:from>
    <xdr:to>
      <xdr:col>34</xdr:col>
      <xdr:colOff>409575</xdr:colOff>
      <xdr:row>134</xdr:row>
      <xdr:rowOff>152400</xdr:rowOff>
    </xdr:to>
    <xdr:sp macro="" textlink="">
      <xdr:nvSpPr>
        <xdr:cNvPr id="39" name="PIJL-OMLAAG 38">
          <a:extLst>
            <a:ext uri="{FF2B5EF4-FFF2-40B4-BE49-F238E27FC236}">
              <a16:creationId xmlns:a16="http://schemas.microsoft.com/office/drawing/2014/main" id="{00000000-0008-0000-0100-000027000000}"/>
            </a:ext>
          </a:extLst>
        </xdr:cNvPr>
        <xdr:cNvSpPr/>
      </xdr:nvSpPr>
      <xdr:spPr>
        <a:xfrm>
          <a:off x="13944600" y="20612100"/>
          <a:ext cx="57150" cy="8286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37</xdr:col>
      <xdr:colOff>19050</xdr:colOff>
      <xdr:row>130</xdr:row>
      <xdr:rowOff>47625</xdr:rowOff>
    </xdr:from>
    <xdr:to>
      <xdr:col>37</xdr:col>
      <xdr:colOff>64769</xdr:colOff>
      <xdr:row>133</xdr:row>
      <xdr:rowOff>133350</xdr:rowOff>
    </xdr:to>
    <xdr:sp macro="" textlink="">
      <xdr:nvSpPr>
        <xdr:cNvPr id="40" name="PIJL-OMLAAG 39">
          <a:extLst>
            <a:ext uri="{FF2B5EF4-FFF2-40B4-BE49-F238E27FC236}">
              <a16:creationId xmlns:a16="http://schemas.microsoft.com/office/drawing/2014/main" id="{00000000-0008-0000-0100-000028000000}"/>
            </a:ext>
          </a:extLst>
        </xdr:cNvPr>
        <xdr:cNvSpPr/>
      </xdr:nvSpPr>
      <xdr:spPr>
        <a:xfrm>
          <a:off x="14954250" y="20612100"/>
          <a:ext cx="45719" cy="6286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53</xdr:col>
      <xdr:colOff>66675</xdr:colOff>
      <xdr:row>130</xdr:row>
      <xdr:rowOff>28575</xdr:rowOff>
    </xdr:from>
    <xdr:to>
      <xdr:col>53</xdr:col>
      <xdr:colOff>112394</xdr:colOff>
      <xdr:row>133</xdr:row>
      <xdr:rowOff>0</xdr:rowOff>
    </xdr:to>
    <xdr:sp macro="" textlink="">
      <xdr:nvSpPr>
        <xdr:cNvPr id="41" name="PIJL-OMLAAG 40">
          <a:extLst>
            <a:ext uri="{FF2B5EF4-FFF2-40B4-BE49-F238E27FC236}">
              <a16:creationId xmlns:a16="http://schemas.microsoft.com/office/drawing/2014/main" id="{00000000-0008-0000-0100-000029000000}"/>
            </a:ext>
          </a:extLst>
        </xdr:cNvPr>
        <xdr:cNvSpPr/>
      </xdr:nvSpPr>
      <xdr:spPr>
        <a:xfrm>
          <a:off x="22164675" y="20593050"/>
          <a:ext cx="45719" cy="514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56</xdr:col>
      <xdr:colOff>466725</xdr:colOff>
      <xdr:row>130</xdr:row>
      <xdr:rowOff>28575</xdr:rowOff>
    </xdr:from>
    <xdr:to>
      <xdr:col>56</xdr:col>
      <xdr:colOff>512444</xdr:colOff>
      <xdr:row>130</xdr:row>
      <xdr:rowOff>171450</xdr:rowOff>
    </xdr:to>
    <xdr:sp macro="" textlink="">
      <xdr:nvSpPr>
        <xdr:cNvPr id="42" name="PIJL-OMLAAG 41">
          <a:extLst>
            <a:ext uri="{FF2B5EF4-FFF2-40B4-BE49-F238E27FC236}">
              <a16:creationId xmlns:a16="http://schemas.microsoft.com/office/drawing/2014/main" id="{00000000-0008-0000-0100-00002A000000}"/>
            </a:ext>
          </a:extLst>
        </xdr:cNvPr>
        <xdr:cNvSpPr/>
      </xdr:nvSpPr>
      <xdr:spPr>
        <a:xfrm>
          <a:off x="24393525" y="2059305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173356</xdr:colOff>
      <xdr:row>175</xdr:row>
      <xdr:rowOff>47625</xdr:rowOff>
    </xdr:from>
    <xdr:to>
      <xdr:col>1</xdr:col>
      <xdr:colOff>219075</xdr:colOff>
      <xdr:row>188</xdr:row>
      <xdr:rowOff>9525</xdr:rowOff>
    </xdr:to>
    <xdr:sp macro="" textlink="">
      <xdr:nvSpPr>
        <xdr:cNvPr id="43" name="PIJL-OMLAAG 42">
          <a:extLst>
            <a:ext uri="{FF2B5EF4-FFF2-40B4-BE49-F238E27FC236}">
              <a16:creationId xmlns:a16="http://schemas.microsoft.com/office/drawing/2014/main" id="{00000000-0008-0000-0100-00002B000000}"/>
            </a:ext>
          </a:extLst>
        </xdr:cNvPr>
        <xdr:cNvSpPr/>
      </xdr:nvSpPr>
      <xdr:spPr>
        <a:xfrm>
          <a:off x="782956" y="26136600"/>
          <a:ext cx="45719" cy="2314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135256</xdr:colOff>
      <xdr:row>175</xdr:row>
      <xdr:rowOff>47625</xdr:rowOff>
    </xdr:from>
    <xdr:to>
      <xdr:col>4</xdr:col>
      <xdr:colOff>180975</xdr:colOff>
      <xdr:row>185</xdr:row>
      <xdr:rowOff>161925</xdr:rowOff>
    </xdr:to>
    <xdr:sp macro="" textlink="">
      <xdr:nvSpPr>
        <xdr:cNvPr id="45" name="PIJL-OMLAAG 44">
          <a:extLst>
            <a:ext uri="{FF2B5EF4-FFF2-40B4-BE49-F238E27FC236}">
              <a16:creationId xmlns:a16="http://schemas.microsoft.com/office/drawing/2014/main" id="{00000000-0008-0000-0100-00002D000000}"/>
            </a:ext>
          </a:extLst>
        </xdr:cNvPr>
        <xdr:cNvSpPr/>
      </xdr:nvSpPr>
      <xdr:spPr>
        <a:xfrm>
          <a:off x="2087881" y="26136600"/>
          <a:ext cx="45719" cy="1924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47626</xdr:colOff>
      <xdr:row>175</xdr:row>
      <xdr:rowOff>47625</xdr:rowOff>
    </xdr:from>
    <xdr:to>
      <xdr:col>8</xdr:col>
      <xdr:colOff>104776</xdr:colOff>
      <xdr:row>184</xdr:row>
      <xdr:rowOff>161925</xdr:rowOff>
    </xdr:to>
    <xdr:sp macro="" textlink="">
      <xdr:nvSpPr>
        <xdr:cNvPr id="46" name="PIJL-OMLAAG 45">
          <a:extLst>
            <a:ext uri="{FF2B5EF4-FFF2-40B4-BE49-F238E27FC236}">
              <a16:creationId xmlns:a16="http://schemas.microsoft.com/office/drawing/2014/main" id="{00000000-0008-0000-0100-00002E000000}"/>
            </a:ext>
          </a:extLst>
        </xdr:cNvPr>
        <xdr:cNvSpPr/>
      </xdr:nvSpPr>
      <xdr:spPr>
        <a:xfrm>
          <a:off x="3790951" y="26136600"/>
          <a:ext cx="57150"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354331</xdr:colOff>
      <xdr:row>175</xdr:row>
      <xdr:rowOff>38100</xdr:rowOff>
    </xdr:from>
    <xdr:to>
      <xdr:col>10</xdr:col>
      <xdr:colOff>400050</xdr:colOff>
      <xdr:row>183</xdr:row>
      <xdr:rowOff>133350</xdr:rowOff>
    </xdr:to>
    <xdr:sp macro="" textlink="">
      <xdr:nvSpPr>
        <xdr:cNvPr id="47" name="PIJL-OMLAAG 46">
          <a:extLst>
            <a:ext uri="{FF2B5EF4-FFF2-40B4-BE49-F238E27FC236}">
              <a16:creationId xmlns:a16="http://schemas.microsoft.com/office/drawing/2014/main" id="{00000000-0008-0000-0100-00002F000000}"/>
            </a:ext>
          </a:extLst>
        </xdr:cNvPr>
        <xdr:cNvSpPr/>
      </xdr:nvSpPr>
      <xdr:spPr>
        <a:xfrm>
          <a:off x="4993006" y="26127075"/>
          <a:ext cx="45719" cy="1543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175</xdr:row>
      <xdr:rowOff>57150</xdr:rowOff>
    </xdr:from>
    <xdr:to>
      <xdr:col>13</xdr:col>
      <xdr:colOff>323850</xdr:colOff>
      <xdr:row>182</xdr:row>
      <xdr:rowOff>171450</xdr:rowOff>
    </xdr:to>
    <xdr:sp macro="" textlink="">
      <xdr:nvSpPr>
        <xdr:cNvPr id="48" name="PIJL-OMLAAG 47">
          <a:extLst>
            <a:ext uri="{FF2B5EF4-FFF2-40B4-BE49-F238E27FC236}">
              <a16:creationId xmlns:a16="http://schemas.microsoft.com/office/drawing/2014/main" id="{00000000-0008-0000-0100-000030000000}"/>
            </a:ext>
          </a:extLst>
        </xdr:cNvPr>
        <xdr:cNvSpPr/>
      </xdr:nvSpPr>
      <xdr:spPr>
        <a:xfrm>
          <a:off x="6259831" y="26146125"/>
          <a:ext cx="45719" cy="13811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209550</xdr:colOff>
      <xdr:row>175</xdr:row>
      <xdr:rowOff>57150</xdr:rowOff>
    </xdr:from>
    <xdr:to>
      <xdr:col>16</xdr:col>
      <xdr:colOff>255269</xdr:colOff>
      <xdr:row>178</xdr:row>
      <xdr:rowOff>161925</xdr:rowOff>
    </xdr:to>
    <xdr:sp macro="" textlink="">
      <xdr:nvSpPr>
        <xdr:cNvPr id="49" name="PIJL-OMLAAG 48">
          <a:extLst>
            <a:ext uri="{FF2B5EF4-FFF2-40B4-BE49-F238E27FC236}">
              <a16:creationId xmlns:a16="http://schemas.microsoft.com/office/drawing/2014/main" id="{00000000-0008-0000-0100-000031000000}"/>
            </a:ext>
          </a:extLst>
        </xdr:cNvPr>
        <xdr:cNvSpPr/>
      </xdr:nvSpPr>
      <xdr:spPr>
        <a:xfrm>
          <a:off x="7534275" y="26146125"/>
          <a:ext cx="45719" cy="6477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409575</xdr:colOff>
      <xdr:row>175</xdr:row>
      <xdr:rowOff>28575</xdr:rowOff>
    </xdr:from>
    <xdr:to>
      <xdr:col>19</xdr:col>
      <xdr:colOff>7619</xdr:colOff>
      <xdr:row>177</xdr:row>
      <xdr:rowOff>161925</xdr:rowOff>
    </xdr:to>
    <xdr:sp macro="" textlink="">
      <xdr:nvSpPr>
        <xdr:cNvPr id="50" name="PIJL-OMLAAG 49">
          <a:extLst>
            <a:ext uri="{FF2B5EF4-FFF2-40B4-BE49-F238E27FC236}">
              <a16:creationId xmlns:a16="http://schemas.microsoft.com/office/drawing/2014/main" id="{00000000-0008-0000-0100-000032000000}"/>
            </a:ext>
          </a:extLst>
        </xdr:cNvPr>
        <xdr:cNvSpPr/>
      </xdr:nvSpPr>
      <xdr:spPr>
        <a:xfrm>
          <a:off x="8629650" y="26117550"/>
          <a:ext cx="45719" cy="495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381000</xdr:colOff>
      <xdr:row>175</xdr:row>
      <xdr:rowOff>38100</xdr:rowOff>
    </xdr:from>
    <xdr:to>
      <xdr:col>20</xdr:col>
      <xdr:colOff>426719</xdr:colOff>
      <xdr:row>177</xdr:row>
      <xdr:rowOff>0</xdr:rowOff>
    </xdr:to>
    <xdr:sp macro="" textlink="">
      <xdr:nvSpPr>
        <xdr:cNvPr id="51" name="PIJL-OMLAAG 50">
          <a:extLst>
            <a:ext uri="{FF2B5EF4-FFF2-40B4-BE49-F238E27FC236}">
              <a16:creationId xmlns:a16="http://schemas.microsoft.com/office/drawing/2014/main" id="{00000000-0008-0000-0100-000033000000}"/>
            </a:ext>
          </a:extLst>
        </xdr:cNvPr>
        <xdr:cNvSpPr/>
      </xdr:nvSpPr>
      <xdr:spPr>
        <a:xfrm>
          <a:off x="9496425" y="26127075"/>
          <a:ext cx="45719" cy="3238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19050</xdr:colOff>
      <xdr:row>175</xdr:row>
      <xdr:rowOff>47625</xdr:rowOff>
    </xdr:from>
    <xdr:to>
      <xdr:col>23</xdr:col>
      <xdr:colOff>64769</xdr:colOff>
      <xdr:row>176</xdr:row>
      <xdr:rowOff>0</xdr:rowOff>
    </xdr:to>
    <xdr:sp macro="" textlink="">
      <xdr:nvSpPr>
        <xdr:cNvPr id="52" name="PIJL-OMLAAG 51">
          <a:extLst>
            <a:ext uri="{FF2B5EF4-FFF2-40B4-BE49-F238E27FC236}">
              <a16:creationId xmlns:a16="http://schemas.microsoft.com/office/drawing/2014/main" id="{00000000-0008-0000-0100-000034000000}"/>
            </a:ext>
          </a:extLst>
        </xdr:cNvPr>
        <xdr:cNvSpPr/>
      </xdr:nvSpPr>
      <xdr:spPr>
        <a:xfrm>
          <a:off x="10477500" y="261366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15</xdr:col>
      <xdr:colOff>428625</xdr:colOff>
      <xdr:row>130</xdr:row>
      <xdr:rowOff>57150</xdr:rowOff>
    </xdr:from>
    <xdr:to>
      <xdr:col>16</xdr:col>
      <xdr:colOff>26669</xdr:colOff>
      <xdr:row>144</xdr:row>
      <xdr:rowOff>0</xdr:rowOff>
    </xdr:to>
    <xdr:sp macro="" textlink="">
      <xdr:nvSpPr>
        <xdr:cNvPr id="53" name="PIJL-OMLAAG 52">
          <a:extLst>
            <a:ext uri="{FF2B5EF4-FFF2-40B4-BE49-F238E27FC236}">
              <a16:creationId xmlns:a16="http://schemas.microsoft.com/office/drawing/2014/main" id="{00000000-0008-0000-0100-000035000000}"/>
            </a:ext>
          </a:extLst>
        </xdr:cNvPr>
        <xdr:cNvSpPr/>
      </xdr:nvSpPr>
      <xdr:spPr>
        <a:xfrm>
          <a:off x="7305675" y="23936325"/>
          <a:ext cx="45719" cy="24765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200025</xdr:colOff>
      <xdr:row>130</xdr:row>
      <xdr:rowOff>57150</xdr:rowOff>
    </xdr:from>
    <xdr:to>
      <xdr:col>18</xdr:col>
      <xdr:colOff>245744</xdr:colOff>
      <xdr:row>143</xdr:row>
      <xdr:rowOff>142875</xdr:rowOff>
    </xdr:to>
    <xdr:sp macro="" textlink="">
      <xdr:nvSpPr>
        <xdr:cNvPr id="54" name="PIJL-OMLAAG 53">
          <a:extLst>
            <a:ext uri="{FF2B5EF4-FFF2-40B4-BE49-F238E27FC236}">
              <a16:creationId xmlns:a16="http://schemas.microsoft.com/office/drawing/2014/main" id="{00000000-0008-0000-0100-000036000000}"/>
            </a:ext>
          </a:extLst>
        </xdr:cNvPr>
        <xdr:cNvSpPr/>
      </xdr:nvSpPr>
      <xdr:spPr>
        <a:xfrm>
          <a:off x="8420100" y="23936325"/>
          <a:ext cx="45719" cy="24384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39</xdr:col>
      <xdr:colOff>180975</xdr:colOff>
      <xdr:row>47</xdr:row>
      <xdr:rowOff>28575</xdr:rowOff>
    </xdr:from>
    <xdr:to>
      <xdr:col>39</xdr:col>
      <xdr:colOff>226694</xdr:colOff>
      <xdr:row>51</xdr:row>
      <xdr:rowOff>142875</xdr:rowOff>
    </xdr:to>
    <xdr:sp macro="" textlink="">
      <xdr:nvSpPr>
        <xdr:cNvPr id="55" name="PIJL-OMLAAG 54">
          <a:extLst>
            <a:ext uri="{FF2B5EF4-FFF2-40B4-BE49-F238E27FC236}">
              <a16:creationId xmlns:a16="http://schemas.microsoft.com/office/drawing/2014/main" id="{00000000-0008-0000-0100-000037000000}"/>
            </a:ext>
          </a:extLst>
        </xdr:cNvPr>
        <xdr:cNvSpPr/>
      </xdr:nvSpPr>
      <xdr:spPr>
        <a:xfrm>
          <a:off x="17802225" y="862965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430531</xdr:colOff>
      <xdr:row>17</xdr:row>
      <xdr:rowOff>47625</xdr:rowOff>
    </xdr:from>
    <xdr:to>
      <xdr:col>3</xdr:col>
      <xdr:colOff>28575</xdr:colOff>
      <xdr:row>18</xdr:row>
      <xdr:rowOff>9525</xdr:rowOff>
    </xdr:to>
    <xdr:sp macro="" textlink="">
      <xdr:nvSpPr>
        <xdr:cNvPr id="2" name="PIJL-OMLAAG 1">
          <a:extLst>
            <a:ext uri="{FF2B5EF4-FFF2-40B4-BE49-F238E27FC236}">
              <a16:creationId xmlns:a16="http://schemas.microsoft.com/office/drawing/2014/main" id="{00000000-0008-0000-0200-000002000000}"/>
            </a:ext>
          </a:extLst>
        </xdr:cNvPr>
        <xdr:cNvSpPr/>
      </xdr:nvSpPr>
      <xdr:spPr>
        <a:xfrm>
          <a:off x="1487806" y="316230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421006</xdr:colOff>
      <xdr:row>29</xdr:row>
      <xdr:rowOff>38100</xdr:rowOff>
    </xdr:from>
    <xdr:to>
      <xdr:col>3</xdr:col>
      <xdr:colOff>19050</xdr:colOff>
      <xdr:row>35</xdr:row>
      <xdr:rowOff>0</xdr:rowOff>
    </xdr:to>
    <xdr:sp macro="" textlink="">
      <xdr:nvSpPr>
        <xdr:cNvPr id="12" name="PIJL-OMLAAG 11">
          <a:extLst>
            <a:ext uri="{FF2B5EF4-FFF2-40B4-BE49-F238E27FC236}">
              <a16:creationId xmlns:a16="http://schemas.microsoft.com/office/drawing/2014/main" id="{00000000-0008-0000-0200-00000C000000}"/>
            </a:ext>
          </a:extLst>
        </xdr:cNvPr>
        <xdr:cNvSpPr/>
      </xdr:nvSpPr>
      <xdr:spPr>
        <a:xfrm>
          <a:off x="1478281" y="5172075"/>
          <a:ext cx="45719" cy="10477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29</xdr:row>
      <xdr:rowOff>38100</xdr:rowOff>
    </xdr:from>
    <xdr:to>
      <xdr:col>16</xdr:col>
      <xdr:colOff>295275</xdr:colOff>
      <xdr:row>32</xdr:row>
      <xdr:rowOff>171450</xdr:rowOff>
    </xdr:to>
    <xdr:sp macro="" textlink="">
      <xdr:nvSpPr>
        <xdr:cNvPr id="16" name="PIJL-OMLAAG 15">
          <a:extLst>
            <a:ext uri="{FF2B5EF4-FFF2-40B4-BE49-F238E27FC236}">
              <a16:creationId xmlns:a16="http://schemas.microsoft.com/office/drawing/2014/main" id="{00000000-0008-0000-0200-000010000000}"/>
            </a:ext>
          </a:extLst>
        </xdr:cNvPr>
        <xdr:cNvSpPr/>
      </xdr:nvSpPr>
      <xdr:spPr>
        <a:xfrm>
          <a:off x="7574281" y="6981825"/>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29</xdr:row>
      <xdr:rowOff>57150</xdr:rowOff>
    </xdr:from>
    <xdr:to>
      <xdr:col>18</xdr:col>
      <xdr:colOff>398144</xdr:colOff>
      <xdr:row>32</xdr:row>
      <xdr:rowOff>0</xdr:rowOff>
    </xdr:to>
    <xdr:sp macro="" textlink="">
      <xdr:nvSpPr>
        <xdr:cNvPr id="17" name="PIJL-OMLAAG 16">
          <a:extLst>
            <a:ext uri="{FF2B5EF4-FFF2-40B4-BE49-F238E27FC236}">
              <a16:creationId xmlns:a16="http://schemas.microsoft.com/office/drawing/2014/main" id="{00000000-0008-0000-0200-000011000000}"/>
            </a:ext>
          </a:extLst>
        </xdr:cNvPr>
        <xdr:cNvSpPr/>
      </xdr:nvSpPr>
      <xdr:spPr>
        <a:xfrm>
          <a:off x="8572500" y="7000875"/>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29</xdr:row>
      <xdr:rowOff>47625</xdr:rowOff>
    </xdr:from>
    <xdr:to>
      <xdr:col>21</xdr:col>
      <xdr:colOff>7619</xdr:colOff>
      <xdr:row>31</xdr:row>
      <xdr:rowOff>0</xdr:rowOff>
    </xdr:to>
    <xdr:sp macro="" textlink="">
      <xdr:nvSpPr>
        <xdr:cNvPr id="18" name="PIJL-OMLAAG 17">
          <a:extLst>
            <a:ext uri="{FF2B5EF4-FFF2-40B4-BE49-F238E27FC236}">
              <a16:creationId xmlns:a16="http://schemas.microsoft.com/office/drawing/2014/main" id="{00000000-0008-0000-0200-000012000000}"/>
            </a:ext>
          </a:extLst>
        </xdr:cNvPr>
        <xdr:cNvSpPr/>
      </xdr:nvSpPr>
      <xdr:spPr>
        <a:xfrm>
          <a:off x="9525000" y="6991350"/>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29</xdr:row>
      <xdr:rowOff>38100</xdr:rowOff>
    </xdr:from>
    <xdr:to>
      <xdr:col>23</xdr:col>
      <xdr:colOff>102869</xdr:colOff>
      <xdr:row>29</xdr:row>
      <xdr:rowOff>171450</xdr:rowOff>
    </xdr:to>
    <xdr:sp macro="" textlink="">
      <xdr:nvSpPr>
        <xdr:cNvPr id="19" name="PIJL-OMLAAG 18">
          <a:extLst>
            <a:ext uri="{FF2B5EF4-FFF2-40B4-BE49-F238E27FC236}">
              <a16:creationId xmlns:a16="http://schemas.microsoft.com/office/drawing/2014/main" id="{00000000-0008-0000-0200-000013000000}"/>
            </a:ext>
          </a:extLst>
        </xdr:cNvPr>
        <xdr:cNvSpPr/>
      </xdr:nvSpPr>
      <xdr:spPr>
        <a:xfrm>
          <a:off x="10515600" y="6981825"/>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419100</xdr:colOff>
      <xdr:row>45</xdr:row>
      <xdr:rowOff>38100</xdr:rowOff>
    </xdr:from>
    <xdr:to>
      <xdr:col>3</xdr:col>
      <xdr:colOff>38100</xdr:colOff>
      <xdr:row>46</xdr:row>
      <xdr:rowOff>0</xdr:rowOff>
    </xdr:to>
    <xdr:sp macro="" textlink="">
      <xdr:nvSpPr>
        <xdr:cNvPr id="20" name="PIJL-OMLAAG 19">
          <a:extLst>
            <a:ext uri="{FF2B5EF4-FFF2-40B4-BE49-F238E27FC236}">
              <a16:creationId xmlns:a16="http://schemas.microsoft.com/office/drawing/2014/main" id="{00000000-0008-0000-0200-000014000000}"/>
            </a:ext>
          </a:extLst>
        </xdr:cNvPr>
        <xdr:cNvSpPr/>
      </xdr:nvSpPr>
      <xdr:spPr>
        <a:xfrm>
          <a:off x="1476375" y="7972425"/>
          <a:ext cx="66675"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400050</xdr:colOff>
      <xdr:row>58</xdr:row>
      <xdr:rowOff>57150</xdr:rowOff>
    </xdr:from>
    <xdr:to>
      <xdr:col>3</xdr:col>
      <xdr:colOff>9525</xdr:colOff>
      <xdr:row>59</xdr:row>
      <xdr:rowOff>9525</xdr:rowOff>
    </xdr:to>
    <xdr:sp macro="" textlink="">
      <xdr:nvSpPr>
        <xdr:cNvPr id="30" name="PIJL-OMLAAG 29">
          <a:extLst>
            <a:ext uri="{FF2B5EF4-FFF2-40B4-BE49-F238E27FC236}">
              <a16:creationId xmlns:a16="http://schemas.microsoft.com/office/drawing/2014/main" id="{00000000-0008-0000-0200-00001E000000}"/>
            </a:ext>
          </a:extLst>
        </xdr:cNvPr>
        <xdr:cNvSpPr/>
      </xdr:nvSpPr>
      <xdr:spPr>
        <a:xfrm>
          <a:off x="1457325" y="10248900"/>
          <a:ext cx="57150"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192406</xdr:colOff>
      <xdr:row>77</xdr:row>
      <xdr:rowOff>28575</xdr:rowOff>
    </xdr:from>
    <xdr:to>
      <xdr:col>1</xdr:col>
      <xdr:colOff>238125</xdr:colOff>
      <xdr:row>79</xdr:row>
      <xdr:rowOff>0</xdr:rowOff>
    </xdr:to>
    <xdr:sp macro="" textlink="">
      <xdr:nvSpPr>
        <xdr:cNvPr id="43" name="PIJL-OMLAAG 42">
          <a:extLst>
            <a:ext uri="{FF2B5EF4-FFF2-40B4-BE49-F238E27FC236}">
              <a16:creationId xmlns:a16="http://schemas.microsoft.com/office/drawing/2014/main" id="{00000000-0008-0000-0200-00002B000000}"/>
            </a:ext>
          </a:extLst>
        </xdr:cNvPr>
        <xdr:cNvSpPr/>
      </xdr:nvSpPr>
      <xdr:spPr>
        <a:xfrm>
          <a:off x="802006" y="14297025"/>
          <a:ext cx="45719" cy="3333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430531</xdr:colOff>
      <xdr:row>77</xdr:row>
      <xdr:rowOff>57150</xdr:rowOff>
    </xdr:from>
    <xdr:to>
      <xdr:col>3</xdr:col>
      <xdr:colOff>38100</xdr:colOff>
      <xdr:row>78</xdr:row>
      <xdr:rowOff>0</xdr:rowOff>
    </xdr:to>
    <xdr:sp macro="" textlink="">
      <xdr:nvSpPr>
        <xdr:cNvPr id="44" name="PIJL-OMLAAG 43">
          <a:extLst>
            <a:ext uri="{FF2B5EF4-FFF2-40B4-BE49-F238E27FC236}">
              <a16:creationId xmlns:a16="http://schemas.microsoft.com/office/drawing/2014/main" id="{00000000-0008-0000-0200-00002C000000}"/>
            </a:ext>
          </a:extLst>
        </xdr:cNvPr>
        <xdr:cNvSpPr/>
      </xdr:nvSpPr>
      <xdr:spPr>
        <a:xfrm>
          <a:off x="1487806" y="14325600"/>
          <a:ext cx="55244"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209550</xdr:colOff>
      <xdr:row>17</xdr:row>
      <xdr:rowOff>47625</xdr:rowOff>
    </xdr:from>
    <xdr:to>
      <xdr:col>1</xdr:col>
      <xdr:colOff>255269</xdr:colOff>
      <xdr:row>18</xdr:row>
      <xdr:rowOff>171450</xdr:rowOff>
    </xdr:to>
    <xdr:sp macro="" textlink="">
      <xdr:nvSpPr>
        <xdr:cNvPr id="53" name="PIJL-OMLAAG 52">
          <a:extLst>
            <a:ext uri="{FF2B5EF4-FFF2-40B4-BE49-F238E27FC236}">
              <a16:creationId xmlns:a16="http://schemas.microsoft.com/office/drawing/2014/main" id="{00000000-0008-0000-0200-000035000000}"/>
            </a:ext>
          </a:extLst>
        </xdr:cNvPr>
        <xdr:cNvSpPr/>
      </xdr:nvSpPr>
      <xdr:spPr>
        <a:xfrm>
          <a:off x="819150" y="8648700"/>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219075</xdr:colOff>
      <xdr:row>29</xdr:row>
      <xdr:rowOff>47625</xdr:rowOff>
    </xdr:from>
    <xdr:to>
      <xdr:col>1</xdr:col>
      <xdr:colOff>264794</xdr:colOff>
      <xdr:row>35</xdr:row>
      <xdr:rowOff>161925</xdr:rowOff>
    </xdr:to>
    <xdr:sp macro="" textlink="">
      <xdr:nvSpPr>
        <xdr:cNvPr id="54" name="PIJL-OMLAAG 53">
          <a:extLst>
            <a:ext uri="{FF2B5EF4-FFF2-40B4-BE49-F238E27FC236}">
              <a16:creationId xmlns:a16="http://schemas.microsoft.com/office/drawing/2014/main" id="{00000000-0008-0000-0200-000036000000}"/>
            </a:ext>
          </a:extLst>
        </xdr:cNvPr>
        <xdr:cNvSpPr/>
      </xdr:nvSpPr>
      <xdr:spPr>
        <a:xfrm>
          <a:off x="828675" y="11210925"/>
          <a:ext cx="45719" cy="1200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171450</xdr:colOff>
      <xdr:row>45</xdr:row>
      <xdr:rowOff>47625</xdr:rowOff>
    </xdr:from>
    <xdr:to>
      <xdr:col>1</xdr:col>
      <xdr:colOff>219075</xdr:colOff>
      <xdr:row>47</xdr:row>
      <xdr:rowOff>171450</xdr:rowOff>
    </xdr:to>
    <xdr:sp macro="" textlink="">
      <xdr:nvSpPr>
        <xdr:cNvPr id="55" name="PIJL-OMLAAG 54">
          <a:extLst>
            <a:ext uri="{FF2B5EF4-FFF2-40B4-BE49-F238E27FC236}">
              <a16:creationId xmlns:a16="http://schemas.microsoft.com/office/drawing/2014/main" id="{00000000-0008-0000-0200-000037000000}"/>
            </a:ext>
          </a:extLst>
        </xdr:cNvPr>
        <xdr:cNvSpPr/>
      </xdr:nvSpPr>
      <xdr:spPr>
        <a:xfrm>
          <a:off x="781050" y="7981950"/>
          <a:ext cx="47625"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180975</xdr:colOff>
      <xdr:row>58</xdr:row>
      <xdr:rowOff>47625</xdr:rowOff>
    </xdr:from>
    <xdr:to>
      <xdr:col>1</xdr:col>
      <xdr:colOff>226694</xdr:colOff>
      <xdr:row>59</xdr:row>
      <xdr:rowOff>171450</xdr:rowOff>
    </xdr:to>
    <xdr:sp macro="" textlink="">
      <xdr:nvSpPr>
        <xdr:cNvPr id="56" name="PIJL-OMLAAG 55">
          <a:extLst>
            <a:ext uri="{FF2B5EF4-FFF2-40B4-BE49-F238E27FC236}">
              <a16:creationId xmlns:a16="http://schemas.microsoft.com/office/drawing/2014/main" id="{00000000-0008-0000-0200-000038000000}"/>
            </a:ext>
          </a:extLst>
        </xdr:cNvPr>
        <xdr:cNvSpPr/>
      </xdr:nvSpPr>
      <xdr:spPr>
        <a:xfrm>
          <a:off x="790575" y="10239375"/>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285750</xdr:colOff>
      <xdr:row>311</xdr:row>
      <xdr:rowOff>28575</xdr:rowOff>
    </xdr:from>
    <xdr:to>
      <xdr:col>13</xdr:col>
      <xdr:colOff>331469</xdr:colOff>
      <xdr:row>311</xdr:row>
      <xdr:rowOff>152400</xdr:rowOff>
    </xdr:to>
    <xdr:sp macro="" textlink="">
      <xdr:nvSpPr>
        <xdr:cNvPr id="2" name="PIJL-OMLAAG 1">
          <a:extLst>
            <a:ext uri="{FF2B5EF4-FFF2-40B4-BE49-F238E27FC236}">
              <a16:creationId xmlns:a16="http://schemas.microsoft.com/office/drawing/2014/main" id="{00000000-0008-0000-0300-000002000000}"/>
            </a:ext>
          </a:extLst>
        </xdr:cNvPr>
        <xdr:cNvSpPr/>
      </xdr:nvSpPr>
      <xdr:spPr>
        <a:xfrm>
          <a:off x="6677025" y="26079450"/>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12</xdr:col>
      <xdr:colOff>257175</xdr:colOff>
      <xdr:row>311</xdr:row>
      <xdr:rowOff>38100</xdr:rowOff>
    </xdr:from>
    <xdr:to>
      <xdr:col>12</xdr:col>
      <xdr:colOff>302894</xdr:colOff>
      <xdr:row>311</xdr:row>
      <xdr:rowOff>161925</xdr:rowOff>
    </xdr:to>
    <xdr:sp macro="" textlink="">
      <xdr:nvSpPr>
        <xdr:cNvPr id="3" name="PIJL-OMLAAG 2">
          <a:extLst>
            <a:ext uri="{FF2B5EF4-FFF2-40B4-BE49-F238E27FC236}">
              <a16:creationId xmlns:a16="http://schemas.microsoft.com/office/drawing/2014/main" id="{00000000-0008-0000-0300-000003000000}"/>
            </a:ext>
          </a:extLst>
        </xdr:cNvPr>
        <xdr:cNvSpPr/>
      </xdr:nvSpPr>
      <xdr:spPr>
        <a:xfrm>
          <a:off x="6067425" y="26088975"/>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99060</xdr:colOff>
      <xdr:row>739</xdr:row>
      <xdr:rowOff>30480</xdr:rowOff>
    </xdr:from>
    <xdr:to>
      <xdr:col>11</xdr:col>
      <xdr:colOff>144779</xdr:colOff>
      <xdr:row>741</xdr:row>
      <xdr:rowOff>0</xdr:rowOff>
    </xdr:to>
    <xdr:sp macro="" textlink="">
      <xdr:nvSpPr>
        <xdr:cNvPr id="4" name="PIJL-OMLAAG 3">
          <a:extLst>
            <a:ext uri="{FF2B5EF4-FFF2-40B4-BE49-F238E27FC236}">
              <a16:creationId xmlns:a16="http://schemas.microsoft.com/office/drawing/2014/main" id="{00000000-0008-0000-0300-000004000000}"/>
            </a:ext>
          </a:extLst>
        </xdr:cNvPr>
        <xdr:cNvSpPr/>
      </xdr:nvSpPr>
      <xdr:spPr>
        <a:xfrm>
          <a:off x="6637020" y="127017780"/>
          <a:ext cx="45719" cy="32766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206114</xdr:colOff>
      <xdr:row>0</xdr:row>
      <xdr:rowOff>95249</xdr:rowOff>
    </xdr:from>
    <xdr:to>
      <xdr:col>11</xdr:col>
      <xdr:colOff>104775</xdr:colOff>
      <xdr:row>3</xdr:row>
      <xdr:rowOff>167640</xdr:rowOff>
    </xdr:to>
    <xdr:pic>
      <xdr:nvPicPr>
        <xdr:cNvPr id="3" name="Picture 1" descr="CE zwart">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2720714" y="95249"/>
          <a:ext cx="841636" cy="666751"/>
        </a:xfrm>
        <a:prstGeom prst="rect">
          <a:avLst/>
        </a:prstGeom>
        <a:noFill/>
        <a:ln w="0">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281940</xdr:colOff>
      <xdr:row>1</xdr:row>
      <xdr:rowOff>0</xdr:rowOff>
    </xdr:from>
    <xdr:to>
      <xdr:col>19</xdr:col>
      <xdr:colOff>180601</xdr:colOff>
      <xdr:row>4</xdr:row>
      <xdr:rowOff>64771</xdr:rowOff>
    </xdr:to>
    <xdr:pic>
      <xdr:nvPicPr>
        <xdr:cNvPr id="2" name="Picture 1" descr="CE zwart">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5334000" y="198120"/>
          <a:ext cx="858781" cy="636271"/>
        </a:xfrm>
        <a:prstGeom prst="rect">
          <a:avLst/>
        </a:prstGeom>
        <a:noFill/>
        <a:ln w="0">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m.christianen@apb.b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3"/>
  <sheetViews>
    <sheetView topLeftCell="A8" workbookViewId="0">
      <selection activeCell="K24" sqref="K24:M24"/>
    </sheetView>
  </sheetViews>
  <sheetFormatPr defaultColWidth="9.1796875" defaultRowHeight="14" x14ac:dyDescent="0.3"/>
  <cols>
    <col min="1" max="6" width="9.1796875" style="1"/>
    <col min="7" max="7" width="9.1796875" style="1" customWidth="1"/>
    <col min="8" max="16384" width="9.1796875" style="1"/>
  </cols>
  <sheetData>
    <row r="1" spans="1:29" x14ac:dyDescent="0.3">
      <c r="A1" s="13" t="s">
        <v>36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x14ac:dyDescent="0.3">
      <c r="A3" s="4"/>
      <c r="B3" s="5" t="s">
        <v>376</v>
      </c>
      <c r="C3" s="4"/>
      <c r="D3" s="4"/>
      <c r="E3" s="4"/>
      <c r="F3" s="4"/>
      <c r="G3" s="4"/>
      <c r="H3" s="4"/>
      <c r="I3" s="4"/>
      <c r="J3" s="4"/>
      <c r="K3" s="4"/>
      <c r="L3" s="4"/>
      <c r="M3" s="4"/>
      <c r="N3" s="4"/>
      <c r="O3" s="4"/>
      <c r="P3" s="4"/>
      <c r="Q3" s="4"/>
      <c r="R3" s="4"/>
      <c r="S3" s="4"/>
      <c r="T3" s="4"/>
      <c r="U3" s="4"/>
      <c r="V3" s="4"/>
      <c r="W3" s="4"/>
      <c r="X3" s="4"/>
      <c r="Y3" s="4"/>
      <c r="Z3" s="4"/>
      <c r="AA3" s="4"/>
      <c r="AB3" s="4"/>
      <c r="AC3" s="4"/>
    </row>
    <row r="4" spans="1:29" x14ac:dyDescent="0.3">
      <c r="A4" s="4"/>
      <c r="B4" s="2" t="s">
        <v>0</v>
      </c>
      <c r="C4" s="2"/>
      <c r="D4" s="2"/>
      <c r="E4" s="1962" t="s">
        <v>8</v>
      </c>
      <c r="F4" s="1962"/>
      <c r="G4" s="1962"/>
      <c r="H4" s="1962"/>
      <c r="I4" s="1962"/>
      <c r="J4" s="4"/>
      <c r="K4" s="4"/>
      <c r="L4" s="4"/>
      <c r="M4" s="4"/>
      <c r="N4" s="4"/>
      <c r="O4" s="4"/>
      <c r="P4" s="4"/>
      <c r="Q4" s="4"/>
      <c r="R4" s="4"/>
      <c r="S4" s="4"/>
      <c r="T4" s="4"/>
      <c r="U4" s="4"/>
      <c r="V4" s="4"/>
      <c r="W4" s="4"/>
      <c r="X4" s="4"/>
      <c r="Y4" s="4"/>
      <c r="Z4" s="4"/>
      <c r="AA4" s="4"/>
      <c r="AB4" s="4"/>
      <c r="AC4" s="4"/>
    </row>
    <row r="5" spans="1:29" x14ac:dyDescent="0.3">
      <c r="A5" s="4"/>
      <c r="B5" s="2" t="s">
        <v>5</v>
      </c>
      <c r="C5" s="2"/>
      <c r="D5" s="3" t="s">
        <v>7</v>
      </c>
      <c r="E5" s="1963" t="s">
        <v>9</v>
      </c>
      <c r="F5" s="1963"/>
      <c r="G5" s="1963"/>
      <c r="H5" s="1963"/>
      <c r="I5" s="1963"/>
      <c r="J5" s="4"/>
      <c r="K5" s="4"/>
      <c r="L5" s="4"/>
      <c r="M5" s="4"/>
      <c r="N5" s="4"/>
      <c r="O5" s="4"/>
      <c r="P5" s="4"/>
      <c r="Q5" s="4"/>
      <c r="R5" s="4"/>
      <c r="S5" s="4"/>
      <c r="T5" s="4"/>
      <c r="U5" s="4"/>
      <c r="V5" s="4"/>
      <c r="W5" s="4"/>
      <c r="X5" s="4"/>
      <c r="Y5" s="4"/>
      <c r="Z5" s="4"/>
      <c r="AA5" s="4"/>
      <c r="AB5" s="4"/>
      <c r="AC5" s="4"/>
    </row>
    <row r="6" spans="1:29" ht="14.5" x14ac:dyDescent="0.35">
      <c r="A6" s="4"/>
      <c r="B6" s="2"/>
      <c r="C6" s="2"/>
      <c r="D6" s="3" t="s">
        <v>6</v>
      </c>
      <c r="E6" s="1963" t="s">
        <v>10</v>
      </c>
      <c r="F6" s="1963"/>
      <c r="G6" s="1963"/>
      <c r="H6" s="1963"/>
      <c r="I6" s="1963"/>
      <c r="J6" s="134" t="s">
        <v>898</v>
      </c>
      <c r="K6" s="4"/>
      <c r="L6" s="4"/>
      <c r="M6" s="4"/>
      <c r="N6" s="4"/>
      <c r="O6" s="4"/>
      <c r="P6" s="4"/>
      <c r="Q6" s="4"/>
      <c r="R6" s="4"/>
      <c r="S6" s="4"/>
      <c r="T6" s="4"/>
      <c r="U6" s="4"/>
      <c r="V6" s="4"/>
      <c r="W6" s="4"/>
      <c r="X6" s="4"/>
      <c r="Y6" s="4"/>
      <c r="Z6" s="4"/>
      <c r="AA6" s="4"/>
      <c r="AB6" s="4"/>
      <c r="AC6" s="4"/>
    </row>
    <row r="7" spans="1:29" ht="14.5" x14ac:dyDescent="0.35">
      <c r="A7" s="4"/>
      <c r="B7" s="2" t="s">
        <v>1</v>
      </c>
      <c r="C7" s="2"/>
      <c r="D7" s="3" t="s">
        <v>2</v>
      </c>
      <c r="E7" s="1963" t="s">
        <v>651</v>
      </c>
      <c r="F7" s="1963"/>
      <c r="G7" s="1963"/>
      <c r="H7" s="1963"/>
      <c r="I7" s="1963"/>
      <c r="J7" s="134" t="s">
        <v>13</v>
      </c>
      <c r="K7" s="4"/>
      <c r="L7" s="4"/>
      <c r="M7" s="4"/>
      <c r="N7" s="4"/>
      <c r="O7" s="4"/>
      <c r="P7" s="4"/>
      <c r="Q7" s="4"/>
      <c r="R7" s="4"/>
      <c r="S7" s="4"/>
      <c r="T7" s="4"/>
      <c r="U7" s="4"/>
      <c r="V7" s="4"/>
      <c r="W7" s="4"/>
      <c r="X7" s="4"/>
      <c r="Y7" s="4"/>
      <c r="Z7" s="4"/>
      <c r="AA7" s="4"/>
      <c r="AB7" s="4"/>
      <c r="AC7" s="4"/>
    </row>
    <row r="8" spans="1:29" x14ac:dyDescent="0.3">
      <c r="A8" s="4"/>
      <c r="B8" s="2"/>
      <c r="C8" s="2"/>
      <c r="D8" s="3" t="s">
        <v>3</v>
      </c>
      <c r="E8" s="1963" t="s">
        <v>11</v>
      </c>
      <c r="F8" s="1963"/>
      <c r="G8" s="1963"/>
      <c r="H8" s="1963"/>
      <c r="I8" s="1963"/>
      <c r="J8" s="4"/>
      <c r="K8" s="4"/>
      <c r="L8" s="4"/>
      <c r="M8" s="4"/>
      <c r="N8" s="4"/>
      <c r="O8" s="4"/>
      <c r="P8" s="4"/>
      <c r="Q8" s="4"/>
      <c r="R8" s="4"/>
      <c r="S8" s="4"/>
      <c r="T8" s="4"/>
      <c r="U8" s="4"/>
      <c r="V8" s="4"/>
      <c r="W8" s="4"/>
      <c r="X8" s="4"/>
      <c r="Y8" s="4"/>
      <c r="Z8" s="4"/>
      <c r="AA8" s="4"/>
      <c r="AB8" s="4"/>
      <c r="AC8" s="4"/>
    </row>
    <row r="9" spans="1:29" x14ac:dyDescent="0.3">
      <c r="A9" s="4"/>
      <c r="B9" s="2"/>
      <c r="C9" s="2"/>
      <c r="D9" s="3" t="s">
        <v>4</v>
      </c>
      <c r="E9" s="1964" t="s">
        <v>12</v>
      </c>
      <c r="F9" s="1964"/>
      <c r="G9" s="1964"/>
      <c r="H9" s="1964"/>
      <c r="I9" s="1964"/>
      <c r="J9" s="4"/>
      <c r="K9" s="4"/>
      <c r="L9" s="4"/>
      <c r="M9" s="4"/>
      <c r="N9" s="4"/>
      <c r="O9" s="4"/>
      <c r="P9" s="4"/>
      <c r="Q9" s="4"/>
      <c r="R9" s="4"/>
      <c r="S9" s="4"/>
      <c r="T9" s="4"/>
      <c r="U9" s="4"/>
      <c r="V9" s="4"/>
      <c r="W9" s="4"/>
      <c r="X9" s="4"/>
      <c r="Y9" s="4"/>
      <c r="Z9" s="4"/>
      <c r="AA9" s="4"/>
      <c r="AB9" s="4"/>
      <c r="AC9" s="4"/>
    </row>
    <row r="10" spans="1:29" x14ac:dyDescent="0.3">
      <c r="A10" s="4"/>
      <c r="B10" s="2" t="s">
        <v>1117</v>
      </c>
      <c r="C10" s="2"/>
      <c r="D10" s="3"/>
      <c r="E10" s="1965" t="s">
        <v>1118</v>
      </c>
      <c r="F10" s="1965"/>
      <c r="G10" s="1965"/>
      <c r="H10" s="1965"/>
      <c r="I10" s="1965"/>
      <c r="J10" s="4"/>
      <c r="K10" s="4"/>
      <c r="L10" s="4"/>
      <c r="M10" s="4"/>
      <c r="N10" s="4"/>
      <c r="O10" s="4"/>
      <c r="P10" s="4"/>
      <c r="Q10" s="4"/>
      <c r="R10" s="4"/>
      <c r="S10" s="4"/>
      <c r="T10" s="4"/>
      <c r="U10" s="4"/>
      <c r="V10" s="4"/>
      <c r="W10" s="4"/>
      <c r="X10" s="4"/>
      <c r="Y10" s="4"/>
      <c r="Z10" s="4"/>
      <c r="AA10" s="4"/>
      <c r="AB10" s="4"/>
      <c r="AC10" s="4"/>
    </row>
    <row r="11" spans="1:29" x14ac:dyDescent="0.3">
      <c r="A11" s="4"/>
      <c r="B11" s="2"/>
      <c r="C11" s="2"/>
      <c r="D11" s="3" t="s">
        <v>1134</v>
      </c>
      <c r="E11" s="1965" t="s">
        <v>1135</v>
      </c>
      <c r="F11" s="1965"/>
      <c r="G11" s="1965"/>
      <c r="H11" s="1965"/>
      <c r="I11" s="1965"/>
      <c r="J11" s="4"/>
      <c r="K11" s="4"/>
      <c r="L11" s="4"/>
      <c r="M11" s="4"/>
      <c r="N11" s="4"/>
      <c r="O11" s="4"/>
      <c r="P11" s="4"/>
      <c r="Q11" s="4"/>
      <c r="R11" s="4"/>
      <c r="S11" s="4"/>
      <c r="T11" s="4"/>
      <c r="U11" s="4"/>
      <c r="V11" s="4"/>
      <c r="W11" s="4"/>
      <c r="X11" s="4"/>
      <c r="Y11" s="4"/>
      <c r="Z11" s="4"/>
      <c r="AA11" s="4"/>
      <c r="AB11" s="4"/>
      <c r="AC11" s="4"/>
    </row>
    <row r="12" spans="1:29" x14ac:dyDescent="0.3">
      <c r="A12" s="4"/>
      <c r="B12" s="4"/>
      <c r="C12" s="4"/>
      <c r="D12" s="4"/>
      <c r="E12" s="1456"/>
      <c r="F12" s="1456"/>
      <c r="G12" s="1456"/>
      <c r="H12" s="1456"/>
      <c r="I12" s="1456"/>
      <c r="J12" s="4"/>
      <c r="K12" s="4"/>
      <c r="L12" s="4"/>
      <c r="M12" s="4"/>
      <c r="N12" s="4"/>
      <c r="O12" s="4"/>
      <c r="P12" s="4"/>
      <c r="Q12" s="4"/>
      <c r="R12" s="4"/>
      <c r="S12" s="4"/>
      <c r="T12" s="4"/>
      <c r="U12" s="4"/>
      <c r="V12" s="4"/>
      <c r="W12" s="4"/>
      <c r="X12" s="4"/>
      <c r="Y12" s="4"/>
      <c r="Z12" s="4"/>
      <c r="AA12" s="4"/>
      <c r="AB12" s="4"/>
      <c r="AC12" s="4"/>
    </row>
    <row r="13" spans="1:29" x14ac:dyDescent="0.3">
      <c r="A13" s="4"/>
      <c r="B13" s="4"/>
      <c r="C13" s="4"/>
      <c r="D13" s="4"/>
      <c r="E13" s="1456"/>
      <c r="F13" s="1456"/>
      <c r="G13" s="1456"/>
      <c r="H13" s="1456"/>
      <c r="I13" s="1456"/>
      <c r="J13" s="4"/>
      <c r="K13" s="4"/>
      <c r="L13" s="4"/>
      <c r="M13" s="4"/>
      <c r="N13" s="4"/>
      <c r="O13" s="4"/>
      <c r="P13" s="4"/>
      <c r="Q13" s="4"/>
      <c r="R13" s="4"/>
      <c r="S13" s="4"/>
      <c r="T13" s="4"/>
      <c r="U13" s="4"/>
      <c r="V13" s="4"/>
      <c r="W13" s="4"/>
      <c r="X13" s="4"/>
      <c r="Y13" s="4"/>
      <c r="Z13" s="4"/>
      <c r="AA13" s="4"/>
      <c r="AB13" s="4"/>
      <c r="AC13" s="4"/>
    </row>
    <row r="14" spans="1:29" x14ac:dyDescent="0.3">
      <c r="A14" s="4"/>
      <c r="B14" s="5" t="s">
        <v>1111</v>
      </c>
      <c r="C14" s="4"/>
      <c r="D14" s="4"/>
      <c r="E14" s="1456"/>
      <c r="F14" s="1456"/>
      <c r="G14" s="1456"/>
      <c r="H14" s="1456"/>
      <c r="I14" s="1456"/>
      <c r="J14" s="4"/>
      <c r="K14" s="4"/>
      <c r="L14" s="4"/>
      <c r="M14" s="4"/>
      <c r="N14" s="4"/>
      <c r="O14" s="4"/>
      <c r="P14" s="4"/>
      <c r="Q14" s="4"/>
      <c r="R14" s="4"/>
      <c r="S14" s="4"/>
      <c r="T14" s="4"/>
      <c r="U14" s="4"/>
      <c r="V14" s="4"/>
      <c r="W14" s="4"/>
      <c r="X14" s="4"/>
      <c r="Y14" s="4"/>
      <c r="Z14" s="4"/>
      <c r="AA14" s="4"/>
      <c r="AB14" s="4"/>
      <c r="AC14" s="4"/>
    </row>
    <row r="15" spans="1:29" ht="14.5" x14ac:dyDescent="0.35">
      <c r="A15" s="4"/>
      <c r="B15" s="2" t="s">
        <v>1112</v>
      </c>
      <c r="C15" s="2"/>
      <c r="D15" s="2"/>
      <c r="E15" s="1969" t="s">
        <v>1114</v>
      </c>
      <c r="F15" s="1969"/>
      <c r="G15" s="1969"/>
      <c r="H15" s="1969"/>
      <c r="I15" s="1969"/>
      <c r="J15" s="134" t="s">
        <v>1113</v>
      </c>
      <c r="K15" s="4"/>
      <c r="L15" s="4"/>
      <c r="M15" s="4"/>
      <c r="N15" s="4"/>
      <c r="O15" s="4"/>
      <c r="P15" s="4"/>
      <c r="Q15" s="4"/>
      <c r="R15" s="4"/>
      <c r="S15" s="4"/>
      <c r="T15" s="4"/>
      <c r="U15" s="4"/>
      <c r="V15" s="4"/>
      <c r="W15" s="4"/>
      <c r="X15" s="4"/>
      <c r="Y15" s="4"/>
      <c r="Z15" s="4"/>
      <c r="AA15" s="4"/>
      <c r="AB15" s="4"/>
      <c r="AC15" s="4"/>
    </row>
    <row r="16" spans="1:29" x14ac:dyDescent="0.3">
      <c r="A16" s="4"/>
      <c r="B16" s="2" t="s">
        <v>5</v>
      </c>
      <c r="C16" s="2"/>
      <c r="D16" s="3" t="s">
        <v>7</v>
      </c>
      <c r="E16" s="1970" t="s">
        <v>1116</v>
      </c>
      <c r="F16" s="1970"/>
      <c r="G16" s="1970"/>
      <c r="H16" s="1970"/>
      <c r="I16" s="1970"/>
      <c r="J16" s="4"/>
      <c r="K16" s="4"/>
      <c r="L16" s="4"/>
      <c r="M16" s="4"/>
      <c r="N16" s="4"/>
      <c r="O16" s="4"/>
      <c r="P16" s="4"/>
      <c r="Q16" s="4"/>
      <c r="R16" s="4"/>
      <c r="S16" s="4"/>
      <c r="T16" s="4"/>
      <c r="U16" s="4"/>
      <c r="V16" s="4"/>
      <c r="W16" s="4"/>
      <c r="X16" s="4"/>
      <c r="Y16" s="4"/>
      <c r="Z16" s="4"/>
      <c r="AA16" s="4"/>
      <c r="AB16" s="4"/>
      <c r="AC16" s="4"/>
    </row>
    <row r="17" spans="1:29" ht="14.5" x14ac:dyDescent="0.35">
      <c r="A17" s="4"/>
      <c r="B17" s="2"/>
      <c r="C17" s="2"/>
      <c r="D17" s="3" t="s">
        <v>6</v>
      </c>
      <c r="E17" s="1971" t="s">
        <v>1115</v>
      </c>
      <c r="F17" s="1971"/>
      <c r="G17" s="1971"/>
      <c r="H17" s="1971"/>
      <c r="I17" s="1971"/>
      <c r="J17" s="134" t="s">
        <v>898</v>
      </c>
      <c r="K17" s="4"/>
      <c r="L17" s="4"/>
      <c r="M17" s="4"/>
      <c r="N17" s="4"/>
      <c r="O17" s="4"/>
      <c r="P17" s="4"/>
      <c r="Q17" s="4"/>
      <c r="R17" s="4"/>
      <c r="S17" s="4"/>
      <c r="T17" s="4"/>
      <c r="U17" s="4"/>
      <c r="V17" s="4"/>
      <c r="W17" s="4"/>
      <c r="X17" s="4"/>
      <c r="Y17" s="4"/>
      <c r="Z17" s="4"/>
      <c r="AA17" s="4"/>
      <c r="AB17" s="4"/>
      <c r="AC17" s="4"/>
    </row>
    <row r="18" spans="1:29"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3">
      <c r="A20" s="4"/>
      <c r="B20" s="5" t="s">
        <v>14</v>
      </c>
      <c r="C20" s="4"/>
      <c r="D20" s="4"/>
      <c r="E20" s="4"/>
      <c r="F20" s="7">
        <v>1</v>
      </c>
      <c r="G20" s="8"/>
      <c r="H20" s="8"/>
      <c r="I20" s="7">
        <v>2</v>
      </c>
      <c r="J20" s="8"/>
      <c r="K20" s="8"/>
      <c r="L20" s="7">
        <v>3</v>
      </c>
      <c r="M20" s="4"/>
      <c r="N20" s="4"/>
      <c r="O20" s="4"/>
      <c r="P20" s="4"/>
      <c r="Q20" s="4"/>
      <c r="R20" s="4"/>
      <c r="S20" s="4"/>
      <c r="T20" s="4"/>
      <c r="U20" s="4"/>
      <c r="V20" s="4"/>
      <c r="W20" s="4"/>
      <c r="X20" s="4"/>
      <c r="Y20" s="4"/>
      <c r="Z20" s="4"/>
      <c r="AA20" s="4"/>
      <c r="AB20" s="4"/>
      <c r="AC20" s="4"/>
    </row>
    <row r="21" spans="1:29" x14ac:dyDescent="0.3">
      <c r="A21" s="4"/>
      <c r="B21" s="2" t="s">
        <v>0</v>
      </c>
      <c r="C21" s="2"/>
      <c r="D21" s="2"/>
      <c r="E21" s="1972" t="s">
        <v>20</v>
      </c>
      <c r="F21" s="1972"/>
      <c r="G21" s="1973"/>
      <c r="H21" s="1975" t="s">
        <v>21</v>
      </c>
      <c r="I21" s="1972"/>
      <c r="J21" s="1973"/>
      <c r="K21" s="1975" t="s">
        <v>22</v>
      </c>
      <c r="L21" s="1972"/>
      <c r="M21" s="1972"/>
      <c r="N21" s="4"/>
      <c r="O21" s="4"/>
      <c r="P21" s="4"/>
      <c r="Q21" s="4"/>
      <c r="R21" s="4"/>
      <c r="S21" s="4"/>
      <c r="T21" s="4"/>
      <c r="U21" s="4"/>
      <c r="V21" s="4"/>
      <c r="W21" s="4"/>
      <c r="X21" s="4"/>
      <c r="Y21" s="4"/>
      <c r="Z21" s="4"/>
      <c r="AA21" s="4"/>
      <c r="AB21" s="4"/>
      <c r="AC21" s="4"/>
    </row>
    <row r="22" spans="1:29" x14ac:dyDescent="0.3">
      <c r="A22" s="4"/>
      <c r="B22" s="2" t="s">
        <v>5</v>
      </c>
      <c r="C22" s="2"/>
      <c r="D22" s="3" t="s">
        <v>7</v>
      </c>
      <c r="E22" s="1957" t="s">
        <v>23</v>
      </c>
      <c r="F22" s="1957"/>
      <c r="G22" s="1958"/>
      <c r="H22" s="1959" t="s">
        <v>24</v>
      </c>
      <c r="I22" s="1957"/>
      <c r="J22" s="1958"/>
      <c r="K22" s="1959" t="s">
        <v>25</v>
      </c>
      <c r="L22" s="1957"/>
      <c r="M22" s="1957"/>
      <c r="N22" s="4"/>
      <c r="O22" s="4"/>
      <c r="P22" s="4"/>
      <c r="Q22" s="4"/>
      <c r="R22" s="4"/>
      <c r="S22" s="4"/>
      <c r="T22" s="4"/>
      <c r="U22" s="4"/>
      <c r="V22" s="4"/>
      <c r="W22" s="4"/>
      <c r="X22" s="4"/>
      <c r="Y22" s="4"/>
      <c r="Z22" s="4"/>
      <c r="AA22" s="4"/>
      <c r="AB22" s="4"/>
      <c r="AC22" s="4"/>
    </row>
    <row r="23" spans="1:29" x14ac:dyDescent="0.3">
      <c r="A23" s="4"/>
      <c r="B23" s="2"/>
      <c r="C23" s="2"/>
      <c r="D23" s="3" t="s">
        <v>602</v>
      </c>
      <c r="E23" s="1957">
        <v>1000</v>
      </c>
      <c r="F23" s="1957"/>
      <c r="G23" s="1958"/>
      <c r="H23" s="1959">
        <v>2000</v>
      </c>
      <c r="I23" s="1957"/>
      <c r="J23" s="1958"/>
      <c r="K23" s="1959">
        <v>3000</v>
      </c>
      <c r="L23" s="1957"/>
      <c r="M23" s="1957"/>
      <c r="N23" s="4"/>
      <c r="O23" s="4"/>
      <c r="P23" s="4"/>
      <c r="Q23" s="4"/>
      <c r="R23" s="4"/>
      <c r="S23" s="4"/>
      <c r="T23" s="4"/>
      <c r="U23" s="4"/>
      <c r="V23" s="4"/>
      <c r="W23" s="4"/>
      <c r="X23" s="4"/>
      <c r="Y23" s="4"/>
      <c r="Z23" s="4"/>
      <c r="AA23" s="4"/>
      <c r="AB23" s="4"/>
      <c r="AC23" s="4"/>
    </row>
    <row r="24" spans="1:29" ht="14.5" x14ac:dyDescent="0.35">
      <c r="A24" s="4"/>
      <c r="B24" s="2"/>
      <c r="C24" s="2"/>
      <c r="D24" s="3" t="s">
        <v>603</v>
      </c>
      <c r="E24" s="1957" t="s">
        <v>608</v>
      </c>
      <c r="F24" s="1957"/>
      <c r="G24" s="1958"/>
      <c r="H24" s="1959" t="s">
        <v>248</v>
      </c>
      <c r="I24" s="1957"/>
      <c r="J24" s="1958"/>
      <c r="K24" s="1959" t="s">
        <v>604</v>
      </c>
      <c r="L24" s="1957"/>
      <c r="M24" s="1957"/>
      <c r="N24" s="134" t="s">
        <v>898</v>
      </c>
      <c r="O24" s="4"/>
      <c r="P24" s="4"/>
      <c r="Q24" s="4"/>
      <c r="R24" s="4"/>
      <c r="S24" s="4"/>
      <c r="T24" s="4"/>
      <c r="U24" s="4"/>
      <c r="V24" s="4"/>
      <c r="W24" s="4"/>
      <c r="X24" s="4"/>
      <c r="Y24" s="4"/>
      <c r="Z24" s="4"/>
      <c r="AA24" s="4"/>
      <c r="AB24" s="4"/>
      <c r="AC24" s="4"/>
    </row>
    <row r="25" spans="1:29" ht="14.5" x14ac:dyDescent="0.35">
      <c r="A25" s="4"/>
      <c r="B25" s="2" t="s">
        <v>1</v>
      </c>
      <c r="C25" s="2"/>
      <c r="D25" s="3" t="s">
        <v>2</v>
      </c>
      <c r="E25" s="1957" t="s">
        <v>26</v>
      </c>
      <c r="F25" s="1957"/>
      <c r="G25" s="1958"/>
      <c r="H25" s="1959" t="s">
        <v>27</v>
      </c>
      <c r="I25" s="1957"/>
      <c r="J25" s="1958"/>
      <c r="K25" s="1959" t="s">
        <v>28</v>
      </c>
      <c r="L25" s="1957"/>
      <c r="M25" s="1957"/>
      <c r="N25" s="134" t="s">
        <v>35</v>
      </c>
      <c r="O25" s="4"/>
      <c r="P25" s="4"/>
      <c r="Q25" s="4"/>
      <c r="R25" s="4"/>
      <c r="S25" s="4"/>
      <c r="T25" s="4"/>
      <c r="U25" s="4"/>
      <c r="V25" s="4"/>
      <c r="W25" s="4"/>
      <c r="X25" s="4"/>
      <c r="Y25" s="4"/>
      <c r="Z25" s="4"/>
      <c r="AA25" s="4"/>
      <c r="AB25" s="4"/>
      <c r="AC25" s="4"/>
    </row>
    <row r="26" spans="1:29" ht="14.5" thickBot="1" x14ac:dyDescent="0.35">
      <c r="A26" s="4"/>
      <c r="B26" s="2"/>
      <c r="C26" s="2"/>
      <c r="D26" s="3" t="s">
        <v>3</v>
      </c>
      <c r="E26" s="1983" t="s">
        <v>29</v>
      </c>
      <c r="F26" s="1983"/>
      <c r="G26" s="1984"/>
      <c r="H26" s="1982" t="s">
        <v>30</v>
      </c>
      <c r="I26" s="1983"/>
      <c r="J26" s="1984"/>
      <c r="K26" s="1982" t="s">
        <v>31</v>
      </c>
      <c r="L26" s="1983"/>
      <c r="M26" s="1983"/>
      <c r="N26" s="913"/>
      <c r="O26" s="4"/>
      <c r="P26" s="4"/>
      <c r="Q26" s="4"/>
      <c r="R26" s="4"/>
      <c r="S26" s="4"/>
      <c r="T26" s="4"/>
      <c r="U26" s="4"/>
      <c r="V26" s="4"/>
      <c r="W26" s="4"/>
      <c r="X26" s="4"/>
      <c r="Y26" s="4"/>
      <c r="Z26" s="4"/>
      <c r="AA26" s="4"/>
      <c r="AB26" s="4"/>
      <c r="AC26" s="4"/>
    </row>
    <row r="27" spans="1:29" ht="14.5" thickTop="1" x14ac:dyDescent="0.3">
      <c r="A27" s="4"/>
      <c r="B27" s="9" t="s">
        <v>15</v>
      </c>
      <c r="C27" s="9"/>
      <c r="D27" s="9"/>
      <c r="E27" s="1457"/>
      <c r="F27" s="1457"/>
      <c r="G27" s="1457"/>
      <c r="H27" s="1458"/>
      <c r="I27" s="1457"/>
      <c r="J27" s="1459"/>
      <c r="K27" s="1457"/>
      <c r="L27" s="1457"/>
      <c r="M27" s="1457"/>
      <c r="N27" s="913"/>
      <c r="O27" s="4"/>
      <c r="P27" s="4"/>
      <c r="Q27" s="4"/>
      <c r="R27" s="4"/>
      <c r="S27" s="4"/>
      <c r="T27" s="4"/>
      <c r="U27" s="4"/>
      <c r="V27" s="4"/>
      <c r="W27" s="4"/>
      <c r="X27" s="4"/>
      <c r="Y27" s="4"/>
      <c r="Z27" s="4"/>
      <c r="AA27" s="4"/>
      <c r="AB27" s="4"/>
      <c r="AC27" s="4"/>
    </row>
    <row r="28" spans="1:29" ht="14.5" x14ac:dyDescent="0.35">
      <c r="A28" s="4"/>
      <c r="B28" s="2"/>
      <c r="C28" s="2"/>
      <c r="D28" s="3" t="s">
        <v>649</v>
      </c>
      <c r="E28" s="1966">
        <v>801</v>
      </c>
      <c r="F28" s="1966"/>
      <c r="G28" s="1967"/>
      <c r="H28" s="1968">
        <v>802</v>
      </c>
      <c r="I28" s="1966"/>
      <c r="J28" s="1967"/>
      <c r="K28" s="1968">
        <v>8031</v>
      </c>
      <c r="L28" s="1966"/>
      <c r="M28" s="1966"/>
      <c r="N28" s="134" t="s">
        <v>650</v>
      </c>
      <c r="O28" s="4"/>
      <c r="P28" s="4"/>
      <c r="Q28" s="4"/>
      <c r="R28" s="4"/>
      <c r="S28" s="4"/>
      <c r="T28" s="4"/>
      <c r="U28" s="4"/>
      <c r="V28" s="4"/>
      <c r="W28" s="4"/>
      <c r="X28" s="4"/>
      <c r="Y28" s="4"/>
      <c r="Z28" s="4"/>
      <c r="AA28" s="4"/>
      <c r="AB28" s="4"/>
      <c r="AC28" s="4"/>
    </row>
    <row r="29" spans="1:29" ht="14.5" x14ac:dyDescent="0.35">
      <c r="A29" s="4"/>
      <c r="B29" s="2"/>
      <c r="C29" s="2"/>
      <c r="D29" s="3" t="s">
        <v>900</v>
      </c>
      <c r="E29" s="1976" t="s">
        <v>901</v>
      </c>
      <c r="F29" s="1976"/>
      <c r="G29" s="1977"/>
      <c r="H29" s="1978" t="s">
        <v>973</v>
      </c>
      <c r="I29" s="1976"/>
      <c r="J29" s="1977"/>
      <c r="K29" s="1978" t="s">
        <v>974</v>
      </c>
      <c r="L29" s="1976"/>
      <c r="M29" s="1976"/>
      <c r="N29" s="134" t="s">
        <v>902</v>
      </c>
      <c r="O29" s="4"/>
      <c r="P29" s="4"/>
      <c r="Q29" s="4"/>
      <c r="R29" s="4"/>
      <c r="S29" s="4"/>
      <c r="T29" s="4"/>
      <c r="U29" s="4"/>
      <c r="V29" s="4"/>
      <c r="W29" s="4"/>
      <c r="X29" s="4"/>
      <c r="Y29" s="4"/>
      <c r="Z29" s="4"/>
      <c r="AA29" s="4"/>
      <c r="AB29" s="4"/>
      <c r="AC29" s="4"/>
    </row>
    <row r="30" spans="1:29" ht="15.75" customHeight="1" thickBot="1" x14ac:dyDescent="0.4">
      <c r="A30" s="4"/>
      <c r="B30" s="10"/>
      <c r="C30" s="10"/>
      <c r="D30" s="11" t="s">
        <v>1122</v>
      </c>
      <c r="E30" s="1979" t="s">
        <v>1123</v>
      </c>
      <c r="F30" s="1979"/>
      <c r="G30" s="1980"/>
      <c r="H30" s="1981" t="s">
        <v>1124</v>
      </c>
      <c r="I30" s="1979"/>
      <c r="J30" s="1980"/>
      <c r="K30" s="1981" t="s">
        <v>1124</v>
      </c>
      <c r="L30" s="1979"/>
      <c r="M30" s="1979"/>
      <c r="N30" s="134" t="s">
        <v>1125</v>
      </c>
      <c r="O30" s="4"/>
      <c r="P30" s="4"/>
      <c r="Q30" s="4"/>
      <c r="R30" s="4"/>
      <c r="S30" s="4"/>
      <c r="T30" s="4"/>
      <c r="U30" s="4"/>
      <c r="V30" s="4"/>
      <c r="W30" s="4"/>
      <c r="X30" s="4"/>
      <c r="Y30" s="4"/>
      <c r="Z30" s="4"/>
      <c r="AA30" s="4"/>
      <c r="AB30" s="4"/>
      <c r="AC30" s="4"/>
    </row>
    <row r="31" spans="1:29" ht="14.5" thickTop="1" x14ac:dyDescent="0.3">
      <c r="A31" s="4"/>
      <c r="B31" s="2" t="s">
        <v>17</v>
      </c>
      <c r="C31" s="2"/>
      <c r="D31" s="2"/>
      <c r="E31" s="1460"/>
      <c r="F31" s="1460"/>
      <c r="G31" s="1460"/>
      <c r="H31" s="1461"/>
      <c r="I31" s="1460"/>
      <c r="J31" s="1462"/>
      <c r="K31" s="1460"/>
      <c r="L31" s="1460"/>
      <c r="M31" s="1460"/>
      <c r="N31" s="4"/>
      <c r="O31" s="4"/>
      <c r="P31" s="4"/>
      <c r="Q31" s="4"/>
      <c r="R31" s="4"/>
      <c r="S31" s="4"/>
      <c r="T31" s="4"/>
      <c r="U31" s="4"/>
      <c r="V31" s="4"/>
      <c r="W31" s="4"/>
      <c r="X31" s="4"/>
      <c r="Y31" s="4"/>
      <c r="Z31" s="4"/>
      <c r="AA31" s="4"/>
      <c r="AB31" s="4"/>
      <c r="AC31" s="4"/>
    </row>
    <row r="32" spans="1:29" x14ac:dyDescent="0.3">
      <c r="A32" s="4"/>
      <c r="B32" s="2"/>
      <c r="C32" s="2"/>
      <c r="D32" s="3" t="s">
        <v>18</v>
      </c>
      <c r="E32" s="1957" t="s">
        <v>32</v>
      </c>
      <c r="F32" s="1957"/>
      <c r="G32" s="1958"/>
      <c r="H32" s="1959" t="s">
        <v>33</v>
      </c>
      <c r="I32" s="1957"/>
      <c r="J32" s="1958"/>
      <c r="K32" s="1959" t="s">
        <v>34</v>
      </c>
      <c r="L32" s="1957"/>
      <c r="M32" s="1957"/>
      <c r="N32" s="4"/>
      <c r="O32" s="4"/>
      <c r="P32" s="4"/>
      <c r="Q32" s="4"/>
      <c r="R32" s="4"/>
      <c r="S32" s="4"/>
      <c r="T32" s="4"/>
      <c r="U32" s="4"/>
      <c r="V32" s="4"/>
      <c r="W32" s="4"/>
      <c r="X32" s="4"/>
      <c r="Y32" s="4"/>
      <c r="Z32" s="4"/>
      <c r="AA32" s="4"/>
      <c r="AB32" s="4"/>
      <c r="AC32" s="4"/>
    </row>
    <row r="33" spans="1:29" x14ac:dyDescent="0.3">
      <c r="A33" s="4"/>
      <c r="B33" s="2"/>
      <c r="C33" s="2"/>
      <c r="D33" s="3" t="s">
        <v>19</v>
      </c>
      <c r="E33" s="1957">
        <v>350</v>
      </c>
      <c r="F33" s="1957"/>
      <c r="G33" s="1958"/>
      <c r="H33" s="1959">
        <v>350</v>
      </c>
      <c r="I33" s="1957"/>
      <c r="J33" s="1958"/>
      <c r="K33" s="1959">
        <v>300</v>
      </c>
      <c r="L33" s="1957"/>
      <c r="M33" s="1957"/>
      <c r="N33" s="4"/>
      <c r="O33" s="4"/>
      <c r="P33" s="4"/>
      <c r="Q33" s="4"/>
      <c r="R33" s="4"/>
      <c r="S33" s="4"/>
      <c r="T33" s="4"/>
      <c r="U33" s="4"/>
      <c r="V33" s="4"/>
      <c r="W33" s="4"/>
      <c r="X33" s="4"/>
      <c r="Y33" s="4"/>
      <c r="Z33" s="4"/>
      <c r="AA33" s="4"/>
      <c r="AB33" s="4"/>
      <c r="AC33" s="4"/>
    </row>
    <row r="34" spans="1:29" ht="14.5" x14ac:dyDescent="0.35">
      <c r="A34" s="4"/>
      <c r="B34" s="2"/>
      <c r="C34" s="2"/>
      <c r="D34" s="3" t="s">
        <v>87</v>
      </c>
      <c r="E34" s="1957" t="s">
        <v>1630</v>
      </c>
      <c r="F34" s="1957"/>
      <c r="G34" s="1958"/>
      <c r="H34" s="1959" t="s">
        <v>1630</v>
      </c>
      <c r="I34" s="1957"/>
      <c r="J34" s="1958"/>
      <c r="K34" s="1959" t="s">
        <v>1630</v>
      </c>
      <c r="L34" s="1957"/>
      <c r="M34" s="1957"/>
      <c r="N34" s="6" t="s">
        <v>88</v>
      </c>
      <c r="O34" s="4"/>
      <c r="P34" s="4"/>
      <c r="Q34" s="4"/>
      <c r="R34" s="4"/>
      <c r="S34" s="4"/>
      <c r="T34" s="4"/>
      <c r="U34" s="4"/>
      <c r="V34" s="4"/>
      <c r="W34" s="4"/>
      <c r="X34" s="4"/>
      <c r="Y34" s="4"/>
      <c r="Z34" s="4"/>
      <c r="AA34" s="4"/>
      <c r="AB34" s="4"/>
      <c r="AC34" s="4"/>
    </row>
    <row r="35" spans="1:29" x14ac:dyDescent="0.3">
      <c r="A35" s="4"/>
      <c r="B35" s="2"/>
      <c r="C35" s="2"/>
      <c r="D35" s="3" t="s">
        <v>1672</v>
      </c>
      <c r="E35" s="1957" t="s">
        <v>1695</v>
      </c>
      <c r="F35" s="1957"/>
      <c r="G35" s="1958"/>
      <c r="H35" s="1959" t="s">
        <v>1696</v>
      </c>
      <c r="I35" s="1957"/>
      <c r="J35" s="1958"/>
      <c r="K35" s="1959" t="s">
        <v>1697</v>
      </c>
      <c r="L35" s="1957"/>
      <c r="M35" s="1957"/>
      <c r="N35" s="1930" t="s">
        <v>1673</v>
      </c>
      <c r="O35" s="4"/>
      <c r="P35" s="4"/>
      <c r="Q35" s="4"/>
      <c r="R35" s="4"/>
      <c r="S35" s="4"/>
      <c r="T35" s="4"/>
      <c r="U35" s="4"/>
      <c r="V35" s="4"/>
      <c r="W35" s="4"/>
      <c r="X35" s="4"/>
      <c r="Y35" s="4"/>
      <c r="Z35" s="4"/>
      <c r="AA35" s="4"/>
      <c r="AB35" s="4"/>
      <c r="AC35" s="4"/>
    </row>
    <row r="36" spans="1:29"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
      <c r="A37" s="13" t="s">
        <v>37</v>
      </c>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row>
    <row r="38" spans="1:29"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x14ac:dyDescent="0.3">
      <c r="A39" s="4"/>
      <c r="B39" s="5" t="s">
        <v>38</v>
      </c>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x14ac:dyDescent="0.3">
      <c r="A40" s="4"/>
      <c r="B40" s="2" t="s">
        <v>39</v>
      </c>
      <c r="C40" s="2"/>
      <c r="D40" s="2"/>
      <c r="E40" s="2"/>
      <c r="F40" s="1969" t="s">
        <v>605</v>
      </c>
      <c r="G40" s="1969"/>
      <c r="H40" s="1969"/>
      <c r="I40" s="1969"/>
      <c r="J40" s="1969"/>
      <c r="K40" s="4"/>
      <c r="L40" s="4"/>
      <c r="M40" s="4"/>
      <c r="N40" s="4"/>
      <c r="O40" s="4"/>
      <c r="P40" s="4"/>
      <c r="Q40" s="4"/>
      <c r="R40" s="4"/>
      <c r="S40" s="4"/>
      <c r="T40" s="4"/>
      <c r="U40" s="4"/>
      <c r="V40" s="4"/>
      <c r="W40" s="4"/>
      <c r="X40" s="4"/>
      <c r="Y40" s="4"/>
      <c r="Z40" s="4"/>
      <c r="AA40" s="4"/>
      <c r="AB40" s="4"/>
      <c r="AC40" s="4"/>
    </row>
    <row r="41" spans="1:29" x14ac:dyDescent="0.3">
      <c r="A41" s="4"/>
      <c r="B41" s="2" t="s">
        <v>40</v>
      </c>
      <c r="C41" s="2"/>
      <c r="D41" s="2"/>
      <c r="E41" s="2"/>
      <c r="F41" s="1970" t="s">
        <v>1628</v>
      </c>
      <c r="G41" s="1970"/>
      <c r="H41" s="1970"/>
      <c r="I41" s="1970"/>
      <c r="J41" s="1970"/>
      <c r="K41" s="4"/>
      <c r="L41" s="4"/>
      <c r="M41" s="4"/>
      <c r="N41" s="4"/>
      <c r="O41" s="4"/>
      <c r="P41" s="4"/>
      <c r="Q41" s="4"/>
      <c r="R41" s="4"/>
      <c r="S41" s="4"/>
      <c r="T41" s="4"/>
      <c r="U41" s="4"/>
      <c r="V41" s="4"/>
      <c r="W41" s="4"/>
      <c r="X41" s="4"/>
      <c r="Y41" s="4"/>
      <c r="Z41" s="4"/>
      <c r="AA41" s="4"/>
      <c r="AB41" s="4"/>
      <c r="AC41" s="4"/>
    </row>
    <row r="42" spans="1:29" ht="14.5" x14ac:dyDescent="0.35">
      <c r="A42" s="4"/>
      <c r="B42" s="2" t="s">
        <v>41</v>
      </c>
      <c r="C42" s="2"/>
      <c r="D42" s="2"/>
      <c r="E42" s="2"/>
      <c r="F42" s="1970" t="s">
        <v>1627</v>
      </c>
      <c r="G42" s="1970"/>
      <c r="H42" s="1970"/>
      <c r="I42" s="1970"/>
      <c r="J42" s="1970"/>
      <c r="K42" s="134" t="s">
        <v>43</v>
      </c>
      <c r="L42" s="4"/>
      <c r="M42" s="4"/>
      <c r="N42" s="4"/>
      <c r="O42" s="4"/>
      <c r="P42" s="4"/>
      <c r="Q42" s="4"/>
      <c r="R42" s="4"/>
      <c r="S42" s="4"/>
      <c r="T42" s="4"/>
      <c r="U42" s="4"/>
      <c r="V42" s="4"/>
      <c r="W42" s="4"/>
      <c r="X42" s="4"/>
      <c r="Y42" s="4"/>
      <c r="Z42" s="4"/>
      <c r="AA42" s="4"/>
      <c r="AB42" s="4"/>
      <c r="AC42" s="4"/>
    </row>
    <row r="43" spans="1:29" ht="14.5" x14ac:dyDescent="0.35">
      <c r="A43" s="4"/>
      <c r="B43" s="2" t="s">
        <v>903</v>
      </c>
      <c r="C43" s="2"/>
      <c r="D43" s="2"/>
      <c r="E43" s="2"/>
      <c r="F43" s="1970" t="s">
        <v>1302</v>
      </c>
      <c r="G43" s="1970"/>
      <c r="H43" s="1970"/>
      <c r="I43" s="1970"/>
      <c r="J43" s="1970"/>
      <c r="K43" s="134" t="s">
        <v>1240</v>
      </c>
      <c r="L43" s="4"/>
      <c r="M43" s="4"/>
      <c r="N43" s="4"/>
      <c r="O43" s="4"/>
      <c r="P43" s="4"/>
      <c r="Q43" s="4"/>
      <c r="R43" s="4"/>
      <c r="S43" s="4"/>
      <c r="T43" s="4"/>
      <c r="U43" s="4"/>
      <c r="V43" s="4"/>
      <c r="W43" s="4"/>
      <c r="X43" s="4"/>
      <c r="Y43" s="4"/>
      <c r="Z43" s="4"/>
      <c r="AA43" s="4"/>
      <c r="AB43" s="4"/>
      <c r="AC43" s="4"/>
    </row>
    <row r="44" spans="1:29" ht="14.5" x14ac:dyDescent="0.35">
      <c r="A44" s="4"/>
      <c r="B44" s="2" t="s">
        <v>42</v>
      </c>
      <c r="C44" s="2"/>
      <c r="D44" s="2"/>
      <c r="E44" s="2"/>
      <c r="F44" s="1971" t="s">
        <v>606</v>
      </c>
      <c r="G44" s="1971"/>
      <c r="H44" s="1971"/>
      <c r="I44" s="1971"/>
      <c r="J44" s="1971"/>
      <c r="K44" s="134" t="s">
        <v>44</v>
      </c>
      <c r="L44" s="4"/>
      <c r="M44" s="4"/>
      <c r="N44" s="4"/>
      <c r="O44" s="4"/>
      <c r="P44" s="4"/>
      <c r="Q44" s="4"/>
      <c r="R44" s="4"/>
      <c r="S44" s="4"/>
      <c r="T44" s="4"/>
      <c r="U44" s="4"/>
      <c r="V44" s="4"/>
      <c r="W44" s="4"/>
      <c r="X44" s="4"/>
      <c r="Y44" s="4"/>
      <c r="Z44" s="4"/>
      <c r="AA44" s="4"/>
      <c r="AB44" s="4"/>
      <c r="AC44" s="4"/>
    </row>
    <row r="45" spans="1:29"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x14ac:dyDescent="0.3">
      <c r="A46" s="4"/>
      <c r="B46" s="5" t="s">
        <v>45</v>
      </c>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ht="14.5" x14ac:dyDescent="0.35">
      <c r="A47" s="4"/>
      <c r="B47" s="2" t="s">
        <v>47</v>
      </c>
      <c r="C47" s="2"/>
      <c r="D47" s="1969" t="s">
        <v>1668</v>
      </c>
      <c r="E47" s="1969"/>
      <c r="F47" s="1969"/>
      <c r="G47" s="1969"/>
      <c r="H47" s="134" t="s">
        <v>1669</v>
      </c>
      <c r="I47" s="4"/>
      <c r="J47" s="4"/>
      <c r="K47" s="4"/>
      <c r="L47" s="4"/>
      <c r="M47" s="4"/>
      <c r="N47" s="4"/>
      <c r="O47" s="4"/>
      <c r="P47" s="4"/>
      <c r="Q47" s="4"/>
      <c r="R47" s="4"/>
      <c r="S47" s="4"/>
      <c r="T47" s="4"/>
      <c r="U47" s="4"/>
      <c r="V47" s="4"/>
      <c r="W47" s="4"/>
      <c r="X47" s="4"/>
      <c r="Y47" s="4"/>
      <c r="Z47" s="4"/>
      <c r="AA47" s="4"/>
      <c r="AB47" s="4"/>
      <c r="AC47" s="4"/>
    </row>
    <row r="48" spans="1:29" ht="14.5" x14ac:dyDescent="0.35">
      <c r="A48" s="4"/>
      <c r="B48" s="2" t="s">
        <v>46</v>
      </c>
      <c r="C48" s="2"/>
      <c r="D48" s="1971" t="s">
        <v>1608</v>
      </c>
      <c r="E48" s="1971"/>
      <c r="F48" s="1971"/>
      <c r="G48" s="1971"/>
      <c r="H48" s="134" t="s">
        <v>1613</v>
      </c>
      <c r="I48" s="4"/>
      <c r="J48" s="4"/>
      <c r="K48" s="4"/>
      <c r="L48" s="4"/>
      <c r="M48" s="4"/>
      <c r="N48" s="4"/>
      <c r="O48" s="4"/>
      <c r="P48" s="4"/>
      <c r="Q48" s="4"/>
      <c r="R48" s="4"/>
      <c r="S48" s="4"/>
      <c r="T48" s="4"/>
      <c r="U48" s="4"/>
      <c r="V48" s="4"/>
      <c r="W48" s="4"/>
      <c r="X48" s="4"/>
      <c r="Y48" s="4"/>
      <c r="Z48" s="4"/>
      <c r="AA48" s="4"/>
      <c r="AB48" s="4"/>
      <c r="AC48" s="4"/>
    </row>
    <row r="49" spans="1:29" ht="14.5" x14ac:dyDescent="0.35">
      <c r="A49" s="4"/>
      <c r="B49" s="2" t="s">
        <v>1234</v>
      </c>
      <c r="C49" s="2"/>
      <c r="D49" s="2"/>
      <c r="E49" s="2"/>
      <c r="F49" s="2" t="str">
        <f>IF(D47="","P","O")</f>
        <v>O</v>
      </c>
      <c r="G49" s="2"/>
      <c r="H49" s="134" t="s">
        <v>1233</v>
      </c>
      <c r="I49" s="4"/>
      <c r="J49" s="4"/>
      <c r="K49" s="4"/>
      <c r="L49" s="4"/>
      <c r="M49" s="4"/>
      <c r="N49" s="4"/>
      <c r="O49" s="4"/>
      <c r="P49" s="4"/>
      <c r="Q49" s="4"/>
      <c r="R49" s="4"/>
      <c r="S49" s="4"/>
      <c r="T49" s="4"/>
      <c r="U49" s="4"/>
      <c r="V49" s="4"/>
      <c r="W49" s="4"/>
      <c r="X49" s="4"/>
      <c r="Y49" s="4"/>
      <c r="Z49" s="4"/>
      <c r="AA49" s="4"/>
      <c r="AB49" s="4"/>
      <c r="AC49" s="4"/>
    </row>
    <row r="50" spans="1:29"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x14ac:dyDescent="0.3">
      <c r="A51" s="4"/>
      <c r="B51" s="5" t="s">
        <v>65</v>
      </c>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x14ac:dyDescent="0.3">
      <c r="A52" s="4"/>
      <c r="B52" s="2">
        <v>1</v>
      </c>
      <c r="C52" s="25" t="s">
        <v>123</v>
      </c>
      <c r="D52" s="2"/>
      <c r="E52" s="18">
        <v>45</v>
      </c>
      <c r="F52" s="18">
        <v>31.5</v>
      </c>
      <c r="G52" s="18">
        <v>22.4</v>
      </c>
      <c r="H52" s="18">
        <v>16</v>
      </c>
      <c r="I52" s="18"/>
      <c r="J52" s="18"/>
      <c r="K52" s="18">
        <v>11.2</v>
      </c>
      <c r="L52" s="18">
        <v>8</v>
      </c>
      <c r="M52" s="18">
        <v>5.6</v>
      </c>
      <c r="N52" s="18">
        <v>4</v>
      </c>
      <c r="O52" s="18">
        <v>2</v>
      </c>
      <c r="P52" s="18">
        <v>1</v>
      </c>
      <c r="Q52" s="18">
        <v>0.5</v>
      </c>
      <c r="R52" s="18">
        <v>0.25</v>
      </c>
      <c r="S52" s="18">
        <v>0.125</v>
      </c>
      <c r="T52" s="18">
        <v>6.3E-2</v>
      </c>
      <c r="U52" s="4"/>
      <c r="V52" s="4"/>
      <c r="W52" s="4"/>
      <c r="X52" s="4"/>
      <c r="Y52" s="4"/>
      <c r="Z52" s="4"/>
      <c r="AA52" s="4"/>
      <c r="AB52" s="4"/>
      <c r="AC52" s="4"/>
    </row>
    <row r="53" spans="1:29" x14ac:dyDescent="0.3">
      <c r="A53" s="4"/>
      <c r="B53" s="2">
        <v>2</v>
      </c>
      <c r="C53" s="25" t="s">
        <v>124</v>
      </c>
      <c r="D53" s="2"/>
      <c r="E53" s="18">
        <v>40</v>
      </c>
      <c r="F53" s="18">
        <v>31.5</v>
      </c>
      <c r="G53" s="18">
        <v>20</v>
      </c>
      <c r="H53" s="18">
        <v>16</v>
      </c>
      <c r="I53" s="18">
        <v>14</v>
      </c>
      <c r="J53" s="18">
        <v>12.5</v>
      </c>
      <c r="K53" s="18">
        <v>10</v>
      </c>
      <c r="L53" s="18">
        <v>8</v>
      </c>
      <c r="M53" s="18">
        <v>6.3</v>
      </c>
      <c r="N53" s="18">
        <v>4</v>
      </c>
      <c r="O53" s="18">
        <v>2</v>
      </c>
      <c r="P53" s="18">
        <v>1</v>
      </c>
      <c r="Q53" s="18">
        <v>0.5</v>
      </c>
      <c r="R53" s="18">
        <v>0.25</v>
      </c>
      <c r="S53" s="18">
        <v>0.125</v>
      </c>
      <c r="T53" s="18">
        <v>6.3E-2</v>
      </c>
      <c r="U53" s="4"/>
      <c r="V53" s="4"/>
      <c r="W53" s="4"/>
      <c r="X53" s="4"/>
      <c r="Y53" s="4"/>
      <c r="Z53" s="4"/>
      <c r="AA53" s="4"/>
      <c r="AB53" s="4"/>
      <c r="AC53" s="4"/>
    </row>
    <row r="54" spans="1:29" ht="14.5" x14ac:dyDescent="0.35">
      <c r="A54" s="4"/>
      <c r="B54" s="2">
        <v>3</v>
      </c>
      <c r="C54" s="25" t="s">
        <v>125</v>
      </c>
      <c r="D54" s="2"/>
      <c r="E54" s="1463"/>
      <c r="F54" s="1464"/>
      <c r="G54" s="1464"/>
      <c r="H54" s="1464"/>
      <c r="I54" s="1464"/>
      <c r="J54" s="1464"/>
      <c r="K54" s="1464"/>
      <c r="L54" s="1464"/>
      <c r="M54" s="1464"/>
      <c r="N54" s="1464"/>
      <c r="O54" s="1464"/>
      <c r="P54" s="1464"/>
      <c r="Q54" s="1464"/>
      <c r="R54" s="1464"/>
      <c r="S54" s="1464"/>
      <c r="T54" s="1465"/>
      <c r="U54" s="134" t="s">
        <v>1399</v>
      </c>
      <c r="V54" s="4"/>
      <c r="W54" s="4"/>
      <c r="X54" s="4"/>
      <c r="Y54" s="4"/>
      <c r="Z54" s="4"/>
      <c r="AA54" s="4"/>
      <c r="AB54" s="4"/>
      <c r="AC54" s="4"/>
    </row>
    <row r="55" spans="1:29" ht="14.5" x14ac:dyDescent="0.35">
      <c r="A55" s="4"/>
      <c r="B55" s="2" t="s">
        <v>66</v>
      </c>
      <c r="C55" s="2"/>
      <c r="D55" s="2"/>
      <c r="E55" s="1466">
        <v>2</v>
      </c>
      <c r="F55" s="6" t="s">
        <v>67</v>
      </c>
      <c r="G55" s="4"/>
      <c r="H55" s="4"/>
      <c r="I55" s="4"/>
      <c r="J55" s="4"/>
      <c r="K55" s="4"/>
      <c r="L55" s="4"/>
      <c r="M55" s="4"/>
      <c r="N55" s="4"/>
      <c r="O55" s="4"/>
      <c r="P55" s="4"/>
      <c r="Q55" s="4"/>
      <c r="R55" s="4"/>
      <c r="S55" s="4"/>
      <c r="T55" s="24"/>
      <c r="U55" s="4"/>
      <c r="V55" s="4"/>
      <c r="W55" s="4"/>
      <c r="X55" s="4"/>
      <c r="Y55" s="4"/>
      <c r="Z55" s="4"/>
      <c r="AA55" s="4"/>
      <c r="AB55" s="4"/>
      <c r="AC55" s="4"/>
    </row>
    <row r="56" spans="1:29" ht="14.5" x14ac:dyDescent="0.35">
      <c r="A56" s="4"/>
      <c r="B56" s="4"/>
      <c r="C56" s="4"/>
      <c r="D56" s="4"/>
      <c r="E56" s="4"/>
      <c r="F56" s="4"/>
      <c r="G56" s="4"/>
      <c r="H56" s="4"/>
      <c r="I56" s="4"/>
      <c r="J56" s="4"/>
      <c r="K56" s="4"/>
      <c r="L56" s="4"/>
      <c r="M56" s="4"/>
      <c r="N56" s="4"/>
      <c r="O56" s="4"/>
      <c r="P56" s="4"/>
      <c r="Q56" s="4"/>
      <c r="R56" s="4"/>
      <c r="S56" s="4"/>
      <c r="T56" s="134" t="s">
        <v>290</v>
      </c>
      <c r="U56" s="4"/>
      <c r="V56" s="4"/>
      <c r="W56" s="4"/>
      <c r="X56" s="4"/>
      <c r="Y56" s="4"/>
      <c r="Z56" s="4"/>
      <c r="AA56" s="4"/>
      <c r="AB56" s="4"/>
      <c r="AC56" s="4"/>
    </row>
    <row r="57" spans="1:29" x14ac:dyDescent="0.3">
      <c r="A57" s="4"/>
      <c r="B57" s="5" t="s">
        <v>68</v>
      </c>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ht="14.5" x14ac:dyDescent="0.35">
      <c r="A58" s="4"/>
      <c r="B58" s="2" t="s">
        <v>69</v>
      </c>
      <c r="C58" s="2"/>
      <c r="D58" s="2"/>
      <c r="E58" s="2"/>
      <c r="F58" s="1467" t="s">
        <v>56</v>
      </c>
      <c r="G58" s="6" t="s">
        <v>1398</v>
      </c>
      <c r="H58" s="4"/>
      <c r="I58" s="4"/>
      <c r="J58" s="4"/>
      <c r="K58" s="4"/>
      <c r="L58" s="4"/>
      <c r="M58" s="4"/>
      <c r="N58" s="4"/>
      <c r="O58" s="4"/>
      <c r="P58" s="4"/>
      <c r="Q58" s="4"/>
      <c r="R58" s="4"/>
      <c r="S58" s="4"/>
      <c r="T58" s="4"/>
      <c r="U58" s="4"/>
      <c r="V58" s="4"/>
      <c r="W58" s="4"/>
      <c r="X58" s="4"/>
      <c r="Y58" s="4"/>
      <c r="Z58" s="4"/>
      <c r="AA58" s="4"/>
      <c r="AB58" s="4"/>
      <c r="AC58" s="4"/>
    </row>
    <row r="59" spans="1:29"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x14ac:dyDescent="0.3">
      <c r="A60" s="4"/>
      <c r="B60" s="5" t="s">
        <v>54</v>
      </c>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x14ac:dyDescent="0.3">
      <c r="A61" s="4"/>
      <c r="B61" s="5"/>
      <c r="C61" s="4"/>
      <c r="D61" s="4"/>
      <c r="E61" s="7">
        <f>E28</f>
        <v>801</v>
      </c>
      <c r="F61" s="7">
        <f>H28</f>
        <v>802</v>
      </c>
      <c r="G61" s="7">
        <f>K28</f>
        <v>8031</v>
      </c>
      <c r="H61" s="4"/>
      <c r="I61" s="4"/>
      <c r="J61" s="4"/>
      <c r="K61" s="4"/>
      <c r="L61" s="4"/>
      <c r="M61" s="4"/>
      <c r="N61" s="4"/>
      <c r="O61" s="4"/>
      <c r="P61" s="4"/>
      <c r="Q61" s="4"/>
      <c r="R61" s="4"/>
      <c r="S61" s="4"/>
      <c r="T61" s="4"/>
      <c r="U61" s="4"/>
      <c r="V61" s="4"/>
      <c r="W61" s="4"/>
      <c r="X61" s="4"/>
      <c r="Y61" s="4"/>
      <c r="Z61" s="4"/>
      <c r="AA61" s="4"/>
      <c r="AB61" s="4"/>
      <c r="AC61" s="4"/>
    </row>
    <row r="62" spans="1:29" ht="14.5" x14ac:dyDescent="0.35">
      <c r="A62" s="4"/>
      <c r="B62" s="2" t="s">
        <v>55</v>
      </c>
      <c r="C62" s="2"/>
      <c r="D62" s="2"/>
      <c r="E62" s="1468" t="s">
        <v>56</v>
      </c>
      <c r="F62" s="1469" t="s">
        <v>56</v>
      </c>
      <c r="G62" s="1470" t="s">
        <v>56</v>
      </c>
      <c r="H62" s="6" t="s">
        <v>328</v>
      </c>
      <c r="I62" s="4"/>
      <c r="J62" s="4"/>
      <c r="K62" s="4"/>
      <c r="L62" s="4"/>
      <c r="M62" s="4"/>
      <c r="N62" s="4"/>
      <c r="O62" s="4"/>
      <c r="P62" s="4"/>
      <c r="Q62" s="4"/>
      <c r="R62" s="4"/>
      <c r="S62" s="4"/>
      <c r="T62" s="4"/>
      <c r="U62" s="4"/>
      <c r="V62" s="4"/>
      <c r="W62" s="4"/>
      <c r="X62" s="4"/>
      <c r="Y62" s="4"/>
      <c r="Z62" s="4"/>
      <c r="AA62" s="4"/>
      <c r="AB62" s="4"/>
      <c r="AC62" s="4"/>
    </row>
    <row r="63" spans="1:29"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14.5" x14ac:dyDescent="0.35">
      <c r="A64" s="4"/>
      <c r="B64" s="5" t="s">
        <v>48</v>
      </c>
      <c r="C64" s="4"/>
      <c r="D64" s="4"/>
      <c r="E64" s="4"/>
      <c r="F64" s="4"/>
      <c r="G64" s="4"/>
      <c r="H64" s="4"/>
      <c r="I64" s="4"/>
      <c r="J64" s="4"/>
      <c r="K64" s="4"/>
      <c r="L64" s="4"/>
      <c r="M64" s="6"/>
      <c r="N64" s="4"/>
      <c r="O64" s="4"/>
      <c r="P64" s="4"/>
      <c r="Q64" s="4"/>
      <c r="R64" s="4"/>
      <c r="S64" s="4"/>
      <c r="T64" s="4"/>
      <c r="U64" s="4"/>
      <c r="V64" s="4"/>
      <c r="W64" s="4"/>
      <c r="X64" s="4"/>
      <c r="Y64" s="4"/>
      <c r="Z64" s="4"/>
      <c r="AA64" s="4"/>
      <c r="AB64" s="4"/>
      <c r="AC64" s="4"/>
    </row>
    <row r="65" spans="1:29" ht="14.5" x14ac:dyDescent="0.35">
      <c r="A65" s="4"/>
      <c r="B65" s="2" t="s">
        <v>51</v>
      </c>
      <c r="C65" s="2"/>
      <c r="D65" s="2"/>
      <c r="E65" s="2"/>
      <c r="F65" s="2"/>
      <c r="G65" s="2"/>
      <c r="H65" s="12"/>
      <c r="I65" s="197"/>
      <c r="J65" s="1969">
        <v>64</v>
      </c>
      <c r="K65" s="1969"/>
      <c r="L65" s="1969"/>
      <c r="M65" s="6" t="s">
        <v>58</v>
      </c>
      <c r="N65" s="4"/>
      <c r="O65" s="4"/>
      <c r="P65" s="4"/>
      <c r="Q65" s="4"/>
      <c r="R65" s="4"/>
      <c r="S65" s="4"/>
      <c r="T65" s="4"/>
      <c r="U65" s="4"/>
      <c r="V65" s="4"/>
      <c r="W65" s="4"/>
      <c r="X65" s="4"/>
      <c r="Y65" s="4"/>
      <c r="Z65" s="4"/>
      <c r="AA65" s="4"/>
      <c r="AB65" s="4"/>
      <c r="AC65" s="4"/>
    </row>
    <row r="66" spans="1:29" ht="14.5" x14ac:dyDescent="0.35">
      <c r="A66" s="4"/>
      <c r="B66" s="2" t="s">
        <v>49</v>
      </c>
      <c r="C66" s="2"/>
      <c r="D66" s="2"/>
      <c r="E66" s="2"/>
      <c r="F66" s="2"/>
      <c r="G66" s="2"/>
      <c r="H66" s="15"/>
      <c r="I66" s="204" t="s">
        <v>596</v>
      </c>
      <c r="J66" s="1970" t="s">
        <v>597</v>
      </c>
      <c r="K66" s="1970"/>
      <c r="L66" s="1970"/>
      <c r="M66" s="134" t="s">
        <v>1235</v>
      </c>
      <c r="N66" s="4"/>
      <c r="O66" s="4"/>
      <c r="P66" s="4"/>
      <c r="Q66" s="4"/>
      <c r="R66" s="4"/>
      <c r="S66" s="4"/>
      <c r="T66" s="4"/>
      <c r="U66" s="4"/>
      <c r="V66" s="4"/>
      <c r="W66" s="4"/>
      <c r="X66" s="4"/>
      <c r="Y66" s="4"/>
      <c r="Z66" s="4"/>
      <c r="AA66" s="4"/>
      <c r="AB66" s="4"/>
      <c r="AC66" s="4"/>
    </row>
    <row r="67" spans="1:29" ht="14.5" x14ac:dyDescent="0.35">
      <c r="A67" s="4"/>
      <c r="B67" s="2" t="s">
        <v>50</v>
      </c>
      <c r="C67" s="2"/>
      <c r="D67" s="2"/>
      <c r="E67" s="2"/>
      <c r="F67" s="2"/>
      <c r="G67" s="2"/>
      <c r="H67" s="16"/>
      <c r="I67" s="204" t="s">
        <v>596</v>
      </c>
      <c r="J67" s="1970" t="s">
        <v>598</v>
      </c>
      <c r="K67" s="1970"/>
      <c r="L67" s="1970"/>
      <c r="M67" s="134" t="s">
        <v>110</v>
      </c>
      <c r="N67" s="4"/>
      <c r="O67" s="4"/>
      <c r="P67" s="4"/>
      <c r="Q67" s="4"/>
      <c r="R67" s="4"/>
      <c r="S67" s="4"/>
      <c r="T67" s="4"/>
      <c r="U67" s="4"/>
      <c r="V67" s="4"/>
      <c r="W67" s="4"/>
      <c r="X67" s="4"/>
      <c r="Y67" s="4"/>
      <c r="Z67" s="4"/>
      <c r="AA67" s="4"/>
      <c r="AB67" s="4"/>
      <c r="AC67" s="4"/>
    </row>
    <row r="68" spans="1:29" ht="14.5" x14ac:dyDescent="0.35">
      <c r="A68" s="4"/>
      <c r="B68" s="2" t="s">
        <v>1236</v>
      </c>
      <c r="C68" s="2"/>
      <c r="D68" s="2"/>
      <c r="E68" s="2"/>
      <c r="F68" s="2"/>
      <c r="G68" s="2"/>
      <c r="H68" s="16"/>
      <c r="I68" s="1694" t="s">
        <v>1408</v>
      </c>
      <c r="J68" s="1970" t="s">
        <v>599</v>
      </c>
      <c r="K68" s="1970"/>
      <c r="L68" s="1970"/>
      <c r="M68" s="134" t="s">
        <v>59</v>
      </c>
      <c r="N68" s="4"/>
      <c r="O68" s="4"/>
      <c r="P68" s="4"/>
      <c r="Q68" s="4"/>
      <c r="R68" s="4"/>
      <c r="S68" s="4"/>
      <c r="T68" s="4"/>
      <c r="U68" s="4"/>
      <c r="V68" s="4"/>
      <c r="W68" s="4"/>
      <c r="X68" s="4"/>
      <c r="Y68" s="4"/>
      <c r="Z68" s="4"/>
      <c r="AA68" s="4"/>
      <c r="AB68" s="4"/>
      <c r="AC68" s="4"/>
    </row>
    <row r="69" spans="1:29" ht="14.5" x14ac:dyDescent="0.35">
      <c r="A69" s="4"/>
      <c r="B69" s="2" t="s">
        <v>373</v>
      </c>
      <c r="C69" s="2"/>
      <c r="D69" s="2"/>
      <c r="E69" s="2"/>
      <c r="F69" s="2"/>
      <c r="G69" s="2"/>
      <c r="H69" s="15"/>
      <c r="I69" s="15" t="s">
        <v>600</v>
      </c>
      <c r="J69" s="205" t="str">
        <f>MID(J66,11,4)</f>
        <v>1234</v>
      </c>
      <c r="K69" s="205"/>
      <c r="L69" s="205"/>
      <c r="M69" s="134"/>
      <c r="N69" s="4"/>
      <c r="O69" s="4"/>
      <c r="P69" s="4"/>
      <c r="Q69" s="4"/>
      <c r="R69" s="4"/>
      <c r="S69" s="4"/>
      <c r="T69" s="4"/>
      <c r="U69" s="4"/>
      <c r="V69" s="4"/>
      <c r="W69" s="4"/>
      <c r="X69" s="4"/>
      <c r="Y69" s="4"/>
      <c r="Z69" s="4"/>
      <c r="AA69" s="4"/>
      <c r="AB69" s="4"/>
      <c r="AC69" s="4"/>
    </row>
    <row r="70" spans="1:29" ht="14.5" x14ac:dyDescent="0.35">
      <c r="A70" s="4"/>
      <c r="B70" s="2"/>
      <c r="C70" s="2"/>
      <c r="D70" s="2"/>
      <c r="E70" s="2"/>
      <c r="F70" s="2"/>
      <c r="G70" s="2"/>
      <c r="H70" s="17"/>
      <c r="I70" s="204"/>
      <c r="J70" s="2024"/>
      <c r="K70" s="2024"/>
      <c r="L70" s="2024"/>
      <c r="M70" s="134"/>
      <c r="N70" s="4"/>
      <c r="O70" s="4"/>
      <c r="P70" s="4"/>
      <c r="Q70" s="4"/>
      <c r="R70" s="4"/>
      <c r="S70" s="4"/>
      <c r="T70" s="4"/>
      <c r="U70" s="4"/>
      <c r="V70" s="4"/>
      <c r="W70" s="4"/>
      <c r="X70" s="4"/>
      <c r="Y70" s="4"/>
      <c r="Z70" s="4"/>
      <c r="AA70" s="4"/>
      <c r="AB70" s="4"/>
      <c r="AC70" s="4"/>
    </row>
    <row r="71" spans="1:29"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4.5" x14ac:dyDescent="0.35">
      <c r="A72" s="4"/>
      <c r="B72" s="5" t="s">
        <v>1292</v>
      </c>
      <c r="C72" s="4"/>
      <c r="D72" s="4"/>
      <c r="E72" s="4"/>
      <c r="F72" s="4"/>
      <c r="G72" s="4"/>
      <c r="H72" s="4"/>
      <c r="I72" s="4"/>
      <c r="J72" s="4"/>
      <c r="K72" s="4"/>
      <c r="L72" s="4"/>
      <c r="M72" s="6"/>
      <c r="N72" s="4"/>
      <c r="O72" s="4"/>
      <c r="P72" s="4"/>
      <c r="Q72" s="4"/>
      <c r="R72" s="4"/>
      <c r="S72" s="4"/>
      <c r="T72" s="4"/>
      <c r="U72" s="4"/>
      <c r="V72" s="4"/>
      <c r="W72" s="4"/>
      <c r="X72" s="4"/>
      <c r="Y72" s="4"/>
      <c r="Z72" s="4"/>
      <c r="AA72" s="4"/>
      <c r="AB72" s="4"/>
      <c r="AC72" s="4"/>
    </row>
    <row r="73" spans="1:29" ht="14.5" x14ac:dyDescent="0.35">
      <c r="A73" s="4"/>
      <c r="B73" s="301" t="s">
        <v>1337</v>
      </c>
      <c r="C73" s="2"/>
      <c r="D73" s="2"/>
      <c r="E73" s="1960" t="s">
        <v>1339</v>
      </c>
      <c r="F73" s="1960"/>
      <c r="G73" s="1960"/>
      <c r="H73" s="1960"/>
      <c r="I73" s="1960"/>
      <c r="J73" s="1960"/>
      <c r="K73" s="1960"/>
      <c r="L73" s="1960"/>
      <c r="M73" s="1960"/>
      <c r="N73" s="1960"/>
      <c r="O73" s="1960"/>
      <c r="P73" s="1960"/>
      <c r="Q73" s="134" t="s">
        <v>1338</v>
      </c>
      <c r="R73" s="4"/>
      <c r="S73" s="4"/>
      <c r="T73" s="4"/>
      <c r="U73" s="4"/>
      <c r="V73" s="4"/>
      <c r="W73" s="4"/>
      <c r="X73" s="4"/>
      <c r="Y73" s="4"/>
      <c r="Z73" s="4"/>
      <c r="AA73" s="4"/>
      <c r="AB73" s="4"/>
      <c r="AC73" s="4"/>
    </row>
    <row r="74" spans="1:29" ht="14.5" x14ac:dyDescent="0.35">
      <c r="A74" s="4"/>
      <c r="B74" s="2" t="s">
        <v>1293</v>
      </c>
      <c r="C74" s="2"/>
      <c r="D74" s="2"/>
      <c r="E74" s="2"/>
      <c r="F74" s="2"/>
      <c r="G74" s="2"/>
      <c r="H74" s="15"/>
      <c r="I74" s="1694" t="s">
        <v>1409</v>
      </c>
      <c r="J74" s="1970" t="s">
        <v>597</v>
      </c>
      <c r="K74" s="1970"/>
      <c r="L74" s="134" t="s">
        <v>1297</v>
      </c>
      <c r="M74" s="4"/>
      <c r="N74" s="4"/>
      <c r="O74" s="4"/>
      <c r="P74" s="4"/>
      <c r="Q74" s="4"/>
      <c r="R74" s="4"/>
      <c r="S74" s="4"/>
      <c r="T74" s="4"/>
      <c r="U74" s="4"/>
      <c r="V74" s="4"/>
      <c r="W74" s="4"/>
      <c r="X74" s="4"/>
      <c r="Y74" s="4"/>
      <c r="Z74" s="4"/>
      <c r="AA74" s="4"/>
      <c r="AB74" s="4"/>
      <c r="AC74" s="4"/>
    </row>
    <row r="75" spans="1:29" ht="14.5" x14ac:dyDescent="0.35">
      <c r="A75" s="4"/>
      <c r="B75" s="2" t="s">
        <v>1294</v>
      </c>
      <c r="C75" s="2"/>
      <c r="D75" s="2"/>
      <c r="E75" s="2"/>
      <c r="F75" s="2"/>
      <c r="G75" s="2"/>
      <c r="H75" s="17"/>
      <c r="I75" s="204"/>
      <c r="J75" s="1971" t="s">
        <v>1296</v>
      </c>
      <c r="K75" s="1971"/>
      <c r="L75" s="134" t="s">
        <v>1295</v>
      </c>
      <c r="M75" s="4"/>
      <c r="N75" s="4"/>
      <c r="O75" s="4"/>
      <c r="P75" s="4"/>
      <c r="Q75" s="4"/>
      <c r="R75" s="4"/>
      <c r="S75" s="4"/>
      <c r="T75" s="4"/>
      <c r="U75" s="4"/>
      <c r="V75" s="4"/>
      <c r="W75" s="4"/>
      <c r="X75" s="4"/>
      <c r="Y75" s="4"/>
      <c r="Z75" s="4"/>
      <c r="AA75" s="4"/>
      <c r="AB75" s="4"/>
      <c r="AC75" s="4"/>
    </row>
    <row r="76" spans="1:29"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x14ac:dyDescent="0.3">
      <c r="A77" s="4"/>
      <c r="B77" s="5" t="s">
        <v>61</v>
      </c>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5" customHeight="1" x14ac:dyDescent="0.3">
      <c r="A78" s="4"/>
      <c r="B78" s="2" t="s">
        <v>60</v>
      </c>
      <c r="C78" s="2"/>
      <c r="D78" s="2"/>
      <c r="E78" s="2"/>
      <c r="F78" s="2"/>
      <c r="G78" s="1988">
        <v>40409</v>
      </c>
      <c r="H78" s="1988"/>
      <c r="I78" s="4"/>
      <c r="J78" s="4"/>
      <c r="K78" s="2" t="s">
        <v>1658</v>
      </c>
      <c r="L78" s="2"/>
      <c r="M78" s="2"/>
      <c r="N78" s="2"/>
      <c r="O78" s="2"/>
      <c r="P78" s="1988">
        <v>40409</v>
      </c>
      <c r="Q78" s="1988"/>
      <c r="R78" s="4"/>
      <c r="S78" s="4"/>
      <c r="T78" s="4"/>
      <c r="U78" s="4"/>
      <c r="V78" s="4"/>
      <c r="W78" s="4"/>
      <c r="X78" s="4"/>
      <c r="Y78" s="4"/>
      <c r="Z78" s="4"/>
      <c r="AA78" s="4"/>
      <c r="AB78" s="4"/>
      <c r="AC78" s="4"/>
    </row>
    <row r="79" spans="1:29" ht="15" customHeight="1" x14ac:dyDescent="0.3">
      <c r="A79" s="4"/>
      <c r="B79" s="2" t="s">
        <v>668</v>
      </c>
      <c r="C79" s="2"/>
      <c r="D79" s="2"/>
      <c r="E79" s="2"/>
      <c r="F79" s="2"/>
      <c r="G79" s="1990">
        <v>39563</v>
      </c>
      <c r="H79" s="1990"/>
      <c r="I79" s="4"/>
      <c r="J79" s="4"/>
      <c r="K79" s="4"/>
      <c r="L79" s="4"/>
      <c r="M79" s="4"/>
      <c r="N79" s="4"/>
      <c r="O79" s="4"/>
      <c r="P79" s="4"/>
      <c r="Q79" s="4"/>
      <c r="R79" s="4"/>
      <c r="S79" s="4"/>
      <c r="T79" s="4"/>
      <c r="U79" s="4"/>
      <c r="V79" s="4"/>
      <c r="W79" s="4"/>
      <c r="X79" s="4"/>
      <c r="Y79" s="4"/>
      <c r="Z79" s="4"/>
      <c r="AA79" s="4"/>
      <c r="AB79" s="4"/>
      <c r="AC79" s="4"/>
    </row>
    <row r="80" spans="1:29"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x14ac:dyDescent="0.3">
      <c r="A81" s="4"/>
      <c r="B81" s="5" t="s">
        <v>62</v>
      </c>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14.5" x14ac:dyDescent="0.35">
      <c r="A82" s="4"/>
      <c r="B82" s="2" t="s">
        <v>670</v>
      </c>
      <c r="C82" s="2"/>
      <c r="D82" s="2"/>
      <c r="E82" s="2"/>
      <c r="F82" s="2"/>
      <c r="G82" s="2"/>
      <c r="H82" s="1471" t="s">
        <v>56</v>
      </c>
      <c r="I82" s="6" t="s">
        <v>329</v>
      </c>
      <c r="J82" s="4"/>
      <c r="K82" s="4"/>
      <c r="L82" s="4"/>
      <c r="M82" s="4"/>
      <c r="N82" s="4"/>
      <c r="O82" s="4"/>
      <c r="P82" s="4"/>
      <c r="Q82" s="4"/>
      <c r="R82" s="4"/>
      <c r="S82" s="4"/>
      <c r="T82" s="4"/>
      <c r="U82" s="4"/>
      <c r="V82" s="4"/>
      <c r="W82" s="4"/>
      <c r="X82" s="4"/>
      <c r="Y82" s="4"/>
      <c r="Z82" s="4"/>
      <c r="AA82" s="4"/>
      <c r="AB82" s="4"/>
      <c r="AC82" s="4"/>
    </row>
    <row r="83" spans="1:29" x14ac:dyDescent="0.3">
      <c r="A83" s="4"/>
      <c r="B83" s="2" t="s">
        <v>671</v>
      </c>
      <c r="C83" s="2"/>
      <c r="D83" s="2"/>
      <c r="E83" s="2"/>
      <c r="F83" s="2"/>
      <c r="G83" s="2"/>
      <c r="H83" s="1472" t="s">
        <v>56</v>
      </c>
      <c r="I83" s="4"/>
      <c r="J83" s="4"/>
      <c r="K83" s="4"/>
      <c r="L83" s="4"/>
      <c r="M83" s="4"/>
      <c r="N83" s="4"/>
      <c r="O83" s="4"/>
      <c r="P83" s="4"/>
      <c r="Q83" s="4"/>
      <c r="R83" s="4"/>
      <c r="S83" s="4"/>
      <c r="T83" s="4"/>
      <c r="U83" s="4"/>
      <c r="V83" s="4"/>
      <c r="W83" s="4"/>
      <c r="X83" s="4"/>
      <c r="Y83" s="4"/>
      <c r="Z83" s="4"/>
      <c r="AA83" s="4"/>
      <c r="AB83" s="4"/>
      <c r="AC83" s="4"/>
    </row>
    <row r="84" spans="1:29" x14ac:dyDescent="0.3">
      <c r="A84" s="4"/>
      <c r="B84" s="2" t="s">
        <v>63</v>
      </c>
      <c r="C84" s="1969" t="s">
        <v>64</v>
      </c>
      <c r="D84" s="1969"/>
      <c r="E84" s="1969"/>
      <c r="F84" s="1969"/>
      <c r="G84" s="1991"/>
      <c r="H84" s="1472" t="s">
        <v>56</v>
      </c>
      <c r="I84" s="4"/>
      <c r="J84" s="4"/>
      <c r="K84" s="4"/>
      <c r="L84" s="4"/>
      <c r="M84" s="4"/>
      <c r="N84" s="4"/>
      <c r="O84" s="4"/>
      <c r="P84" s="4"/>
      <c r="Q84" s="4"/>
      <c r="R84" s="4"/>
      <c r="S84" s="4"/>
      <c r="T84" s="4"/>
      <c r="U84" s="4"/>
      <c r="V84" s="4"/>
      <c r="W84" s="4"/>
      <c r="X84" s="4"/>
      <c r="Y84" s="4"/>
      <c r="Z84" s="4"/>
      <c r="AA84" s="4"/>
      <c r="AB84" s="4"/>
      <c r="AC84" s="4"/>
    </row>
    <row r="85" spans="1:29" x14ac:dyDescent="0.3">
      <c r="A85" s="4"/>
      <c r="B85" s="2"/>
      <c r="C85" s="1970" t="s">
        <v>109</v>
      </c>
      <c r="D85" s="1970"/>
      <c r="E85" s="1970"/>
      <c r="F85" s="1970"/>
      <c r="G85" s="1974"/>
      <c r="H85" s="1472" t="s">
        <v>56</v>
      </c>
      <c r="I85" s="4"/>
      <c r="J85" s="4"/>
      <c r="K85" s="4"/>
      <c r="L85" s="4"/>
      <c r="M85" s="4"/>
      <c r="N85" s="4"/>
      <c r="O85" s="4"/>
      <c r="P85" s="4"/>
      <c r="Q85" s="4"/>
      <c r="R85" s="4"/>
      <c r="S85" s="4"/>
      <c r="T85" s="4"/>
      <c r="U85" s="4"/>
      <c r="V85" s="4"/>
      <c r="W85" s="4"/>
      <c r="X85" s="4"/>
      <c r="Y85" s="4"/>
      <c r="Z85" s="4"/>
      <c r="AA85" s="4"/>
      <c r="AB85" s="4"/>
      <c r="AC85" s="4"/>
    </row>
    <row r="86" spans="1:29" x14ac:dyDescent="0.3">
      <c r="A86" s="4"/>
      <c r="B86" s="2"/>
      <c r="C86" s="1970" t="s">
        <v>1237</v>
      </c>
      <c r="D86" s="1970"/>
      <c r="E86" s="1970"/>
      <c r="F86" s="1970"/>
      <c r="G86" s="1974"/>
      <c r="H86" s="1466" t="s">
        <v>56</v>
      </c>
      <c r="I86" s="4"/>
      <c r="J86" s="4"/>
      <c r="K86" s="4"/>
      <c r="L86" s="4"/>
      <c r="M86" s="4"/>
      <c r="N86" s="4"/>
      <c r="O86" s="4"/>
      <c r="P86" s="4"/>
      <c r="Q86" s="4"/>
      <c r="R86" s="4"/>
      <c r="S86" s="4"/>
      <c r="T86" s="4"/>
      <c r="U86" s="4"/>
      <c r="V86" s="4"/>
      <c r="W86" s="4"/>
      <c r="X86" s="4"/>
      <c r="Y86" s="4"/>
      <c r="Z86" s="4"/>
      <c r="AA86" s="4"/>
      <c r="AB86" s="4"/>
      <c r="AC86" s="4"/>
    </row>
    <row r="87" spans="1:29" x14ac:dyDescent="0.3">
      <c r="A87" s="4"/>
      <c r="B87" s="2"/>
      <c r="C87" s="1971" t="s">
        <v>601</v>
      </c>
      <c r="D87" s="1971"/>
      <c r="E87" s="1971"/>
      <c r="F87" s="1971"/>
      <c r="G87" s="2019"/>
      <c r="H87" s="1466"/>
      <c r="I87" s="4"/>
      <c r="J87" s="4"/>
      <c r="K87" s="4"/>
      <c r="L87" s="4"/>
      <c r="M87" s="4"/>
      <c r="N87" s="4"/>
      <c r="O87" s="4"/>
      <c r="P87" s="4"/>
      <c r="Q87" s="4"/>
      <c r="R87" s="4"/>
      <c r="S87" s="4"/>
      <c r="T87" s="4"/>
      <c r="U87" s="4"/>
      <c r="V87" s="4"/>
      <c r="W87" s="4"/>
      <c r="X87" s="4"/>
      <c r="Y87" s="4"/>
      <c r="Z87" s="4"/>
      <c r="AA87" s="4"/>
      <c r="AB87" s="4"/>
      <c r="AC87" s="4"/>
    </row>
    <row r="88" spans="1:29"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x14ac:dyDescent="0.3">
      <c r="A90" s="13" t="s">
        <v>93</v>
      </c>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row>
    <row r="91" spans="1:29"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x14ac:dyDescent="0.3">
      <c r="A92" s="4"/>
      <c r="B92" s="5" t="s">
        <v>70</v>
      </c>
      <c r="C92" s="4"/>
      <c r="D92" s="4"/>
      <c r="E92" s="4"/>
      <c r="F92" s="19">
        <f>E$28</f>
        <v>801</v>
      </c>
      <c r="G92" s="19"/>
      <c r="H92" s="19"/>
      <c r="I92" s="19">
        <f>H$28</f>
        <v>802</v>
      </c>
      <c r="J92" s="19"/>
      <c r="K92" s="19"/>
      <c r="L92" s="1987">
        <f>K$28</f>
        <v>8031</v>
      </c>
      <c r="M92" s="1987"/>
      <c r="N92" s="1987"/>
      <c r="O92" s="4"/>
      <c r="P92" s="4"/>
      <c r="Q92" s="4"/>
      <c r="R92" s="4"/>
      <c r="S92" s="4"/>
      <c r="T92" s="4"/>
      <c r="U92" s="4"/>
      <c r="V92" s="4"/>
      <c r="W92" s="4"/>
      <c r="X92" s="4"/>
      <c r="Y92" s="4"/>
      <c r="Z92" s="4"/>
      <c r="AA92" s="4"/>
      <c r="AB92" s="4"/>
      <c r="AC92" s="4"/>
    </row>
    <row r="93" spans="1:29" ht="14.5" x14ac:dyDescent="0.35">
      <c r="A93" s="4"/>
      <c r="B93" s="2" t="s">
        <v>71</v>
      </c>
      <c r="C93" s="2"/>
      <c r="D93" s="2"/>
      <c r="E93" s="2"/>
      <c r="F93" s="2020" t="s">
        <v>679</v>
      </c>
      <c r="G93" s="2020"/>
      <c r="H93" s="2021"/>
      <c r="I93" s="2022" t="s">
        <v>680</v>
      </c>
      <c r="J93" s="2020"/>
      <c r="K93" s="2021"/>
      <c r="L93" s="2022" t="s">
        <v>1330</v>
      </c>
      <c r="M93" s="2020"/>
      <c r="N93" s="2020"/>
      <c r="O93" s="134" t="s">
        <v>72</v>
      </c>
      <c r="P93" s="4"/>
      <c r="Q93" s="4"/>
      <c r="R93" s="4"/>
      <c r="S93" s="4"/>
      <c r="T93" s="4"/>
      <c r="U93" s="4"/>
      <c r="V93" s="4"/>
      <c r="W93" s="4"/>
      <c r="X93" s="4"/>
      <c r="Y93" s="4"/>
      <c r="Z93" s="4"/>
      <c r="AA93" s="4"/>
      <c r="AB93" s="4"/>
      <c r="AC93" s="4"/>
    </row>
    <row r="94" spans="1:29"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x14ac:dyDescent="0.3">
      <c r="A95" s="4"/>
      <c r="B95" s="5" t="s">
        <v>73</v>
      </c>
      <c r="C95" s="4"/>
      <c r="D95" s="4"/>
      <c r="E95" s="4"/>
      <c r="F95" s="19">
        <f>E$28</f>
        <v>801</v>
      </c>
      <c r="G95" s="19"/>
      <c r="H95" s="19"/>
      <c r="I95" s="19">
        <f>H$28</f>
        <v>802</v>
      </c>
      <c r="J95" s="19"/>
      <c r="K95" s="19"/>
      <c r="L95" s="1987">
        <f>K$28</f>
        <v>8031</v>
      </c>
      <c r="M95" s="1987"/>
      <c r="N95" s="1987"/>
      <c r="O95" s="4"/>
      <c r="P95" s="4"/>
      <c r="Q95" s="4"/>
      <c r="R95" s="4"/>
      <c r="S95" s="4"/>
      <c r="T95" s="4"/>
      <c r="U95" s="4"/>
      <c r="V95" s="4"/>
      <c r="W95" s="4"/>
      <c r="X95" s="4"/>
      <c r="Y95" s="4"/>
      <c r="Z95" s="4"/>
      <c r="AA95" s="4"/>
      <c r="AB95" s="4"/>
      <c r="AC95" s="4"/>
    </row>
    <row r="96" spans="1:29" ht="14.5" x14ac:dyDescent="0.35">
      <c r="A96" s="4"/>
      <c r="B96" s="2" t="s">
        <v>75</v>
      </c>
      <c r="C96" s="2"/>
      <c r="D96" s="2"/>
      <c r="E96" s="2"/>
      <c r="F96" s="2020" t="s">
        <v>801</v>
      </c>
      <c r="G96" s="2020"/>
      <c r="H96" s="2021"/>
      <c r="I96" s="2022"/>
      <c r="J96" s="2020"/>
      <c r="K96" s="2021"/>
      <c r="L96" s="2022"/>
      <c r="M96" s="2020"/>
      <c r="N96" s="2020"/>
      <c r="O96" s="6" t="s">
        <v>74</v>
      </c>
      <c r="P96" s="4"/>
      <c r="Q96" s="4"/>
      <c r="R96" s="4"/>
      <c r="S96" s="4"/>
      <c r="T96" s="4"/>
      <c r="U96" s="4"/>
      <c r="V96" s="4"/>
      <c r="W96" s="4"/>
      <c r="X96" s="4"/>
      <c r="Y96" s="4"/>
      <c r="Z96" s="4"/>
      <c r="AA96" s="4"/>
      <c r="AB96" s="4"/>
      <c r="AC96" s="4"/>
    </row>
    <row r="97" spans="1:29"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x14ac:dyDescent="0.3">
      <c r="A98" s="4"/>
      <c r="B98" s="2" t="s">
        <v>76</v>
      </c>
      <c r="C98" s="2"/>
      <c r="D98" s="2"/>
      <c r="E98" s="2"/>
      <c r="F98" s="1989" t="s">
        <v>81</v>
      </c>
      <c r="G98" s="1989"/>
      <c r="H98" s="20" t="s">
        <v>77</v>
      </c>
      <c r="I98" s="1989" t="s">
        <v>81</v>
      </c>
      <c r="J98" s="1989"/>
      <c r="K98" s="20" t="s">
        <v>77</v>
      </c>
      <c r="L98" s="1989" t="s">
        <v>81</v>
      </c>
      <c r="M98" s="1989"/>
      <c r="N98" s="20" t="s">
        <v>77</v>
      </c>
      <c r="O98" s="4"/>
      <c r="P98" s="4"/>
      <c r="Q98" s="4"/>
      <c r="R98" s="4"/>
      <c r="S98" s="4"/>
      <c r="T98" s="4"/>
      <c r="U98" s="4"/>
      <c r="V98" s="4"/>
      <c r="W98" s="4"/>
      <c r="X98" s="4"/>
      <c r="Y98" s="4"/>
      <c r="Z98" s="4"/>
      <c r="AA98" s="4"/>
      <c r="AB98" s="4"/>
      <c r="AC98" s="4"/>
    </row>
    <row r="99" spans="1:29" ht="14.5" x14ac:dyDescent="0.35">
      <c r="A99" s="4"/>
      <c r="B99" s="2"/>
      <c r="C99" s="2"/>
      <c r="D99" s="2"/>
      <c r="E99" s="3" t="s">
        <v>78</v>
      </c>
      <c r="F99" s="2026" t="s">
        <v>800</v>
      </c>
      <c r="G99" s="2027"/>
      <c r="H99" s="1473"/>
      <c r="I99" s="2028"/>
      <c r="J99" s="2027"/>
      <c r="K99" s="1473"/>
      <c r="L99" s="2028"/>
      <c r="M99" s="2027"/>
      <c r="N99" s="1474"/>
      <c r="O99" s="134" t="s">
        <v>111</v>
      </c>
      <c r="P99" s="4"/>
      <c r="Q99" s="4"/>
      <c r="R99" s="4"/>
      <c r="S99" s="4"/>
      <c r="T99" s="4"/>
      <c r="U99" s="4"/>
      <c r="V99" s="4"/>
      <c r="W99" s="4"/>
      <c r="X99" s="4"/>
      <c r="Y99" s="4"/>
      <c r="Z99" s="4"/>
      <c r="AA99" s="4"/>
      <c r="AB99" s="4"/>
      <c r="AC99" s="4"/>
    </row>
    <row r="100" spans="1:29" ht="14.5" x14ac:dyDescent="0.35">
      <c r="A100" s="4"/>
      <c r="B100" s="2"/>
      <c r="C100" s="2"/>
      <c r="D100" s="2"/>
      <c r="E100" s="2"/>
      <c r="F100" s="1998" t="s">
        <v>799</v>
      </c>
      <c r="G100" s="1999"/>
      <c r="H100" s="1475"/>
      <c r="I100" s="2013"/>
      <c r="J100" s="1999"/>
      <c r="K100" s="1475"/>
      <c r="L100" s="2013"/>
      <c r="M100" s="1999"/>
      <c r="N100" s="1476"/>
      <c r="O100" s="134" t="s">
        <v>1238</v>
      </c>
      <c r="P100" s="4"/>
      <c r="Q100" s="4"/>
      <c r="R100" s="4"/>
      <c r="S100" s="4"/>
      <c r="T100" s="4"/>
      <c r="U100" s="4"/>
      <c r="V100" s="4"/>
      <c r="W100" s="4"/>
      <c r="X100" s="4"/>
      <c r="Y100" s="4"/>
      <c r="Z100" s="4"/>
      <c r="AA100" s="4"/>
      <c r="AB100" s="4"/>
      <c r="AC100" s="4"/>
    </row>
    <row r="101" spans="1:29" ht="14.5" x14ac:dyDescent="0.35">
      <c r="A101" s="4"/>
      <c r="B101" s="2"/>
      <c r="C101" s="2"/>
      <c r="D101" s="2"/>
      <c r="E101" s="2"/>
      <c r="F101" s="2000" t="s">
        <v>798</v>
      </c>
      <c r="G101" s="2001"/>
      <c r="H101" s="1477"/>
      <c r="I101" s="2014"/>
      <c r="J101" s="2001"/>
      <c r="K101" s="1477"/>
      <c r="L101" s="2014"/>
      <c r="M101" s="2001"/>
      <c r="N101" s="1478"/>
      <c r="O101" s="134" t="s">
        <v>1400</v>
      </c>
      <c r="P101" s="4"/>
      <c r="Q101" s="4"/>
      <c r="R101" s="4"/>
      <c r="S101" s="4"/>
      <c r="T101" s="4"/>
      <c r="U101" s="4"/>
      <c r="V101" s="4"/>
      <c r="W101" s="4"/>
      <c r="X101" s="4"/>
      <c r="Y101" s="4"/>
      <c r="Z101" s="4"/>
      <c r="AA101" s="4"/>
      <c r="AB101" s="4"/>
      <c r="AC101" s="4"/>
    </row>
    <row r="102" spans="1:29" x14ac:dyDescent="0.3">
      <c r="A102" s="4"/>
      <c r="B102" s="2"/>
      <c r="C102" s="2"/>
      <c r="D102" s="2"/>
      <c r="E102" s="2"/>
      <c r="F102" s="2002" t="s">
        <v>797</v>
      </c>
      <c r="G102" s="2003"/>
      <c r="H102" s="1479"/>
      <c r="I102" s="2015"/>
      <c r="J102" s="2003"/>
      <c r="K102" s="1479"/>
      <c r="L102" s="2015"/>
      <c r="M102" s="2003"/>
      <c r="N102" s="1480"/>
      <c r="O102" s="4"/>
      <c r="P102" s="4"/>
      <c r="Q102" s="4"/>
      <c r="R102" s="4"/>
      <c r="S102" s="4"/>
      <c r="T102" s="4"/>
      <c r="U102" s="4"/>
      <c r="V102" s="4"/>
      <c r="W102" s="4"/>
      <c r="X102" s="4"/>
      <c r="Y102" s="4"/>
      <c r="Z102" s="4"/>
      <c r="AA102" s="4"/>
      <c r="AB102" s="4"/>
      <c r="AC102" s="4"/>
    </row>
    <row r="103" spans="1:29" ht="14.5" customHeight="1" x14ac:dyDescent="0.3">
      <c r="A103" s="4"/>
      <c r="B103" s="2"/>
      <c r="C103" s="2"/>
      <c r="D103" s="2"/>
      <c r="E103" s="2"/>
      <c r="F103" s="2004" t="s">
        <v>796</v>
      </c>
      <c r="G103" s="2005"/>
      <c r="H103" s="1481"/>
      <c r="I103" s="2016"/>
      <c r="J103" s="2005"/>
      <c r="K103" s="1481"/>
      <c r="L103" s="2016"/>
      <c r="M103" s="2005"/>
      <c r="N103" s="1482"/>
      <c r="O103" s="4"/>
      <c r="P103" s="4"/>
      <c r="Q103" s="4"/>
      <c r="R103" s="4"/>
      <c r="S103" s="4"/>
      <c r="T103" s="4"/>
      <c r="U103" s="4"/>
      <c r="V103" s="4"/>
      <c r="W103" s="4"/>
      <c r="X103" s="4"/>
      <c r="Y103" s="4"/>
      <c r="Z103" s="4"/>
      <c r="AA103" s="4"/>
      <c r="AB103" s="4"/>
      <c r="AC103" s="4"/>
    </row>
    <row r="104" spans="1:29" ht="15" customHeight="1" thickBot="1" x14ac:dyDescent="0.35">
      <c r="A104" s="4"/>
      <c r="B104" s="2"/>
      <c r="C104" s="2"/>
      <c r="D104" s="2"/>
      <c r="E104" s="3" t="s">
        <v>79</v>
      </c>
      <c r="F104" s="2025" t="s">
        <v>795</v>
      </c>
      <c r="G104" s="2018"/>
      <c r="H104" s="1483"/>
      <c r="I104" s="2017"/>
      <c r="J104" s="2018"/>
      <c r="K104" s="1483"/>
      <c r="L104" s="2017"/>
      <c r="M104" s="2018"/>
      <c r="N104" s="1484"/>
      <c r="O104" s="4"/>
      <c r="P104" s="4"/>
      <c r="Q104" s="4"/>
      <c r="R104" s="4"/>
      <c r="S104" s="4"/>
      <c r="T104" s="4"/>
      <c r="U104" s="4"/>
      <c r="V104" s="4"/>
      <c r="W104" s="4"/>
      <c r="X104" s="4"/>
      <c r="Y104" s="4"/>
      <c r="Z104" s="4"/>
      <c r="AA104" s="4"/>
      <c r="AB104" s="4"/>
      <c r="AC104" s="4"/>
    </row>
    <row r="105" spans="1:29" ht="14.5" thickTop="1" x14ac:dyDescent="0.3">
      <c r="A105" s="4"/>
      <c r="B105" s="9" t="s">
        <v>80</v>
      </c>
      <c r="C105" s="9"/>
      <c r="D105" s="9"/>
      <c r="E105" s="21"/>
      <c r="F105" s="2006" t="s">
        <v>82</v>
      </c>
      <c r="G105" s="2006"/>
      <c r="H105" s="22" t="s">
        <v>77</v>
      </c>
      <c r="I105" s="2006" t="s">
        <v>82</v>
      </c>
      <c r="J105" s="2006"/>
      <c r="K105" s="22" t="s">
        <v>77</v>
      </c>
      <c r="L105" s="2006" t="s">
        <v>82</v>
      </c>
      <c r="M105" s="2006"/>
      <c r="N105" s="22" t="s">
        <v>77</v>
      </c>
      <c r="O105" s="4"/>
      <c r="P105" s="4"/>
      <c r="Q105" s="4"/>
      <c r="R105" s="4"/>
      <c r="S105" s="4"/>
      <c r="T105" s="4"/>
      <c r="U105" s="4"/>
      <c r="V105" s="4"/>
      <c r="W105" s="4"/>
      <c r="X105" s="4"/>
      <c r="Y105" s="4"/>
      <c r="Z105" s="4"/>
      <c r="AA105" s="4"/>
      <c r="AB105" s="4"/>
      <c r="AC105" s="4"/>
    </row>
    <row r="106" spans="1:29" ht="14.5" x14ac:dyDescent="0.35">
      <c r="A106" s="4"/>
      <c r="B106" s="2"/>
      <c r="C106" s="2"/>
      <c r="D106" s="2"/>
      <c r="E106" s="73" t="str">
        <f>samenstelling!K56</f>
        <v>onderlaag 14/2</v>
      </c>
      <c r="F106" s="1972" t="s">
        <v>1483</v>
      </c>
      <c r="G106" s="1972"/>
      <c r="H106" s="1485"/>
      <c r="I106" s="1975" t="s">
        <v>681</v>
      </c>
      <c r="J106" s="1972"/>
      <c r="K106" s="1485"/>
      <c r="L106" s="1972" t="s">
        <v>682</v>
      </c>
      <c r="M106" s="1972"/>
      <c r="N106" s="1486"/>
      <c r="O106" s="134" t="s">
        <v>1607</v>
      </c>
      <c r="P106" s="4"/>
      <c r="Q106" s="4"/>
      <c r="R106" s="4"/>
      <c r="S106" s="4"/>
      <c r="T106" s="4"/>
      <c r="U106" s="4"/>
      <c r="V106" s="4"/>
      <c r="W106" s="4"/>
      <c r="X106" s="4"/>
      <c r="Y106" s="4"/>
      <c r="Z106" s="4"/>
      <c r="AA106" s="4"/>
      <c r="AB106" s="4"/>
      <c r="AC106" s="4"/>
    </row>
    <row r="107" spans="1:29" x14ac:dyDescent="0.3">
      <c r="A107" s="4"/>
      <c r="B107" s="2"/>
      <c r="C107" s="2"/>
      <c r="D107" s="2"/>
      <c r="E107" s="73" t="str">
        <f>samenstelling!K57</f>
        <v/>
      </c>
      <c r="F107" s="2009"/>
      <c r="G107" s="2009"/>
      <c r="H107" s="1487"/>
      <c r="I107" s="2010"/>
      <c r="J107" s="2009"/>
      <c r="K107" s="1487"/>
      <c r="L107" s="2009"/>
      <c r="M107" s="2009"/>
      <c r="N107" s="1488"/>
      <c r="O107" s="4"/>
      <c r="P107" s="4"/>
      <c r="Q107" s="4"/>
      <c r="R107" s="4"/>
      <c r="S107" s="4"/>
      <c r="T107" s="4"/>
      <c r="U107" s="4"/>
      <c r="V107" s="4"/>
      <c r="W107" s="4"/>
      <c r="X107" s="4"/>
      <c r="Y107" s="4"/>
      <c r="Z107" s="4"/>
      <c r="AA107" s="4"/>
      <c r="AB107" s="4"/>
      <c r="AC107" s="4"/>
    </row>
    <row r="108" spans="1:29" ht="14.5" thickBot="1" x14ac:dyDescent="0.35">
      <c r="A108" s="4"/>
      <c r="B108" s="10"/>
      <c r="C108" s="10"/>
      <c r="D108" s="10"/>
      <c r="E108" s="74" t="str">
        <f>samenstelling!K58</f>
        <v/>
      </c>
      <c r="F108" s="2007"/>
      <c r="G108" s="2007"/>
      <c r="H108" s="1489"/>
      <c r="I108" s="2008"/>
      <c r="J108" s="2007"/>
      <c r="K108" s="1489"/>
      <c r="L108" s="2007"/>
      <c r="M108" s="2007"/>
      <c r="N108" s="1490"/>
      <c r="O108" s="4"/>
      <c r="P108" s="4"/>
      <c r="Q108" s="4"/>
      <c r="R108" s="4"/>
      <c r="S108" s="4"/>
      <c r="T108" s="4"/>
      <c r="U108" s="4"/>
      <c r="V108" s="4"/>
      <c r="W108" s="4"/>
      <c r="X108" s="4"/>
      <c r="Y108" s="4"/>
      <c r="Z108" s="4"/>
      <c r="AA108" s="4"/>
      <c r="AB108" s="4"/>
      <c r="AC108" s="4"/>
    </row>
    <row r="109" spans="1:29" ht="14.5" thickTop="1" x14ac:dyDescent="0.3">
      <c r="A109" s="4"/>
      <c r="B109" s="2" t="s">
        <v>83</v>
      </c>
      <c r="C109" s="2"/>
      <c r="D109" s="2"/>
      <c r="E109" s="2"/>
      <c r="F109" s="1491"/>
      <c r="G109" s="1491"/>
      <c r="H109" s="1473"/>
      <c r="I109" s="1492"/>
      <c r="J109" s="1491"/>
      <c r="K109" s="1473"/>
      <c r="L109" s="1491"/>
      <c r="M109" s="1491"/>
      <c r="N109" s="1493"/>
      <c r="O109" s="4"/>
      <c r="P109" s="4"/>
      <c r="Q109" s="4"/>
      <c r="R109" s="4"/>
      <c r="S109" s="4"/>
      <c r="T109" s="4"/>
      <c r="U109" s="4"/>
      <c r="V109" s="4"/>
      <c r="W109" s="4"/>
      <c r="X109" s="4"/>
      <c r="Y109" s="4"/>
      <c r="Z109" s="4"/>
      <c r="AA109" s="4"/>
      <c r="AB109" s="4"/>
      <c r="AC109" s="4"/>
    </row>
    <row r="110" spans="1:29" ht="15" thickBot="1" x14ac:dyDescent="0.4">
      <c r="A110" s="4"/>
      <c r="B110" s="2"/>
      <c r="C110" s="2"/>
      <c r="D110" s="2"/>
      <c r="E110" s="3" t="s">
        <v>108</v>
      </c>
      <c r="F110" s="1494" t="s">
        <v>57</v>
      </c>
      <c r="G110" s="1491"/>
      <c r="H110" s="1495"/>
      <c r="I110" s="1494" t="s">
        <v>57</v>
      </c>
      <c r="J110" s="1491"/>
      <c r="K110" s="1495"/>
      <c r="L110" s="1494" t="s">
        <v>56</v>
      </c>
      <c r="M110" s="1491"/>
      <c r="N110" s="1496"/>
      <c r="O110" s="6" t="s">
        <v>112</v>
      </c>
      <c r="P110" s="4"/>
      <c r="Q110" s="4"/>
      <c r="R110" s="4"/>
      <c r="S110" s="4"/>
      <c r="T110" s="4"/>
      <c r="U110" s="4"/>
      <c r="V110" s="4"/>
      <c r="W110" s="4"/>
      <c r="X110" s="4"/>
      <c r="Y110" s="4"/>
      <c r="Z110" s="4"/>
      <c r="AA110" s="4"/>
      <c r="AB110" s="4"/>
      <c r="AC110" s="4"/>
    </row>
    <row r="111" spans="1:29" ht="14.5" thickTop="1" x14ac:dyDescent="0.3">
      <c r="A111" s="4"/>
      <c r="B111" s="9" t="s">
        <v>84</v>
      </c>
      <c r="C111" s="9"/>
      <c r="D111" s="9"/>
      <c r="E111" s="78" t="str">
        <f>samenstelling!H26</f>
        <v>IIa</v>
      </c>
      <c r="F111" s="1457"/>
      <c r="G111" s="1457"/>
      <c r="H111" s="1497"/>
      <c r="I111" s="1458"/>
      <c r="J111" s="1457"/>
      <c r="K111" s="1497"/>
      <c r="L111" s="1457"/>
      <c r="M111" s="1457"/>
      <c r="N111" s="1486"/>
      <c r="O111" s="4"/>
      <c r="P111" s="4"/>
      <c r="Q111" s="4"/>
      <c r="R111" s="4"/>
      <c r="S111" s="4"/>
      <c r="T111" s="4"/>
      <c r="U111" s="4"/>
      <c r="V111" s="4"/>
      <c r="W111" s="4"/>
      <c r="X111" s="4"/>
      <c r="Y111" s="4"/>
      <c r="Z111" s="4"/>
      <c r="AA111" s="4"/>
      <c r="AB111" s="4"/>
      <c r="AC111" s="4"/>
    </row>
    <row r="112" spans="1:29" ht="14.5" thickBot="1" x14ac:dyDescent="0.35">
      <c r="A112" s="4"/>
      <c r="B112" s="10"/>
      <c r="C112" s="10"/>
      <c r="D112" s="10"/>
      <c r="E112" s="74" t="str">
        <f>samenstelling!H27</f>
        <v/>
      </c>
      <c r="F112" s="1496"/>
      <c r="G112" s="1496"/>
      <c r="H112" s="1498"/>
      <c r="I112" s="1499"/>
      <c r="J112" s="1496"/>
      <c r="K112" s="1498"/>
      <c r="L112" s="1496"/>
      <c r="M112" s="1496"/>
      <c r="N112" s="1500"/>
      <c r="O112" s="4"/>
      <c r="P112" s="4"/>
      <c r="Q112" s="4"/>
      <c r="R112" s="4"/>
      <c r="S112" s="4"/>
      <c r="T112" s="4"/>
      <c r="U112" s="4"/>
      <c r="V112" s="4"/>
      <c r="W112" s="4"/>
      <c r="X112" s="4"/>
      <c r="Y112" s="4"/>
      <c r="Z112" s="4"/>
      <c r="AA112" s="4"/>
      <c r="AB112" s="4"/>
      <c r="AC112" s="4"/>
    </row>
    <row r="113" spans="1:29" ht="14.5" thickTop="1" x14ac:dyDescent="0.3">
      <c r="A113" s="4"/>
      <c r="B113" s="2" t="s">
        <v>85</v>
      </c>
      <c r="C113" s="2"/>
      <c r="D113" s="2"/>
      <c r="E113" s="73" t="str">
        <f>IF(samenstelling!B43&lt;&gt;"",samenstelling!H43,IF(samenstelling!B44&lt;&gt;"",samenstelling!H44,IF(samenstelling!B45&lt;&gt;"",samenstelling!H45,"")))</f>
        <v>Mexphalte CLT50/70</v>
      </c>
      <c r="F113" s="1460"/>
      <c r="G113" s="1460"/>
      <c r="H113" s="1485"/>
      <c r="I113" s="1461"/>
      <c r="J113" s="1460"/>
      <c r="K113" s="1485"/>
      <c r="L113" s="1460"/>
      <c r="M113" s="1460"/>
      <c r="N113" s="1486"/>
      <c r="O113" s="4"/>
      <c r="P113" s="4"/>
      <c r="Q113" s="4"/>
      <c r="R113" s="4"/>
      <c r="S113" s="4"/>
      <c r="T113" s="4"/>
      <c r="U113" s="4"/>
      <c r="V113" s="4"/>
      <c r="W113" s="4"/>
      <c r="X113" s="4"/>
      <c r="Y113" s="4"/>
      <c r="Z113" s="4"/>
      <c r="AA113" s="4"/>
      <c r="AB113" s="4"/>
      <c r="AC113" s="4"/>
    </row>
    <row r="114" spans="1:29" ht="15" customHeight="1" thickBot="1" x14ac:dyDescent="0.4">
      <c r="A114" s="4"/>
      <c r="B114" s="2"/>
      <c r="C114" s="2"/>
      <c r="D114" s="1985"/>
      <c r="E114" s="1986"/>
      <c r="F114" s="1501"/>
      <c r="G114" s="1501"/>
      <c r="H114" s="1498"/>
      <c r="I114" s="1502"/>
      <c r="J114" s="1501"/>
      <c r="K114" s="1498"/>
      <c r="L114" s="1501"/>
      <c r="M114" s="1501"/>
      <c r="N114" s="1500"/>
      <c r="O114" s="6" t="s">
        <v>377</v>
      </c>
      <c r="P114" s="4"/>
      <c r="Q114" s="4"/>
      <c r="R114" s="4"/>
      <c r="S114" s="4"/>
      <c r="T114" s="4"/>
      <c r="U114" s="4"/>
      <c r="V114" s="4"/>
      <c r="W114" s="4"/>
      <c r="X114" s="4"/>
      <c r="Y114" s="4"/>
      <c r="Z114" s="4"/>
      <c r="AA114" s="4"/>
      <c r="AB114" s="4"/>
      <c r="AC114" s="4"/>
    </row>
    <row r="115" spans="1:29" ht="14.5" thickTop="1" x14ac:dyDescent="0.3">
      <c r="A115" s="4"/>
      <c r="B115" s="9" t="s">
        <v>86</v>
      </c>
      <c r="C115" s="9"/>
      <c r="D115" s="9"/>
      <c r="E115" s="9"/>
      <c r="F115" s="9"/>
      <c r="G115" s="9"/>
      <c r="H115" s="9">
        <f>SUM(H99:H114)</f>
        <v>0</v>
      </c>
      <c r="I115" s="9"/>
      <c r="J115" s="9"/>
      <c r="K115" s="9">
        <f>SUM(K99:K114)</f>
        <v>0</v>
      </c>
      <c r="L115" s="9"/>
      <c r="M115" s="9"/>
      <c r="N115" s="9">
        <f>SUM(N99:N114)</f>
        <v>0</v>
      </c>
      <c r="O115" s="4"/>
      <c r="P115" s="4"/>
      <c r="Q115" s="4"/>
      <c r="R115" s="4"/>
      <c r="S115" s="4"/>
      <c r="T115" s="4"/>
      <c r="U115" s="4"/>
      <c r="V115" s="4"/>
      <c r="W115" s="4"/>
      <c r="X115" s="4"/>
      <c r="Y115" s="4"/>
      <c r="Z115" s="4"/>
      <c r="AA115" s="4"/>
      <c r="AB115" s="4"/>
      <c r="AC115" s="4"/>
    </row>
    <row r="116" spans="1:29"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4.5" x14ac:dyDescent="0.35">
      <c r="A117" s="4"/>
      <c r="B117" s="5" t="s">
        <v>89</v>
      </c>
      <c r="C117" s="4"/>
      <c r="D117" s="4"/>
      <c r="E117" s="4"/>
      <c r="F117" s="19">
        <f>E$28</f>
        <v>801</v>
      </c>
      <c r="G117" s="19"/>
      <c r="H117" s="19"/>
      <c r="I117" s="19">
        <f>H$28</f>
        <v>802</v>
      </c>
      <c r="J117" s="19"/>
      <c r="K117" s="19"/>
      <c r="L117" s="1987">
        <f>K$28</f>
        <v>8031</v>
      </c>
      <c r="M117" s="1987"/>
      <c r="N117" s="1987"/>
      <c r="O117" s="4"/>
      <c r="P117" s="4"/>
      <c r="Q117" s="4"/>
      <c r="R117" s="4"/>
      <c r="S117" s="4"/>
      <c r="T117" s="4"/>
      <c r="U117" s="4"/>
      <c r="V117" s="4"/>
      <c r="W117" s="6" t="s">
        <v>1471</v>
      </c>
      <c r="X117" s="4"/>
      <c r="Y117" s="4"/>
      <c r="Z117" s="4"/>
      <c r="AA117" s="4"/>
      <c r="AB117" s="4"/>
      <c r="AC117" s="4"/>
    </row>
    <row r="118" spans="1:29" ht="14.5" x14ac:dyDescent="0.35">
      <c r="A118" s="4"/>
      <c r="B118" s="1960" t="s">
        <v>1469</v>
      </c>
      <c r="C118" s="1960"/>
      <c r="D118" s="1960"/>
      <c r="E118" s="1961"/>
      <c r="F118" s="1996" t="s">
        <v>1401</v>
      </c>
      <c r="G118" s="1996"/>
      <c r="H118" s="1997"/>
      <c r="I118" s="1995" t="s">
        <v>1402</v>
      </c>
      <c r="J118" s="1996"/>
      <c r="K118" s="1997"/>
      <c r="L118" s="1995" t="s">
        <v>1403</v>
      </c>
      <c r="M118" s="1996"/>
      <c r="N118" s="1996"/>
      <c r="O118" s="6" t="s">
        <v>1472</v>
      </c>
      <c r="P118" s="4"/>
      <c r="Q118" s="4"/>
      <c r="R118" s="4"/>
      <c r="S118" s="4"/>
      <c r="T118" s="4"/>
      <c r="U118" s="4"/>
      <c r="V118" s="4"/>
      <c r="W118" s="1701" t="str">
        <f>IF(samenstelling!B68="","",samenstelling!E68&amp;" "&amp;samenstelling!H68)</f>
        <v>Afdruipremmer Cellulose Viatop Premium</v>
      </c>
      <c r="X118" s="1702"/>
      <c r="Y118" s="1702"/>
      <c r="Z118" s="1702"/>
      <c r="AA118" s="1703"/>
      <c r="AB118" s="4"/>
      <c r="AC118" s="4"/>
    </row>
    <row r="119" spans="1:29" ht="14.5" x14ac:dyDescent="0.35">
      <c r="A119" s="4"/>
      <c r="B119" s="1960" t="s">
        <v>1470</v>
      </c>
      <c r="C119" s="1960"/>
      <c r="D119" s="1960"/>
      <c r="E119" s="1961"/>
      <c r="F119" s="1993" t="s">
        <v>1624</v>
      </c>
      <c r="G119" s="1993"/>
      <c r="H119" s="1994"/>
      <c r="I119" s="1992"/>
      <c r="J119" s="1993"/>
      <c r="K119" s="1994"/>
      <c r="L119" s="1992"/>
      <c r="M119" s="1993"/>
      <c r="N119" s="1993"/>
      <c r="O119" s="6" t="s">
        <v>90</v>
      </c>
      <c r="P119" s="4"/>
      <c r="Q119" s="4"/>
      <c r="R119" s="4"/>
      <c r="S119" s="4"/>
      <c r="T119" s="4"/>
      <c r="U119" s="4"/>
      <c r="V119" s="4"/>
      <c r="W119" s="1704" t="str">
        <f>IF(samenstelling!B69="","",samenstelling!E69&amp;" "&amp;samenstelling!H69)</f>
        <v/>
      </c>
      <c r="X119" s="4"/>
      <c r="Y119" s="4"/>
      <c r="Z119" s="4"/>
      <c r="AA119" s="1705"/>
      <c r="AB119" s="4"/>
      <c r="AC119" s="4"/>
    </row>
    <row r="120" spans="1:29" ht="14.5" x14ac:dyDescent="0.35">
      <c r="A120" s="4"/>
      <c r="B120" s="1960" t="s">
        <v>162</v>
      </c>
      <c r="C120" s="1960"/>
      <c r="D120" s="1960"/>
      <c r="E120" s="1961"/>
      <c r="F120" s="1993" t="s">
        <v>1623</v>
      </c>
      <c r="G120" s="1993"/>
      <c r="H120" s="1994"/>
      <c r="I120" s="1992"/>
      <c r="J120" s="1993"/>
      <c r="K120" s="1994"/>
      <c r="L120" s="1992"/>
      <c r="M120" s="1993"/>
      <c r="N120" s="1993"/>
      <c r="O120" s="4"/>
      <c r="P120" s="4"/>
      <c r="Q120" s="4"/>
      <c r="R120" s="4"/>
      <c r="S120" s="4"/>
      <c r="T120" s="4"/>
      <c r="U120" s="4"/>
      <c r="V120" s="4"/>
      <c r="W120" s="1704" t="str">
        <f>IF(samenstelling!B70="","",samenstelling!E70&amp;" "&amp;samenstelling!H70)</f>
        <v>Rode kleurstof Bayferrox 130</v>
      </c>
      <c r="X120" s="4"/>
      <c r="Y120" s="4"/>
      <c r="Z120" s="4"/>
      <c r="AA120" s="1705"/>
      <c r="AB120" s="4"/>
      <c r="AC120" s="4"/>
    </row>
    <row r="121" spans="1:29" ht="14.5" x14ac:dyDescent="0.35">
      <c r="A121" s="4"/>
      <c r="B121" s="1960"/>
      <c r="C121" s="1960"/>
      <c r="D121" s="1960"/>
      <c r="E121" s="1961"/>
      <c r="F121" s="1993"/>
      <c r="G121" s="1993"/>
      <c r="H121" s="1994"/>
      <c r="I121" s="1992"/>
      <c r="J121" s="1993"/>
      <c r="K121" s="1994"/>
      <c r="L121" s="1992"/>
      <c r="M121" s="1993"/>
      <c r="N121" s="1993"/>
      <c r="O121" s="4"/>
      <c r="P121" s="4"/>
      <c r="Q121" s="4"/>
      <c r="R121" s="4"/>
      <c r="S121" s="4"/>
      <c r="T121" s="4"/>
      <c r="U121" s="4"/>
      <c r="V121" s="4"/>
      <c r="W121" s="1704" t="str">
        <f>IF(samenstelling!B71="","",samenstelling!E71&amp;" "&amp;samenstelling!H71)</f>
        <v/>
      </c>
      <c r="X121" s="4"/>
      <c r="Y121" s="4"/>
      <c r="Z121" s="4"/>
      <c r="AA121" s="1705"/>
      <c r="AB121" s="4"/>
      <c r="AC121" s="4"/>
    </row>
    <row r="122" spans="1:29" ht="14.5" x14ac:dyDescent="0.35">
      <c r="A122" s="4"/>
      <c r="B122" s="1960"/>
      <c r="C122" s="1960"/>
      <c r="D122" s="1960"/>
      <c r="E122" s="1961"/>
      <c r="F122" s="1993"/>
      <c r="G122" s="1993"/>
      <c r="H122" s="1994"/>
      <c r="I122" s="1992"/>
      <c r="J122" s="1993"/>
      <c r="K122" s="1994"/>
      <c r="L122" s="1992"/>
      <c r="M122" s="1993"/>
      <c r="N122" s="1993"/>
      <c r="O122" s="4"/>
      <c r="P122" s="4"/>
      <c r="Q122" s="4"/>
      <c r="R122" s="4"/>
      <c r="S122" s="4"/>
      <c r="T122" s="4"/>
      <c r="U122" s="4"/>
      <c r="V122" s="4"/>
      <c r="W122" s="1704" t="str">
        <f>IF(samenstelling!B72="","",samenstelling!E72&amp;" "&amp;samenstelling!H72)</f>
        <v/>
      </c>
      <c r="X122" s="4"/>
      <c r="Y122" s="4"/>
      <c r="Z122" s="4"/>
      <c r="AA122" s="1705"/>
      <c r="AB122" s="4"/>
      <c r="AC122" s="4"/>
    </row>
    <row r="123" spans="1:29" ht="14.5" x14ac:dyDescent="0.35">
      <c r="A123" s="4"/>
      <c r="B123" s="4"/>
      <c r="C123" s="4"/>
      <c r="D123" s="4"/>
      <c r="E123" s="4"/>
      <c r="F123" s="4"/>
      <c r="G123" s="4"/>
      <c r="H123" s="4"/>
      <c r="I123" s="4"/>
      <c r="J123" s="4"/>
      <c r="K123" s="4"/>
      <c r="L123" s="4"/>
      <c r="M123" s="4"/>
      <c r="N123" s="4"/>
      <c r="O123" s="4"/>
      <c r="P123" s="4"/>
      <c r="Q123" s="4"/>
      <c r="R123" s="4"/>
      <c r="S123" s="4"/>
      <c r="T123" s="4"/>
      <c r="U123" s="4"/>
      <c r="V123" s="4"/>
      <c r="W123" s="1704" t="str">
        <f>IF(samenstelling!B73="","",samenstelling!E73&amp;" "&amp;samenstelling!H73)</f>
        <v>Trinidad Epurée Z0/8</v>
      </c>
      <c r="X123" s="4"/>
      <c r="Y123" s="4"/>
      <c r="Z123" s="4"/>
      <c r="AA123" s="1705"/>
      <c r="AB123" s="4"/>
      <c r="AC123" s="4"/>
    </row>
    <row r="124" spans="1:29" ht="14.5" x14ac:dyDescent="0.35">
      <c r="A124" s="4"/>
      <c r="B124" s="5" t="s">
        <v>92</v>
      </c>
      <c r="C124" s="4"/>
      <c r="D124" s="4"/>
      <c r="E124" s="4"/>
      <c r="F124" s="19">
        <f>E$28</f>
        <v>801</v>
      </c>
      <c r="G124" s="19"/>
      <c r="H124" s="19"/>
      <c r="I124" s="19">
        <f>H$28</f>
        <v>802</v>
      </c>
      <c r="J124" s="19"/>
      <c r="K124" s="19"/>
      <c r="L124" s="1987">
        <f>K$28</f>
        <v>8031</v>
      </c>
      <c r="M124" s="1987"/>
      <c r="N124" s="1987"/>
      <c r="O124" s="4"/>
      <c r="P124" s="4"/>
      <c r="Q124" s="4"/>
      <c r="R124" s="4"/>
      <c r="S124" s="4"/>
      <c r="T124" s="4"/>
      <c r="U124" s="4"/>
      <c r="V124" s="4"/>
      <c r="W124" s="1704" t="str">
        <f>IF(samenstelling!B74="","",samenstelling!E74&amp;" "&amp;samenstelling!H74)</f>
        <v/>
      </c>
      <c r="X124" s="4"/>
      <c r="Y124" s="4"/>
      <c r="Z124" s="4"/>
      <c r="AA124" s="1705"/>
      <c r="AB124" s="4"/>
      <c r="AC124" s="4"/>
    </row>
    <row r="125" spans="1:29" ht="14.5" x14ac:dyDescent="0.35">
      <c r="A125" s="4"/>
      <c r="B125" s="2" t="s">
        <v>810</v>
      </c>
      <c r="C125" s="2"/>
      <c r="D125" s="2"/>
      <c r="E125" s="3" t="s">
        <v>488</v>
      </c>
      <c r="F125" s="1972" t="s">
        <v>1670</v>
      </c>
      <c r="G125" s="1972"/>
      <c r="H125" s="1973"/>
      <c r="I125" s="1975" t="s">
        <v>1670</v>
      </c>
      <c r="J125" s="1972"/>
      <c r="K125" s="1973"/>
      <c r="L125" s="1975" t="s">
        <v>1670</v>
      </c>
      <c r="M125" s="1972"/>
      <c r="N125" s="1972"/>
      <c r="O125" s="134" t="s">
        <v>106</v>
      </c>
      <c r="P125" s="4"/>
      <c r="Q125" s="4"/>
      <c r="R125" s="4"/>
      <c r="S125" s="4"/>
      <c r="T125" s="4"/>
      <c r="U125" s="4"/>
      <c r="V125" s="4"/>
      <c r="W125" s="1704" t="str">
        <f>IF(samenstelling!B75="","",samenstelling!E75&amp;" "&amp;samenstelling!H75)</f>
        <v>Uintah Gilsonite</v>
      </c>
      <c r="X125" s="4"/>
      <c r="Y125" s="4"/>
      <c r="Z125" s="4"/>
      <c r="AA125" s="1705"/>
      <c r="AB125" s="4"/>
      <c r="AC125" s="4"/>
    </row>
    <row r="126" spans="1:29" ht="14.5" x14ac:dyDescent="0.35">
      <c r="A126" s="4"/>
      <c r="B126" s="2" t="s">
        <v>811</v>
      </c>
      <c r="C126" s="2"/>
      <c r="D126" s="2"/>
      <c r="E126" s="3" t="s">
        <v>488</v>
      </c>
      <c r="F126" s="1957" t="s">
        <v>683</v>
      </c>
      <c r="G126" s="1957"/>
      <c r="H126" s="1958"/>
      <c r="I126" s="1959" t="s">
        <v>687</v>
      </c>
      <c r="J126" s="1957"/>
      <c r="K126" s="1958"/>
      <c r="L126" s="1959" t="s">
        <v>691</v>
      </c>
      <c r="M126" s="1957"/>
      <c r="N126" s="1957"/>
      <c r="O126" s="134" t="s">
        <v>1239</v>
      </c>
      <c r="P126" s="4"/>
      <c r="Q126" s="4"/>
      <c r="R126" s="4"/>
      <c r="S126" s="4"/>
      <c r="T126" s="4"/>
      <c r="U126" s="4"/>
      <c r="V126" s="4"/>
      <c r="W126" s="1704" t="str">
        <f>IF(samenstelling!B76="","",samenstelling!E76&amp;" "&amp;samenstelling!H76)</f>
        <v/>
      </c>
      <c r="X126" s="4"/>
      <c r="Y126" s="4"/>
      <c r="Z126" s="4"/>
      <c r="AA126" s="1705"/>
      <c r="AB126" s="4"/>
      <c r="AC126" s="4"/>
    </row>
    <row r="127" spans="1:29" ht="14.5" x14ac:dyDescent="0.35">
      <c r="A127" s="4"/>
      <c r="B127" s="2" t="s">
        <v>134</v>
      </c>
      <c r="C127" s="2"/>
      <c r="D127" s="2"/>
      <c r="E127" s="3" t="s">
        <v>488</v>
      </c>
      <c r="F127" s="1957"/>
      <c r="G127" s="1957"/>
      <c r="H127" s="1958"/>
      <c r="I127" s="1959" t="s">
        <v>684</v>
      </c>
      <c r="J127" s="1957"/>
      <c r="K127" s="1958"/>
      <c r="L127" s="1959" t="s">
        <v>692</v>
      </c>
      <c r="M127" s="1957"/>
      <c r="N127" s="1957"/>
      <c r="O127" s="4"/>
      <c r="P127" s="4"/>
      <c r="Q127" s="4"/>
      <c r="R127" s="4"/>
      <c r="S127" s="4"/>
      <c r="T127" s="4"/>
      <c r="U127" s="4"/>
      <c r="V127" s="4"/>
      <c r="W127" s="1706" t="str">
        <f>IF(samenstelling!B77="","",samenstelling!E77&amp;" "&amp;samenstelling!H77)</f>
        <v/>
      </c>
      <c r="X127" s="1707"/>
      <c r="Y127" s="1707"/>
      <c r="Z127" s="1707"/>
      <c r="AA127" s="1708"/>
      <c r="AB127" s="4"/>
      <c r="AC127" s="4"/>
    </row>
    <row r="128" spans="1:29" ht="14.5" x14ac:dyDescent="0.35">
      <c r="A128" s="4"/>
      <c r="B128" s="2" t="s">
        <v>183</v>
      </c>
      <c r="C128" s="2"/>
      <c r="D128" s="2"/>
      <c r="E128" s="3" t="s">
        <v>488</v>
      </c>
      <c r="F128" s="1957" t="s">
        <v>685</v>
      </c>
      <c r="G128" s="1957"/>
      <c r="H128" s="1958"/>
      <c r="I128" s="1959" t="s">
        <v>688</v>
      </c>
      <c r="J128" s="1957"/>
      <c r="K128" s="1958"/>
      <c r="L128" s="1959" t="s">
        <v>693</v>
      </c>
      <c r="M128" s="1957"/>
      <c r="N128" s="1957"/>
      <c r="O128" s="4"/>
      <c r="P128" s="4"/>
      <c r="Q128" s="4"/>
      <c r="R128" s="4"/>
      <c r="S128" s="4"/>
      <c r="T128" s="4"/>
      <c r="U128" s="4"/>
      <c r="V128" s="4"/>
      <c r="W128" s="6"/>
      <c r="X128" s="4"/>
      <c r="Y128" s="4"/>
      <c r="Z128" s="4"/>
      <c r="AA128" s="4"/>
      <c r="AB128" s="4"/>
      <c r="AC128" s="4"/>
    </row>
    <row r="129" spans="1:29" x14ac:dyDescent="0.3">
      <c r="A129" s="4"/>
      <c r="B129" s="2" t="s">
        <v>768</v>
      </c>
      <c r="C129" s="2"/>
      <c r="D129" s="2"/>
      <c r="E129" s="3" t="s">
        <v>488</v>
      </c>
      <c r="F129" s="2011" t="s">
        <v>686</v>
      </c>
      <c r="G129" s="2011"/>
      <c r="H129" s="2012"/>
      <c r="I129" s="2023" t="s">
        <v>689</v>
      </c>
      <c r="J129" s="2011"/>
      <c r="K129" s="2012"/>
      <c r="L129" s="2023" t="s">
        <v>694</v>
      </c>
      <c r="M129" s="2011"/>
      <c r="N129" s="2011"/>
      <c r="O129" s="4"/>
      <c r="P129" s="4"/>
      <c r="Q129" s="4"/>
      <c r="R129" s="4"/>
      <c r="S129" s="4"/>
      <c r="T129" s="4"/>
      <c r="U129" s="4"/>
      <c r="V129" s="4"/>
      <c r="W129" s="4"/>
      <c r="X129" s="4"/>
      <c r="Y129" s="4"/>
      <c r="Z129" s="4"/>
      <c r="AA129" s="4"/>
      <c r="AB129" s="4"/>
      <c r="AC129" s="4"/>
    </row>
    <row r="130" spans="1:29" x14ac:dyDescent="0.3">
      <c r="A130" s="4"/>
      <c r="B130" s="4"/>
      <c r="C130" s="4"/>
      <c r="D130" s="4"/>
      <c r="E130" s="4"/>
      <c r="F130" s="4"/>
      <c r="G130" s="4"/>
      <c r="H130" s="4"/>
      <c r="I130" s="4"/>
      <c r="J130" s="4"/>
      <c r="K130" s="4"/>
      <c r="L130" s="4"/>
      <c r="M130" s="4"/>
      <c r="N130" s="4"/>
      <c r="O130" s="4"/>
      <c r="P130" s="4"/>
      <c r="Q130" s="4"/>
      <c r="R130" s="4"/>
      <c r="S130" s="4"/>
      <c r="T130" s="4"/>
      <c r="U130" s="4"/>
      <c r="V130" s="4"/>
      <c r="W130" s="23" t="s">
        <v>100</v>
      </c>
      <c r="X130" s="23" t="s">
        <v>102</v>
      </c>
      <c r="Y130" s="23" t="s">
        <v>100</v>
      </c>
      <c r="Z130" s="23" t="s">
        <v>102</v>
      </c>
      <c r="AA130" s="4"/>
      <c r="AB130" s="4"/>
      <c r="AC130" s="4"/>
    </row>
    <row r="131" spans="1:29" x14ac:dyDescent="0.3">
      <c r="A131" s="4"/>
      <c r="B131" s="5" t="s">
        <v>94</v>
      </c>
      <c r="C131" s="4"/>
      <c r="D131" s="4"/>
      <c r="E131" s="4"/>
      <c r="F131" s="19">
        <f>E$28</f>
        <v>801</v>
      </c>
      <c r="G131" s="19"/>
      <c r="H131" s="19"/>
      <c r="I131" s="19">
        <f>H$28</f>
        <v>802</v>
      </c>
      <c r="J131" s="19"/>
      <c r="K131" s="19"/>
      <c r="L131" s="1987">
        <f>K$28</f>
        <v>8031</v>
      </c>
      <c r="M131" s="1987"/>
      <c r="N131" s="1987"/>
      <c r="O131" s="4"/>
      <c r="P131" s="4"/>
      <c r="Q131" s="4"/>
      <c r="R131" s="4"/>
      <c r="S131" s="4"/>
      <c r="T131" s="4"/>
      <c r="U131" s="4"/>
      <c r="V131" s="4"/>
      <c r="W131" s="23" t="s">
        <v>101</v>
      </c>
      <c r="X131" s="23" t="s">
        <v>101</v>
      </c>
      <c r="Y131" s="23" t="s">
        <v>103</v>
      </c>
      <c r="Z131" s="23"/>
      <c r="AA131" s="4"/>
      <c r="AB131" s="4"/>
      <c r="AC131" s="4"/>
    </row>
    <row r="132" spans="1:29" ht="14.5" x14ac:dyDescent="0.35">
      <c r="A132" s="4"/>
      <c r="B132" s="2" t="s">
        <v>804</v>
      </c>
      <c r="C132" s="2"/>
      <c r="D132" s="2"/>
      <c r="E132" s="3" t="s">
        <v>803</v>
      </c>
      <c r="F132" s="1972">
        <v>11</v>
      </c>
      <c r="G132" s="1972"/>
      <c r="H132" s="1973"/>
      <c r="I132" s="1975">
        <v>16</v>
      </c>
      <c r="J132" s="1972"/>
      <c r="K132" s="1973"/>
      <c r="L132" s="1975">
        <v>21</v>
      </c>
      <c r="M132" s="1972"/>
      <c r="N132" s="1972"/>
      <c r="O132" s="134" t="s">
        <v>95</v>
      </c>
      <c r="P132" s="4"/>
      <c r="Q132" s="4"/>
      <c r="R132" s="4"/>
      <c r="S132" s="4"/>
      <c r="T132" s="4"/>
      <c r="U132" s="4"/>
      <c r="V132" s="4"/>
      <c r="W132" s="14"/>
      <c r="X132" s="4"/>
      <c r="Y132" s="4"/>
      <c r="Z132" s="4"/>
      <c r="AA132" s="4"/>
      <c r="AB132" s="4"/>
      <c r="AC132" s="4"/>
    </row>
    <row r="133" spans="1:29" ht="14.5" x14ac:dyDescent="0.35">
      <c r="A133" s="4"/>
      <c r="B133" s="2" t="s">
        <v>805</v>
      </c>
      <c r="C133" s="2"/>
      <c r="D133" s="2"/>
      <c r="E133" s="3" t="s">
        <v>803</v>
      </c>
      <c r="F133" s="1957">
        <v>12</v>
      </c>
      <c r="G133" s="1957"/>
      <c r="H133" s="1958"/>
      <c r="I133" s="1959">
        <v>17</v>
      </c>
      <c r="J133" s="1957"/>
      <c r="K133" s="1958"/>
      <c r="L133" s="1959">
        <v>22</v>
      </c>
      <c r="M133" s="1957"/>
      <c r="N133" s="1957"/>
      <c r="O133" s="134" t="s">
        <v>96</v>
      </c>
      <c r="P133" s="4"/>
      <c r="Q133" s="4"/>
      <c r="R133" s="4"/>
      <c r="S133" s="4"/>
      <c r="T133" s="4"/>
      <c r="U133" s="4"/>
      <c r="V133" s="4"/>
      <c r="W133" s="14"/>
      <c r="X133" s="14"/>
      <c r="Y133" s="4"/>
      <c r="Z133" s="4"/>
      <c r="AA133" s="4"/>
      <c r="AB133" s="4"/>
      <c r="AC133" s="4"/>
    </row>
    <row r="134" spans="1:29" ht="14.5" x14ac:dyDescent="0.35">
      <c r="A134" s="4"/>
      <c r="B134" s="2" t="s">
        <v>806</v>
      </c>
      <c r="C134" s="2"/>
      <c r="D134" s="2"/>
      <c r="E134" s="3" t="s">
        <v>803</v>
      </c>
      <c r="F134" s="1957">
        <v>13</v>
      </c>
      <c r="G134" s="1957"/>
      <c r="H134" s="1958"/>
      <c r="I134" s="1959">
        <v>18</v>
      </c>
      <c r="J134" s="1957"/>
      <c r="K134" s="1958"/>
      <c r="L134" s="1959">
        <v>23</v>
      </c>
      <c r="M134" s="1957"/>
      <c r="N134" s="1957"/>
      <c r="O134" s="134" t="s">
        <v>97</v>
      </c>
      <c r="P134" s="4"/>
      <c r="Q134" s="4"/>
      <c r="R134" s="4"/>
      <c r="S134" s="4"/>
      <c r="T134" s="4"/>
      <c r="U134" s="4"/>
      <c r="V134" s="4"/>
      <c r="W134" s="4"/>
      <c r="X134" s="4"/>
      <c r="Y134" s="4"/>
      <c r="Z134" s="14"/>
      <c r="AA134" s="4"/>
      <c r="AB134" s="4"/>
      <c r="AC134" s="4"/>
    </row>
    <row r="135" spans="1:29" ht="14.5" x14ac:dyDescent="0.35">
      <c r="A135" s="4"/>
      <c r="B135" s="2" t="s">
        <v>807</v>
      </c>
      <c r="C135" s="2"/>
      <c r="D135" s="2"/>
      <c r="E135" s="3" t="s">
        <v>803</v>
      </c>
      <c r="F135" s="1957">
        <v>14</v>
      </c>
      <c r="G135" s="1957"/>
      <c r="H135" s="1958"/>
      <c r="I135" s="1959">
        <v>19</v>
      </c>
      <c r="J135" s="1957"/>
      <c r="K135" s="1958"/>
      <c r="L135" s="1959">
        <v>24</v>
      </c>
      <c r="M135" s="1957"/>
      <c r="N135" s="1957"/>
      <c r="O135" s="134" t="s">
        <v>98</v>
      </c>
      <c r="P135" s="4"/>
      <c r="Q135" s="4"/>
      <c r="R135" s="4"/>
      <c r="S135" s="4"/>
      <c r="T135" s="4"/>
      <c r="U135" s="4"/>
      <c r="V135" s="4"/>
      <c r="W135" s="4"/>
      <c r="X135" s="4"/>
      <c r="Y135" s="14"/>
      <c r="Z135" s="14"/>
      <c r="AA135" s="4"/>
      <c r="AB135" s="4"/>
      <c r="AC135" s="4"/>
    </row>
    <row r="136" spans="1:29" ht="14.5" x14ac:dyDescent="0.35">
      <c r="A136" s="4"/>
      <c r="B136" s="2" t="s">
        <v>808</v>
      </c>
      <c r="C136" s="2"/>
      <c r="D136" s="2"/>
      <c r="E136" s="3" t="s">
        <v>803</v>
      </c>
      <c r="F136" s="2011">
        <v>15</v>
      </c>
      <c r="G136" s="2011"/>
      <c r="H136" s="2012"/>
      <c r="I136" s="2023">
        <v>20</v>
      </c>
      <c r="J136" s="2011"/>
      <c r="K136" s="2012"/>
      <c r="L136" s="2023">
        <v>25</v>
      </c>
      <c r="M136" s="2011"/>
      <c r="N136" s="2011"/>
      <c r="O136" s="134" t="s">
        <v>99</v>
      </c>
      <c r="P136" s="4"/>
      <c r="Q136" s="4"/>
      <c r="R136" s="4"/>
      <c r="S136" s="4"/>
      <c r="T136" s="4"/>
      <c r="U136" s="4"/>
      <c r="V136" s="4"/>
      <c r="W136" s="14"/>
      <c r="X136" s="14"/>
      <c r="Y136" s="14"/>
      <c r="Z136" s="14"/>
      <c r="AA136" s="4"/>
      <c r="AB136" s="4"/>
      <c r="AC136" s="4"/>
    </row>
    <row r="137" spans="1:29" ht="14.5" x14ac:dyDescent="0.35">
      <c r="A137" s="4"/>
      <c r="B137" s="4"/>
      <c r="C137" s="4"/>
      <c r="D137" s="4"/>
      <c r="E137" s="4"/>
      <c r="F137" s="4"/>
      <c r="G137" s="4"/>
      <c r="H137" s="4"/>
      <c r="I137" s="4"/>
      <c r="J137" s="4"/>
      <c r="K137" s="4"/>
      <c r="L137" s="4"/>
      <c r="M137" s="4"/>
      <c r="N137" s="4"/>
      <c r="O137" s="134" t="s">
        <v>104</v>
      </c>
      <c r="P137" s="4"/>
      <c r="Q137" s="4"/>
      <c r="R137" s="4"/>
      <c r="S137" s="4"/>
      <c r="T137" s="4"/>
      <c r="U137" s="4"/>
      <c r="V137" s="4"/>
      <c r="W137" s="4"/>
      <c r="X137" s="4"/>
      <c r="Y137" s="4"/>
      <c r="Z137" s="4"/>
      <c r="AA137" s="4"/>
      <c r="AB137" s="4"/>
      <c r="AC137" s="4"/>
    </row>
    <row r="138" spans="1:29" ht="14.5" x14ac:dyDescent="0.35">
      <c r="A138" s="4"/>
      <c r="B138" s="4"/>
      <c r="C138" s="4"/>
      <c r="D138" s="4"/>
      <c r="E138" s="4"/>
      <c r="F138" s="4"/>
      <c r="G138" s="4"/>
      <c r="H138" s="4"/>
      <c r="I138" s="4"/>
      <c r="J138" s="4"/>
      <c r="K138" s="4"/>
      <c r="L138" s="4"/>
      <c r="M138" s="4"/>
      <c r="N138" s="4"/>
      <c r="O138" s="134" t="s">
        <v>105</v>
      </c>
      <c r="P138" s="4"/>
      <c r="Q138" s="4"/>
      <c r="R138" s="4"/>
      <c r="S138" s="4"/>
      <c r="T138" s="4"/>
      <c r="U138" s="4"/>
      <c r="V138" s="4"/>
      <c r="W138" s="4"/>
      <c r="X138" s="4"/>
      <c r="Y138" s="4"/>
      <c r="Z138" s="4"/>
      <c r="AA138" s="4"/>
      <c r="AB138" s="4"/>
      <c r="AC138" s="4"/>
    </row>
    <row r="139" spans="1:29" x14ac:dyDescent="0.3">
      <c r="A139" s="4"/>
      <c r="B139" s="5" t="s">
        <v>91</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x14ac:dyDescent="0.3">
      <c r="A140" s="4"/>
      <c r="B140" s="1969"/>
      <c r="C140" s="1969"/>
      <c r="D140" s="1969"/>
      <c r="E140" s="1969"/>
      <c r="F140" s="1969"/>
      <c r="G140" s="1969"/>
      <c r="H140" s="1969"/>
      <c r="I140" s="1969"/>
      <c r="J140" s="1969"/>
      <c r="K140" s="1969"/>
      <c r="L140" s="1969"/>
      <c r="M140" s="1969"/>
      <c r="N140" s="1969"/>
      <c r="O140" s="4"/>
      <c r="P140" s="4"/>
      <c r="Q140" s="4"/>
      <c r="R140" s="4"/>
      <c r="S140" s="4"/>
      <c r="T140" s="4"/>
      <c r="U140" s="4"/>
      <c r="V140" s="4"/>
      <c r="W140" s="4"/>
      <c r="X140" s="4"/>
      <c r="Y140" s="4"/>
      <c r="Z140" s="4"/>
      <c r="AA140" s="4"/>
      <c r="AB140" s="4"/>
      <c r="AC140" s="4"/>
    </row>
    <row r="141" spans="1:29" x14ac:dyDescent="0.3">
      <c r="A141" s="4"/>
      <c r="B141" s="1970"/>
      <c r="C141" s="1970"/>
      <c r="D141" s="1970"/>
      <c r="E141" s="1970"/>
      <c r="F141" s="1970"/>
      <c r="G141" s="1970"/>
      <c r="H141" s="1970"/>
      <c r="I141" s="1970"/>
      <c r="J141" s="1970"/>
      <c r="K141" s="1970"/>
      <c r="L141" s="1970"/>
      <c r="M141" s="1970"/>
      <c r="N141" s="1970"/>
      <c r="O141" s="4"/>
      <c r="P141" s="4"/>
      <c r="Q141" s="4"/>
      <c r="R141" s="4"/>
      <c r="S141" s="4"/>
      <c r="T141" s="4"/>
      <c r="U141" s="4"/>
      <c r="V141" s="4"/>
      <c r="W141" s="4"/>
      <c r="X141" s="4"/>
      <c r="Y141" s="4"/>
      <c r="Z141" s="4"/>
      <c r="AA141" s="4"/>
      <c r="AB141" s="4"/>
      <c r="AC141" s="4"/>
    </row>
    <row r="142" spans="1:29" x14ac:dyDescent="0.3">
      <c r="A142" s="4"/>
      <c r="B142" s="1971"/>
      <c r="C142" s="1971"/>
      <c r="D142" s="1971"/>
      <c r="E142" s="1971"/>
      <c r="F142" s="1971"/>
      <c r="G142" s="1971"/>
      <c r="H142" s="1971"/>
      <c r="I142" s="1971"/>
      <c r="J142" s="1971"/>
      <c r="K142" s="1971"/>
      <c r="L142" s="1971"/>
      <c r="M142" s="1971"/>
      <c r="N142" s="1971"/>
      <c r="O142" s="4"/>
      <c r="P142" s="4"/>
      <c r="Q142" s="4"/>
      <c r="R142" s="4"/>
      <c r="S142" s="4"/>
      <c r="T142" s="4"/>
      <c r="U142" s="4"/>
      <c r="V142" s="4"/>
      <c r="W142" s="4"/>
      <c r="X142" s="4"/>
      <c r="Y142" s="4"/>
      <c r="Z142" s="4"/>
      <c r="AA142" s="4"/>
      <c r="AB142" s="4"/>
      <c r="AC142" s="4"/>
    </row>
    <row r="143" spans="1:29"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x14ac:dyDescent="0.3">
      <c r="A145" s="13" t="s">
        <v>107</v>
      </c>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x14ac:dyDescent="0.3">
      <c r="A147" s="4"/>
      <c r="B147" s="5" t="s">
        <v>92</v>
      </c>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4.5" x14ac:dyDescent="0.35">
      <c r="A148" s="4"/>
      <c r="B148" s="2" t="s">
        <v>1406</v>
      </c>
      <c r="C148" s="2"/>
      <c r="D148" s="2"/>
      <c r="E148" s="2"/>
      <c r="F148" s="2"/>
      <c r="G148" s="2"/>
      <c r="H148" s="2"/>
      <c r="I148" s="2"/>
      <c r="J148" s="2"/>
      <c r="K148" s="1972" t="s">
        <v>697</v>
      </c>
      <c r="L148" s="1972"/>
      <c r="M148" s="134" t="s">
        <v>106</v>
      </c>
      <c r="N148" s="4"/>
      <c r="O148" s="4"/>
      <c r="P148" s="4"/>
      <c r="Q148" s="4"/>
      <c r="R148" s="4"/>
      <c r="S148" s="4"/>
      <c r="T148" s="4"/>
      <c r="U148" s="4"/>
      <c r="V148" s="4"/>
      <c r="W148" s="4"/>
      <c r="X148" s="4"/>
      <c r="Y148" s="4"/>
      <c r="Z148" s="4"/>
      <c r="AA148" s="4"/>
      <c r="AB148" s="4"/>
      <c r="AC148" s="4"/>
    </row>
    <row r="149" spans="1:29" ht="14.5" x14ac:dyDescent="0.35">
      <c r="A149" s="4"/>
      <c r="B149" s="2" t="s">
        <v>1407</v>
      </c>
      <c r="C149" s="2"/>
      <c r="D149" s="2"/>
      <c r="E149" s="2"/>
      <c r="F149" s="2"/>
      <c r="G149" s="2"/>
      <c r="H149" s="2"/>
      <c r="I149" s="2"/>
      <c r="J149" s="2"/>
      <c r="K149" s="2011" t="s">
        <v>698</v>
      </c>
      <c r="L149" s="2011"/>
      <c r="M149" s="134" t="s">
        <v>106</v>
      </c>
      <c r="N149" s="4"/>
      <c r="O149" s="4"/>
      <c r="P149" s="4"/>
      <c r="Q149" s="4"/>
      <c r="R149" s="4"/>
      <c r="S149" s="4"/>
      <c r="T149" s="4"/>
      <c r="U149" s="4"/>
      <c r="V149" s="4"/>
      <c r="W149" s="4"/>
      <c r="X149" s="4"/>
      <c r="Y149" s="4"/>
      <c r="Z149" s="4"/>
      <c r="AA149" s="4"/>
      <c r="AB149" s="4"/>
      <c r="AC149" s="4"/>
    </row>
    <row r="150" spans="1:29"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sheetData>
  <sheetProtection algorithmName="SHA-512" hashValue="Kt/KQwiZPTLTWHvHAUlmUubFkf+8AwVoXwJoFCmtgatUTIe2Neq+T37E8wp4rvQBAXLLXgQhPLyzTQeA79UMmg==" saltValue="qFBzq04qaLM4WuM0Zo5T1w==" spinCount="100000" sheet="1" objects="1" scenarios="1"/>
  <mergeCells count="172">
    <mergeCell ref="P78:Q78"/>
    <mergeCell ref="B140:N140"/>
    <mergeCell ref="B141:N141"/>
    <mergeCell ref="B142:N142"/>
    <mergeCell ref="K148:L148"/>
    <mergeCell ref="K149:L149"/>
    <mergeCell ref="L132:N132"/>
    <mergeCell ref="L133:N133"/>
    <mergeCell ref="L134:N134"/>
    <mergeCell ref="L135:N135"/>
    <mergeCell ref="L136:N136"/>
    <mergeCell ref="I132:K132"/>
    <mergeCell ref="I133:K133"/>
    <mergeCell ref="I134:K134"/>
    <mergeCell ref="I135:K135"/>
    <mergeCell ref="I136:K136"/>
    <mergeCell ref="F132:H132"/>
    <mergeCell ref="F133:H133"/>
    <mergeCell ref="F134:H134"/>
    <mergeCell ref="F135:H135"/>
    <mergeCell ref="F136:H136"/>
    <mergeCell ref="L127:N127"/>
    <mergeCell ref="L128:N128"/>
    <mergeCell ref="L129:N129"/>
    <mergeCell ref="I125:K125"/>
    <mergeCell ref="I126:K126"/>
    <mergeCell ref="I127:K127"/>
    <mergeCell ref="I128:K128"/>
    <mergeCell ref="I129:K129"/>
    <mergeCell ref="J70:L70"/>
    <mergeCell ref="J75:K75"/>
    <mergeCell ref="J74:K74"/>
    <mergeCell ref="E73:P73"/>
    <mergeCell ref="L125:N125"/>
    <mergeCell ref="L126:N126"/>
    <mergeCell ref="F104:G104"/>
    <mergeCell ref="L93:N93"/>
    <mergeCell ref="F96:H96"/>
    <mergeCell ref="I96:K96"/>
    <mergeCell ref="L96:N96"/>
    <mergeCell ref="F99:G99"/>
    <mergeCell ref="I99:J99"/>
    <mergeCell ref="L99:M99"/>
    <mergeCell ref="L100:M100"/>
    <mergeCell ref="L101:M101"/>
    <mergeCell ref="L102:M102"/>
    <mergeCell ref="L103:M103"/>
    <mergeCell ref="L104:M104"/>
    <mergeCell ref="I100:J100"/>
    <mergeCell ref="I101:J101"/>
    <mergeCell ref="I102:J102"/>
    <mergeCell ref="I103:J103"/>
    <mergeCell ref="I104:J104"/>
    <mergeCell ref="F42:J42"/>
    <mergeCell ref="F44:J44"/>
    <mergeCell ref="D47:G47"/>
    <mergeCell ref="D48:G48"/>
    <mergeCell ref="J65:L65"/>
    <mergeCell ref="F43:J43"/>
    <mergeCell ref="J66:L66"/>
    <mergeCell ref="J67:L67"/>
    <mergeCell ref="J68:L68"/>
    <mergeCell ref="C86:G86"/>
    <mergeCell ref="C87:G87"/>
    <mergeCell ref="F93:H93"/>
    <mergeCell ref="I93:K93"/>
    <mergeCell ref="K28:M28"/>
    <mergeCell ref="E24:G24"/>
    <mergeCell ref="E25:G25"/>
    <mergeCell ref="E26:G26"/>
    <mergeCell ref="K32:M32"/>
    <mergeCell ref="K33:M33"/>
    <mergeCell ref="K34:M34"/>
    <mergeCell ref="H32:J32"/>
    <mergeCell ref="H33:J33"/>
    <mergeCell ref="H34:J34"/>
    <mergeCell ref="L131:N131"/>
    <mergeCell ref="F105:G105"/>
    <mergeCell ref="I105:J105"/>
    <mergeCell ref="L105:M105"/>
    <mergeCell ref="F106:G106"/>
    <mergeCell ref="F108:G108"/>
    <mergeCell ref="I106:J106"/>
    <mergeCell ref="I108:J108"/>
    <mergeCell ref="L106:M106"/>
    <mergeCell ref="L108:M108"/>
    <mergeCell ref="F107:G107"/>
    <mergeCell ref="I107:J107"/>
    <mergeCell ref="L107:M107"/>
    <mergeCell ref="F118:H118"/>
    <mergeCell ref="F119:H119"/>
    <mergeCell ref="F120:H120"/>
    <mergeCell ref="F125:H125"/>
    <mergeCell ref="F126:H126"/>
    <mergeCell ref="F127:H127"/>
    <mergeCell ref="F128:H128"/>
    <mergeCell ref="F129:H129"/>
    <mergeCell ref="L118:N118"/>
    <mergeCell ref="L119:N119"/>
    <mergeCell ref="L120:N120"/>
    <mergeCell ref="D114:E114"/>
    <mergeCell ref="L95:N95"/>
    <mergeCell ref="L117:N117"/>
    <mergeCell ref="L124:N124"/>
    <mergeCell ref="G78:H78"/>
    <mergeCell ref="L92:N92"/>
    <mergeCell ref="F98:G98"/>
    <mergeCell ref="I98:J98"/>
    <mergeCell ref="L98:M98"/>
    <mergeCell ref="G79:H79"/>
    <mergeCell ref="C84:G84"/>
    <mergeCell ref="L121:N121"/>
    <mergeCell ref="L122:N122"/>
    <mergeCell ref="F121:H121"/>
    <mergeCell ref="F122:H122"/>
    <mergeCell ref="I118:K118"/>
    <mergeCell ref="I119:K119"/>
    <mergeCell ref="I120:K120"/>
    <mergeCell ref="I121:K121"/>
    <mergeCell ref="I122:K122"/>
    <mergeCell ref="F100:G100"/>
    <mergeCell ref="F101:G101"/>
    <mergeCell ref="F102:G102"/>
    <mergeCell ref="F103:G103"/>
    <mergeCell ref="F40:J40"/>
    <mergeCell ref="F41:J41"/>
    <mergeCell ref="C85:G85"/>
    <mergeCell ref="K21:M21"/>
    <mergeCell ref="E29:G29"/>
    <mergeCell ref="H29:J29"/>
    <mergeCell ref="K29:M29"/>
    <mergeCell ref="E30:G30"/>
    <mergeCell ref="H30:J30"/>
    <mergeCell ref="K30:M30"/>
    <mergeCell ref="H21:J21"/>
    <mergeCell ref="H22:J22"/>
    <mergeCell ref="H23:J23"/>
    <mergeCell ref="H24:J24"/>
    <mergeCell ref="H25:J25"/>
    <mergeCell ref="H26:J26"/>
    <mergeCell ref="K22:M22"/>
    <mergeCell ref="K23:M23"/>
    <mergeCell ref="K24:M24"/>
    <mergeCell ref="K25:M25"/>
    <mergeCell ref="K26:M26"/>
    <mergeCell ref="E32:G32"/>
    <mergeCell ref="E33:G33"/>
    <mergeCell ref="E34:G34"/>
    <mergeCell ref="E35:G35"/>
    <mergeCell ref="H35:J35"/>
    <mergeCell ref="K35:M35"/>
    <mergeCell ref="B118:E118"/>
    <mergeCell ref="B119:E119"/>
    <mergeCell ref="B120:E120"/>
    <mergeCell ref="B121:E121"/>
    <mergeCell ref="B122:E122"/>
    <mergeCell ref="E4:I4"/>
    <mergeCell ref="E5:I5"/>
    <mergeCell ref="E6:I6"/>
    <mergeCell ref="E7:I7"/>
    <mergeCell ref="E8:I8"/>
    <mergeCell ref="E9:I9"/>
    <mergeCell ref="E10:I10"/>
    <mergeCell ref="E28:G28"/>
    <mergeCell ref="H28:J28"/>
    <mergeCell ref="E11:I11"/>
    <mergeCell ref="E15:I15"/>
    <mergeCell ref="E16:I16"/>
    <mergeCell ref="E17:I17"/>
    <mergeCell ref="E21:G21"/>
    <mergeCell ref="E22:G22"/>
    <mergeCell ref="E23:G23"/>
  </mergeCells>
  <hyperlinks>
    <hyperlink ref="E9" r:id="rId1" xr:uid="{00000000-0004-0000-00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berekeningen!B110:B123</xm:f>
          </x14:formula1>
          <xm:sqref>F43:J43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C24B-3DC6-4E0F-B506-42E0EB746B98}">
  <dimension ref="A1:AG66"/>
  <sheetViews>
    <sheetView topLeftCell="B24" zoomScale="90" zoomScaleNormal="90" workbookViewId="0">
      <selection activeCell="E30" sqref="E30"/>
    </sheetView>
  </sheetViews>
  <sheetFormatPr defaultColWidth="9.1796875" defaultRowHeight="14" x14ac:dyDescent="0.3"/>
  <cols>
    <col min="1" max="1" width="9.1796875" style="4"/>
    <col min="2" max="2" width="24.81640625" style="4" bestFit="1" customWidth="1"/>
    <col min="3" max="3" width="54.26953125" style="4" bestFit="1" customWidth="1"/>
    <col min="4" max="4" width="12.7265625" style="4" customWidth="1"/>
    <col min="5" max="5" width="37.453125" style="26" bestFit="1" customWidth="1"/>
    <col min="6" max="6" width="12.54296875" style="26" customWidth="1"/>
    <col min="7" max="7" width="37.453125" style="26" bestFit="1" customWidth="1"/>
    <col min="8" max="8" width="12.453125" style="26" customWidth="1"/>
    <col min="9" max="9" width="37.453125" style="26" bestFit="1" customWidth="1"/>
    <col min="10" max="10" width="13.54296875" style="26" customWidth="1"/>
    <col min="11" max="11" width="34.26953125" style="1930" customWidth="1"/>
    <col min="12" max="16384" width="9.1796875" style="4"/>
  </cols>
  <sheetData>
    <row r="1" spans="1:33" s="1" customFormat="1" x14ac:dyDescent="0.3">
      <c r="A1" s="13" t="s">
        <v>1674</v>
      </c>
      <c r="B1" s="14"/>
      <c r="C1" s="14"/>
      <c r="D1" s="14"/>
      <c r="E1" s="1341"/>
      <c r="F1" s="1341"/>
      <c r="G1" s="1341"/>
      <c r="H1" s="1341"/>
      <c r="I1" s="1341"/>
      <c r="J1" s="1341"/>
      <c r="K1" s="1931"/>
      <c r="L1" s="14"/>
      <c r="M1" s="14"/>
      <c r="N1" s="14"/>
      <c r="O1" s="14"/>
      <c r="P1" s="14"/>
      <c r="Q1" s="14"/>
      <c r="R1" s="14"/>
      <c r="S1" s="14"/>
      <c r="T1" s="14"/>
      <c r="U1" s="14"/>
      <c r="V1" s="14"/>
      <c r="W1" s="14"/>
      <c r="X1" s="14"/>
      <c r="Y1" s="14"/>
      <c r="Z1" s="14"/>
      <c r="AA1" s="14"/>
      <c r="AB1" s="14"/>
      <c r="AC1" s="14"/>
      <c r="AD1" s="14"/>
      <c r="AE1" s="14"/>
      <c r="AF1" s="14"/>
      <c r="AG1" s="14"/>
    </row>
    <row r="2" spans="1:33" ht="15.5" x14ac:dyDescent="0.35">
      <c r="E2" s="1935">
        <f>algemeen!E28</f>
        <v>801</v>
      </c>
      <c r="F2" s="1935"/>
      <c r="G2" s="1935">
        <f>algemeen!H28</f>
        <v>802</v>
      </c>
      <c r="H2" s="1935"/>
      <c r="I2" s="1935">
        <f>algemeen!K28</f>
        <v>8031</v>
      </c>
      <c r="J2" s="1934"/>
    </row>
    <row r="3" spans="1:33" x14ac:dyDescent="0.3">
      <c r="B3" s="8" t="s">
        <v>1675</v>
      </c>
      <c r="C3" s="8" t="s">
        <v>1676</v>
      </c>
      <c r="D3" s="8"/>
    </row>
    <row r="4" spans="1:33" x14ac:dyDescent="0.3">
      <c r="B4" s="2" t="s">
        <v>1677</v>
      </c>
      <c r="C4" s="2" t="s">
        <v>1678</v>
      </c>
      <c r="D4" s="2"/>
      <c r="E4" s="1936">
        <f>algemeen!G78</f>
        <v>40409</v>
      </c>
      <c r="F4" s="1943"/>
      <c r="G4" s="1936">
        <f>algemeen!G78</f>
        <v>40409</v>
      </c>
      <c r="H4" s="1943"/>
      <c r="I4" s="1936">
        <f>algemeen!G78</f>
        <v>40409</v>
      </c>
      <c r="J4" s="1943"/>
      <c r="K4" s="1933"/>
    </row>
    <row r="5" spans="1:33" x14ac:dyDescent="0.3">
      <c r="B5" s="2"/>
      <c r="C5" s="2" t="s">
        <v>1679</v>
      </c>
      <c r="D5" s="2"/>
      <c r="E5" s="1937" t="str">
        <f>E2&amp;"/64/"&amp;algemeen!J66</f>
        <v>801/64/2010/13RE-1234/0</v>
      </c>
      <c r="F5" s="28"/>
      <c r="G5" s="1937" t="str">
        <f>G2&amp;"/64/"&amp;algemeen!J66</f>
        <v>802/64/2010/13RE-1234/0</v>
      </c>
      <c r="H5" s="28"/>
      <c r="I5" s="1937" t="str">
        <f>I2&amp;"/64/"&amp;algemeen!J66</f>
        <v>8031/64/2010/13RE-1234/0</v>
      </c>
      <c r="J5" s="28"/>
      <c r="K5" s="1933"/>
    </row>
    <row r="6" spans="1:33" x14ac:dyDescent="0.3">
      <c r="B6" s="2"/>
      <c r="C6" s="2" t="s">
        <v>1680</v>
      </c>
      <c r="D6" s="2"/>
      <c r="E6" s="1937" t="str">
        <f>algemeen!F40</f>
        <v>AB-3A1</v>
      </c>
      <c r="F6" s="28"/>
      <c r="G6" s="1937" t="str">
        <f>algemeen!F40</f>
        <v>AB-3A1</v>
      </c>
      <c r="H6" s="28"/>
      <c r="I6" s="1937" t="str">
        <f>algemeen!F40</f>
        <v>AB-3A1</v>
      </c>
      <c r="J6" s="28"/>
      <c r="K6" s="1933"/>
    </row>
    <row r="7" spans="1:33" x14ac:dyDescent="0.3">
      <c r="B7" s="2"/>
      <c r="C7" s="2" t="s">
        <v>1681</v>
      </c>
      <c r="D7" s="2"/>
      <c r="E7" s="1937" t="str">
        <f>algemeen!F41</f>
        <v>AC 20 onderlaag 50/70</v>
      </c>
      <c r="F7" s="28"/>
      <c r="G7" s="1937" t="str">
        <f>algemeen!F41</f>
        <v>AC 20 onderlaag 50/70</v>
      </c>
      <c r="H7" s="28"/>
      <c r="I7" s="1937" t="str">
        <f>algemeen!F41</f>
        <v>AC 20 onderlaag 50/70</v>
      </c>
      <c r="J7" s="28"/>
      <c r="K7" s="1933"/>
    </row>
    <row r="8" spans="1:33" x14ac:dyDescent="0.3">
      <c r="B8" s="2"/>
      <c r="C8" s="2" t="s">
        <v>1702</v>
      </c>
      <c r="D8" s="2"/>
      <c r="E8" s="1939">
        <f>samenstelling!C151</f>
        <v>3.7160500000000001</v>
      </c>
      <c r="F8" s="28"/>
      <c r="G8" s="1939">
        <f>samenstelling!C151</f>
        <v>3.7160500000000001</v>
      </c>
      <c r="H8" s="28"/>
      <c r="I8" s="1939">
        <f>samenstelling!C151</f>
        <v>3.7160500000000001</v>
      </c>
      <c r="J8" s="28"/>
      <c r="K8" s="1933" t="s">
        <v>1704</v>
      </c>
    </row>
    <row r="9" spans="1:33" x14ac:dyDescent="0.3">
      <c r="B9" s="2"/>
      <c r="C9" s="2" t="s">
        <v>1694</v>
      </c>
      <c r="D9" s="2"/>
      <c r="E9" s="1939">
        <f>samenstelling!C148</f>
        <v>1.5</v>
      </c>
      <c r="F9" s="1944"/>
      <c r="G9" s="1939">
        <f>samenstelling!C148</f>
        <v>1.5</v>
      </c>
      <c r="H9" s="1944"/>
      <c r="I9" s="1939">
        <f>samenstelling!C148</f>
        <v>1.5</v>
      </c>
      <c r="J9" s="1944"/>
      <c r="K9" s="1933" t="s">
        <v>1704</v>
      </c>
    </row>
    <row r="10" spans="1:33" x14ac:dyDescent="0.3">
      <c r="B10" s="2"/>
      <c r="C10" s="2" t="s">
        <v>1708</v>
      </c>
      <c r="D10" s="2"/>
      <c r="E10" s="1939">
        <f>samenstelling!C145</f>
        <v>2.2160500000000001</v>
      </c>
      <c r="F10" s="1944"/>
      <c r="G10" s="1939">
        <f>samenstelling!C145</f>
        <v>2.2160500000000001</v>
      </c>
      <c r="H10" s="1944"/>
      <c r="I10" s="1939">
        <f>samenstelling!C145</f>
        <v>2.2160500000000001</v>
      </c>
      <c r="J10" s="1944"/>
      <c r="K10" s="1933"/>
    </row>
    <row r="11" spans="1:33" x14ac:dyDescent="0.3">
      <c r="E11" s="1940"/>
      <c r="F11" s="1941"/>
      <c r="G11" s="1940"/>
      <c r="H11" s="1941"/>
      <c r="I11" s="1940"/>
      <c r="J11" s="1941"/>
      <c r="K11" s="1933"/>
    </row>
    <row r="12" spans="1:33" x14ac:dyDescent="0.3">
      <c r="B12" s="2" t="s">
        <v>1682</v>
      </c>
      <c r="C12" s="2" t="s">
        <v>1683</v>
      </c>
      <c r="D12" s="2"/>
      <c r="E12" s="1937" t="str">
        <f>_xlfn.CONCAT(algemeen!E24," ,",algemeen!E23," ,",algemeen!E22)</f>
        <v>Gaurain-Ramecroix ,1000 ,straat 1</v>
      </c>
      <c r="F12" s="28"/>
      <c r="G12" s="1937" t="str">
        <f>_xlfn.CONCAT(algemeen!H24," ,",algemeen!H23," ,",algemeen!H22)</f>
        <v>Antwerpen ,2000 ,straat 2</v>
      </c>
      <c r="H12" s="28"/>
      <c r="I12" s="1937" t="str">
        <f>_xlfn.CONCAT(algemeen!K24," ,",algemeen!K23," ,",algemeen!K22)</f>
        <v>Hasselt ,3000 ,straat 3</v>
      </c>
      <c r="J12" s="28"/>
      <c r="K12" s="1933"/>
    </row>
    <row r="13" spans="1:33" x14ac:dyDescent="0.3">
      <c r="B13" s="2"/>
      <c r="C13" s="2" t="s">
        <v>1712</v>
      </c>
      <c r="D13" s="2"/>
      <c r="E13" s="1937" t="str">
        <f>algemeen!E35</f>
        <v>aardgas</v>
      </c>
      <c r="F13" s="28"/>
      <c r="G13" s="1937" t="str">
        <f>algemeen!H35</f>
        <v>propaan</v>
      </c>
      <c r="H13" s="28"/>
      <c r="I13" s="1937" t="str">
        <f>algemeen!K35</f>
        <v>elektrisch</v>
      </c>
      <c r="J13" s="28"/>
      <c r="K13" s="1933" t="s">
        <v>1704</v>
      </c>
    </row>
    <row r="14" spans="1:33" x14ac:dyDescent="0.3">
      <c r="B14" s="2"/>
      <c r="C14" s="2" t="s">
        <v>1715</v>
      </c>
      <c r="D14" s="2"/>
      <c r="E14" s="1955">
        <v>1</v>
      </c>
      <c r="F14" s="1945"/>
      <c r="G14" s="1955">
        <v>1</v>
      </c>
      <c r="H14" s="1945"/>
      <c r="I14" s="1955">
        <v>1</v>
      </c>
      <c r="J14" s="1945"/>
      <c r="K14" s="1933"/>
    </row>
    <row r="15" spans="1:33" x14ac:dyDescent="0.3">
      <c r="B15" s="2"/>
      <c r="C15" s="2" t="s">
        <v>1713</v>
      </c>
      <c r="D15" s="2"/>
      <c r="E15" s="1937" t="s">
        <v>1714</v>
      </c>
      <c r="F15" s="1945"/>
      <c r="G15" s="1937" t="s">
        <v>1714</v>
      </c>
      <c r="H15" s="1945"/>
      <c r="I15" s="1937" t="s">
        <v>1714</v>
      </c>
      <c r="J15" s="1945"/>
      <c r="K15" s="1933"/>
    </row>
    <row r="16" spans="1:33" x14ac:dyDescent="0.3">
      <c r="B16" s="2"/>
      <c r="C16" s="2" t="s">
        <v>1716</v>
      </c>
      <c r="D16" s="2"/>
      <c r="E16" s="1955">
        <v>0</v>
      </c>
      <c r="F16" s="1945"/>
      <c r="G16" s="1955">
        <v>0</v>
      </c>
      <c r="H16" s="1945"/>
      <c r="I16" s="1955">
        <v>0</v>
      </c>
      <c r="J16" s="1945"/>
      <c r="K16" s="1933"/>
    </row>
    <row r="17" spans="2:11" x14ac:dyDescent="0.3">
      <c r="B17" s="2"/>
      <c r="C17" s="2" t="s">
        <v>1698</v>
      </c>
      <c r="D17" s="2"/>
      <c r="E17" s="1937">
        <f>algemeen!E33</f>
        <v>350</v>
      </c>
      <c r="F17" s="28"/>
      <c r="G17" s="1937">
        <f>algemeen!H33</f>
        <v>350</v>
      </c>
      <c r="H17" s="28"/>
      <c r="I17" s="1937">
        <f>algemeen!K33</f>
        <v>300</v>
      </c>
      <c r="J17" s="28"/>
      <c r="K17" s="1933" t="s">
        <v>1704</v>
      </c>
    </row>
    <row r="18" spans="2:11" x14ac:dyDescent="0.3">
      <c r="B18" s="2"/>
      <c r="C18" s="2" t="s">
        <v>1684</v>
      </c>
      <c r="D18" s="2"/>
      <c r="E18" s="1937" t="str">
        <f>algemeen!F129</f>
        <v>145-185</v>
      </c>
      <c r="F18" s="28"/>
      <c r="G18" s="1937" t="str">
        <f>algemeen!I129</f>
        <v>150-190</v>
      </c>
      <c r="H18" s="28"/>
      <c r="I18" s="1937" t="str">
        <f>algemeen!L129</f>
        <v>155-195</v>
      </c>
      <c r="J18" s="28"/>
      <c r="K18" s="1933"/>
    </row>
    <row r="19" spans="2:11" x14ac:dyDescent="0.3">
      <c r="B19" s="2"/>
      <c r="C19" s="2" t="s">
        <v>1685</v>
      </c>
      <c r="D19" s="2"/>
      <c r="E19" s="1937" t="s">
        <v>1717</v>
      </c>
      <c r="F19" s="28"/>
      <c r="G19" s="1937" t="s">
        <v>1717</v>
      </c>
      <c r="H19" s="28"/>
      <c r="I19" s="1937" t="s">
        <v>1718</v>
      </c>
      <c r="J19" s="28"/>
      <c r="K19" s="1933" t="s">
        <v>1699</v>
      </c>
    </row>
    <row r="20" spans="2:11" x14ac:dyDescent="0.3">
      <c r="B20" s="2"/>
      <c r="C20" s="2" t="s">
        <v>1719</v>
      </c>
      <c r="D20" s="2"/>
      <c r="E20" s="1937" t="s">
        <v>1721</v>
      </c>
      <c r="F20" s="1945"/>
      <c r="G20" s="1937" t="s">
        <v>1720</v>
      </c>
      <c r="H20" s="1945"/>
      <c r="I20" s="1937" t="s">
        <v>1714</v>
      </c>
      <c r="J20" s="1945"/>
      <c r="K20" s="1933"/>
    </row>
    <row r="21" spans="2:11" x14ac:dyDescent="0.3">
      <c r="B21" s="2"/>
      <c r="C21" s="2" t="s">
        <v>1686</v>
      </c>
      <c r="D21" s="2"/>
      <c r="E21" s="1937" t="s">
        <v>1711</v>
      </c>
      <c r="F21" s="28"/>
      <c r="G21" s="1937" t="s">
        <v>1711</v>
      </c>
      <c r="H21" s="28"/>
      <c r="I21" s="1937" t="s">
        <v>1711</v>
      </c>
      <c r="J21" s="28"/>
      <c r="K21" s="1933" t="s">
        <v>1699</v>
      </c>
    </row>
    <row r="22" spans="2:11" x14ac:dyDescent="0.3">
      <c r="E22" s="1940"/>
      <c r="F22" s="7" t="s">
        <v>1705</v>
      </c>
      <c r="G22" s="1940"/>
      <c r="H22" s="7" t="s">
        <v>1705</v>
      </c>
      <c r="I22" s="1940"/>
      <c r="J22" s="7" t="s">
        <v>1705</v>
      </c>
      <c r="K22" s="1933"/>
    </row>
    <row r="23" spans="2:11" x14ac:dyDescent="0.3">
      <c r="B23" s="2" t="s">
        <v>1687</v>
      </c>
      <c r="C23" s="2" t="s">
        <v>1688</v>
      </c>
      <c r="D23" s="2"/>
      <c r="E23" s="1942"/>
      <c r="F23" s="28"/>
      <c r="G23" s="1942"/>
      <c r="H23" s="28"/>
      <c r="I23" s="1942"/>
      <c r="J23" s="28"/>
      <c r="K23" s="1933"/>
    </row>
    <row r="24" spans="2:11" x14ac:dyDescent="0.3">
      <c r="B24" s="2"/>
      <c r="C24" s="3" t="str">
        <f>samenstelling!E43</f>
        <v>synthetisch pigmenteerbaar bindmiddel</v>
      </c>
      <c r="D24" s="1937">
        <f>E8</f>
        <v>3.7160500000000001</v>
      </c>
      <c r="E24" s="1937" t="str">
        <f>samenstelling!N43</f>
        <v>Koudekerk-aan-de-Rijn</v>
      </c>
      <c r="F24" s="1938" t="s">
        <v>1706</v>
      </c>
      <c r="G24" s="1937" t="str">
        <f>samenstelling!N43</f>
        <v>Koudekerk-aan-de-Rijn</v>
      </c>
      <c r="H24" s="1938" t="s">
        <v>1706</v>
      </c>
      <c r="I24" s="1937" t="str">
        <f>samenstelling!N43</f>
        <v>Koudekerk-aan-de-Rijn</v>
      </c>
      <c r="J24" s="1938" t="s">
        <v>1706</v>
      </c>
      <c r="K24" s="1933"/>
    </row>
    <row r="25" spans="2:11" x14ac:dyDescent="0.3">
      <c r="B25" s="2"/>
      <c r="C25" s="3" t="str">
        <f>samenstelling!E44</f>
        <v/>
      </c>
      <c r="D25" s="2"/>
      <c r="E25" s="1937" t="str">
        <f>samenstelling!N44</f>
        <v/>
      </c>
      <c r="F25" s="1938"/>
      <c r="G25" s="1937"/>
      <c r="H25" s="1938"/>
      <c r="I25" s="1937"/>
      <c r="J25" s="1938"/>
      <c r="K25" s="1933"/>
    </row>
    <row r="26" spans="2:11" x14ac:dyDescent="0.3">
      <c r="B26" s="2"/>
      <c r="C26" s="3" t="str">
        <f>samenstelling!E45</f>
        <v/>
      </c>
      <c r="D26" s="2"/>
      <c r="E26" s="1937" t="str">
        <f>samenstelling!N45</f>
        <v/>
      </c>
      <c r="F26" s="1938"/>
      <c r="G26" s="1937"/>
      <c r="H26" s="1938"/>
      <c r="I26" s="1937"/>
      <c r="J26" s="1938"/>
      <c r="K26" s="1933"/>
    </row>
    <row r="27" spans="2:11" x14ac:dyDescent="0.3">
      <c r="B27" s="2"/>
      <c r="C27" s="2"/>
      <c r="D27" s="2"/>
      <c r="E27" s="1950"/>
      <c r="F27" s="1938"/>
      <c r="G27" s="1937"/>
      <c r="H27" s="1938"/>
      <c r="I27" s="1937"/>
      <c r="J27" s="1938"/>
      <c r="K27" s="1933" t="s">
        <v>1704</v>
      </c>
    </row>
    <row r="28" spans="2:11" x14ac:dyDescent="0.3">
      <c r="B28" s="2"/>
      <c r="C28" s="2" t="s">
        <v>810</v>
      </c>
      <c r="D28" s="18" t="s">
        <v>182</v>
      </c>
      <c r="E28" s="1942"/>
      <c r="F28" s="28"/>
      <c r="G28" s="1942"/>
      <c r="H28" s="28"/>
      <c r="I28" s="1942"/>
      <c r="J28" s="28"/>
      <c r="K28" s="1933"/>
    </row>
    <row r="29" spans="2:11" x14ac:dyDescent="0.3">
      <c r="B29" s="2"/>
      <c r="C29" s="82" t="str">
        <f>samenstelling!E8&amp;" "&amp;samenstelling!H8</f>
        <v>Kalksteen 14/20</v>
      </c>
      <c r="D29" s="186">
        <f>samenstelling!C8</f>
        <v>5.0999999999999996</v>
      </c>
      <c r="E29" s="1937" t="str">
        <f>samenstelling!N8</f>
        <v>Beez</v>
      </c>
      <c r="F29" s="1938" t="s">
        <v>1706</v>
      </c>
      <c r="G29" s="1937" t="str">
        <f>samenstelling!N8</f>
        <v>Beez</v>
      </c>
      <c r="H29" s="1938" t="s">
        <v>1707</v>
      </c>
      <c r="I29" s="1937" t="str">
        <f>samenstelling!N8</f>
        <v>Beez</v>
      </c>
      <c r="J29" s="1938" t="s">
        <v>1707</v>
      </c>
      <c r="K29" s="1933" t="s">
        <v>1704</v>
      </c>
    </row>
    <row r="30" spans="2:11" x14ac:dyDescent="0.3">
      <c r="B30" s="2"/>
      <c r="C30" s="82" t="str">
        <f>samenstelling!E9&amp;" "&amp;samenstelling!H9</f>
        <v>Porfier 6/14</v>
      </c>
      <c r="D30" s="186">
        <f>samenstelling!C9</f>
        <v>10.199999999999999</v>
      </c>
      <c r="E30" s="1937" t="str">
        <f>samenstelling!N9</f>
        <v>Soignies</v>
      </c>
      <c r="F30" s="1938" t="s">
        <v>1707</v>
      </c>
      <c r="G30" s="1937" t="str">
        <f>samenstelling!N9</f>
        <v>Soignies</v>
      </c>
      <c r="H30" s="1938" t="s">
        <v>1707</v>
      </c>
      <c r="I30" s="1937" t="str">
        <f>samenstelling!N9</f>
        <v>Soignies</v>
      </c>
      <c r="J30" s="1938" t="s">
        <v>1706</v>
      </c>
      <c r="K30" s="1933" t="s">
        <v>1704</v>
      </c>
    </row>
    <row r="31" spans="2:11" x14ac:dyDescent="0.3">
      <c r="B31" s="2"/>
      <c r="C31" s="82" t="str">
        <f>samenstelling!E10&amp;" "&amp;samenstelling!H10</f>
        <v>Rode zandsteen 0/2 (0/0,05)</v>
      </c>
      <c r="D31" s="186">
        <f>samenstelling!C10</f>
        <v>15.3</v>
      </c>
      <c r="E31" s="1937" t="str">
        <f>samenstelling!N10</f>
        <v>Neufvilles</v>
      </c>
      <c r="F31" s="1938" t="s">
        <v>1707</v>
      </c>
      <c r="G31" s="1937" t="str">
        <f>samenstelling!N10</f>
        <v>Neufvilles</v>
      </c>
      <c r="H31" s="1938"/>
      <c r="I31" s="1937" t="str">
        <f>samenstelling!N10</f>
        <v>Neufvilles</v>
      </c>
      <c r="J31" s="1938"/>
      <c r="K31" s="1933" t="s">
        <v>1704</v>
      </c>
    </row>
    <row r="32" spans="2:11" x14ac:dyDescent="0.3">
      <c r="B32" s="2"/>
      <c r="C32" s="82" t="str">
        <f>samenstelling!E11&amp;" "&amp;samenstelling!H11</f>
        <v xml:space="preserve"> </v>
      </c>
      <c r="D32" s="186" t="str">
        <f>samenstelling!C11</f>
        <v/>
      </c>
      <c r="E32" s="1937" t="str">
        <f>samenstelling!N11</f>
        <v/>
      </c>
      <c r="F32" s="1938"/>
      <c r="G32" s="1937" t="str">
        <f>samenstelling!N11</f>
        <v/>
      </c>
      <c r="H32" s="1938"/>
      <c r="I32" s="1937" t="str">
        <f>samenstelling!N11</f>
        <v/>
      </c>
      <c r="J32" s="1938"/>
      <c r="K32" s="1933" t="s">
        <v>1704</v>
      </c>
    </row>
    <row r="33" spans="2:11" x14ac:dyDescent="0.3">
      <c r="B33" s="2"/>
      <c r="C33" s="82" t="str">
        <f>samenstelling!E12&amp;" "&amp;samenstelling!H12</f>
        <v xml:space="preserve"> </v>
      </c>
      <c r="D33" s="186" t="str">
        <f>samenstelling!C12</f>
        <v/>
      </c>
      <c r="E33" s="1937" t="str">
        <f>samenstelling!N12</f>
        <v/>
      </c>
      <c r="F33" s="1938"/>
      <c r="G33" s="1937" t="str">
        <f>samenstelling!N12</f>
        <v/>
      </c>
      <c r="H33" s="1938"/>
      <c r="I33" s="1937" t="str">
        <f>samenstelling!N12</f>
        <v/>
      </c>
      <c r="J33" s="1938"/>
      <c r="K33" s="1933" t="s">
        <v>1704</v>
      </c>
    </row>
    <row r="34" spans="2:11" x14ac:dyDescent="0.3">
      <c r="B34" s="2"/>
      <c r="C34" s="82" t="str">
        <f>samenstelling!E13&amp;" "&amp;samenstelling!H13</f>
        <v>Slakken 6/10</v>
      </c>
      <c r="D34" s="186">
        <f>samenstelling!C13</f>
        <v>35.299999999999997</v>
      </c>
      <c r="E34" s="1937" t="str">
        <f>samenstelling!N13</f>
        <v>Genk</v>
      </c>
      <c r="F34" s="1938" t="s">
        <v>1706</v>
      </c>
      <c r="G34" s="1937" t="str">
        <f>samenstelling!N13</f>
        <v>Genk</v>
      </c>
      <c r="H34" s="1938"/>
      <c r="I34" s="1937" t="str">
        <f>samenstelling!N13</f>
        <v>Genk</v>
      </c>
      <c r="J34" s="1938"/>
      <c r="K34" s="1933" t="s">
        <v>1704</v>
      </c>
    </row>
    <row r="35" spans="2:11" x14ac:dyDescent="0.3">
      <c r="B35" s="2"/>
      <c r="C35" s="82" t="str">
        <f>samenstelling!E14&amp;" "&amp;samenstelling!H14</f>
        <v>Kalksteen 14/20</v>
      </c>
      <c r="D35" s="186">
        <f>samenstelling!C14</f>
        <v>0</v>
      </c>
      <c r="E35" s="1937" t="str">
        <f>samenstelling!N14</f>
        <v>Beez</v>
      </c>
      <c r="F35" s="1938"/>
      <c r="G35" s="1937" t="str">
        <f>samenstelling!N14</f>
        <v>Beez</v>
      </c>
      <c r="H35" s="1938"/>
      <c r="I35" s="1937" t="str">
        <f>samenstelling!N14</f>
        <v>Beez</v>
      </c>
      <c r="J35" s="1938"/>
      <c r="K35" s="1933" t="s">
        <v>1704</v>
      </c>
    </row>
    <row r="36" spans="2:11" x14ac:dyDescent="0.3">
      <c r="B36" s="2"/>
      <c r="C36" s="82" t="str">
        <f>samenstelling!E15&amp;" "&amp;samenstelling!H15</f>
        <v>Porfier 6/14</v>
      </c>
      <c r="D36" s="186">
        <f>samenstelling!C15</f>
        <v>0</v>
      </c>
      <c r="E36" s="1937" t="str">
        <f>samenstelling!N15</f>
        <v>Soignies</v>
      </c>
      <c r="F36" s="1938"/>
      <c r="G36" s="1937" t="str">
        <f>samenstelling!N15</f>
        <v>Soignies</v>
      </c>
      <c r="H36" s="1938"/>
      <c r="I36" s="1937" t="str">
        <f>samenstelling!N15</f>
        <v>Soignies</v>
      </c>
      <c r="J36" s="1938"/>
      <c r="K36" s="1933" t="s">
        <v>1704</v>
      </c>
    </row>
    <row r="37" spans="2:11" x14ac:dyDescent="0.3">
      <c r="B37" s="2"/>
      <c r="C37" s="82" t="str">
        <f>samenstelling!E16&amp;" "&amp;samenstelling!H16</f>
        <v>Slakken 6/10</v>
      </c>
      <c r="D37" s="186">
        <f>samenstelling!C16</f>
        <v>0</v>
      </c>
      <c r="E37" s="1937" t="str">
        <f>samenstelling!N16</f>
        <v>Genk</v>
      </c>
      <c r="F37" s="1938"/>
      <c r="G37" s="1937" t="str">
        <f>samenstelling!N16</f>
        <v>Genk</v>
      </c>
      <c r="H37" s="1938"/>
      <c r="I37" s="1937" t="str">
        <f>samenstelling!N16</f>
        <v>Genk</v>
      </c>
      <c r="J37" s="1938"/>
      <c r="K37" s="1933" t="s">
        <v>1704</v>
      </c>
    </row>
    <row r="38" spans="2:11" x14ac:dyDescent="0.3">
      <c r="B38" s="2"/>
      <c r="C38" s="1946" t="str">
        <f>samenstelling!E26&amp;" "&amp;samenstelling!H26</f>
        <v>Aanvoervulstof IIa</v>
      </c>
      <c r="D38" s="1952">
        <f>samenstelling!C26</f>
        <v>0.55000000000000004</v>
      </c>
      <c r="E38" s="1947" t="str">
        <f>samenstelling!N26</f>
        <v>Ankersmit Maastricht</v>
      </c>
      <c r="F38" s="1948"/>
      <c r="G38" s="1947" t="str">
        <f>samenstelling!N26</f>
        <v>Ankersmit Maastricht</v>
      </c>
      <c r="H38" s="1948"/>
      <c r="I38" s="1947" t="str">
        <f>samenstelling!N26</f>
        <v>Ankersmit Maastricht</v>
      </c>
      <c r="J38" s="1949"/>
      <c r="K38" s="1933" t="s">
        <v>1704</v>
      </c>
    </row>
    <row r="39" spans="2:11" x14ac:dyDescent="0.3">
      <c r="B39" s="2"/>
      <c r="C39" s="1951" t="str">
        <f>samenstelling!E27&amp;" "&amp;samenstelling!H27</f>
        <v xml:space="preserve"> </v>
      </c>
      <c r="D39" s="1952" t="str">
        <f>samenstelling!C27</f>
        <v/>
      </c>
      <c r="E39" s="1954" t="str">
        <f>samenstelling!N27</f>
        <v/>
      </c>
      <c r="F39" s="1954"/>
      <c r="G39" s="1954" t="str">
        <f>samenstelling!N27</f>
        <v/>
      </c>
      <c r="H39" s="1954"/>
      <c r="I39" s="1954" t="str">
        <f>samenstelling!N27</f>
        <v/>
      </c>
      <c r="J39" s="1954"/>
      <c r="K39" s="1933"/>
    </row>
    <row r="40" spans="2:11" x14ac:dyDescent="0.3">
      <c r="B40" s="2"/>
      <c r="C40" s="1951" t="str">
        <f>samenstelling!E29&amp;" "&amp;samenstelling!H29</f>
        <v xml:space="preserve">Extra teruggew. stof </v>
      </c>
      <c r="D40" s="1952">
        <f>samenstelling!C29</f>
        <v>1</v>
      </c>
      <c r="E40" s="1954" t="str">
        <f>samenstelling!N29</f>
        <v>Productieproces</v>
      </c>
      <c r="F40" s="1954"/>
      <c r="G40" s="1954"/>
      <c r="H40" s="1954"/>
      <c r="I40" s="1954"/>
      <c r="J40" s="1954"/>
      <c r="K40" s="1933"/>
    </row>
    <row r="41" spans="2:11" x14ac:dyDescent="0.3">
      <c r="B41" s="2"/>
      <c r="C41" s="1951" t="str">
        <f>samenstelling!E56&amp;" "&amp;samenstelling!K56</f>
        <v>Asfaltgranulaat onderlaag 14/2</v>
      </c>
      <c r="D41" s="1953">
        <f>samenstelling!C56</f>
        <v>30</v>
      </c>
      <c r="E41" s="1953" t="s">
        <v>1709</v>
      </c>
      <c r="F41" s="1953" t="s">
        <v>1710</v>
      </c>
      <c r="G41" s="1953" t="s">
        <v>1709</v>
      </c>
      <c r="H41" s="1953" t="s">
        <v>1710</v>
      </c>
      <c r="I41" s="1953" t="s">
        <v>1709</v>
      </c>
      <c r="J41" s="1953" t="s">
        <v>1710</v>
      </c>
      <c r="K41" s="1933" t="s">
        <v>1704</v>
      </c>
    </row>
    <row r="42" spans="2:11" x14ac:dyDescent="0.3">
      <c r="B42" s="2"/>
      <c r="C42" s="1951" t="str">
        <f>samenstelling!E57&amp;" "&amp;samenstelling!K57</f>
        <v xml:space="preserve"> </v>
      </c>
      <c r="D42" s="1953">
        <f>samenstelling!C57</f>
        <v>0</v>
      </c>
      <c r="E42" s="1954"/>
      <c r="F42" s="1954"/>
      <c r="G42" s="1954"/>
      <c r="H42" s="1954"/>
      <c r="I42" s="1954"/>
      <c r="J42" s="1954"/>
      <c r="K42" s="1933" t="s">
        <v>1704</v>
      </c>
    </row>
    <row r="43" spans="2:11" x14ac:dyDescent="0.3">
      <c r="B43" s="2"/>
      <c r="C43" s="1951" t="str">
        <f>samenstelling!E58&amp;" "&amp;samenstelling!K58</f>
        <v xml:space="preserve"> </v>
      </c>
      <c r="D43" s="1953">
        <f>samenstelling!C58</f>
        <v>0</v>
      </c>
      <c r="E43" s="1954"/>
      <c r="F43" s="1954"/>
      <c r="G43" s="1954"/>
      <c r="H43" s="1954"/>
      <c r="I43" s="1954"/>
      <c r="J43" s="1954"/>
      <c r="K43" s="1933" t="s">
        <v>1704</v>
      </c>
    </row>
    <row r="44" spans="2:11" x14ac:dyDescent="0.3">
      <c r="B44" s="2"/>
      <c r="C44" s="3"/>
      <c r="D44" s="2"/>
      <c r="E44" s="1942" t="str">
        <f>samenstelling!K58</f>
        <v/>
      </c>
      <c r="F44" s="1932"/>
      <c r="G44" s="1942" t="str">
        <f>samenstelling!K58</f>
        <v/>
      </c>
      <c r="H44" s="1932"/>
      <c r="I44" s="1942" t="str">
        <f>samenstelling!K58</f>
        <v/>
      </c>
      <c r="J44" s="1932"/>
      <c r="K44" s="1933" t="s">
        <v>1704</v>
      </c>
    </row>
    <row r="45" spans="2:11" x14ac:dyDescent="0.3">
      <c r="B45" s="2"/>
      <c r="C45" s="2" t="s">
        <v>1689</v>
      </c>
      <c r="D45" s="18" t="s">
        <v>182</v>
      </c>
      <c r="E45" s="1942"/>
      <c r="F45" s="1932"/>
      <c r="G45" s="1942"/>
      <c r="H45" s="1932"/>
      <c r="I45" s="1942"/>
      <c r="J45" s="1932"/>
      <c r="K45" s="1933" t="s">
        <v>1704</v>
      </c>
    </row>
    <row r="46" spans="2:11" x14ac:dyDescent="0.3">
      <c r="B46" s="2"/>
      <c r="C46" s="82" t="str">
        <f>samenstelling!E68&amp;","&amp;samenstelling!H68</f>
        <v>Afdruipremmer,Cellulose Viatop Premium</v>
      </c>
      <c r="D46" s="184">
        <f>samenstelling!C68</f>
        <v>0.33</v>
      </c>
      <c r="E46" s="1937" t="str">
        <f>samenstelling!N68</f>
        <v>Rosenberg, D.</v>
      </c>
      <c r="F46" s="1938" t="s">
        <v>1710</v>
      </c>
      <c r="G46" s="1937" t="str">
        <f>samenstelling!N68</f>
        <v>Rosenberg, D.</v>
      </c>
      <c r="H46" s="1938" t="s">
        <v>1710</v>
      </c>
      <c r="I46" s="1937" t="str">
        <f>samenstelling!N68</f>
        <v>Rosenberg, D.</v>
      </c>
      <c r="J46" s="1938" t="s">
        <v>1710</v>
      </c>
      <c r="K46" s="1933" t="s">
        <v>1704</v>
      </c>
    </row>
    <row r="47" spans="2:11" x14ac:dyDescent="0.3">
      <c r="B47" s="2"/>
      <c r="C47" s="82" t="str">
        <f>samenstelling!E69</f>
        <v/>
      </c>
      <c r="D47" s="184">
        <f>samenstelling!C69</f>
        <v>0</v>
      </c>
      <c r="E47" s="1937" t="str">
        <f>samenstelling!N69</f>
        <v/>
      </c>
      <c r="F47" s="1938"/>
      <c r="G47" s="1937" t="str">
        <f>samenstelling!N69</f>
        <v/>
      </c>
      <c r="H47" s="1938"/>
      <c r="I47" s="1937" t="str">
        <f>samenstelling!N69</f>
        <v/>
      </c>
      <c r="J47" s="1938"/>
      <c r="K47" s="1933" t="s">
        <v>1704</v>
      </c>
    </row>
    <row r="48" spans="2:11" x14ac:dyDescent="0.3">
      <c r="B48" s="2"/>
      <c r="C48" s="82" t="str">
        <f>samenstelling!E70</f>
        <v>Rode kleurstof</v>
      </c>
      <c r="D48" s="184">
        <f>samenstelling!C70</f>
        <v>2.82</v>
      </c>
      <c r="E48" s="1937" t="str">
        <f>samenstelling!N70</f>
        <v>China</v>
      </c>
      <c r="F48" s="1938"/>
      <c r="G48" s="1937" t="str">
        <f>samenstelling!N70</f>
        <v>China</v>
      </c>
      <c r="H48" s="1938"/>
      <c r="I48" s="1937" t="str">
        <f>samenstelling!N70</f>
        <v>China</v>
      </c>
      <c r="J48" s="1938"/>
      <c r="K48" s="1933" t="s">
        <v>1704</v>
      </c>
    </row>
    <row r="49" spans="2:11" x14ac:dyDescent="0.3">
      <c r="B49" s="2"/>
      <c r="C49" s="82" t="str">
        <f>samenstelling!E71</f>
        <v/>
      </c>
      <c r="D49" s="184">
        <f>samenstelling!C71</f>
        <v>0</v>
      </c>
      <c r="E49" s="1937" t="str">
        <f>samenstelling!N71</f>
        <v/>
      </c>
      <c r="F49" s="1938"/>
      <c r="G49" s="1937" t="str">
        <f>samenstelling!N71</f>
        <v/>
      </c>
      <c r="H49" s="1938"/>
      <c r="I49" s="1937" t="str">
        <f>samenstelling!N71</f>
        <v/>
      </c>
      <c r="J49" s="1938"/>
      <c r="K49" s="1933" t="s">
        <v>1704</v>
      </c>
    </row>
    <row r="50" spans="2:11" x14ac:dyDescent="0.3">
      <c r="B50" s="2"/>
      <c r="C50" s="82" t="str">
        <f>samenstelling!E72</f>
        <v/>
      </c>
      <c r="D50" s="184">
        <f>samenstelling!C72</f>
        <v>0</v>
      </c>
      <c r="E50" s="1937" t="str">
        <f>samenstelling!N72</f>
        <v/>
      </c>
      <c r="F50" s="1938"/>
      <c r="G50" s="1937" t="str">
        <f>samenstelling!N72</f>
        <v/>
      </c>
      <c r="H50" s="1938"/>
      <c r="I50" s="1937" t="str">
        <f>samenstelling!N72</f>
        <v/>
      </c>
      <c r="J50" s="1938"/>
      <c r="K50" s="1933" t="s">
        <v>1704</v>
      </c>
    </row>
    <row r="51" spans="2:11" x14ac:dyDescent="0.3">
      <c r="B51" s="2"/>
      <c r="C51" s="82" t="str">
        <f>samenstelling!E73</f>
        <v>Trinidad</v>
      </c>
      <c r="D51" s="184">
        <f>samenstelling!C73</f>
        <v>0</v>
      </c>
      <c r="E51" s="1937" t="str">
        <f>samenstelling!N73</f>
        <v>Trinidad Lake</v>
      </c>
      <c r="F51" s="1938"/>
      <c r="G51" s="1937" t="str">
        <f>samenstelling!N73</f>
        <v>Trinidad Lake</v>
      </c>
      <c r="H51" s="1938"/>
      <c r="I51" s="1937" t="str">
        <f>samenstelling!N73</f>
        <v>Trinidad Lake</v>
      </c>
      <c r="J51" s="1938"/>
      <c r="K51" s="1933" t="s">
        <v>1704</v>
      </c>
    </row>
    <row r="52" spans="2:11" x14ac:dyDescent="0.3">
      <c r="B52" s="2"/>
      <c r="C52" s="82" t="str">
        <f>samenstelling!E74</f>
        <v/>
      </c>
      <c r="D52" s="184">
        <f>samenstelling!C74</f>
        <v>0</v>
      </c>
      <c r="E52" s="1937" t="str">
        <f>samenstelling!N74</f>
        <v/>
      </c>
      <c r="F52" s="1938"/>
      <c r="G52" s="1937" t="str">
        <f>samenstelling!N74</f>
        <v/>
      </c>
      <c r="H52" s="1938"/>
      <c r="I52" s="1937" t="str">
        <f>samenstelling!N74</f>
        <v/>
      </c>
      <c r="J52" s="1938"/>
      <c r="K52" s="1933" t="s">
        <v>1704</v>
      </c>
    </row>
    <row r="53" spans="2:11" x14ac:dyDescent="0.3">
      <c r="B53" s="2"/>
      <c r="C53" s="82" t="str">
        <f>samenstelling!E75</f>
        <v>Uintah</v>
      </c>
      <c r="D53" s="184">
        <f>samenstelling!C75</f>
        <v>0.03</v>
      </c>
      <c r="E53" s="1937" t="str">
        <f>samenstelling!N75</f>
        <v>Uintah</v>
      </c>
      <c r="F53" s="1938"/>
      <c r="G53" s="1937" t="str">
        <f>samenstelling!N75</f>
        <v>Uintah</v>
      </c>
      <c r="H53" s="1938"/>
      <c r="I53" s="1937" t="str">
        <f>samenstelling!N75</f>
        <v>Uintah</v>
      </c>
      <c r="J53" s="1938"/>
      <c r="K53" s="1933" t="s">
        <v>1704</v>
      </c>
    </row>
    <row r="54" spans="2:11" x14ac:dyDescent="0.3">
      <c r="B54" s="2"/>
      <c r="C54" s="82" t="str">
        <f>samenstelling!E76</f>
        <v/>
      </c>
      <c r="D54" s="184">
        <f>samenstelling!C76</f>
        <v>0</v>
      </c>
      <c r="E54" s="1937" t="str">
        <f>samenstelling!N76</f>
        <v/>
      </c>
      <c r="F54" s="1938"/>
      <c r="G54" s="1937" t="str">
        <f>samenstelling!N76</f>
        <v/>
      </c>
      <c r="H54" s="1938"/>
      <c r="I54" s="1937" t="str">
        <f>samenstelling!N76</f>
        <v/>
      </c>
      <c r="J54" s="1938"/>
      <c r="K54" s="1933" t="s">
        <v>1704</v>
      </c>
    </row>
    <row r="55" spans="2:11" x14ac:dyDescent="0.3">
      <c r="B55" s="2"/>
      <c r="C55" s="82" t="str">
        <f>samenstelling!E77</f>
        <v/>
      </c>
      <c r="D55" s="184">
        <f>samenstelling!C77</f>
        <v>0</v>
      </c>
      <c r="E55" s="1937" t="str">
        <f>samenstelling!N77</f>
        <v/>
      </c>
      <c r="F55" s="1938"/>
      <c r="G55" s="1937"/>
      <c r="H55" s="1938"/>
      <c r="I55" s="1937" t="str">
        <f>samenstelling!N77</f>
        <v/>
      </c>
      <c r="J55" s="1938"/>
      <c r="K55" s="1933" t="s">
        <v>1704</v>
      </c>
    </row>
    <row r="56" spans="2:11" x14ac:dyDescent="0.3">
      <c r="B56" s="2"/>
      <c r="C56" s="2" t="s">
        <v>1703</v>
      </c>
      <c r="D56" s="2"/>
      <c r="E56" s="1937">
        <v>0</v>
      </c>
      <c r="F56" s="28"/>
      <c r="G56" s="1937">
        <v>0</v>
      </c>
      <c r="H56" s="28"/>
      <c r="I56" s="1937">
        <v>0</v>
      </c>
      <c r="J56" s="28"/>
      <c r="K56" s="1933" t="s">
        <v>1699</v>
      </c>
    </row>
    <row r="57" spans="2:11" x14ac:dyDescent="0.3">
      <c r="E57" s="1940"/>
      <c r="F57" s="1941"/>
      <c r="G57" s="1940"/>
      <c r="H57" s="1941"/>
      <c r="I57" s="1940"/>
      <c r="J57" s="1941"/>
      <c r="K57" s="1933"/>
    </row>
    <row r="58" spans="2:11" x14ac:dyDescent="0.3">
      <c r="B58" s="2" t="s">
        <v>1701</v>
      </c>
      <c r="C58" s="2" t="s">
        <v>1690</v>
      </c>
      <c r="D58" s="2"/>
      <c r="E58" s="1937">
        <f>studie!I317</f>
        <v>62.7</v>
      </c>
      <c r="F58" s="28"/>
      <c r="G58" s="1937">
        <f>studie!I317</f>
        <v>62.7</v>
      </c>
      <c r="H58" s="28"/>
      <c r="I58" s="1937">
        <f>studie!I317</f>
        <v>62.7</v>
      </c>
      <c r="J58" s="28"/>
      <c r="K58" s="1933"/>
    </row>
    <row r="59" spans="2:11" x14ac:dyDescent="0.3">
      <c r="B59" s="2"/>
      <c r="C59" s="2" t="s">
        <v>1691</v>
      </c>
      <c r="D59" s="2"/>
      <c r="E59" s="1937">
        <f>studie!D341</f>
        <v>7.2</v>
      </c>
      <c r="F59" s="28"/>
      <c r="G59" s="1937">
        <f>studie!D341</f>
        <v>7.2</v>
      </c>
      <c r="H59" s="28"/>
      <c r="I59" s="1937">
        <f>studie!D341</f>
        <v>7.2</v>
      </c>
      <c r="J59" s="28"/>
      <c r="K59" s="1933"/>
    </row>
    <row r="60" spans="2:11" x14ac:dyDescent="0.3">
      <c r="B60" s="2"/>
      <c r="C60" s="2" t="s">
        <v>1692</v>
      </c>
      <c r="D60" s="2" t="str">
        <f>studie!G526&amp;"°C, "&amp;studie!I526&amp;" Hz"</f>
        <v>15°C, 10 Hz</v>
      </c>
      <c r="E60" s="1937">
        <f>studie!K526</f>
        <v>12000</v>
      </c>
      <c r="F60" s="28"/>
      <c r="G60" s="1937">
        <f>studie!K526</f>
        <v>12000</v>
      </c>
      <c r="H60" s="28"/>
      <c r="I60" s="1937">
        <f>studie!K526</f>
        <v>12000</v>
      </c>
      <c r="J60" s="28"/>
      <c r="K60" s="1933"/>
    </row>
    <row r="61" spans="2:11" x14ac:dyDescent="0.3">
      <c r="B61" s="2"/>
      <c r="C61" s="2" t="s">
        <v>1692</v>
      </c>
      <c r="D61" s="2" t="str">
        <f>studie!G527&amp;"°C, "&amp;studie!I527&amp;" Hz"</f>
        <v>°C,  Hz</v>
      </c>
      <c r="E61" s="1937">
        <f>studie!K527</f>
        <v>0</v>
      </c>
      <c r="F61" s="28"/>
      <c r="G61" s="1937">
        <f>studie!K527</f>
        <v>0</v>
      </c>
      <c r="H61" s="28"/>
      <c r="I61" s="1937">
        <f>studie!K527</f>
        <v>0</v>
      </c>
      <c r="J61" s="28"/>
      <c r="K61" s="1933"/>
    </row>
    <row r="62" spans="2:11" x14ac:dyDescent="0.3">
      <c r="B62" s="2"/>
      <c r="C62" s="2" t="s">
        <v>1693</v>
      </c>
      <c r="D62" s="2"/>
      <c r="E62" s="1937">
        <f>studie!K549</f>
        <v>150</v>
      </c>
      <c r="F62" s="28"/>
      <c r="G62" s="1937">
        <f>studie!K549</f>
        <v>150</v>
      </c>
      <c r="H62" s="28"/>
      <c r="I62" s="1937">
        <f>studie!K549</f>
        <v>150</v>
      </c>
      <c r="J62" s="28"/>
      <c r="K62" s="1933"/>
    </row>
    <row r="66" spans="3:4" x14ac:dyDescent="0.3">
      <c r="C66" s="1951" t="s">
        <v>1722</v>
      </c>
      <c r="D66" s="1956">
        <f>E10+SUM(D29:D43)+SUM(D46:D55)-D53-D48</f>
        <v>99.996049999999997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94"/>
  <sheetViews>
    <sheetView tabSelected="1" workbookViewId="0">
      <pane xSplit="10" ySplit="3" topLeftCell="K12" activePane="bottomRight" state="frozen"/>
      <selection activeCell="A24" sqref="A24"/>
      <selection pane="topRight" activeCell="A24" sqref="A24"/>
      <selection pane="bottomLeft" activeCell="A24" sqref="A24"/>
      <selection pane="bottomRight" activeCell="N29" sqref="N29:P29"/>
    </sheetView>
  </sheetViews>
  <sheetFormatPr defaultColWidth="9.1796875" defaultRowHeight="14" x14ac:dyDescent="0.3"/>
  <cols>
    <col min="1" max="1" width="9.1796875" style="1"/>
    <col min="2" max="49" width="6.7265625" style="1" customWidth="1"/>
    <col min="50"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378</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033"/>
      <c r="D6" s="2033"/>
      <c r="E6" s="2033" t="s">
        <v>115</v>
      </c>
      <c r="F6" s="2033"/>
      <c r="G6" s="2033"/>
      <c r="H6" s="2" t="s">
        <v>116</v>
      </c>
      <c r="I6" s="2033" t="s">
        <v>1413</v>
      </c>
      <c r="J6" s="2033"/>
      <c r="K6" s="2033" t="s">
        <v>119</v>
      </c>
      <c r="L6" s="2033"/>
      <c r="M6" s="2033"/>
      <c r="N6" s="2033" t="s">
        <v>120</v>
      </c>
      <c r="O6" s="2033"/>
      <c r="P6" s="2033"/>
      <c r="Q6" s="2033" t="s">
        <v>121</v>
      </c>
      <c r="R6" s="2033"/>
      <c r="S6" s="2033" t="s">
        <v>122</v>
      </c>
      <c r="T6" s="2033"/>
      <c r="U6" s="2033" t="s">
        <v>128</v>
      </c>
      <c r="V6" s="2033"/>
      <c r="W6" s="2033" t="s">
        <v>127</v>
      </c>
      <c r="X6" s="2033"/>
      <c r="Y6" s="2033"/>
      <c r="Z6" s="2033"/>
      <c r="AA6" s="2033"/>
      <c r="AB6" s="2033"/>
      <c r="AC6" s="2033"/>
      <c r="AD6" s="2033"/>
      <c r="AE6" s="2033"/>
      <c r="AF6" s="2033"/>
      <c r="AG6" s="2033"/>
      <c r="AH6" s="2033"/>
      <c r="AI6" s="2033"/>
      <c r="AJ6" s="2033"/>
      <c r="AK6" s="2033"/>
      <c r="AL6" s="2033"/>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2"/>
      <c r="C7" s="2033"/>
      <c r="D7" s="2033"/>
      <c r="E7" s="2"/>
      <c r="F7" s="2"/>
      <c r="G7" s="2"/>
      <c r="H7" s="2"/>
      <c r="I7" s="2033" t="s">
        <v>118</v>
      </c>
      <c r="J7" s="2033"/>
      <c r="K7" s="2"/>
      <c r="L7" s="2"/>
      <c r="M7" s="2"/>
      <c r="N7" s="2"/>
      <c r="O7" s="2"/>
      <c r="P7" s="2"/>
      <c r="Q7" s="2"/>
      <c r="R7" s="2"/>
      <c r="S7" s="2033" t="s">
        <v>418</v>
      </c>
      <c r="T7" s="2033"/>
      <c r="U7" s="2"/>
      <c r="V7" s="2"/>
      <c r="W7" s="18">
        <f>berekeningen!D9</f>
        <v>40</v>
      </c>
      <c r="X7" s="18">
        <f>berekeningen!E9</f>
        <v>31.5</v>
      </c>
      <c r="Y7" s="18">
        <f>berekeningen!F9</f>
        <v>20</v>
      </c>
      <c r="Z7" s="18">
        <f>berekeningen!G9</f>
        <v>16</v>
      </c>
      <c r="AA7" s="18">
        <f>berekeningen!H9</f>
        <v>14</v>
      </c>
      <c r="AB7" s="18">
        <f>berekeningen!I9</f>
        <v>12.5</v>
      </c>
      <c r="AC7" s="18">
        <f>berekeningen!J9</f>
        <v>10</v>
      </c>
      <c r="AD7" s="18">
        <f>berekeningen!K9</f>
        <v>8</v>
      </c>
      <c r="AE7" s="18">
        <f>berekeningen!L9</f>
        <v>6.3</v>
      </c>
      <c r="AF7" s="18">
        <f>berekeningen!M9</f>
        <v>4</v>
      </c>
      <c r="AG7" s="18">
        <f>berekeningen!N9</f>
        <v>2</v>
      </c>
      <c r="AH7" s="18">
        <f>berekeningen!O9</f>
        <v>1</v>
      </c>
      <c r="AI7" s="18">
        <f>berekeningen!P9</f>
        <v>0.5</v>
      </c>
      <c r="AJ7" s="18">
        <f>berekeningen!Q9</f>
        <v>0.25</v>
      </c>
      <c r="AK7" s="18">
        <f>berekeningen!R9</f>
        <v>0.125</v>
      </c>
      <c r="AL7" s="18">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5" customHeight="1" thickTop="1" x14ac:dyDescent="0.3">
      <c r="A8" s="4"/>
      <c r="B8" s="29">
        <v>1</v>
      </c>
      <c r="C8" s="2068"/>
      <c r="D8" s="2069"/>
      <c r="E8" s="2050" t="s">
        <v>228</v>
      </c>
      <c r="F8" s="2051"/>
      <c r="G8" s="2052"/>
      <c r="H8" s="1503" t="s">
        <v>229</v>
      </c>
      <c r="I8" s="2077" t="s">
        <v>230</v>
      </c>
      <c r="J8" s="2078"/>
      <c r="K8" s="2050" t="s">
        <v>231</v>
      </c>
      <c r="L8" s="2051"/>
      <c r="M8" s="2052"/>
      <c r="N8" s="2050" t="s">
        <v>232</v>
      </c>
      <c r="O8" s="2051"/>
      <c r="P8" s="2052"/>
      <c r="Q8" s="2050" t="s">
        <v>117</v>
      </c>
      <c r="R8" s="2052"/>
      <c r="S8" s="2082">
        <v>2.7890000000000001</v>
      </c>
      <c r="T8" s="2083"/>
      <c r="U8" s="2050" t="s">
        <v>288</v>
      </c>
      <c r="V8" s="2052"/>
      <c r="W8" s="1504">
        <v>100</v>
      </c>
      <c r="X8" s="1505">
        <v>100</v>
      </c>
      <c r="Y8" s="1505">
        <v>99</v>
      </c>
      <c r="Z8" s="1505">
        <v>55</v>
      </c>
      <c r="AA8" s="1505">
        <v>25</v>
      </c>
      <c r="AB8" s="1505">
        <v>10</v>
      </c>
      <c r="AC8" s="1505">
        <v>2</v>
      </c>
      <c r="AD8" s="1505">
        <v>1</v>
      </c>
      <c r="AE8" s="1505">
        <v>0.9</v>
      </c>
      <c r="AF8" s="1505">
        <v>0.8</v>
      </c>
      <c r="AG8" s="1505">
        <v>0.7</v>
      </c>
      <c r="AH8" s="1505">
        <v>0.6</v>
      </c>
      <c r="AI8" s="1505">
        <v>0.5</v>
      </c>
      <c r="AJ8" s="1505">
        <v>0.4</v>
      </c>
      <c r="AK8" s="1505">
        <v>0.3</v>
      </c>
      <c r="AL8" s="1845">
        <v>0.2</v>
      </c>
      <c r="AM8" s="1506">
        <v>15</v>
      </c>
      <c r="AN8" s="1506" t="s">
        <v>705</v>
      </c>
      <c r="AO8" s="1506">
        <v>25</v>
      </c>
      <c r="AP8" s="1506">
        <v>10</v>
      </c>
      <c r="AQ8" s="1506">
        <v>35</v>
      </c>
      <c r="AR8" s="1506">
        <v>50</v>
      </c>
      <c r="AS8" s="4"/>
      <c r="AT8" s="4"/>
      <c r="AU8" s="4"/>
      <c r="AV8" s="4"/>
      <c r="AW8" s="4"/>
      <c r="AX8" s="4"/>
      <c r="AY8" s="4"/>
      <c r="AZ8" s="4"/>
      <c r="BA8" s="4"/>
      <c r="BB8" s="4"/>
      <c r="BC8" s="4"/>
      <c r="BD8" s="4"/>
      <c r="BE8" s="4"/>
      <c r="BF8" s="4"/>
      <c r="BG8" s="4"/>
      <c r="BH8" s="4"/>
    </row>
    <row r="9" spans="1:60" x14ac:dyDescent="0.3">
      <c r="A9" s="4"/>
      <c r="B9" s="31">
        <v>2</v>
      </c>
      <c r="C9" s="2064"/>
      <c r="D9" s="2065"/>
      <c r="E9" s="2053" t="s">
        <v>233</v>
      </c>
      <c r="F9" s="2054"/>
      <c r="G9" s="2055"/>
      <c r="H9" s="1507" t="s">
        <v>235</v>
      </c>
      <c r="I9" s="2073" t="s">
        <v>237</v>
      </c>
      <c r="J9" s="2074"/>
      <c r="K9" s="2053" t="s">
        <v>239</v>
      </c>
      <c r="L9" s="2054"/>
      <c r="M9" s="2055"/>
      <c r="N9" s="2053" t="s">
        <v>241</v>
      </c>
      <c r="O9" s="2054"/>
      <c r="P9" s="2055"/>
      <c r="Q9" s="2053" t="s">
        <v>117</v>
      </c>
      <c r="R9" s="2055"/>
      <c r="S9" s="2035">
        <v>2.7879999999999998</v>
      </c>
      <c r="T9" s="2036"/>
      <c r="U9" s="2053" t="s">
        <v>288</v>
      </c>
      <c r="V9" s="2055"/>
      <c r="W9" s="1508"/>
      <c r="X9" s="1509"/>
      <c r="Y9" s="1509">
        <v>100</v>
      </c>
      <c r="Z9" s="1509">
        <v>98</v>
      </c>
      <c r="AA9" s="1509">
        <v>97</v>
      </c>
      <c r="AB9" s="1509">
        <v>72</v>
      </c>
      <c r="AC9" s="1509">
        <v>65</v>
      </c>
      <c r="AD9" s="1509">
        <v>44</v>
      </c>
      <c r="AE9" s="1509">
        <v>21</v>
      </c>
      <c r="AF9" s="1509">
        <v>10</v>
      </c>
      <c r="AG9" s="1509">
        <v>4</v>
      </c>
      <c r="AH9" s="1509">
        <v>3</v>
      </c>
      <c r="AI9" s="1509">
        <v>2</v>
      </c>
      <c r="AJ9" s="1509">
        <v>1</v>
      </c>
      <c r="AK9" s="1509">
        <v>0.5</v>
      </c>
      <c r="AL9" s="1846">
        <v>0.2</v>
      </c>
      <c r="AM9" s="1510">
        <v>20</v>
      </c>
      <c r="AN9" s="1510" t="s">
        <v>705</v>
      </c>
      <c r="AO9" s="1510">
        <v>30</v>
      </c>
      <c r="AP9" s="1510">
        <v>15</v>
      </c>
      <c r="AQ9" s="1510">
        <v>40</v>
      </c>
      <c r="AR9" s="1510">
        <v>52</v>
      </c>
      <c r="AS9" s="4"/>
      <c r="AT9" s="4"/>
      <c r="AU9" s="4"/>
      <c r="AV9" s="4"/>
      <c r="AW9" s="4"/>
      <c r="AX9" s="4"/>
      <c r="AY9" s="4"/>
      <c r="AZ9" s="4"/>
      <c r="BA9" s="4"/>
      <c r="BB9" s="4"/>
      <c r="BC9" s="4"/>
      <c r="BD9" s="4"/>
      <c r="BE9" s="4"/>
      <c r="BF9" s="4"/>
      <c r="BG9" s="4"/>
      <c r="BH9" s="4"/>
    </row>
    <row r="10" spans="1:60" x14ac:dyDescent="0.3">
      <c r="A10" s="4"/>
      <c r="B10" s="31">
        <v>3</v>
      </c>
      <c r="C10" s="2064"/>
      <c r="D10" s="2065"/>
      <c r="E10" s="2053" t="s">
        <v>1412</v>
      </c>
      <c r="F10" s="2054"/>
      <c r="G10" s="2055"/>
      <c r="H10" s="1507" t="s">
        <v>1411</v>
      </c>
      <c r="I10" s="2073" t="s">
        <v>1410</v>
      </c>
      <c r="J10" s="2074"/>
      <c r="K10" s="2053" t="s">
        <v>240</v>
      </c>
      <c r="L10" s="2054"/>
      <c r="M10" s="2055"/>
      <c r="N10" s="2053" t="s">
        <v>242</v>
      </c>
      <c r="O10" s="2054"/>
      <c r="P10" s="2055"/>
      <c r="Q10" s="2053" t="s">
        <v>117</v>
      </c>
      <c r="R10" s="2055"/>
      <c r="S10" s="2035">
        <v>2.786</v>
      </c>
      <c r="T10" s="2036"/>
      <c r="U10" s="2053" t="s">
        <v>289</v>
      </c>
      <c r="V10" s="2055"/>
      <c r="W10" s="1508"/>
      <c r="X10" s="1509"/>
      <c r="Y10" s="1509"/>
      <c r="Z10" s="1509"/>
      <c r="AA10" s="1509"/>
      <c r="AB10" s="1509"/>
      <c r="AC10" s="1509">
        <v>100</v>
      </c>
      <c r="AD10" s="1509">
        <v>98</v>
      </c>
      <c r="AE10" s="1509">
        <v>85</v>
      </c>
      <c r="AF10" s="1509">
        <v>64</v>
      </c>
      <c r="AG10" s="1509">
        <v>23</v>
      </c>
      <c r="AH10" s="1509">
        <v>11</v>
      </c>
      <c r="AI10" s="1509">
        <v>4</v>
      </c>
      <c r="AJ10" s="1509">
        <v>3</v>
      </c>
      <c r="AK10" s="1509">
        <v>2</v>
      </c>
      <c r="AL10" s="1846">
        <v>1</v>
      </c>
      <c r="AM10" s="1510">
        <v>25</v>
      </c>
      <c r="AN10" s="1510" t="s">
        <v>706</v>
      </c>
      <c r="AO10" s="1510">
        <v>35</v>
      </c>
      <c r="AP10" s="1510">
        <v>20</v>
      </c>
      <c r="AQ10" s="1510">
        <v>45</v>
      </c>
      <c r="AR10" s="1510">
        <v>54</v>
      </c>
      <c r="AS10" s="4"/>
      <c r="AT10" s="4"/>
      <c r="AU10" s="4"/>
      <c r="AV10" s="4"/>
      <c r="AW10" s="4"/>
      <c r="AX10" s="4"/>
      <c r="AY10" s="4"/>
      <c r="AZ10" s="4"/>
      <c r="BA10" s="4"/>
      <c r="BB10" s="4"/>
      <c r="BC10" s="4"/>
      <c r="BD10" s="4"/>
      <c r="BE10" s="4"/>
      <c r="BF10" s="4"/>
      <c r="BG10" s="4"/>
      <c r="BH10" s="4"/>
    </row>
    <row r="11" spans="1:60" x14ac:dyDescent="0.3">
      <c r="A11" s="4"/>
      <c r="B11" s="31">
        <v>4</v>
      </c>
      <c r="C11" s="2064"/>
      <c r="D11" s="2065"/>
      <c r="E11" s="2053"/>
      <c r="F11" s="2054"/>
      <c r="G11" s="2055"/>
      <c r="H11" s="1507"/>
      <c r="I11" s="2073"/>
      <c r="J11" s="2074"/>
      <c r="K11" s="2053"/>
      <c r="L11" s="2054"/>
      <c r="M11" s="2055"/>
      <c r="N11" s="2053"/>
      <c r="O11" s="2054"/>
      <c r="P11" s="2055"/>
      <c r="Q11" s="2053"/>
      <c r="R11" s="2055"/>
      <c r="S11" s="2035"/>
      <c r="T11" s="2036"/>
      <c r="U11" s="2053"/>
      <c r="V11" s="2055"/>
      <c r="W11" s="1508"/>
      <c r="X11" s="1509"/>
      <c r="Y11" s="1509"/>
      <c r="Z11" s="1509"/>
      <c r="AA11" s="1509"/>
      <c r="AB11" s="1509"/>
      <c r="AC11" s="1509"/>
      <c r="AD11" s="1509"/>
      <c r="AE11" s="1509"/>
      <c r="AF11" s="1509"/>
      <c r="AG11" s="1509"/>
      <c r="AH11" s="1509"/>
      <c r="AI11" s="1509"/>
      <c r="AJ11" s="1509"/>
      <c r="AK11" s="1509"/>
      <c r="AL11" s="1846"/>
      <c r="AM11" s="1510"/>
      <c r="AN11" s="1510"/>
      <c r="AO11" s="1510"/>
      <c r="AP11" s="1510"/>
      <c r="AQ11" s="1510"/>
      <c r="AR11" s="1510"/>
      <c r="AS11" s="4"/>
      <c r="AT11" s="4"/>
      <c r="AU11" s="4"/>
      <c r="AV11" s="4"/>
      <c r="AW11" s="4"/>
      <c r="AX11" s="4"/>
      <c r="AY11" s="4"/>
      <c r="AZ11" s="4"/>
      <c r="BA11" s="4"/>
      <c r="BB11" s="4"/>
      <c r="BC11" s="4"/>
      <c r="BD11" s="4"/>
      <c r="BE11" s="4"/>
      <c r="BF11" s="4"/>
      <c r="BG11" s="4"/>
      <c r="BH11" s="4"/>
    </row>
    <row r="12" spans="1:60" x14ac:dyDescent="0.3">
      <c r="A12" s="4"/>
      <c r="B12" s="31">
        <v>5</v>
      </c>
      <c r="C12" s="2064"/>
      <c r="D12" s="2065"/>
      <c r="E12" s="2053"/>
      <c r="F12" s="2054"/>
      <c r="G12" s="2055"/>
      <c r="H12" s="1507"/>
      <c r="I12" s="2073"/>
      <c r="J12" s="2074"/>
      <c r="K12" s="2053"/>
      <c r="L12" s="2054"/>
      <c r="M12" s="2055"/>
      <c r="N12" s="2053"/>
      <c r="O12" s="2054"/>
      <c r="P12" s="2055"/>
      <c r="Q12" s="2053"/>
      <c r="R12" s="2055"/>
      <c r="S12" s="2035"/>
      <c r="T12" s="2036"/>
      <c r="U12" s="2053"/>
      <c r="V12" s="2055"/>
      <c r="W12" s="1508"/>
      <c r="X12" s="1509"/>
      <c r="Y12" s="1509"/>
      <c r="Z12" s="1509"/>
      <c r="AA12" s="1509"/>
      <c r="AB12" s="1509"/>
      <c r="AC12" s="1509"/>
      <c r="AD12" s="1509"/>
      <c r="AE12" s="1509"/>
      <c r="AF12" s="1509"/>
      <c r="AG12" s="1509"/>
      <c r="AH12" s="1509"/>
      <c r="AI12" s="1509"/>
      <c r="AJ12" s="1509"/>
      <c r="AK12" s="1509"/>
      <c r="AL12" s="1846"/>
      <c r="AM12" s="1510"/>
      <c r="AN12" s="1510"/>
      <c r="AO12" s="1510"/>
      <c r="AP12" s="1510"/>
      <c r="AQ12" s="1510"/>
      <c r="AR12" s="1510"/>
      <c r="AS12" s="4"/>
      <c r="AT12" s="4"/>
      <c r="AU12" s="4"/>
      <c r="AV12" s="4"/>
      <c r="AW12" s="4"/>
      <c r="AX12" s="4"/>
      <c r="AY12" s="4"/>
      <c r="AZ12" s="4"/>
      <c r="BA12" s="4"/>
      <c r="BB12" s="4"/>
      <c r="BC12" s="4"/>
      <c r="BD12" s="4"/>
      <c r="BE12" s="4"/>
      <c r="BF12" s="4"/>
      <c r="BG12" s="4"/>
      <c r="BH12" s="4"/>
    </row>
    <row r="13" spans="1:60" x14ac:dyDescent="0.3">
      <c r="A13" s="4"/>
      <c r="B13" s="31">
        <v>6</v>
      </c>
      <c r="C13" s="2064"/>
      <c r="D13" s="2065"/>
      <c r="E13" s="2053" t="s">
        <v>249</v>
      </c>
      <c r="F13" s="2054"/>
      <c r="G13" s="2055"/>
      <c r="H13" s="1507" t="s">
        <v>250</v>
      </c>
      <c r="I13" s="2073" t="s">
        <v>251</v>
      </c>
      <c r="J13" s="2074"/>
      <c r="K13" s="2053" t="s">
        <v>252</v>
      </c>
      <c r="L13" s="2054"/>
      <c r="M13" s="2055"/>
      <c r="N13" s="2053" t="s">
        <v>253</v>
      </c>
      <c r="O13" s="2054"/>
      <c r="P13" s="2055"/>
      <c r="Q13" s="2053" t="s">
        <v>254</v>
      </c>
      <c r="R13" s="2055"/>
      <c r="S13" s="2035">
        <v>3.21</v>
      </c>
      <c r="T13" s="2036"/>
      <c r="U13" s="2053" t="s">
        <v>288</v>
      </c>
      <c r="V13" s="2055"/>
      <c r="W13" s="1508"/>
      <c r="X13" s="1509"/>
      <c r="Y13" s="1509"/>
      <c r="Z13" s="1509"/>
      <c r="AA13" s="1509">
        <v>100</v>
      </c>
      <c r="AB13" s="1509">
        <v>100</v>
      </c>
      <c r="AC13" s="1509">
        <v>95</v>
      </c>
      <c r="AD13" s="1509">
        <v>50</v>
      </c>
      <c r="AE13" s="1509">
        <v>12</v>
      </c>
      <c r="AF13" s="1509">
        <v>7</v>
      </c>
      <c r="AG13" s="1509">
        <v>6</v>
      </c>
      <c r="AH13" s="1509">
        <v>5</v>
      </c>
      <c r="AI13" s="1509">
        <v>4</v>
      </c>
      <c r="AJ13" s="1509">
        <v>3</v>
      </c>
      <c r="AK13" s="1509">
        <v>2</v>
      </c>
      <c r="AL13" s="1846">
        <v>1</v>
      </c>
      <c r="AM13" s="1510">
        <v>30</v>
      </c>
      <c r="AN13" s="1510" t="s">
        <v>705</v>
      </c>
      <c r="AO13" s="1510">
        <v>38</v>
      </c>
      <c r="AP13" s="1510">
        <v>25</v>
      </c>
      <c r="AQ13" s="1510">
        <v>50</v>
      </c>
      <c r="AR13" s="1510">
        <v>56</v>
      </c>
      <c r="AS13" s="4"/>
      <c r="AT13" s="4"/>
      <c r="AU13" s="4"/>
      <c r="AV13" s="4"/>
      <c r="AW13" s="4"/>
      <c r="AX13" s="4"/>
      <c r="AY13" s="4"/>
      <c r="AZ13" s="4"/>
      <c r="BA13" s="4"/>
      <c r="BB13" s="4"/>
      <c r="BC13" s="4"/>
      <c r="BD13" s="4"/>
      <c r="BE13" s="4"/>
      <c r="BF13" s="4"/>
      <c r="BG13" s="4"/>
      <c r="BH13" s="4"/>
    </row>
    <row r="14" spans="1:60" x14ac:dyDescent="0.3">
      <c r="A14" s="4"/>
      <c r="B14" s="31">
        <v>7</v>
      </c>
      <c r="C14" s="2064"/>
      <c r="D14" s="2065"/>
      <c r="E14" s="2053"/>
      <c r="F14" s="2054"/>
      <c r="G14" s="2055"/>
      <c r="H14" s="1507"/>
      <c r="I14" s="2073"/>
      <c r="J14" s="2074"/>
      <c r="K14" s="2053"/>
      <c r="L14" s="2054"/>
      <c r="M14" s="2055"/>
      <c r="N14" s="2053"/>
      <c r="O14" s="2054"/>
      <c r="P14" s="2055"/>
      <c r="Q14" s="2053"/>
      <c r="R14" s="2055"/>
      <c r="S14" s="2035"/>
      <c r="T14" s="2036"/>
      <c r="U14" s="2053"/>
      <c r="V14" s="2055"/>
      <c r="W14" s="1508"/>
      <c r="X14" s="1509"/>
      <c r="Y14" s="1509"/>
      <c r="Z14" s="1509"/>
      <c r="AA14" s="1509"/>
      <c r="AB14" s="1509"/>
      <c r="AC14" s="1509"/>
      <c r="AD14" s="1509"/>
      <c r="AE14" s="1509"/>
      <c r="AF14" s="1509"/>
      <c r="AG14" s="1509"/>
      <c r="AH14" s="1509"/>
      <c r="AI14" s="1509"/>
      <c r="AJ14" s="1509"/>
      <c r="AK14" s="1509"/>
      <c r="AL14" s="1846"/>
      <c r="AM14" s="1510"/>
      <c r="AN14" s="1510"/>
      <c r="AO14" s="1510"/>
      <c r="AP14" s="1510"/>
      <c r="AQ14" s="1510"/>
      <c r="AR14" s="1510"/>
      <c r="AS14" s="4"/>
      <c r="AT14" s="4"/>
      <c r="AU14" s="4"/>
      <c r="AV14" s="4"/>
      <c r="AW14" s="4"/>
      <c r="AX14" s="4"/>
      <c r="AY14" s="4"/>
      <c r="AZ14" s="4"/>
      <c r="BA14" s="4"/>
      <c r="BB14" s="4"/>
      <c r="BC14" s="4"/>
      <c r="BD14" s="4"/>
      <c r="BE14" s="4"/>
      <c r="BF14" s="4"/>
      <c r="BG14" s="4"/>
      <c r="BH14" s="4"/>
    </row>
    <row r="15" spans="1:60" x14ac:dyDescent="0.3">
      <c r="A15" s="4"/>
      <c r="B15" s="31">
        <v>8</v>
      </c>
      <c r="C15" s="2064"/>
      <c r="D15" s="2065"/>
      <c r="E15" s="2053"/>
      <c r="F15" s="2054"/>
      <c r="G15" s="2055"/>
      <c r="H15" s="1507"/>
      <c r="I15" s="2073"/>
      <c r="J15" s="2074"/>
      <c r="K15" s="2053"/>
      <c r="L15" s="2054"/>
      <c r="M15" s="2055"/>
      <c r="N15" s="2053"/>
      <c r="O15" s="2054"/>
      <c r="P15" s="2055"/>
      <c r="Q15" s="2053"/>
      <c r="R15" s="2055"/>
      <c r="S15" s="2035"/>
      <c r="T15" s="2036"/>
      <c r="U15" s="2053"/>
      <c r="V15" s="2055"/>
      <c r="W15" s="1508"/>
      <c r="X15" s="1509"/>
      <c r="Y15" s="1509"/>
      <c r="Z15" s="1509"/>
      <c r="AA15" s="1509"/>
      <c r="AB15" s="1509"/>
      <c r="AC15" s="1509"/>
      <c r="AD15" s="1509"/>
      <c r="AE15" s="1509"/>
      <c r="AF15" s="1509"/>
      <c r="AG15" s="1509"/>
      <c r="AH15" s="1509"/>
      <c r="AI15" s="1509"/>
      <c r="AJ15" s="1509"/>
      <c r="AK15" s="1509"/>
      <c r="AL15" s="1846"/>
      <c r="AM15" s="1510"/>
      <c r="AN15" s="1510"/>
      <c r="AO15" s="1510"/>
      <c r="AP15" s="1510"/>
      <c r="AQ15" s="1510"/>
      <c r="AR15" s="1510"/>
      <c r="AS15" s="4"/>
      <c r="AT15" s="4"/>
      <c r="AU15" s="4"/>
      <c r="AV15" s="4"/>
      <c r="AW15" s="4"/>
      <c r="AX15" s="4"/>
      <c r="AY15" s="4"/>
      <c r="AZ15" s="4"/>
      <c r="BA15" s="4"/>
      <c r="BB15" s="4"/>
      <c r="BC15" s="4"/>
      <c r="BD15" s="4"/>
      <c r="BE15" s="4"/>
      <c r="BF15" s="4"/>
      <c r="BG15" s="4"/>
      <c r="BH15" s="4"/>
    </row>
    <row r="16" spans="1:60" x14ac:dyDescent="0.3">
      <c r="A16" s="4"/>
      <c r="B16" s="31">
        <v>9</v>
      </c>
      <c r="C16" s="2064"/>
      <c r="D16" s="2065"/>
      <c r="E16" s="2053"/>
      <c r="F16" s="2054"/>
      <c r="G16" s="2055"/>
      <c r="H16" s="1507"/>
      <c r="I16" s="2073"/>
      <c r="J16" s="2074"/>
      <c r="K16" s="2053"/>
      <c r="L16" s="2054"/>
      <c r="M16" s="2055"/>
      <c r="N16" s="2053"/>
      <c r="O16" s="2054"/>
      <c r="P16" s="2055"/>
      <c r="Q16" s="2053"/>
      <c r="R16" s="2055"/>
      <c r="S16" s="2035"/>
      <c r="T16" s="2036"/>
      <c r="U16" s="2053"/>
      <c r="V16" s="2055"/>
      <c r="W16" s="1508"/>
      <c r="X16" s="1509"/>
      <c r="Y16" s="1509"/>
      <c r="Z16" s="1509"/>
      <c r="AA16" s="1509"/>
      <c r="AB16" s="1509"/>
      <c r="AC16" s="1509"/>
      <c r="AD16" s="1509"/>
      <c r="AE16" s="1509"/>
      <c r="AF16" s="1509"/>
      <c r="AG16" s="1509"/>
      <c r="AH16" s="1509"/>
      <c r="AI16" s="1509"/>
      <c r="AJ16" s="1509"/>
      <c r="AK16" s="1509"/>
      <c r="AL16" s="1846"/>
      <c r="AM16" s="1510"/>
      <c r="AN16" s="1510"/>
      <c r="AO16" s="1510"/>
      <c r="AP16" s="1510"/>
      <c r="AQ16" s="1510"/>
      <c r="AR16" s="1510"/>
      <c r="AS16" s="4"/>
      <c r="AT16" s="4"/>
      <c r="AU16" s="4"/>
      <c r="AV16" s="4"/>
      <c r="AW16" s="4"/>
      <c r="AX16" s="4"/>
      <c r="AY16" s="4"/>
      <c r="AZ16" s="4"/>
      <c r="BA16" s="4"/>
      <c r="BB16" s="4"/>
      <c r="BC16" s="4"/>
      <c r="BD16" s="4"/>
      <c r="BE16" s="4"/>
      <c r="BF16" s="4"/>
      <c r="BG16" s="4"/>
      <c r="BH16" s="4"/>
    </row>
    <row r="17" spans="1:60" ht="14.5" thickBot="1" x14ac:dyDescent="0.35">
      <c r="A17" s="4"/>
      <c r="B17" s="42">
        <v>10</v>
      </c>
      <c r="C17" s="2066"/>
      <c r="D17" s="2067"/>
      <c r="E17" s="2047"/>
      <c r="F17" s="2048"/>
      <c r="G17" s="2049"/>
      <c r="H17" s="1511"/>
      <c r="I17" s="2079"/>
      <c r="J17" s="2080"/>
      <c r="K17" s="2047"/>
      <c r="L17" s="2048"/>
      <c r="M17" s="2049"/>
      <c r="N17" s="2047"/>
      <c r="O17" s="2048"/>
      <c r="P17" s="2049"/>
      <c r="Q17" s="2047"/>
      <c r="R17" s="2049"/>
      <c r="S17" s="2084"/>
      <c r="T17" s="2085"/>
      <c r="U17" s="2047"/>
      <c r="V17" s="2049"/>
      <c r="W17" s="1512"/>
      <c r="X17" s="1513"/>
      <c r="Y17" s="1513"/>
      <c r="Z17" s="1513"/>
      <c r="AA17" s="1513"/>
      <c r="AB17" s="1513"/>
      <c r="AC17" s="1513"/>
      <c r="AD17" s="1513"/>
      <c r="AE17" s="1513"/>
      <c r="AF17" s="1513"/>
      <c r="AG17" s="1513"/>
      <c r="AH17" s="1513"/>
      <c r="AI17" s="1513"/>
      <c r="AJ17" s="1513"/>
      <c r="AK17" s="1513"/>
      <c r="AL17" s="1847"/>
      <c r="AM17" s="1514"/>
      <c r="AN17" s="1514"/>
      <c r="AO17" s="1514"/>
      <c r="AP17" s="1514"/>
      <c r="AQ17" s="1514"/>
      <c r="AR17" s="1514"/>
      <c r="AS17" s="4"/>
      <c r="AT17" s="4"/>
      <c r="AU17" s="4"/>
      <c r="AV17" s="4"/>
      <c r="AW17" s="4"/>
      <c r="AX17" s="4"/>
      <c r="AY17" s="4"/>
      <c r="AZ17" s="4"/>
      <c r="BA17" s="4"/>
      <c r="BB17" s="4"/>
      <c r="BC17" s="4"/>
      <c r="BD17" s="4"/>
      <c r="BE17" s="4"/>
      <c r="BF17" s="4"/>
      <c r="BG17" s="4"/>
      <c r="BH17" s="4"/>
    </row>
    <row r="18" spans="1:60" ht="15" customHeight="1" thickTop="1" x14ac:dyDescent="0.3">
      <c r="A18" s="4"/>
      <c r="B18" s="29">
        <v>11</v>
      </c>
      <c r="C18" s="2068"/>
      <c r="D18" s="2069"/>
      <c r="E18" s="2050" t="s">
        <v>228</v>
      </c>
      <c r="F18" s="2051"/>
      <c r="G18" s="2052"/>
      <c r="H18" s="1503" t="s">
        <v>229</v>
      </c>
      <c r="I18" s="2077" t="s">
        <v>230</v>
      </c>
      <c r="J18" s="2078"/>
      <c r="K18" s="2050" t="s">
        <v>231</v>
      </c>
      <c r="L18" s="2051"/>
      <c r="M18" s="2052"/>
      <c r="N18" s="2050" t="s">
        <v>232</v>
      </c>
      <c r="O18" s="2051"/>
      <c r="P18" s="2052"/>
      <c r="Q18" s="2050" t="s">
        <v>117</v>
      </c>
      <c r="R18" s="2052"/>
      <c r="S18" s="2082">
        <v>2.7789999999999999</v>
      </c>
      <c r="T18" s="2083"/>
      <c r="U18" s="2050" t="s">
        <v>288</v>
      </c>
      <c r="V18" s="2052"/>
      <c r="W18" s="1504">
        <v>100</v>
      </c>
      <c r="X18" s="1505">
        <v>100</v>
      </c>
      <c r="Y18" s="1505">
        <v>99</v>
      </c>
      <c r="Z18" s="1505">
        <v>55</v>
      </c>
      <c r="AA18" s="1505">
        <v>25</v>
      </c>
      <c r="AB18" s="1505">
        <v>10</v>
      </c>
      <c r="AC18" s="1505">
        <v>2</v>
      </c>
      <c r="AD18" s="1505">
        <v>1</v>
      </c>
      <c r="AE18" s="1505">
        <v>0.9</v>
      </c>
      <c r="AF18" s="1505">
        <v>0.8</v>
      </c>
      <c r="AG18" s="1505">
        <v>0.7</v>
      </c>
      <c r="AH18" s="1505">
        <v>0.6</v>
      </c>
      <c r="AI18" s="1505">
        <v>0.5</v>
      </c>
      <c r="AJ18" s="1505">
        <v>0.4</v>
      </c>
      <c r="AK18" s="1505">
        <v>0.3</v>
      </c>
      <c r="AL18" s="1845">
        <v>0.2</v>
      </c>
      <c r="AM18" s="1515">
        <v>15</v>
      </c>
      <c r="AN18" s="1515" t="s">
        <v>705</v>
      </c>
      <c r="AO18" s="1515">
        <v>25</v>
      </c>
      <c r="AP18" s="1515">
        <v>10</v>
      </c>
      <c r="AQ18" s="1515">
        <v>35</v>
      </c>
      <c r="AR18" s="1515">
        <v>58</v>
      </c>
      <c r="AS18" s="4"/>
      <c r="AT18" s="4"/>
      <c r="AU18" s="4"/>
      <c r="AV18" s="4"/>
      <c r="AW18" s="4"/>
      <c r="AX18" s="4"/>
      <c r="AY18" s="4"/>
      <c r="AZ18" s="4"/>
      <c r="BA18" s="4"/>
      <c r="BB18" s="4"/>
      <c r="BC18" s="4"/>
      <c r="BD18" s="4"/>
      <c r="BE18" s="4"/>
      <c r="BF18" s="4"/>
      <c r="BG18" s="4"/>
      <c r="BH18" s="4"/>
    </row>
    <row r="19" spans="1:60" x14ac:dyDescent="0.3">
      <c r="A19" s="4"/>
      <c r="B19" s="31">
        <v>12</v>
      </c>
      <c r="C19" s="2064"/>
      <c r="D19" s="2065"/>
      <c r="E19" s="2053" t="s">
        <v>233</v>
      </c>
      <c r="F19" s="2054"/>
      <c r="G19" s="2055"/>
      <c r="H19" s="1507" t="s">
        <v>235</v>
      </c>
      <c r="I19" s="2073" t="s">
        <v>237</v>
      </c>
      <c r="J19" s="2074"/>
      <c r="K19" s="2053" t="s">
        <v>239</v>
      </c>
      <c r="L19" s="2054"/>
      <c r="M19" s="2055"/>
      <c r="N19" s="2053" t="s">
        <v>241</v>
      </c>
      <c r="O19" s="2054"/>
      <c r="P19" s="2055"/>
      <c r="Q19" s="2053" t="s">
        <v>117</v>
      </c>
      <c r="R19" s="2055"/>
      <c r="S19" s="2035">
        <v>2.778</v>
      </c>
      <c r="T19" s="2036"/>
      <c r="U19" s="2053" t="s">
        <v>288</v>
      </c>
      <c r="V19" s="2055"/>
      <c r="W19" s="1508"/>
      <c r="X19" s="1509"/>
      <c r="Y19" s="1509">
        <v>100</v>
      </c>
      <c r="Z19" s="1509">
        <v>98</v>
      </c>
      <c r="AA19" s="1509">
        <v>97</v>
      </c>
      <c r="AB19" s="1509">
        <v>72</v>
      </c>
      <c r="AC19" s="1509">
        <v>65</v>
      </c>
      <c r="AD19" s="1509">
        <v>44</v>
      </c>
      <c r="AE19" s="1509">
        <v>21</v>
      </c>
      <c r="AF19" s="1509">
        <v>10</v>
      </c>
      <c r="AG19" s="1509">
        <v>4</v>
      </c>
      <c r="AH19" s="1509">
        <v>3</v>
      </c>
      <c r="AI19" s="1509">
        <v>2</v>
      </c>
      <c r="AJ19" s="1509">
        <v>1</v>
      </c>
      <c r="AK19" s="1509">
        <v>0.5</v>
      </c>
      <c r="AL19" s="1846">
        <v>0.2</v>
      </c>
      <c r="AM19" s="1510">
        <v>20</v>
      </c>
      <c r="AN19" s="1510" t="s">
        <v>705</v>
      </c>
      <c r="AO19" s="1510">
        <v>30</v>
      </c>
      <c r="AP19" s="1510">
        <v>15</v>
      </c>
      <c r="AQ19" s="1510">
        <v>40</v>
      </c>
      <c r="AR19" s="1510">
        <v>60</v>
      </c>
      <c r="AS19" s="4"/>
      <c r="AT19" s="4"/>
      <c r="AU19" s="4"/>
      <c r="AV19" s="4"/>
      <c r="AW19" s="4"/>
      <c r="AX19" s="4"/>
      <c r="AY19" s="4"/>
      <c r="AZ19" s="4"/>
      <c r="BA19" s="4"/>
      <c r="BB19" s="4"/>
      <c r="BC19" s="4"/>
      <c r="BD19" s="4"/>
      <c r="BE19" s="4"/>
      <c r="BF19" s="4"/>
      <c r="BG19" s="4"/>
      <c r="BH19" s="4"/>
    </row>
    <row r="20" spans="1:60" x14ac:dyDescent="0.3">
      <c r="A20" s="4"/>
      <c r="B20" s="31">
        <v>13</v>
      </c>
      <c r="C20" s="2064"/>
      <c r="D20" s="2065"/>
      <c r="E20" s="2053" t="s">
        <v>234</v>
      </c>
      <c r="F20" s="2054"/>
      <c r="G20" s="2055"/>
      <c r="H20" s="1507" t="s">
        <v>236</v>
      </c>
      <c r="I20" s="2073" t="s">
        <v>238</v>
      </c>
      <c r="J20" s="2074"/>
      <c r="K20" s="2053" t="s">
        <v>240</v>
      </c>
      <c r="L20" s="2054"/>
      <c r="M20" s="2055"/>
      <c r="N20" s="2053" t="s">
        <v>242</v>
      </c>
      <c r="O20" s="2054"/>
      <c r="P20" s="2055"/>
      <c r="Q20" s="2053" t="s">
        <v>117</v>
      </c>
      <c r="R20" s="2055"/>
      <c r="S20" s="2035">
        <v>2.7759999999999998</v>
      </c>
      <c r="T20" s="2036"/>
      <c r="U20" s="2053" t="s">
        <v>289</v>
      </c>
      <c r="V20" s="2055"/>
      <c r="W20" s="1508"/>
      <c r="X20" s="1509"/>
      <c r="Y20" s="1509"/>
      <c r="Z20" s="1509"/>
      <c r="AA20" s="1509"/>
      <c r="AB20" s="1509"/>
      <c r="AC20" s="1509">
        <v>100</v>
      </c>
      <c r="AD20" s="1509">
        <v>98</v>
      </c>
      <c r="AE20" s="1509">
        <v>85</v>
      </c>
      <c r="AF20" s="1509">
        <v>64</v>
      </c>
      <c r="AG20" s="1509">
        <v>23</v>
      </c>
      <c r="AH20" s="1509">
        <v>11</v>
      </c>
      <c r="AI20" s="1509">
        <v>4</v>
      </c>
      <c r="AJ20" s="1509">
        <v>3</v>
      </c>
      <c r="AK20" s="1509">
        <v>2</v>
      </c>
      <c r="AL20" s="1846">
        <v>1</v>
      </c>
      <c r="AM20" s="1510">
        <v>25</v>
      </c>
      <c r="AN20" s="1510" t="s">
        <v>706</v>
      </c>
      <c r="AO20" s="1510">
        <v>35</v>
      </c>
      <c r="AP20" s="1510">
        <v>20</v>
      </c>
      <c r="AQ20" s="1510">
        <v>45</v>
      </c>
      <c r="AR20" s="1510">
        <v>62</v>
      </c>
      <c r="AS20" s="4"/>
      <c r="AT20" s="4"/>
      <c r="AU20" s="4"/>
      <c r="AV20" s="4"/>
      <c r="AW20" s="4"/>
      <c r="AX20" s="4"/>
      <c r="AY20" s="4"/>
      <c r="AZ20" s="4"/>
      <c r="BA20" s="4"/>
      <c r="BB20" s="4"/>
      <c r="BC20" s="4"/>
      <c r="BD20" s="4"/>
      <c r="BE20" s="4"/>
      <c r="BF20" s="4"/>
      <c r="BG20" s="4"/>
      <c r="BH20" s="4"/>
    </row>
    <row r="21" spans="1:60" x14ac:dyDescent="0.3">
      <c r="A21" s="4"/>
      <c r="B21" s="31">
        <v>14</v>
      </c>
      <c r="C21" s="2064"/>
      <c r="D21" s="2065"/>
      <c r="E21" s="2053"/>
      <c r="F21" s="2054"/>
      <c r="G21" s="2055"/>
      <c r="H21" s="1507"/>
      <c r="I21" s="2073"/>
      <c r="J21" s="2074"/>
      <c r="K21" s="2053"/>
      <c r="L21" s="2054"/>
      <c r="M21" s="2055"/>
      <c r="N21" s="2053"/>
      <c r="O21" s="2054"/>
      <c r="P21" s="2055"/>
      <c r="Q21" s="2053"/>
      <c r="R21" s="2055"/>
      <c r="S21" s="2035"/>
      <c r="T21" s="2036"/>
      <c r="U21" s="2053"/>
      <c r="V21" s="2055"/>
      <c r="W21" s="1508"/>
      <c r="X21" s="1509"/>
      <c r="Y21" s="1509"/>
      <c r="Z21" s="1509"/>
      <c r="AA21" s="1509"/>
      <c r="AB21" s="1509"/>
      <c r="AC21" s="1509"/>
      <c r="AD21" s="1509"/>
      <c r="AE21" s="1509"/>
      <c r="AF21" s="1509"/>
      <c r="AG21" s="1509"/>
      <c r="AH21" s="1509"/>
      <c r="AI21" s="1509"/>
      <c r="AJ21" s="1509"/>
      <c r="AK21" s="1509"/>
      <c r="AL21" s="1846"/>
      <c r="AM21" s="1510"/>
      <c r="AN21" s="1510"/>
      <c r="AO21" s="1510"/>
      <c r="AP21" s="1510"/>
      <c r="AQ21" s="1510"/>
      <c r="AR21" s="1510"/>
      <c r="AS21" s="4"/>
      <c r="AT21" s="4"/>
      <c r="AU21" s="4"/>
      <c r="AV21" s="4"/>
      <c r="AW21" s="4"/>
      <c r="AX21" s="4"/>
      <c r="AY21" s="4"/>
      <c r="AZ21" s="4"/>
      <c r="BA21" s="4"/>
      <c r="BB21" s="4"/>
      <c r="BC21" s="4"/>
      <c r="BD21" s="4"/>
      <c r="BE21" s="4"/>
      <c r="BF21" s="4"/>
      <c r="BG21" s="4"/>
      <c r="BH21" s="4"/>
    </row>
    <row r="22" spans="1:60" x14ac:dyDescent="0.3">
      <c r="A22" s="4"/>
      <c r="B22" s="31">
        <v>15</v>
      </c>
      <c r="C22" s="2064"/>
      <c r="D22" s="2065"/>
      <c r="E22" s="2053"/>
      <c r="F22" s="2054"/>
      <c r="G22" s="2055"/>
      <c r="H22" s="1507"/>
      <c r="I22" s="2073"/>
      <c r="J22" s="2074"/>
      <c r="K22" s="2053"/>
      <c r="L22" s="2054"/>
      <c r="M22" s="2055"/>
      <c r="N22" s="2053"/>
      <c r="O22" s="2054"/>
      <c r="P22" s="2055"/>
      <c r="Q22" s="2053"/>
      <c r="R22" s="2055"/>
      <c r="S22" s="2035"/>
      <c r="T22" s="2036"/>
      <c r="U22" s="2053"/>
      <c r="V22" s="2055"/>
      <c r="W22" s="1508"/>
      <c r="X22" s="1509"/>
      <c r="Y22" s="1509"/>
      <c r="Z22" s="1509"/>
      <c r="AA22" s="1509"/>
      <c r="AB22" s="1509"/>
      <c r="AC22" s="1509"/>
      <c r="AD22" s="1509"/>
      <c r="AE22" s="1509"/>
      <c r="AF22" s="1509"/>
      <c r="AG22" s="1509"/>
      <c r="AH22" s="1509"/>
      <c r="AI22" s="1509"/>
      <c r="AJ22" s="1509"/>
      <c r="AK22" s="1509"/>
      <c r="AL22" s="1846"/>
      <c r="AM22" s="1510"/>
      <c r="AN22" s="1510"/>
      <c r="AO22" s="1510"/>
      <c r="AP22" s="1510"/>
      <c r="AQ22" s="1510"/>
      <c r="AR22" s="1510"/>
      <c r="AS22" s="4"/>
      <c r="AT22" s="4"/>
      <c r="AU22" s="4"/>
      <c r="AV22" s="4"/>
      <c r="AW22" s="4"/>
      <c r="AX22" s="4"/>
      <c r="AY22" s="4"/>
      <c r="AZ22" s="4"/>
      <c r="BA22" s="4"/>
      <c r="BB22" s="4"/>
      <c r="BC22" s="4"/>
      <c r="BD22" s="4"/>
      <c r="BE22" s="4"/>
      <c r="BF22" s="4"/>
      <c r="BG22" s="4"/>
      <c r="BH22" s="4"/>
    </row>
    <row r="23" spans="1:60" x14ac:dyDescent="0.3">
      <c r="A23" s="4"/>
      <c r="B23" s="31">
        <v>16</v>
      </c>
      <c r="C23" s="2064"/>
      <c r="D23" s="2065"/>
      <c r="E23" s="2053" t="s">
        <v>249</v>
      </c>
      <c r="F23" s="2054"/>
      <c r="G23" s="2055"/>
      <c r="H23" s="1507" t="s">
        <v>250</v>
      </c>
      <c r="I23" s="2073" t="s">
        <v>251</v>
      </c>
      <c r="J23" s="2074"/>
      <c r="K23" s="2053" t="s">
        <v>252</v>
      </c>
      <c r="L23" s="2054"/>
      <c r="M23" s="2055"/>
      <c r="N23" s="2053" t="s">
        <v>253</v>
      </c>
      <c r="O23" s="2054"/>
      <c r="P23" s="2055"/>
      <c r="Q23" s="2053" t="s">
        <v>254</v>
      </c>
      <c r="R23" s="2055"/>
      <c r="S23" s="2035">
        <v>3.2</v>
      </c>
      <c r="T23" s="2036"/>
      <c r="U23" s="2053" t="s">
        <v>288</v>
      </c>
      <c r="V23" s="2055"/>
      <c r="W23" s="1508"/>
      <c r="X23" s="1509"/>
      <c r="Y23" s="1509"/>
      <c r="Z23" s="1509"/>
      <c r="AA23" s="1509">
        <v>100</v>
      </c>
      <c r="AB23" s="1509">
        <v>100</v>
      </c>
      <c r="AC23" s="1509">
        <v>95</v>
      </c>
      <c r="AD23" s="1509">
        <v>50</v>
      </c>
      <c r="AE23" s="1509">
        <v>12</v>
      </c>
      <c r="AF23" s="1509">
        <v>7</v>
      </c>
      <c r="AG23" s="1509">
        <v>6</v>
      </c>
      <c r="AH23" s="1509">
        <v>5</v>
      </c>
      <c r="AI23" s="1509">
        <v>4</v>
      </c>
      <c r="AJ23" s="1509">
        <v>3</v>
      </c>
      <c r="AK23" s="1509">
        <v>2</v>
      </c>
      <c r="AL23" s="1846">
        <v>1</v>
      </c>
      <c r="AM23" s="1510">
        <v>30</v>
      </c>
      <c r="AN23" s="1510" t="s">
        <v>705</v>
      </c>
      <c r="AO23" s="1510">
        <v>38</v>
      </c>
      <c r="AP23" s="1510">
        <v>25</v>
      </c>
      <c r="AQ23" s="1510">
        <v>50</v>
      </c>
      <c r="AR23" s="1510">
        <v>64</v>
      </c>
      <c r="AS23" s="4"/>
      <c r="AT23" s="4"/>
      <c r="AU23" s="4"/>
      <c r="AV23" s="4"/>
      <c r="AW23" s="4"/>
      <c r="AX23" s="4"/>
      <c r="AY23" s="4"/>
      <c r="AZ23" s="4"/>
      <c r="BA23" s="4"/>
      <c r="BB23" s="4"/>
      <c r="BC23" s="4"/>
      <c r="BD23" s="4"/>
      <c r="BE23" s="4"/>
      <c r="BF23" s="4"/>
      <c r="BG23" s="4"/>
      <c r="BH23" s="4"/>
    </row>
    <row r="24" spans="1:60" x14ac:dyDescent="0.3">
      <c r="A24" s="4"/>
      <c r="B24" s="31">
        <v>17</v>
      </c>
      <c r="C24" s="2064"/>
      <c r="D24" s="2065"/>
      <c r="E24" s="2053"/>
      <c r="F24" s="2054"/>
      <c r="G24" s="2055"/>
      <c r="H24" s="1507"/>
      <c r="I24" s="2073"/>
      <c r="J24" s="2074"/>
      <c r="K24" s="2053"/>
      <c r="L24" s="2054"/>
      <c r="M24" s="2055"/>
      <c r="N24" s="2053"/>
      <c r="O24" s="2054"/>
      <c r="P24" s="2055"/>
      <c r="Q24" s="2053"/>
      <c r="R24" s="2055"/>
      <c r="S24" s="2035"/>
      <c r="T24" s="2036"/>
      <c r="U24" s="2053"/>
      <c r="V24" s="2055"/>
      <c r="W24" s="1508"/>
      <c r="X24" s="1509"/>
      <c r="Y24" s="1509"/>
      <c r="Z24" s="1509"/>
      <c r="AA24" s="1509"/>
      <c r="AB24" s="1509"/>
      <c r="AC24" s="1509"/>
      <c r="AD24" s="1509"/>
      <c r="AE24" s="1509"/>
      <c r="AF24" s="1509"/>
      <c r="AG24" s="1509"/>
      <c r="AH24" s="1509"/>
      <c r="AI24" s="1509"/>
      <c r="AJ24" s="1509"/>
      <c r="AK24" s="1509"/>
      <c r="AL24" s="1846"/>
      <c r="AM24" s="1510"/>
      <c r="AN24" s="1510"/>
      <c r="AO24" s="1510"/>
      <c r="AP24" s="1510"/>
      <c r="AQ24" s="1510"/>
      <c r="AR24" s="1510"/>
      <c r="AS24" s="4"/>
      <c r="AT24" s="4"/>
      <c r="AU24" s="4"/>
      <c r="AV24" s="4"/>
      <c r="AW24" s="4"/>
      <c r="AX24" s="4"/>
      <c r="AY24" s="4"/>
      <c r="AZ24" s="4"/>
      <c r="BA24" s="4"/>
      <c r="BB24" s="4"/>
      <c r="BC24" s="4"/>
      <c r="BD24" s="4"/>
      <c r="BE24" s="4"/>
      <c r="BF24" s="4"/>
      <c r="BG24" s="4"/>
      <c r="BH24" s="4"/>
    </row>
    <row r="25" spans="1:60" x14ac:dyDescent="0.3">
      <c r="A25" s="4"/>
      <c r="B25" s="31">
        <v>18</v>
      </c>
      <c r="C25" s="2064"/>
      <c r="D25" s="2065"/>
      <c r="E25" s="2053"/>
      <c r="F25" s="2054"/>
      <c r="G25" s="2055"/>
      <c r="H25" s="1507"/>
      <c r="I25" s="2073"/>
      <c r="J25" s="2074"/>
      <c r="K25" s="2053"/>
      <c r="L25" s="2054"/>
      <c r="M25" s="2055"/>
      <c r="N25" s="2053"/>
      <c r="O25" s="2054"/>
      <c r="P25" s="2055"/>
      <c r="Q25" s="2053"/>
      <c r="R25" s="2055"/>
      <c r="S25" s="2035"/>
      <c r="T25" s="2036"/>
      <c r="U25" s="2053"/>
      <c r="V25" s="2055"/>
      <c r="W25" s="1508"/>
      <c r="X25" s="1509"/>
      <c r="Y25" s="1509"/>
      <c r="Z25" s="1509"/>
      <c r="AA25" s="1509"/>
      <c r="AB25" s="1509"/>
      <c r="AC25" s="1509"/>
      <c r="AD25" s="1509"/>
      <c r="AE25" s="1509"/>
      <c r="AF25" s="1509"/>
      <c r="AG25" s="1509"/>
      <c r="AH25" s="1509"/>
      <c r="AI25" s="1509"/>
      <c r="AJ25" s="1509"/>
      <c r="AK25" s="1509"/>
      <c r="AL25" s="1846"/>
      <c r="AM25" s="1510"/>
      <c r="AN25" s="1510"/>
      <c r="AO25" s="1510"/>
      <c r="AP25" s="1510"/>
      <c r="AQ25" s="1510"/>
      <c r="AR25" s="1510"/>
      <c r="AS25" s="4"/>
      <c r="AT25" s="4"/>
      <c r="AU25" s="4"/>
      <c r="AV25" s="4"/>
      <c r="AW25" s="4"/>
      <c r="AX25" s="4"/>
      <c r="AY25" s="4"/>
      <c r="AZ25" s="4"/>
      <c r="BA25" s="4"/>
      <c r="BB25" s="4"/>
      <c r="BC25" s="4"/>
      <c r="BD25" s="4"/>
      <c r="BE25" s="4"/>
      <c r="BF25" s="4"/>
      <c r="BG25" s="4"/>
      <c r="BH25" s="4"/>
    </row>
    <row r="26" spans="1:60" x14ac:dyDescent="0.3">
      <c r="A26" s="4"/>
      <c r="B26" s="31">
        <v>19</v>
      </c>
      <c r="C26" s="2064"/>
      <c r="D26" s="2065"/>
      <c r="E26" s="2053"/>
      <c r="F26" s="2054"/>
      <c r="G26" s="2055"/>
      <c r="H26" s="1507"/>
      <c r="I26" s="2073"/>
      <c r="J26" s="2074"/>
      <c r="K26" s="2053"/>
      <c r="L26" s="2054"/>
      <c r="M26" s="2055"/>
      <c r="N26" s="2053"/>
      <c r="O26" s="2054"/>
      <c r="P26" s="2055"/>
      <c r="Q26" s="2053"/>
      <c r="R26" s="2055"/>
      <c r="S26" s="2035"/>
      <c r="T26" s="2036"/>
      <c r="U26" s="2053"/>
      <c r="V26" s="2055"/>
      <c r="W26" s="1508"/>
      <c r="X26" s="1509"/>
      <c r="Y26" s="1509"/>
      <c r="Z26" s="1509"/>
      <c r="AA26" s="1509"/>
      <c r="AB26" s="1509"/>
      <c r="AC26" s="1509"/>
      <c r="AD26" s="1509"/>
      <c r="AE26" s="1509"/>
      <c r="AF26" s="1509"/>
      <c r="AG26" s="1509"/>
      <c r="AH26" s="1509"/>
      <c r="AI26" s="1509"/>
      <c r="AJ26" s="1509"/>
      <c r="AK26" s="1509"/>
      <c r="AL26" s="1846"/>
      <c r="AM26" s="1510"/>
      <c r="AN26" s="1510"/>
      <c r="AO26" s="1510"/>
      <c r="AP26" s="1510"/>
      <c r="AQ26" s="1510"/>
      <c r="AR26" s="1510"/>
      <c r="AS26" s="4"/>
      <c r="AT26" s="4"/>
      <c r="AU26" s="4"/>
      <c r="AV26" s="4"/>
      <c r="AW26" s="4"/>
      <c r="AX26" s="4"/>
      <c r="AY26" s="4"/>
      <c r="AZ26" s="4"/>
      <c r="BA26" s="4"/>
      <c r="BB26" s="4"/>
      <c r="BC26" s="4"/>
      <c r="BD26" s="4"/>
      <c r="BE26" s="4"/>
      <c r="BF26" s="4"/>
      <c r="BG26" s="4"/>
      <c r="BH26" s="4"/>
    </row>
    <row r="27" spans="1:60" ht="14.5" thickBot="1" x14ac:dyDescent="0.35">
      <c r="A27" s="4"/>
      <c r="B27" s="42">
        <v>20</v>
      </c>
      <c r="C27" s="2066"/>
      <c r="D27" s="2067"/>
      <c r="E27" s="2047"/>
      <c r="F27" s="2048"/>
      <c r="G27" s="2049"/>
      <c r="H27" s="1511"/>
      <c r="I27" s="2079"/>
      <c r="J27" s="2080"/>
      <c r="K27" s="2047"/>
      <c r="L27" s="2048"/>
      <c r="M27" s="2049"/>
      <c r="N27" s="2047"/>
      <c r="O27" s="2048"/>
      <c r="P27" s="2049"/>
      <c r="Q27" s="2047"/>
      <c r="R27" s="2049"/>
      <c r="S27" s="2084"/>
      <c r="T27" s="2085"/>
      <c r="U27" s="2047"/>
      <c r="V27" s="2049"/>
      <c r="W27" s="1512"/>
      <c r="X27" s="1513"/>
      <c r="Y27" s="1513"/>
      <c r="Z27" s="1513"/>
      <c r="AA27" s="1513"/>
      <c r="AB27" s="1513"/>
      <c r="AC27" s="1513"/>
      <c r="AD27" s="1513"/>
      <c r="AE27" s="1513"/>
      <c r="AF27" s="1513"/>
      <c r="AG27" s="1513"/>
      <c r="AH27" s="1513"/>
      <c r="AI27" s="1513"/>
      <c r="AJ27" s="1513"/>
      <c r="AK27" s="1513"/>
      <c r="AL27" s="1847"/>
      <c r="AM27" s="1514"/>
      <c r="AN27" s="1514"/>
      <c r="AO27" s="1514"/>
      <c r="AP27" s="1514"/>
      <c r="AQ27" s="1514"/>
      <c r="AR27" s="1514"/>
      <c r="AS27" s="4"/>
      <c r="AT27" s="4"/>
      <c r="AU27" s="4"/>
      <c r="AV27" s="4"/>
      <c r="AW27" s="4"/>
      <c r="AX27" s="4"/>
      <c r="AY27" s="4"/>
      <c r="AZ27" s="4"/>
      <c r="BA27" s="4"/>
      <c r="BB27" s="4"/>
      <c r="BC27" s="4"/>
      <c r="BD27" s="4"/>
      <c r="BE27" s="4"/>
      <c r="BF27" s="4"/>
      <c r="BG27" s="4"/>
      <c r="BH27" s="4"/>
    </row>
    <row r="28" spans="1:60" ht="15" customHeight="1" thickTop="1" x14ac:dyDescent="0.3">
      <c r="A28" s="4"/>
      <c r="B28" s="29">
        <v>21</v>
      </c>
      <c r="C28" s="2068"/>
      <c r="D28" s="2069"/>
      <c r="E28" s="2050" t="s">
        <v>228</v>
      </c>
      <c r="F28" s="2051"/>
      <c r="G28" s="2052"/>
      <c r="H28" s="1503" t="s">
        <v>229</v>
      </c>
      <c r="I28" s="2077" t="s">
        <v>230</v>
      </c>
      <c r="J28" s="2078"/>
      <c r="K28" s="2050" t="s">
        <v>231</v>
      </c>
      <c r="L28" s="2051"/>
      <c r="M28" s="2052"/>
      <c r="N28" s="2050" t="s">
        <v>232</v>
      </c>
      <c r="O28" s="2051"/>
      <c r="P28" s="2052"/>
      <c r="Q28" s="2050" t="s">
        <v>117</v>
      </c>
      <c r="R28" s="2052"/>
      <c r="S28" s="2082">
        <v>2.7690000000000001</v>
      </c>
      <c r="T28" s="2083"/>
      <c r="U28" s="2050" t="s">
        <v>288</v>
      </c>
      <c r="V28" s="2052"/>
      <c r="W28" s="1504">
        <v>100</v>
      </c>
      <c r="X28" s="1505">
        <v>100</v>
      </c>
      <c r="Y28" s="1505">
        <v>99</v>
      </c>
      <c r="Z28" s="1505">
        <v>55</v>
      </c>
      <c r="AA28" s="1505">
        <v>25</v>
      </c>
      <c r="AB28" s="1505">
        <v>10</v>
      </c>
      <c r="AC28" s="1505">
        <v>2</v>
      </c>
      <c r="AD28" s="1505">
        <v>1</v>
      </c>
      <c r="AE28" s="1505">
        <v>0.9</v>
      </c>
      <c r="AF28" s="1505">
        <v>0.8</v>
      </c>
      <c r="AG28" s="1505">
        <v>0.7</v>
      </c>
      <c r="AH28" s="1505">
        <v>0.6</v>
      </c>
      <c r="AI28" s="1505">
        <v>0.5</v>
      </c>
      <c r="AJ28" s="1505">
        <v>0.4</v>
      </c>
      <c r="AK28" s="1505">
        <v>0.3</v>
      </c>
      <c r="AL28" s="1845">
        <v>0.2</v>
      </c>
      <c r="AM28" s="1506">
        <v>15</v>
      </c>
      <c r="AN28" s="1506" t="s">
        <v>705</v>
      </c>
      <c r="AO28" s="1506">
        <v>25</v>
      </c>
      <c r="AP28" s="1506">
        <v>10</v>
      </c>
      <c r="AQ28" s="1506">
        <v>35</v>
      </c>
      <c r="AR28" s="1506">
        <v>40</v>
      </c>
      <c r="AS28" s="4"/>
      <c r="AT28" s="4"/>
      <c r="AU28" s="4"/>
      <c r="AV28" s="4"/>
      <c r="AW28" s="4"/>
      <c r="AX28" s="4"/>
      <c r="AY28" s="4"/>
      <c r="AZ28" s="4"/>
      <c r="BA28" s="4"/>
      <c r="BB28" s="4"/>
      <c r="BC28" s="4"/>
      <c r="BD28" s="4"/>
      <c r="BE28" s="4"/>
      <c r="BF28" s="4"/>
      <c r="BG28" s="4"/>
      <c r="BH28" s="4"/>
    </row>
    <row r="29" spans="1:60" x14ac:dyDescent="0.3">
      <c r="A29" s="4"/>
      <c r="B29" s="31">
        <v>22</v>
      </c>
      <c r="C29" s="2064"/>
      <c r="D29" s="2065"/>
      <c r="E29" s="2053" t="s">
        <v>233</v>
      </c>
      <c r="F29" s="2054"/>
      <c r="G29" s="2055"/>
      <c r="H29" s="1507" t="s">
        <v>235</v>
      </c>
      <c r="I29" s="2073" t="s">
        <v>237</v>
      </c>
      <c r="J29" s="2074"/>
      <c r="K29" s="2053" t="s">
        <v>239</v>
      </c>
      <c r="L29" s="2054"/>
      <c r="M29" s="2055"/>
      <c r="N29" s="2081" t="s">
        <v>241</v>
      </c>
      <c r="O29" s="2054"/>
      <c r="P29" s="2055"/>
      <c r="Q29" s="2053" t="s">
        <v>117</v>
      </c>
      <c r="R29" s="2055"/>
      <c r="S29" s="2035">
        <v>2.7679999999999998</v>
      </c>
      <c r="T29" s="2036"/>
      <c r="U29" s="2053" t="s">
        <v>288</v>
      </c>
      <c r="V29" s="2055"/>
      <c r="W29" s="1508"/>
      <c r="X29" s="1509"/>
      <c r="Y29" s="1509">
        <v>100</v>
      </c>
      <c r="Z29" s="1509">
        <v>98</v>
      </c>
      <c r="AA29" s="1509">
        <v>97</v>
      </c>
      <c r="AB29" s="1509">
        <v>72</v>
      </c>
      <c r="AC29" s="1509">
        <v>65</v>
      </c>
      <c r="AD29" s="1509">
        <v>44</v>
      </c>
      <c r="AE29" s="1509">
        <v>21</v>
      </c>
      <c r="AF29" s="1509">
        <v>10</v>
      </c>
      <c r="AG29" s="1509">
        <v>4</v>
      </c>
      <c r="AH29" s="1509">
        <v>3</v>
      </c>
      <c r="AI29" s="1509">
        <v>2</v>
      </c>
      <c r="AJ29" s="1509">
        <v>1</v>
      </c>
      <c r="AK29" s="1509">
        <v>0.5</v>
      </c>
      <c r="AL29" s="1846">
        <v>0.2</v>
      </c>
      <c r="AM29" s="1510">
        <v>20</v>
      </c>
      <c r="AN29" s="1510" t="s">
        <v>705</v>
      </c>
      <c r="AO29" s="1510">
        <v>30</v>
      </c>
      <c r="AP29" s="1510">
        <v>15</v>
      </c>
      <c r="AQ29" s="1510">
        <v>40</v>
      </c>
      <c r="AR29" s="1510">
        <v>42</v>
      </c>
      <c r="AS29" s="4"/>
      <c r="AT29" s="4"/>
      <c r="AU29" s="4"/>
      <c r="AV29" s="4"/>
      <c r="AW29" s="4"/>
      <c r="AX29" s="4"/>
      <c r="AY29" s="4"/>
      <c r="AZ29" s="4"/>
      <c r="BA29" s="4"/>
      <c r="BB29" s="4"/>
      <c r="BC29" s="4"/>
      <c r="BD29" s="4"/>
      <c r="BE29" s="4"/>
      <c r="BF29" s="4"/>
      <c r="BG29" s="4"/>
      <c r="BH29" s="4"/>
    </row>
    <row r="30" spans="1:60" x14ac:dyDescent="0.3">
      <c r="A30" s="4"/>
      <c r="B30" s="31">
        <v>23</v>
      </c>
      <c r="C30" s="2064"/>
      <c r="D30" s="2065"/>
      <c r="E30" s="2053" t="s">
        <v>234</v>
      </c>
      <c r="F30" s="2054"/>
      <c r="G30" s="2055"/>
      <c r="H30" s="1507" t="s">
        <v>236</v>
      </c>
      <c r="I30" s="2073" t="s">
        <v>238</v>
      </c>
      <c r="J30" s="2074"/>
      <c r="K30" s="2053" t="s">
        <v>240</v>
      </c>
      <c r="L30" s="2054"/>
      <c r="M30" s="2055"/>
      <c r="N30" s="2053" t="s">
        <v>242</v>
      </c>
      <c r="O30" s="2054"/>
      <c r="P30" s="2055"/>
      <c r="Q30" s="2053" t="s">
        <v>117</v>
      </c>
      <c r="R30" s="2055"/>
      <c r="S30" s="2035">
        <v>2.7669999999999999</v>
      </c>
      <c r="T30" s="2036"/>
      <c r="U30" s="2053" t="s">
        <v>289</v>
      </c>
      <c r="V30" s="2055"/>
      <c r="W30" s="1508"/>
      <c r="X30" s="1509"/>
      <c r="Y30" s="1509"/>
      <c r="Z30" s="1509"/>
      <c r="AA30" s="1509"/>
      <c r="AB30" s="1509"/>
      <c r="AC30" s="1509">
        <v>100</v>
      </c>
      <c r="AD30" s="1509">
        <v>98</v>
      </c>
      <c r="AE30" s="1509">
        <v>85</v>
      </c>
      <c r="AF30" s="1509">
        <v>64</v>
      </c>
      <c r="AG30" s="1509">
        <v>23</v>
      </c>
      <c r="AH30" s="1509">
        <v>11</v>
      </c>
      <c r="AI30" s="1509">
        <v>4</v>
      </c>
      <c r="AJ30" s="1509">
        <v>3</v>
      </c>
      <c r="AK30" s="1509">
        <v>2</v>
      </c>
      <c r="AL30" s="1846">
        <v>1</v>
      </c>
      <c r="AM30" s="1510">
        <v>25</v>
      </c>
      <c r="AN30" s="1510" t="s">
        <v>707</v>
      </c>
      <c r="AO30" s="1510">
        <v>35</v>
      </c>
      <c r="AP30" s="1510">
        <v>20</v>
      </c>
      <c r="AQ30" s="1510">
        <v>45</v>
      </c>
      <c r="AR30" s="1510">
        <v>44</v>
      </c>
      <c r="AS30" s="4"/>
      <c r="AT30" s="4"/>
      <c r="AU30" s="4"/>
      <c r="AV30" s="4"/>
      <c r="AW30" s="4"/>
      <c r="AX30" s="4"/>
      <c r="AY30" s="4"/>
      <c r="AZ30" s="4"/>
      <c r="BA30" s="4"/>
      <c r="BB30" s="4"/>
      <c r="BC30" s="4"/>
      <c r="BD30" s="4"/>
      <c r="BE30" s="4"/>
      <c r="BF30" s="4"/>
      <c r="BG30" s="4"/>
      <c r="BH30" s="4"/>
    </row>
    <row r="31" spans="1:60" x14ac:dyDescent="0.3">
      <c r="A31" s="4"/>
      <c r="B31" s="31">
        <v>24</v>
      </c>
      <c r="C31" s="2064"/>
      <c r="D31" s="2065"/>
      <c r="E31" s="2053"/>
      <c r="F31" s="2054"/>
      <c r="G31" s="2055"/>
      <c r="H31" s="1507"/>
      <c r="I31" s="2073"/>
      <c r="J31" s="2074"/>
      <c r="K31" s="2053"/>
      <c r="L31" s="2054"/>
      <c r="M31" s="2055"/>
      <c r="N31" s="2053"/>
      <c r="O31" s="2054"/>
      <c r="P31" s="2055"/>
      <c r="Q31" s="2053"/>
      <c r="R31" s="2055"/>
      <c r="S31" s="2035"/>
      <c r="T31" s="2036"/>
      <c r="U31" s="2053"/>
      <c r="V31" s="2055"/>
      <c r="W31" s="1508"/>
      <c r="X31" s="1509"/>
      <c r="Y31" s="1509"/>
      <c r="Z31" s="1509"/>
      <c r="AA31" s="1509"/>
      <c r="AB31" s="1509"/>
      <c r="AC31" s="1509"/>
      <c r="AD31" s="1509"/>
      <c r="AE31" s="1509"/>
      <c r="AF31" s="1509"/>
      <c r="AG31" s="1509"/>
      <c r="AH31" s="1509"/>
      <c r="AI31" s="1509"/>
      <c r="AJ31" s="1509"/>
      <c r="AK31" s="1509"/>
      <c r="AL31" s="1846"/>
      <c r="AM31" s="1510"/>
      <c r="AN31" s="1510"/>
      <c r="AO31" s="1510"/>
      <c r="AP31" s="1510"/>
      <c r="AQ31" s="1510"/>
      <c r="AR31" s="1510"/>
      <c r="AS31" s="4"/>
      <c r="AT31" s="4"/>
      <c r="AU31" s="4"/>
      <c r="AV31" s="4"/>
      <c r="AW31" s="4"/>
      <c r="AX31" s="4"/>
      <c r="AY31" s="4"/>
      <c r="AZ31" s="4"/>
      <c r="BA31" s="4"/>
      <c r="BB31" s="4"/>
      <c r="BC31" s="4"/>
      <c r="BD31" s="4"/>
      <c r="BE31" s="4"/>
      <c r="BF31" s="4"/>
      <c r="BG31" s="4"/>
      <c r="BH31" s="4"/>
    </row>
    <row r="32" spans="1:60" x14ac:dyDescent="0.3">
      <c r="A32" s="4"/>
      <c r="B32" s="31">
        <v>25</v>
      </c>
      <c r="C32" s="2064"/>
      <c r="D32" s="2065"/>
      <c r="E32" s="2053"/>
      <c r="F32" s="2054"/>
      <c r="G32" s="2055"/>
      <c r="H32" s="1507"/>
      <c r="I32" s="2073"/>
      <c r="J32" s="2074"/>
      <c r="K32" s="2053"/>
      <c r="L32" s="2054"/>
      <c r="M32" s="2055"/>
      <c r="N32" s="2053"/>
      <c r="O32" s="2054"/>
      <c r="P32" s="2055"/>
      <c r="Q32" s="2053"/>
      <c r="R32" s="2055"/>
      <c r="S32" s="2035"/>
      <c r="T32" s="2036"/>
      <c r="U32" s="2053"/>
      <c r="V32" s="2055"/>
      <c r="W32" s="1508"/>
      <c r="X32" s="1509"/>
      <c r="Y32" s="1509"/>
      <c r="Z32" s="1509"/>
      <c r="AA32" s="1509"/>
      <c r="AB32" s="1509"/>
      <c r="AC32" s="1509"/>
      <c r="AD32" s="1509"/>
      <c r="AE32" s="1509"/>
      <c r="AF32" s="1509"/>
      <c r="AG32" s="1509"/>
      <c r="AH32" s="1509"/>
      <c r="AI32" s="1509"/>
      <c r="AJ32" s="1509"/>
      <c r="AK32" s="1509"/>
      <c r="AL32" s="1846"/>
      <c r="AM32" s="1510"/>
      <c r="AN32" s="1510"/>
      <c r="AO32" s="1510"/>
      <c r="AP32" s="1510"/>
      <c r="AQ32" s="1510"/>
      <c r="AR32" s="1510"/>
      <c r="AS32" s="4"/>
      <c r="AT32" s="4"/>
      <c r="AU32" s="4"/>
      <c r="AV32" s="4"/>
      <c r="AW32" s="4"/>
      <c r="AX32" s="4"/>
      <c r="AY32" s="4"/>
      <c r="AZ32" s="4"/>
      <c r="BA32" s="4"/>
      <c r="BB32" s="4"/>
      <c r="BC32" s="4"/>
      <c r="BD32" s="4"/>
      <c r="BE32" s="4"/>
      <c r="BF32" s="4"/>
      <c r="BG32" s="4"/>
      <c r="BH32" s="4"/>
    </row>
    <row r="33" spans="1:60" x14ac:dyDescent="0.3">
      <c r="A33" s="4"/>
      <c r="B33" s="31">
        <v>26</v>
      </c>
      <c r="C33" s="2064"/>
      <c r="D33" s="2065"/>
      <c r="E33" s="2053" t="s">
        <v>249</v>
      </c>
      <c r="F33" s="2054"/>
      <c r="G33" s="2055"/>
      <c r="H33" s="1507" t="s">
        <v>250</v>
      </c>
      <c r="I33" s="2073" t="s">
        <v>251</v>
      </c>
      <c r="J33" s="2074"/>
      <c r="K33" s="2053" t="s">
        <v>252</v>
      </c>
      <c r="L33" s="2054"/>
      <c r="M33" s="2055"/>
      <c r="N33" s="2053" t="s">
        <v>253</v>
      </c>
      <c r="O33" s="2054"/>
      <c r="P33" s="2055"/>
      <c r="Q33" s="2053" t="s">
        <v>254</v>
      </c>
      <c r="R33" s="2055"/>
      <c r="S33" s="2035">
        <v>3.22</v>
      </c>
      <c r="T33" s="2036"/>
      <c r="U33" s="2053" t="s">
        <v>288</v>
      </c>
      <c r="V33" s="2055"/>
      <c r="W33" s="1508"/>
      <c r="X33" s="1509"/>
      <c r="Y33" s="1509"/>
      <c r="Z33" s="1509"/>
      <c r="AA33" s="1509">
        <v>100</v>
      </c>
      <c r="AB33" s="1509">
        <v>100</v>
      </c>
      <c r="AC33" s="1509">
        <v>95</v>
      </c>
      <c r="AD33" s="1509">
        <v>50</v>
      </c>
      <c r="AE33" s="1509">
        <v>12</v>
      </c>
      <c r="AF33" s="1509">
        <v>7</v>
      </c>
      <c r="AG33" s="1509">
        <v>6</v>
      </c>
      <c r="AH33" s="1509">
        <v>5</v>
      </c>
      <c r="AI33" s="1509">
        <v>4</v>
      </c>
      <c r="AJ33" s="1509">
        <v>3</v>
      </c>
      <c r="AK33" s="1509">
        <v>2</v>
      </c>
      <c r="AL33" s="1846">
        <v>1</v>
      </c>
      <c r="AM33" s="1510">
        <v>30</v>
      </c>
      <c r="AN33" s="1510" t="s">
        <v>705</v>
      </c>
      <c r="AO33" s="1510">
        <v>38</v>
      </c>
      <c r="AP33" s="1510">
        <v>25</v>
      </c>
      <c r="AQ33" s="1510">
        <v>50</v>
      </c>
      <c r="AR33" s="1510">
        <v>46</v>
      </c>
      <c r="AS33" s="4"/>
      <c r="AT33" s="4"/>
      <c r="AU33" s="4"/>
      <c r="AV33" s="4"/>
      <c r="AW33" s="4"/>
      <c r="AX33" s="4"/>
      <c r="AY33" s="4"/>
      <c r="AZ33" s="4"/>
      <c r="BA33" s="4"/>
      <c r="BB33" s="4"/>
      <c r="BC33" s="4"/>
      <c r="BD33" s="4"/>
      <c r="BE33" s="4"/>
      <c r="BF33" s="4"/>
      <c r="BG33" s="4"/>
      <c r="BH33" s="4"/>
    </row>
    <row r="34" spans="1:60" x14ac:dyDescent="0.3">
      <c r="A34" s="4"/>
      <c r="B34" s="31">
        <v>27</v>
      </c>
      <c r="C34" s="2064"/>
      <c r="D34" s="2065"/>
      <c r="E34" s="2053"/>
      <c r="F34" s="2054"/>
      <c r="G34" s="2055"/>
      <c r="H34" s="1507"/>
      <c r="I34" s="2073"/>
      <c r="J34" s="2074"/>
      <c r="K34" s="2053"/>
      <c r="L34" s="2054"/>
      <c r="M34" s="2055"/>
      <c r="N34" s="2053"/>
      <c r="O34" s="2054"/>
      <c r="P34" s="2055"/>
      <c r="Q34" s="2053"/>
      <c r="R34" s="2055"/>
      <c r="S34" s="2035"/>
      <c r="T34" s="2036"/>
      <c r="U34" s="2053"/>
      <c r="V34" s="2055"/>
      <c r="W34" s="1508"/>
      <c r="X34" s="1509"/>
      <c r="Y34" s="1509"/>
      <c r="Z34" s="1509"/>
      <c r="AA34" s="1509"/>
      <c r="AB34" s="1509"/>
      <c r="AC34" s="1509"/>
      <c r="AD34" s="1509"/>
      <c r="AE34" s="1509"/>
      <c r="AF34" s="1509"/>
      <c r="AG34" s="1509"/>
      <c r="AH34" s="1509"/>
      <c r="AI34" s="1509"/>
      <c r="AJ34" s="1509"/>
      <c r="AK34" s="1509"/>
      <c r="AL34" s="1846"/>
      <c r="AM34" s="1510"/>
      <c r="AN34" s="1510"/>
      <c r="AO34" s="1510"/>
      <c r="AP34" s="1510"/>
      <c r="AQ34" s="1510"/>
      <c r="AR34" s="1510"/>
      <c r="AS34" s="4"/>
      <c r="AT34" s="4"/>
      <c r="AU34" s="4"/>
      <c r="AV34" s="4"/>
      <c r="AW34" s="4"/>
      <c r="AX34" s="4"/>
      <c r="AY34" s="4"/>
      <c r="AZ34" s="4"/>
      <c r="BA34" s="4"/>
      <c r="BB34" s="4"/>
      <c r="BC34" s="4"/>
      <c r="BD34" s="4"/>
      <c r="BE34" s="4"/>
      <c r="BF34" s="4"/>
      <c r="BG34" s="4"/>
      <c r="BH34" s="4"/>
    </row>
    <row r="35" spans="1:60" x14ac:dyDescent="0.3">
      <c r="A35" s="4"/>
      <c r="B35" s="31">
        <v>28</v>
      </c>
      <c r="C35" s="2064"/>
      <c r="D35" s="2065"/>
      <c r="E35" s="2053"/>
      <c r="F35" s="2054"/>
      <c r="G35" s="2055"/>
      <c r="H35" s="1507"/>
      <c r="I35" s="2073"/>
      <c r="J35" s="2074"/>
      <c r="K35" s="2053"/>
      <c r="L35" s="2054"/>
      <c r="M35" s="2055"/>
      <c r="N35" s="2053"/>
      <c r="O35" s="2054"/>
      <c r="P35" s="2055"/>
      <c r="Q35" s="2053"/>
      <c r="R35" s="2055"/>
      <c r="S35" s="2035"/>
      <c r="T35" s="2036"/>
      <c r="U35" s="2053"/>
      <c r="V35" s="2055"/>
      <c r="W35" s="1508"/>
      <c r="X35" s="1509"/>
      <c r="Y35" s="1509"/>
      <c r="Z35" s="1509"/>
      <c r="AA35" s="1509"/>
      <c r="AB35" s="1509"/>
      <c r="AC35" s="1509"/>
      <c r="AD35" s="1509"/>
      <c r="AE35" s="1509"/>
      <c r="AF35" s="1509"/>
      <c r="AG35" s="1509"/>
      <c r="AH35" s="1509"/>
      <c r="AI35" s="1509"/>
      <c r="AJ35" s="1509"/>
      <c r="AK35" s="1509"/>
      <c r="AL35" s="1846"/>
      <c r="AM35" s="1510"/>
      <c r="AN35" s="1510"/>
      <c r="AO35" s="1510"/>
      <c r="AP35" s="1510"/>
      <c r="AQ35" s="1510"/>
      <c r="AR35" s="1510"/>
      <c r="AS35" s="4"/>
      <c r="AT35" s="4"/>
      <c r="AU35" s="4"/>
      <c r="AV35" s="4"/>
      <c r="AW35" s="4"/>
      <c r="AX35" s="4"/>
      <c r="AY35" s="4"/>
      <c r="AZ35" s="4"/>
      <c r="BA35" s="4"/>
      <c r="BB35" s="4"/>
      <c r="BC35" s="4"/>
      <c r="BD35" s="4"/>
      <c r="BE35" s="4"/>
      <c r="BF35" s="4"/>
      <c r="BG35" s="4"/>
      <c r="BH35" s="4"/>
    </row>
    <row r="36" spans="1:60" x14ac:dyDescent="0.3">
      <c r="A36" s="4"/>
      <c r="B36" s="31">
        <v>29</v>
      </c>
      <c r="C36" s="2064"/>
      <c r="D36" s="2065"/>
      <c r="E36" s="2053"/>
      <c r="F36" s="2054"/>
      <c r="G36" s="2055"/>
      <c r="H36" s="1507"/>
      <c r="I36" s="2073"/>
      <c r="J36" s="2074"/>
      <c r="K36" s="2053"/>
      <c r="L36" s="2054"/>
      <c r="M36" s="2055"/>
      <c r="N36" s="2053"/>
      <c r="O36" s="2054"/>
      <c r="P36" s="2055"/>
      <c r="Q36" s="2053"/>
      <c r="R36" s="2055"/>
      <c r="S36" s="2035"/>
      <c r="T36" s="2036"/>
      <c r="U36" s="2053"/>
      <c r="V36" s="2055"/>
      <c r="W36" s="1508"/>
      <c r="X36" s="1509"/>
      <c r="Y36" s="1509"/>
      <c r="Z36" s="1509"/>
      <c r="AA36" s="1509"/>
      <c r="AB36" s="1509"/>
      <c r="AC36" s="1509"/>
      <c r="AD36" s="1509"/>
      <c r="AE36" s="1509"/>
      <c r="AF36" s="1509"/>
      <c r="AG36" s="1509"/>
      <c r="AH36" s="1509"/>
      <c r="AI36" s="1509"/>
      <c r="AJ36" s="1509"/>
      <c r="AK36" s="1509"/>
      <c r="AL36" s="1846"/>
      <c r="AM36" s="1510"/>
      <c r="AN36" s="1510"/>
      <c r="AO36" s="1510"/>
      <c r="AP36" s="1510"/>
      <c r="AQ36" s="1510"/>
      <c r="AR36" s="1510"/>
      <c r="AS36" s="4"/>
      <c r="AT36" s="4"/>
      <c r="AU36" s="4"/>
      <c r="AV36" s="4"/>
      <c r="AW36" s="4"/>
      <c r="AX36" s="4"/>
      <c r="AY36" s="4"/>
      <c r="AZ36" s="4"/>
      <c r="BA36" s="4"/>
      <c r="BB36" s="4"/>
      <c r="BC36" s="4"/>
      <c r="BD36" s="4"/>
      <c r="BE36" s="4"/>
      <c r="BF36" s="4"/>
      <c r="BG36" s="4"/>
      <c r="BH36" s="4"/>
    </row>
    <row r="37" spans="1:60" ht="14.5" thickBot="1" x14ac:dyDescent="0.35">
      <c r="A37" s="4"/>
      <c r="B37" s="42">
        <v>30</v>
      </c>
      <c r="C37" s="2066"/>
      <c r="D37" s="2067"/>
      <c r="E37" s="2047"/>
      <c r="F37" s="2048"/>
      <c r="G37" s="2049"/>
      <c r="H37" s="1511"/>
      <c r="I37" s="2079"/>
      <c r="J37" s="2080"/>
      <c r="K37" s="2047"/>
      <c r="L37" s="2048"/>
      <c r="M37" s="2049"/>
      <c r="N37" s="2047"/>
      <c r="O37" s="2048"/>
      <c r="P37" s="2049"/>
      <c r="Q37" s="2047"/>
      <c r="R37" s="2049"/>
      <c r="S37" s="2084"/>
      <c r="T37" s="2085"/>
      <c r="U37" s="2047"/>
      <c r="V37" s="2049"/>
      <c r="W37" s="1512"/>
      <c r="X37" s="1513"/>
      <c r="Y37" s="1513"/>
      <c r="Z37" s="1513"/>
      <c r="AA37" s="1513"/>
      <c r="AB37" s="1513"/>
      <c r="AC37" s="1513"/>
      <c r="AD37" s="1513"/>
      <c r="AE37" s="1513"/>
      <c r="AF37" s="1513"/>
      <c r="AG37" s="1513"/>
      <c r="AH37" s="1513"/>
      <c r="AI37" s="1513"/>
      <c r="AJ37" s="1513"/>
      <c r="AK37" s="1513"/>
      <c r="AL37" s="1847"/>
      <c r="AM37" s="1514"/>
      <c r="AN37" s="1514"/>
      <c r="AO37" s="1514"/>
      <c r="AP37" s="1514"/>
      <c r="AQ37" s="1514"/>
      <c r="AR37" s="1514"/>
      <c r="AS37" s="4"/>
      <c r="AT37" s="4"/>
      <c r="AU37" s="4"/>
      <c r="AV37" s="4"/>
      <c r="AW37" s="4"/>
      <c r="AX37" s="4"/>
      <c r="AY37" s="4"/>
      <c r="AZ37" s="4"/>
      <c r="BA37" s="4"/>
      <c r="BB37" s="4"/>
      <c r="BC37" s="4"/>
      <c r="BD37" s="4"/>
      <c r="BE37" s="4"/>
      <c r="BF37" s="4"/>
      <c r="BG37" s="4"/>
      <c r="BH37" s="4"/>
    </row>
    <row r="38" spans="1:60" ht="15" customHeight="1" thickTop="1" x14ac:dyDescent="0.3">
      <c r="A38" s="4"/>
      <c r="B38" s="29">
        <v>31</v>
      </c>
      <c r="C38" s="2068"/>
      <c r="D38" s="2069"/>
      <c r="E38" s="2050" t="s">
        <v>228</v>
      </c>
      <c r="F38" s="2051"/>
      <c r="G38" s="2052"/>
      <c r="H38" s="1503" t="s">
        <v>229</v>
      </c>
      <c r="I38" s="2077" t="s">
        <v>230</v>
      </c>
      <c r="J38" s="2078"/>
      <c r="K38" s="2050" t="s">
        <v>231</v>
      </c>
      <c r="L38" s="2051"/>
      <c r="M38" s="2052"/>
      <c r="N38" s="2050" t="s">
        <v>232</v>
      </c>
      <c r="O38" s="2051"/>
      <c r="P38" s="2052"/>
      <c r="Q38" s="2050" t="s">
        <v>117</v>
      </c>
      <c r="R38" s="2052"/>
      <c r="S38" s="2082">
        <v>2.8</v>
      </c>
      <c r="T38" s="2083"/>
      <c r="U38" s="2050" t="s">
        <v>288</v>
      </c>
      <c r="V38" s="2052"/>
      <c r="W38" s="1504">
        <v>100</v>
      </c>
      <c r="X38" s="1505">
        <v>100</v>
      </c>
      <c r="Y38" s="1505">
        <v>99</v>
      </c>
      <c r="Z38" s="1505">
        <v>55</v>
      </c>
      <c r="AA38" s="1505">
        <v>25</v>
      </c>
      <c r="AB38" s="1505">
        <v>10</v>
      </c>
      <c r="AC38" s="1505">
        <v>2</v>
      </c>
      <c r="AD38" s="1505">
        <v>1</v>
      </c>
      <c r="AE38" s="1505">
        <v>0.9</v>
      </c>
      <c r="AF38" s="1505">
        <v>0.8</v>
      </c>
      <c r="AG38" s="1505">
        <v>0.7</v>
      </c>
      <c r="AH38" s="1505">
        <v>0.6</v>
      </c>
      <c r="AI38" s="1505">
        <v>0.5</v>
      </c>
      <c r="AJ38" s="1505">
        <v>0.4</v>
      </c>
      <c r="AK38" s="1505">
        <v>0.3</v>
      </c>
      <c r="AL38" s="1845">
        <v>0.2</v>
      </c>
      <c r="AM38" s="1515">
        <v>15</v>
      </c>
      <c r="AN38" s="1506" t="s">
        <v>705</v>
      </c>
      <c r="AO38" s="1506">
        <v>25</v>
      </c>
      <c r="AP38" s="1515">
        <v>10</v>
      </c>
      <c r="AQ38" s="1515">
        <v>35</v>
      </c>
      <c r="AR38" s="1515">
        <v>48</v>
      </c>
      <c r="AS38" s="4"/>
      <c r="AT38" s="4"/>
      <c r="AU38" s="4"/>
      <c r="AV38" s="4"/>
      <c r="AW38" s="4"/>
      <c r="AX38" s="4"/>
      <c r="AY38" s="4"/>
      <c r="AZ38" s="4"/>
      <c r="BA38" s="4"/>
      <c r="BB38" s="4"/>
      <c r="BC38" s="4"/>
      <c r="BD38" s="4"/>
      <c r="BE38" s="4"/>
      <c r="BF38" s="4"/>
      <c r="BG38" s="4"/>
      <c r="BH38" s="4"/>
    </row>
    <row r="39" spans="1:60" x14ac:dyDescent="0.3">
      <c r="A39" s="4"/>
      <c r="B39" s="31">
        <v>32</v>
      </c>
      <c r="C39" s="2064"/>
      <c r="D39" s="2065"/>
      <c r="E39" s="2053" t="s">
        <v>233</v>
      </c>
      <c r="F39" s="2054"/>
      <c r="G39" s="2055"/>
      <c r="H39" s="1507" t="s">
        <v>235</v>
      </c>
      <c r="I39" s="2073" t="s">
        <v>237</v>
      </c>
      <c r="J39" s="2074"/>
      <c r="K39" s="2053" t="s">
        <v>239</v>
      </c>
      <c r="L39" s="2054"/>
      <c r="M39" s="2055"/>
      <c r="N39" s="2053" t="s">
        <v>241</v>
      </c>
      <c r="O39" s="2054"/>
      <c r="P39" s="2055"/>
      <c r="Q39" s="2053" t="s">
        <v>117</v>
      </c>
      <c r="R39" s="2055"/>
      <c r="S39" s="2035">
        <v>2.8010000000000002</v>
      </c>
      <c r="T39" s="2036"/>
      <c r="U39" s="2053" t="s">
        <v>288</v>
      </c>
      <c r="V39" s="2055"/>
      <c r="W39" s="1508"/>
      <c r="X39" s="1509"/>
      <c r="Y39" s="1509">
        <v>100</v>
      </c>
      <c r="Z39" s="1509">
        <v>98</v>
      </c>
      <c r="AA39" s="1509">
        <v>97</v>
      </c>
      <c r="AB39" s="1509">
        <v>72</v>
      </c>
      <c r="AC39" s="1509">
        <v>65</v>
      </c>
      <c r="AD39" s="1509">
        <v>44</v>
      </c>
      <c r="AE39" s="1509">
        <v>21</v>
      </c>
      <c r="AF39" s="1509">
        <v>10</v>
      </c>
      <c r="AG39" s="1509">
        <v>4</v>
      </c>
      <c r="AH39" s="1509">
        <v>3</v>
      </c>
      <c r="AI39" s="1509">
        <v>2</v>
      </c>
      <c r="AJ39" s="1509">
        <v>1</v>
      </c>
      <c r="AK39" s="1509">
        <v>0.5</v>
      </c>
      <c r="AL39" s="1846">
        <v>0.2</v>
      </c>
      <c r="AM39" s="1510">
        <v>20</v>
      </c>
      <c r="AN39" s="1510" t="s">
        <v>705</v>
      </c>
      <c r="AO39" s="1510">
        <v>30</v>
      </c>
      <c r="AP39" s="1510">
        <v>15</v>
      </c>
      <c r="AQ39" s="1510">
        <v>40</v>
      </c>
      <c r="AR39" s="1510">
        <v>50</v>
      </c>
      <c r="AS39" s="4"/>
      <c r="AT39" s="4"/>
      <c r="AU39" s="4"/>
      <c r="AV39" s="4"/>
      <c r="AW39" s="4"/>
      <c r="AX39" s="4"/>
      <c r="AY39" s="4"/>
      <c r="AZ39" s="4"/>
      <c r="BA39" s="4"/>
      <c r="BB39" s="4"/>
      <c r="BC39" s="4"/>
      <c r="BD39" s="4"/>
      <c r="BE39" s="4"/>
      <c r="BF39" s="4"/>
      <c r="BG39" s="4"/>
      <c r="BH39" s="4"/>
    </row>
    <row r="40" spans="1:60" x14ac:dyDescent="0.3">
      <c r="A40" s="4"/>
      <c r="B40" s="31">
        <v>33</v>
      </c>
      <c r="C40" s="2064"/>
      <c r="D40" s="2065"/>
      <c r="E40" s="2053" t="s">
        <v>234</v>
      </c>
      <c r="F40" s="2054"/>
      <c r="G40" s="2055"/>
      <c r="H40" s="1507" t="s">
        <v>236</v>
      </c>
      <c r="I40" s="2073" t="s">
        <v>238</v>
      </c>
      <c r="J40" s="2074"/>
      <c r="K40" s="2053" t="s">
        <v>240</v>
      </c>
      <c r="L40" s="2054"/>
      <c r="M40" s="2055"/>
      <c r="N40" s="2053" t="s">
        <v>242</v>
      </c>
      <c r="O40" s="2054"/>
      <c r="P40" s="2055"/>
      <c r="Q40" s="2053" t="s">
        <v>117</v>
      </c>
      <c r="R40" s="2055"/>
      <c r="S40" s="2035">
        <v>2.802</v>
      </c>
      <c r="T40" s="2036"/>
      <c r="U40" s="2053" t="s">
        <v>289</v>
      </c>
      <c r="V40" s="2055"/>
      <c r="W40" s="1508"/>
      <c r="X40" s="1509"/>
      <c r="Y40" s="1509"/>
      <c r="Z40" s="1509"/>
      <c r="AA40" s="1509"/>
      <c r="AB40" s="1509"/>
      <c r="AC40" s="1509">
        <v>100</v>
      </c>
      <c r="AD40" s="1509">
        <v>98</v>
      </c>
      <c r="AE40" s="1509">
        <v>85</v>
      </c>
      <c r="AF40" s="1509">
        <v>64</v>
      </c>
      <c r="AG40" s="1509">
        <v>23</v>
      </c>
      <c r="AH40" s="1509">
        <v>11</v>
      </c>
      <c r="AI40" s="1509">
        <v>4</v>
      </c>
      <c r="AJ40" s="1509">
        <v>3</v>
      </c>
      <c r="AK40" s="1509">
        <v>2</v>
      </c>
      <c r="AL40" s="1846">
        <v>1</v>
      </c>
      <c r="AM40" s="1510">
        <v>25</v>
      </c>
      <c r="AN40" s="1510" t="s">
        <v>707</v>
      </c>
      <c r="AO40" s="1510">
        <v>35</v>
      </c>
      <c r="AP40" s="1510">
        <v>20</v>
      </c>
      <c r="AQ40" s="1510">
        <v>45</v>
      </c>
      <c r="AR40" s="1510">
        <v>52</v>
      </c>
      <c r="AS40" s="4"/>
      <c r="AT40" s="4"/>
      <c r="AU40" s="4"/>
      <c r="AV40" s="4"/>
      <c r="AW40" s="4"/>
      <c r="AX40" s="4"/>
      <c r="AY40" s="4"/>
      <c r="AZ40" s="4"/>
      <c r="BA40" s="4"/>
      <c r="BB40" s="4"/>
      <c r="BC40" s="4"/>
      <c r="BD40" s="4"/>
      <c r="BE40" s="4"/>
      <c r="BF40" s="4"/>
      <c r="BG40" s="4"/>
      <c r="BH40" s="4"/>
    </row>
    <row r="41" spans="1:60" x14ac:dyDescent="0.3">
      <c r="A41" s="4"/>
      <c r="B41" s="31">
        <v>34</v>
      </c>
      <c r="C41" s="2064"/>
      <c r="D41" s="2065"/>
      <c r="E41" s="2053"/>
      <c r="F41" s="2054"/>
      <c r="G41" s="2055"/>
      <c r="H41" s="1507"/>
      <c r="I41" s="2073"/>
      <c r="J41" s="2074"/>
      <c r="K41" s="2053"/>
      <c r="L41" s="2054"/>
      <c r="M41" s="2055"/>
      <c r="N41" s="2053"/>
      <c r="O41" s="2054"/>
      <c r="P41" s="2055"/>
      <c r="Q41" s="2053"/>
      <c r="R41" s="2055"/>
      <c r="S41" s="2035"/>
      <c r="T41" s="2036"/>
      <c r="U41" s="2053"/>
      <c r="V41" s="2055"/>
      <c r="W41" s="1508"/>
      <c r="X41" s="1509"/>
      <c r="Y41" s="1509"/>
      <c r="Z41" s="1509"/>
      <c r="AA41" s="1509"/>
      <c r="AB41" s="1509"/>
      <c r="AC41" s="1509"/>
      <c r="AD41" s="1509"/>
      <c r="AE41" s="1509"/>
      <c r="AF41" s="1509"/>
      <c r="AG41" s="1509"/>
      <c r="AH41" s="1509"/>
      <c r="AI41" s="1509"/>
      <c r="AJ41" s="1509"/>
      <c r="AK41" s="1509"/>
      <c r="AL41" s="1846"/>
      <c r="AM41" s="1510"/>
      <c r="AN41" s="1510"/>
      <c r="AO41" s="1510"/>
      <c r="AP41" s="1510"/>
      <c r="AQ41" s="1510"/>
      <c r="AR41" s="1510"/>
      <c r="AS41" s="4"/>
      <c r="AT41" s="4"/>
      <c r="AU41" s="4"/>
      <c r="AV41" s="4"/>
      <c r="AW41" s="4"/>
      <c r="AX41" s="4"/>
      <c r="AY41" s="4"/>
      <c r="AZ41" s="4"/>
      <c r="BA41" s="4"/>
      <c r="BB41" s="4"/>
      <c r="BC41" s="4"/>
      <c r="BD41" s="4"/>
      <c r="BE41" s="4"/>
      <c r="BF41" s="4"/>
      <c r="BG41" s="4"/>
      <c r="BH41" s="4"/>
    </row>
    <row r="42" spans="1:60" x14ac:dyDescent="0.3">
      <c r="A42" s="4"/>
      <c r="B42" s="31">
        <v>35</v>
      </c>
      <c r="C42" s="2064"/>
      <c r="D42" s="2065"/>
      <c r="E42" s="2053"/>
      <c r="F42" s="2054"/>
      <c r="G42" s="2055"/>
      <c r="H42" s="1507"/>
      <c r="I42" s="2073"/>
      <c r="J42" s="2074"/>
      <c r="K42" s="2053"/>
      <c r="L42" s="2054"/>
      <c r="M42" s="2055"/>
      <c r="N42" s="2053"/>
      <c r="O42" s="2054"/>
      <c r="P42" s="2055"/>
      <c r="Q42" s="2053"/>
      <c r="R42" s="2055"/>
      <c r="S42" s="2035"/>
      <c r="T42" s="2036"/>
      <c r="U42" s="2053"/>
      <c r="V42" s="2055"/>
      <c r="W42" s="1508"/>
      <c r="X42" s="1509"/>
      <c r="Y42" s="1509"/>
      <c r="Z42" s="1509"/>
      <c r="AA42" s="1509"/>
      <c r="AB42" s="1509"/>
      <c r="AC42" s="1509"/>
      <c r="AD42" s="1509"/>
      <c r="AE42" s="1509"/>
      <c r="AF42" s="1509"/>
      <c r="AG42" s="1509"/>
      <c r="AH42" s="1509"/>
      <c r="AI42" s="1509"/>
      <c r="AJ42" s="1509"/>
      <c r="AK42" s="1509"/>
      <c r="AL42" s="1846"/>
      <c r="AM42" s="1510"/>
      <c r="AN42" s="1510"/>
      <c r="AO42" s="1510"/>
      <c r="AP42" s="1510"/>
      <c r="AQ42" s="1510"/>
      <c r="AR42" s="1510"/>
      <c r="AS42" s="4"/>
      <c r="AT42" s="4"/>
      <c r="AU42" s="4"/>
      <c r="AV42" s="4"/>
      <c r="AW42" s="4"/>
      <c r="AX42" s="4"/>
      <c r="AY42" s="4"/>
      <c r="AZ42" s="4"/>
      <c r="BA42" s="4"/>
      <c r="BB42" s="4"/>
      <c r="BC42" s="4"/>
      <c r="BD42" s="4"/>
      <c r="BE42" s="4"/>
      <c r="BF42" s="4"/>
      <c r="BG42" s="4"/>
      <c r="BH42" s="4"/>
    </row>
    <row r="43" spans="1:60" x14ac:dyDescent="0.3">
      <c r="A43" s="4"/>
      <c r="B43" s="31">
        <v>36</v>
      </c>
      <c r="C43" s="2064"/>
      <c r="D43" s="2065"/>
      <c r="E43" s="2053" t="s">
        <v>249</v>
      </c>
      <c r="F43" s="2054"/>
      <c r="G43" s="2055"/>
      <c r="H43" s="1507" t="s">
        <v>250</v>
      </c>
      <c r="I43" s="2073" t="s">
        <v>251</v>
      </c>
      <c r="J43" s="2074"/>
      <c r="K43" s="2053" t="s">
        <v>252</v>
      </c>
      <c r="L43" s="2054"/>
      <c r="M43" s="2055"/>
      <c r="N43" s="2053" t="s">
        <v>253</v>
      </c>
      <c r="O43" s="2054"/>
      <c r="P43" s="2055"/>
      <c r="Q43" s="2053" t="s">
        <v>254</v>
      </c>
      <c r="R43" s="2055"/>
      <c r="S43" s="2035">
        <v>3.23</v>
      </c>
      <c r="T43" s="2036"/>
      <c r="U43" s="2053" t="s">
        <v>288</v>
      </c>
      <c r="V43" s="2055"/>
      <c r="W43" s="1508"/>
      <c r="X43" s="1509"/>
      <c r="Y43" s="1509"/>
      <c r="Z43" s="1509"/>
      <c r="AA43" s="1509">
        <v>100</v>
      </c>
      <c r="AB43" s="1509">
        <v>100</v>
      </c>
      <c r="AC43" s="1509">
        <v>95</v>
      </c>
      <c r="AD43" s="1509">
        <v>50</v>
      </c>
      <c r="AE43" s="1509">
        <v>12</v>
      </c>
      <c r="AF43" s="1509">
        <v>7</v>
      </c>
      <c r="AG43" s="1509">
        <v>6</v>
      </c>
      <c r="AH43" s="1509">
        <v>5</v>
      </c>
      <c r="AI43" s="1509">
        <v>4</v>
      </c>
      <c r="AJ43" s="1509">
        <v>3</v>
      </c>
      <c r="AK43" s="1509">
        <v>2</v>
      </c>
      <c r="AL43" s="1846">
        <v>1</v>
      </c>
      <c r="AM43" s="1510">
        <v>30</v>
      </c>
      <c r="AN43" s="1510" t="s">
        <v>705</v>
      </c>
      <c r="AO43" s="1510">
        <v>38</v>
      </c>
      <c r="AP43" s="1510">
        <v>25</v>
      </c>
      <c r="AQ43" s="1510">
        <v>50</v>
      </c>
      <c r="AR43" s="1510">
        <v>54</v>
      </c>
      <c r="AS43" s="4"/>
      <c r="AT43" s="4"/>
      <c r="AU43" s="4"/>
      <c r="AV43" s="4"/>
      <c r="AW43" s="4"/>
      <c r="AX43" s="4"/>
      <c r="AY43" s="4"/>
      <c r="AZ43" s="4"/>
      <c r="BA43" s="4"/>
      <c r="BB43" s="4"/>
      <c r="BC43" s="4"/>
      <c r="BD43" s="4"/>
      <c r="BE43" s="4"/>
      <c r="BF43" s="4"/>
      <c r="BG43" s="4"/>
      <c r="BH43" s="4"/>
    </row>
    <row r="44" spans="1:60" x14ac:dyDescent="0.3">
      <c r="A44" s="4"/>
      <c r="B44" s="31">
        <v>37</v>
      </c>
      <c r="C44" s="2064"/>
      <c r="D44" s="2065"/>
      <c r="E44" s="2053"/>
      <c r="F44" s="2054"/>
      <c r="G44" s="2055"/>
      <c r="H44" s="1507"/>
      <c r="I44" s="2073"/>
      <c r="J44" s="2074"/>
      <c r="K44" s="2053"/>
      <c r="L44" s="2054"/>
      <c r="M44" s="2055"/>
      <c r="N44" s="2053"/>
      <c r="O44" s="2054"/>
      <c r="P44" s="2055"/>
      <c r="Q44" s="2053"/>
      <c r="R44" s="2055"/>
      <c r="S44" s="2035"/>
      <c r="T44" s="2036"/>
      <c r="U44" s="2053"/>
      <c r="V44" s="2055"/>
      <c r="W44" s="1508"/>
      <c r="X44" s="1509"/>
      <c r="Y44" s="1509"/>
      <c r="Z44" s="1509"/>
      <c r="AA44" s="1509"/>
      <c r="AB44" s="1509"/>
      <c r="AC44" s="1509"/>
      <c r="AD44" s="1509"/>
      <c r="AE44" s="1509"/>
      <c r="AF44" s="1509"/>
      <c r="AG44" s="1509"/>
      <c r="AH44" s="1509"/>
      <c r="AI44" s="1509"/>
      <c r="AJ44" s="1509"/>
      <c r="AK44" s="1509"/>
      <c r="AL44" s="1846"/>
      <c r="AM44" s="1510"/>
      <c r="AN44" s="1510"/>
      <c r="AO44" s="1510"/>
      <c r="AP44" s="1510"/>
      <c r="AQ44" s="1510"/>
      <c r="AR44" s="1510"/>
      <c r="AS44" s="4"/>
      <c r="AT44" s="4"/>
      <c r="AU44" s="4"/>
      <c r="AV44" s="4"/>
      <c r="AW44" s="4"/>
      <c r="AX44" s="4"/>
      <c r="AY44" s="4"/>
      <c r="AZ44" s="4"/>
      <c r="BA44" s="4"/>
      <c r="BB44" s="4"/>
      <c r="BC44" s="4"/>
      <c r="BD44" s="4"/>
      <c r="BE44" s="4"/>
      <c r="BF44" s="4"/>
      <c r="BG44" s="4"/>
      <c r="BH44" s="4"/>
    </row>
    <row r="45" spans="1:60" x14ac:dyDescent="0.3">
      <c r="A45" s="4"/>
      <c r="B45" s="31">
        <v>38</v>
      </c>
      <c r="C45" s="2064"/>
      <c r="D45" s="2065"/>
      <c r="E45" s="2053"/>
      <c r="F45" s="2054"/>
      <c r="G45" s="2055"/>
      <c r="H45" s="1507"/>
      <c r="I45" s="2073"/>
      <c r="J45" s="2074"/>
      <c r="K45" s="2053"/>
      <c r="L45" s="2054"/>
      <c r="M45" s="2055"/>
      <c r="N45" s="2053"/>
      <c r="O45" s="2054"/>
      <c r="P45" s="2055"/>
      <c r="Q45" s="2053"/>
      <c r="R45" s="2055"/>
      <c r="S45" s="2035"/>
      <c r="T45" s="2036"/>
      <c r="U45" s="2053"/>
      <c r="V45" s="2055"/>
      <c r="W45" s="1508"/>
      <c r="X45" s="1509"/>
      <c r="Y45" s="1509"/>
      <c r="Z45" s="1509"/>
      <c r="AA45" s="1509"/>
      <c r="AB45" s="1509"/>
      <c r="AC45" s="1509"/>
      <c r="AD45" s="1509"/>
      <c r="AE45" s="1509"/>
      <c r="AF45" s="1509"/>
      <c r="AG45" s="1509"/>
      <c r="AH45" s="1509"/>
      <c r="AI45" s="1509"/>
      <c r="AJ45" s="1509"/>
      <c r="AK45" s="1509"/>
      <c r="AL45" s="1846"/>
      <c r="AM45" s="1510"/>
      <c r="AN45" s="1510"/>
      <c r="AO45" s="1510"/>
      <c r="AP45" s="1510"/>
      <c r="AQ45" s="1510"/>
      <c r="AR45" s="1510"/>
      <c r="AS45" s="4"/>
      <c r="AT45" s="4"/>
      <c r="AU45" s="4"/>
      <c r="AV45" s="4"/>
      <c r="AW45" s="4"/>
      <c r="AX45" s="4"/>
      <c r="AY45" s="4"/>
      <c r="AZ45" s="4"/>
      <c r="BA45" s="4"/>
      <c r="BB45" s="4"/>
      <c r="BC45" s="4"/>
      <c r="BD45" s="4"/>
      <c r="BE45" s="4"/>
      <c r="BF45" s="4"/>
      <c r="BG45" s="4"/>
      <c r="BH45" s="4"/>
    </row>
    <row r="46" spans="1:60" x14ac:dyDescent="0.3">
      <c r="A46" s="4"/>
      <c r="B46" s="31">
        <v>39</v>
      </c>
      <c r="C46" s="2064"/>
      <c r="D46" s="2065"/>
      <c r="E46" s="2053"/>
      <c r="F46" s="2054"/>
      <c r="G46" s="2055"/>
      <c r="H46" s="1507"/>
      <c r="I46" s="2073"/>
      <c r="J46" s="2074"/>
      <c r="K46" s="2053"/>
      <c r="L46" s="2054"/>
      <c r="M46" s="2055"/>
      <c r="N46" s="2053"/>
      <c r="O46" s="2054"/>
      <c r="P46" s="2055"/>
      <c r="Q46" s="2053"/>
      <c r="R46" s="2055"/>
      <c r="S46" s="2035"/>
      <c r="T46" s="2036"/>
      <c r="U46" s="2053"/>
      <c r="V46" s="2055"/>
      <c r="W46" s="1508"/>
      <c r="X46" s="1509"/>
      <c r="Y46" s="1509"/>
      <c r="Z46" s="1509"/>
      <c r="AA46" s="1509"/>
      <c r="AB46" s="1509"/>
      <c r="AC46" s="1509"/>
      <c r="AD46" s="1509"/>
      <c r="AE46" s="1509"/>
      <c r="AF46" s="1509"/>
      <c r="AG46" s="1509"/>
      <c r="AH46" s="1509"/>
      <c r="AI46" s="1509"/>
      <c r="AJ46" s="1509"/>
      <c r="AK46" s="1509"/>
      <c r="AL46" s="1846"/>
      <c r="AM46" s="1510"/>
      <c r="AN46" s="1510"/>
      <c r="AO46" s="1510"/>
      <c r="AP46" s="1510"/>
      <c r="AQ46" s="1510"/>
      <c r="AR46" s="1510"/>
      <c r="AS46" s="4"/>
      <c r="AT46" s="4"/>
      <c r="AU46" s="4"/>
      <c r="AV46" s="4"/>
      <c r="AW46" s="4"/>
      <c r="AX46" s="4"/>
      <c r="AY46" s="4"/>
      <c r="AZ46" s="4"/>
      <c r="BA46" s="4"/>
      <c r="BB46" s="4"/>
      <c r="BC46" s="4"/>
      <c r="BD46" s="4"/>
      <c r="BE46" s="4"/>
      <c r="BF46" s="4"/>
      <c r="BG46" s="4"/>
      <c r="BH46" s="4"/>
    </row>
    <row r="47" spans="1:60" x14ac:dyDescent="0.3">
      <c r="A47" s="4"/>
      <c r="B47" s="42">
        <v>40</v>
      </c>
      <c r="C47" s="2066"/>
      <c r="D47" s="2067"/>
      <c r="E47" s="2070"/>
      <c r="F47" s="2071"/>
      <c r="G47" s="2072"/>
      <c r="H47" s="1511"/>
      <c r="I47" s="2075"/>
      <c r="J47" s="2076"/>
      <c r="K47" s="2070"/>
      <c r="L47" s="2071"/>
      <c r="M47" s="2072"/>
      <c r="N47" s="2070"/>
      <c r="O47" s="2071"/>
      <c r="P47" s="2072"/>
      <c r="Q47" s="2070"/>
      <c r="R47" s="2072"/>
      <c r="S47" s="2086"/>
      <c r="T47" s="2087"/>
      <c r="U47" s="2070"/>
      <c r="V47" s="2072"/>
      <c r="W47" s="1512"/>
      <c r="X47" s="1513"/>
      <c r="Y47" s="1513"/>
      <c r="Z47" s="1513"/>
      <c r="AA47" s="1513"/>
      <c r="AB47" s="1513"/>
      <c r="AC47" s="1513"/>
      <c r="AD47" s="1513"/>
      <c r="AE47" s="1513"/>
      <c r="AF47" s="1513"/>
      <c r="AG47" s="1513"/>
      <c r="AH47" s="1513"/>
      <c r="AI47" s="1513"/>
      <c r="AJ47" s="1513"/>
      <c r="AK47" s="1513"/>
      <c r="AL47" s="1847"/>
      <c r="AM47" s="1516"/>
      <c r="AN47" s="1516"/>
      <c r="AO47" s="1516"/>
      <c r="AP47" s="1516"/>
      <c r="AQ47" s="1516"/>
      <c r="AR47" s="1516"/>
      <c r="AS47" s="4"/>
      <c r="AT47" s="4"/>
      <c r="AU47" s="4"/>
      <c r="AV47" s="4"/>
      <c r="AW47" s="4"/>
      <c r="AX47" s="4"/>
      <c r="AY47" s="4"/>
      <c r="AZ47" s="4"/>
      <c r="BA47" s="4"/>
      <c r="BB47" s="4"/>
      <c r="BC47" s="4"/>
      <c r="BD47" s="4"/>
      <c r="BE47" s="4"/>
      <c r="BF47" s="4"/>
      <c r="BG47" s="4"/>
      <c r="BH47" s="4"/>
    </row>
    <row r="48" spans="1:60" x14ac:dyDescent="0.3">
      <c r="A48" s="4"/>
      <c r="B48" s="4"/>
      <c r="C48" s="24"/>
      <c r="D48" s="4"/>
      <c r="E48" s="24"/>
      <c r="F48" s="4"/>
      <c r="G48" s="4"/>
      <c r="H48" s="24"/>
      <c r="I48" s="24"/>
      <c r="J48" s="4"/>
      <c r="K48" s="24"/>
      <c r="L48" s="4"/>
      <c r="M48" s="4"/>
      <c r="N48" s="24"/>
      <c r="O48" s="4"/>
      <c r="P48" s="4"/>
      <c r="Q48" s="24"/>
      <c r="R48" s="4"/>
      <c r="S48" s="24"/>
      <c r="T48" s="4"/>
      <c r="U48" s="24"/>
      <c r="V48" s="4"/>
      <c r="W48" s="2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4"/>
      <c r="C49" s="24"/>
      <c r="D49" s="4"/>
      <c r="E49" s="24"/>
      <c r="F49" s="4"/>
      <c r="G49" s="4"/>
      <c r="H49" s="24"/>
      <c r="I49" s="24"/>
      <c r="J49" s="4"/>
      <c r="K49" s="24"/>
      <c r="L49" s="4"/>
      <c r="M49" s="4"/>
      <c r="N49" s="24"/>
      <c r="O49" s="4"/>
      <c r="P49" s="4"/>
      <c r="Q49" s="24"/>
      <c r="R49" s="4"/>
      <c r="S49" s="24"/>
      <c r="T49" s="4"/>
      <c r="U49" s="24"/>
      <c r="V49" s="4"/>
      <c r="W49" s="6" t="s">
        <v>187</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4"/>
      <c r="C50" s="24"/>
      <c r="D50" s="4"/>
      <c r="E50" s="24"/>
      <c r="F50" s="4"/>
      <c r="G50" s="4"/>
      <c r="H50" s="24"/>
      <c r="I50" s="24"/>
      <c r="J50" s="4"/>
      <c r="K50" s="24"/>
      <c r="L50" s="4"/>
      <c r="M50" s="4"/>
      <c r="N50" s="24"/>
      <c r="O50" s="4"/>
      <c r="P50" s="4"/>
      <c r="Q50" s="24"/>
      <c r="R50" s="4"/>
      <c r="S50" s="24"/>
      <c r="T50" s="4"/>
      <c r="U50" s="6" t="s">
        <v>287</v>
      </c>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ht="14.5" x14ac:dyDescent="0.35">
      <c r="A51" s="4"/>
      <c r="B51" s="4"/>
      <c r="C51" s="24"/>
      <c r="D51" s="4"/>
      <c r="E51" s="24"/>
      <c r="F51" s="4"/>
      <c r="G51" s="4"/>
      <c r="H51" s="24"/>
      <c r="I51" s="24"/>
      <c r="J51" s="4"/>
      <c r="K51" s="24"/>
      <c r="L51" s="4"/>
      <c r="M51" s="4"/>
      <c r="N51" s="24"/>
      <c r="O51" s="4"/>
      <c r="P51" s="4"/>
      <c r="Q51" s="24"/>
      <c r="R51" s="4"/>
      <c r="S51" s="6" t="s">
        <v>188</v>
      </c>
      <c r="T51" s="4"/>
      <c r="U51" s="6"/>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ht="14.5" x14ac:dyDescent="0.35">
      <c r="A52" s="4"/>
      <c r="B52" s="4"/>
      <c r="C52" s="24"/>
      <c r="D52" s="4"/>
      <c r="E52" s="24"/>
      <c r="F52" s="4"/>
      <c r="G52" s="4"/>
      <c r="H52" s="24"/>
      <c r="I52" s="24"/>
      <c r="J52" s="4"/>
      <c r="K52" s="24"/>
      <c r="L52" s="4"/>
      <c r="M52" s="4"/>
      <c r="N52" s="24"/>
      <c r="O52" s="4"/>
      <c r="P52" s="4"/>
      <c r="Q52" s="6" t="s">
        <v>1415</v>
      </c>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ht="14.5" x14ac:dyDescent="0.35">
      <c r="A53" s="4"/>
      <c r="B53" s="4"/>
      <c r="C53" s="24"/>
      <c r="D53" s="4"/>
      <c r="E53" s="24"/>
      <c r="F53" s="4"/>
      <c r="G53" s="4"/>
      <c r="H53" s="24"/>
      <c r="I53" s="24"/>
      <c r="J53" s="4"/>
      <c r="K53" s="24"/>
      <c r="L53" s="4"/>
      <c r="M53" s="4"/>
      <c r="N53" s="6" t="s">
        <v>157</v>
      </c>
      <c r="O53" s="4"/>
      <c r="P53" s="4"/>
      <c r="Q53" s="4"/>
      <c r="R53" s="4"/>
      <c r="S53" s="4"/>
      <c r="T53" s="4"/>
      <c r="U53" s="4"/>
      <c r="V53" s="4"/>
      <c r="W53" s="4"/>
      <c r="X53" s="4"/>
      <c r="Y53" s="4"/>
      <c r="Z53" s="4"/>
      <c r="AA53" s="4"/>
      <c r="AB53" s="4"/>
      <c r="AC53" s="4"/>
      <c r="AD53" s="4"/>
      <c r="AE53" s="4"/>
      <c r="AF53" s="4"/>
      <c r="AG53" s="4"/>
      <c r="AH53" s="4"/>
      <c r="AI53" s="4"/>
      <c r="AJ53" s="4"/>
      <c r="AK53" s="4"/>
      <c r="AL53" s="4"/>
      <c r="AM53" s="4"/>
      <c r="AN53" s="6" t="s">
        <v>1629</v>
      </c>
      <c r="AO53" s="4"/>
      <c r="AP53" s="4"/>
      <c r="AQ53" s="4"/>
      <c r="AR53" s="4"/>
      <c r="AS53" s="4"/>
      <c r="AT53" s="4"/>
      <c r="AU53" s="4"/>
      <c r="AV53" s="4"/>
      <c r="AW53" s="4"/>
      <c r="AX53" s="4"/>
      <c r="AY53" s="4"/>
      <c r="AZ53" s="4"/>
      <c r="BA53" s="4"/>
      <c r="BB53" s="4"/>
      <c r="BC53" s="4"/>
      <c r="BD53" s="4"/>
      <c r="BE53" s="4"/>
      <c r="BF53" s="4"/>
      <c r="BG53" s="4"/>
      <c r="BH53" s="4"/>
    </row>
    <row r="54" spans="1:60" ht="14.5" x14ac:dyDescent="0.35">
      <c r="A54" s="4"/>
      <c r="B54" s="4"/>
      <c r="C54" s="24"/>
      <c r="D54" s="4"/>
      <c r="E54" s="24"/>
      <c r="F54" s="4"/>
      <c r="G54" s="4"/>
      <c r="H54" s="24"/>
      <c r="I54" s="24"/>
      <c r="J54" s="4"/>
      <c r="K54" s="6" t="s">
        <v>156</v>
      </c>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row>
    <row r="55" spans="1:60" ht="14.5" x14ac:dyDescent="0.35">
      <c r="A55" s="4"/>
      <c r="B55" s="4"/>
      <c r="C55" s="24"/>
      <c r="D55" s="4"/>
      <c r="E55" s="24"/>
      <c r="F55" s="4"/>
      <c r="G55" s="4"/>
      <c r="H55" s="24"/>
      <c r="I55" s="6" t="s">
        <v>1414</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row>
    <row r="56" spans="1:60" ht="14.5" x14ac:dyDescent="0.35">
      <c r="A56" s="4"/>
      <c r="B56" s="4"/>
      <c r="C56" s="24"/>
      <c r="D56" s="4"/>
      <c r="E56" s="24"/>
      <c r="F56" s="4"/>
      <c r="G56" s="4"/>
      <c r="H56" s="6" t="s">
        <v>129</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row>
    <row r="57" spans="1:60" ht="14.5" x14ac:dyDescent="0.35">
      <c r="A57" s="4"/>
      <c r="B57" s="4"/>
      <c r="C57" s="24"/>
      <c r="D57" s="4"/>
      <c r="E57" s="6" t="s">
        <v>158</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row>
    <row r="58" spans="1:60"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row>
    <row r="59" spans="1:60" x14ac:dyDescent="0.3">
      <c r="A59" s="4"/>
      <c r="B59" s="5" t="s">
        <v>379</v>
      </c>
      <c r="C59" s="5"/>
      <c r="D59" s="5"/>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6" x14ac:dyDescent="0.4">
      <c r="A60" s="4"/>
      <c r="B60" s="18" t="s">
        <v>114</v>
      </c>
      <c r="C60" s="2033"/>
      <c r="D60" s="2033"/>
      <c r="E60" s="2033" t="s">
        <v>131</v>
      </c>
      <c r="F60" s="2033"/>
      <c r="G60" s="2033"/>
      <c r="H60" s="2033" t="s">
        <v>139</v>
      </c>
      <c r="I60" s="2033"/>
      <c r="J60" s="2033"/>
      <c r="K60" s="2033" t="s">
        <v>1241</v>
      </c>
      <c r="L60" s="2033"/>
      <c r="M60" s="2033"/>
      <c r="N60" s="2033" t="s">
        <v>119</v>
      </c>
      <c r="O60" s="2033"/>
      <c r="P60" s="2033"/>
      <c r="Q60" s="2033" t="s">
        <v>121</v>
      </c>
      <c r="R60" s="2033"/>
      <c r="S60" s="2" t="s">
        <v>122</v>
      </c>
      <c r="T60" s="2"/>
      <c r="U60" s="2033" t="s">
        <v>133</v>
      </c>
      <c r="V60" s="2033"/>
      <c r="W60" s="2033" t="s">
        <v>127</v>
      </c>
      <c r="X60" s="2033"/>
      <c r="Y60" s="2033"/>
      <c r="Z60" s="2033"/>
      <c r="AA60" s="2033"/>
      <c r="AB60" s="2033"/>
      <c r="AC60" s="2033"/>
      <c r="AD60" s="2033"/>
      <c r="AE60" s="2033"/>
      <c r="AF60" s="2033"/>
      <c r="AG60" s="2033"/>
      <c r="AH60" s="2033"/>
      <c r="AI60" s="2033"/>
      <c r="AJ60" s="2033"/>
      <c r="AK60" s="2033"/>
      <c r="AL60" s="2033"/>
      <c r="AM60" s="143" t="s">
        <v>1221</v>
      </c>
      <c r="AN60" s="143"/>
      <c r="AO60" s="143"/>
      <c r="AP60" s="4"/>
      <c r="AQ60" s="4"/>
      <c r="AR60" s="4"/>
      <c r="AS60" s="4"/>
      <c r="AT60" s="4"/>
      <c r="AU60" s="4"/>
      <c r="AV60" s="4"/>
      <c r="AW60" s="4"/>
      <c r="AX60" s="4"/>
      <c r="AY60" s="4"/>
      <c r="AZ60" s="4"/>
      <c r="BA60" s="4"/>
      <c r="BB60" s="4"/>
      <c r="BC60" s="4"/>
      <c r="BD60" s="4"/>
      <c r="BE60" s="4"/>
      <c r="BF60" s="4"/>
      <c r="BG60" s="4"/>
      <c r="BH60" s="4"/>
    </row>
    <row r="61" spans="1:60" ht="14.5" thickBot="1" x14ac:dyDescent="0.35">
      <c r="A61" s="4"/>
      <c r="B61" s="2"/>
      <c r="C61" s="2033"/>
      <c r="D61" s="2033"/>
      <c r="E61" s="2"/>
      <c r="F61" s="2"/>
      <c r="G61" s="2"/>
      <c r="H61" s="2"/>
      <c r="I61" s="2"/>
      <c r="J61" s="2"/>
      <c r="K61" s="2033" t="s">
        <v>138</v>
      </c>
      <c r="L61" s="2033"/>
      <c r="M61" s="2033"/>
      <c r="N61" s="2033" t="s">
        <v>137</v>
      </c>
      <c r="O61" s="2033"/>
      <c r="P61" s="2033"/>
      <c r="Q61" s="2"/>
      <c r="R61" s="2"/>
      <c r="S61" s="2033" t="s">
        <v>418</v>
      </c>
      <c r="T61" s="2033"/>
      <c r="U61" s="2033" t="s">
        <v>132</v>
      </c>
      <c r="V61" s="2033"/>
      <c r="W61" s="18">
        <f>berekeningen!D9</f>
        <v>40</v>
      </c>
      <c r="X61" s="18">
        <f>berekeningen!E9</f>
        <v>31.5</v>
      </c>
      <c r="Y61" s="18">
        <f>berekeningen!F9</f>
        <v>20</v>
      </c>
      <c r="Z61" s="18">
        <f>berekeningen!G9</f>
        <v>16</v>
      </c>
      <c r="AA61" s="18">
        <f>berekeningen!H9</f>
        <v>14</v>
      </c>
      <c r="AB61" s="18">
        <f>berekeningen!I9</f>
        <v>12.5</v>
      </c>
      <c r="AC61" s="18">
        <f>berekeningen!J9</f>
        <v>10</v>
      </c>
      <c r="AD61" s="18">
        <f>berekeningen!K9</f>
        <v>8</v>
      </c>
      <c r="AE61" s="18">
        <f>berekeningen!L9</f>
        <v>6.3</v>
      </c>
      <c r="AF61" s="18">
        <f>berekeningen!M9</f>
        <v>4</v>
      </c>
      <c r="AG61" s="18">
        <f>berekeningen!N9</f>
        <v>2</v>
      </c>
      <c r="AH61" s="18">
        <f>berekeningen!O9</f>
        <v>1</v>
      </c>
      <c r="AI61" s="18">
        <f>berekeningen!P9</f>
        <v>0.5</v>
      </c>
      <c r="AJ61" s="18">
        <f>berekeningen!Q9</f>
        <v>0.25</v>
      </c>
      <c r="AK61" s="18">
        <f>berekeningen!R9</f>
        <v>0.125</v>
      </c>
      <c r="AL61" s="18">
        <f>berekeningen!S9</f>
        <v>6.3E-2</v>
      </c>
      <c r="AM61" s="143" t="s">
        <v>132</v>
      </c>
      <c r="AN61" s="143"/>
      <c r="AO61" s="143"/>
      <c r="AP61" s="4"/>
      <c r="AQ61" s="4"/>
      <c r="AR61" s="4"/>
      <c r="AS61" s="4"/>
      <c r="AT61" s="4"/>
      <c r="AU61" s="4"/>
      <c r="AV61" s="4"/>
      <c r="AW61" s="4"/>
      <c r="AX61" s="4"/>
      <c r="AY61" s="4"/>
      <c r="AZ61" s="4"/>
      <c r="BA61" s="4"/>
      <c r="BB61" s="4"/>
      <c r="BC61" s="4"/>
      <c r="BD61" s="4"/>
      <c r="BE61" s="4"/>
      <c r="BF61" s="4"/>
      <c r="BG61" s="4"/>
      <c r="BH61" s="4"/>
    </row>
    <row r="62" spans="1:60" ht="15" customHeight="1" thickTop="1" x14ac:dyDescent="0.3">
      <c r="A62" s="4"/>
      <c r="B62" s="29">
        <v>41</v>
      </c>
      <c r="C62" s="30"/>
      <c r="D62" s="30"/>
      <c r="E62" s="30" t="s">
        <v>134</v>
      </c>
      <c r="F62" s="30"/>
      <c r="G62" s="30"/>
      <c r="H62" s="2051" t="s">
        <v>1667</v>
      </c>
      <c r="I62" s="2051"/>
      <c r="J62" s="2052"/>
      <c r="K62" s="2050" t="s">
        <v>1662</v>
      </c>
      <c r="L62" s="2051"/>
      <c r="M62" s="2052"/>
      <c r="N62" s="2050" t="s">
        <v>1663</v>
      </c>
      <c r="O62" s="2051"/>
      <c r="P62" s="2052"/>
      <c r="Q62" s="2050" t="s">
        <v>117</v>
      </c>
      <c r="R62" s="2052"/>
      <c r="S62" s="2082">
        <v>2.7</v>
      </c>
      <c r="T62" s="2083"/>
      <c r="U62" s="2037">
        <v>45</v>
      </c>
      <c r="V62" s="2038"/>
      <c r="W62" s="1517"/>
      <c r="X62" s="1518"/>
      <c r="Y62" s="1518"/>
      <c r="Z62" s="1518"/>
      <c r="AA62" s="1518"/>
      <c r="AB62" s="1518"/>
      <c r="AC62" s="1518"/>
      <c r="AD62" s="1518"/>
      <c r="AE62" s="1518"/>
      <c r="AF62" s="1518"/>
      <c r="AG62" s="1518">
        <v>100</v>
      </c>
      <c r="AH62" s="1518">
        <v>99</v>
      </c>
      <c r="AI62" s="1518">
        <v>98</v>
      </c>
      <c r="AJ62" s="1518">
        <v>97</v>
      </c>
      <c r="AK62" s="1518">
        <v>90</v>
      </c>
      <c r="AL62" s="1526">
        <v>85</v>
      </c>
      <c r="AM62" s="2029" t="s">
        <v>1615</v>
      </c>
      <c r="AN62" s="2030"/>
      <c r="AO62" s="2030"/>
      <c r="AP62" s="4"/>
      <c r="AQ62" s="4"/>
      <c r="AR62" s="4"/>
      <c r="AS62" s="4"/>
      <c r="AT62" s="4"/>
      <c r="AU62" s="4"/>
      <c r="AV62" s="4"/>
      <c r="AW62" s="4"/>
      <c r="AX62" s="4"/>
      <c r="AY62" s="4"/>
      <c r="AZ62" s="4"/>
      <c r="BA62" s="4"/>
      <c r="BB62" s="4"/>
      <c r="BC62" s="4"/>
      <c r="BD62" s="4"/>
      <c r="BE62" s="4"/>
      <c r="BF62" s="4"/>
      <c r="BG62" s="4"/>
      <c r="BH62" s="4"/>
    </row>
    <row r="63" spans="1:60" x14ac:dyDescent="0.3">
      <c r="A63" s="4"/>
      <c r="B63" s="31">
        <v>42</v>
      </c>
      <c r="C63" s="32"/>
      <c r="D63" s="32"/>
      <c r="E63" s="32" t="s">
        <v>134</v>
      </c>
      <c r="F63" s="32"/>
      <c r="G63" s="32"/>
      <c r="H63" s="2054"/>
      <c r="I63" s="2054"/>
      <c r="J63" s="2055"/>
      <c r="K63" s="2053"/>
      <c r="L63" s="2054"/>
      <c r="M63" s="2055"/>
      <c r="N63" s="2053"/>
      <c r="O63" s="2054"/>
      <c r="P63" s="2055"/>
      <c r="Q63" s="2053"/>
      <c r="R63" s="2055"/>
      <c r="S63" s="2035"/>
      <c r="T63" s="2036"/>
      <c r="U63" s="2039"/>
      <c r="V63" s="2040"/>
      <c r="W63" s="1519"/>
      <c r="X63" s="1520"/>
      <c r="Y63" s="1520"/>
      <c r="Z63" s="1520"/>
      <c r="AA63" s="1520"/>
      <c r="AB63" s="1520"/>
      <c r="AC63" s="1520"/>
      <c r="AD63" s="1520"/>
      <c r="AE63" s="1520"/>
      <c r="AF63" s="1520"/>
      <c r="AG63" s="1520"/>
      <c r="AH63" s="1520"/>
      <c r="AI63" s="1520"/>
      <c r="AJ63" s="1520"/>
      <c r="AK63" s="1520"/>
      <c r="AL63" s="1539"/>
      <c r="AM63" s="2031"/>
      <c r="AN63" s="2032"/>
      <c r="AO63" s="2032"/>
      <c r="AP63" s="4"/>
      <c r="AQ63" s="4"/>
      <c r="AR63" s="4"/>
      <c r="AS63" s="4"/>
      <c r="AT63" s="4"/>
      <c r="AU63" s="4"/>
      <c r="AV63" s="4"/>
      <c r="AW63" s="4"/>
      <c r="AX63" s="4"/>
      <c r="AY63" s="4"/>
      <c r="AZ63" s="4"/>
      <c r="BA63" s="4"/>
      <c r="BB63" s="4"/>
      <c r="BC63" s="4"/>
      <c r="BD63" s="4"/>
      <c r="BE63" s="4"/>
      <c r="BF63" s="4"/>
      <c r="BG63" s="4"/>
      <c r="BH63" s="4"/>
    </row>
    <row r="64" spans="1:60" x14ac:dyDescent="0.3">
      <c r="A64" s="4"/>
      <c r="B64" s="31">
        <v>43</v>
      </c>
      <c r="C64" s="32"/>
      <c r="D64" s="32"/>
      <c r="E64" s="32" t="s">
        <v>134</v>
      </c>
      <c r="F64" s="32"/>
      <c r="G64" s="32"/>
      <c r="H64" s="2054"/>
      <c r="I64" s="2054"/>
      <c r="J64" s="2055"/>
      <c r="K64" s="2053"/>
      <c r="L64" s="2054"/>
      <c r="M64" s="2055"/>
      <c r="N64" s="2053"/>
      <c r="O64" s="2054"/>
      <c r="P64" s="2055"/>
      <c r="Q64" s="2053"/>
      <c r="R64" s="2055"/>
      <c r="S64" s="2035"/>
      <c r="T64" s="2036"/>
      <c r="U64" s="2039"/>
      <c r="V64" s="2040"/>
      <c r="W64" s="1519"/>
      <c r="X64" s="1520"/>
      <c r="Y64" s="1520"/>
      <c r="Z64" s="1520"/>
      <c r="AA64" s="1520"/>
      <c r="AB64" s="1520"/>
      <c r="AC64" s="1520"/>
      <c r="AD64" s="1520"/>
      <c r="AE64" s="1520"/>
      <c r="AF64" s="1520"/>
      <c r="AG64" s="1520"/>
      <c r="AH64" s="1520"/>
      <c r="AI64" s="1520"/>
      <c r="AJ64" s="1520"/>
      <c r="AK64" s="1520"/>
      <c r="AL64" s="1539"/>
      <c r="AM64" s="2031"/>
      <c r="AN64" s="2032"/>
      <c r="AO64" s="2032"/>
      <c r="AP64" s="4"/>
      <c r="AQ64" s="4"/>
      <c r="AR64" s="4"/>
      <c r="AS64" s="4"/>
      <c r="AT64" s="4"/>
      <c r="AU64" s="4"/>
      <c r="AV64" s="4"/>
      <c r="AW64" s="4"/>
      <c r="AX64" s="4"/>
      <c r="AY64" s="4"/>
      <c r="AZ64" s="4"/>
      <c r="BA64" s="4"/>
      <c r="BB64" s="4"/>
      <c r="BC64" s="4"/>
      <c r="BD64" s="4"/>
      <c r="BE64" s="4"/>
      <c r="BF64" s="4"/>
      <c r="BG64" s="4"/>
      <c r="BH64" s="4"/>
    </row>
    <row r="65" spans="1:60" x14ac:dyDescent="0.3">
      <c r="A65" s="4"/>
      <c r="B65" s="31">
        <v>44</v>
      </c>
      <c r="C65" s="32"/>
      <c r="D65" s="32"/>
      <c r="E65" s="32" t="s">
        <v>134</v>
      </c>
      <c r="F65" s="32"/>
      <c r="G65" s="32"/>
      <c r="H65" s="2054"/>
      <c r="I65" s="2054"/>
      <c r="J65" s="2055"/>
      <c r="K65" s="2053"/>
      <c r="L65" s="2054"/>
      <c r="M65" s="2055"/>
      <c r="N65" s="2053"/>
      <c r="O65" s="2054"/>
      <c r="P65" s="2055"/>
      <c r="Q65" s="2053"/>
      <c r="R65" s="2055"/>
      <c r="S65" s="2035"/>
      <c r="T65" s="2036"/>
      <c r="U65" s="2039"/>
      <c r="V65" s="2040"/>
      <c r="W65" s="1519"/>
      <c r="X65" s="1520"/>
      <c r="Y65" s="1520"/>
      <c r="Z65" s="1520"/>
      <c r="AA65" s="1520"/>
      <c r="AB65" s="1520"/>
      <c r="AC65" s="1520"/>
      <c r="AD65" s="1520"/>
      <c r="AE65" s="1520"/>
      <c r="AF65" s="1520"/>
      <c r="AG65" s="1520"/>
      <c r="AH65" s="1520"/>
      <c r="AI65" s="1520"/>
      <c r="AJ65" s="1520"/>
      <c r="AK65" s="1520"/>
      <c r="AL65" s="1539"/>
      <c r="AM65" s="2031"/>
      <c r="AN65" s="2032"/>
      <c r="AO65" s="2032"/>
      <c r="AP65" s="4"/>
      <c r="AQ65" s="4"/>
      <c r="AR65" s="4"/>
      <c r="AS65" s="4"/>
      <c r="AT65" s="4"/>
      <c r="AU65" s="4"/>
      <c r="AV65" s="4"/>
      <c r="AW65" s="4"/>
      <c r="AX65" s="4"/>
      <c r="AY65" s="4"/>
      <c r="AZ65" s="4"/>
      <c r="BA65" s="4"/>
      <c r="BB65" s="4"/>
      <c r="BC65" s="4"/>
      <c r="BD65" s="4"/>
      <c r="BE65" s="4"/>
      <c r="BF65" s="4"/>
      <c r="BG65" s="4"/>
      <c r="BH65" s="4"/>
    </row>
    <row r="66" spans="1:60" x14ac:dyDescent="0.3">
      <c r="A66" s="4"/>
      <c r="B66" s="31">
        <v>45</v>
      </c>
      <c r="C66" s="32"/>
      <c r="D66" s="32"/>
      <c r="E66" s="32" t="s">
        <v>134</v>
      </c>
      <c r="F66" s="32"/>
      <c r="G66" s="32"/>
      <c r="H66" s="2054"/>
      <c r="I66" s="2054"/>
      <c r="J66" s="2055"/>
      <c r="K66" s="2053"/>
      <c r="L66" s="2054"/>
      <c r="M66" s="2055"/>
      <c r="N66" s="2053"/>
      <c r="O66" s="2054"/>
      <c r="P66" s="2055"/>
      <c r="Q66" s="2053"/>
      <c r="R66" s="2055"/>
      <c r="S66" s="2035"/>
      <c r="T66" s="2036"/>
      <c r="U66" s="2039"/>
      <c r="V66" s="2040"/>
      <c r="W66" s="1519"/>
      <c r="X66" s="1520"/>
      <c r="Y66" s="1520"/>
      <c r="Z66" s="1520"/>
      <c r="AA66" s="1520"/>
      <c r="AB66" s="1520"/>
      <c r="AC66" s="1520"/>
      <c r="AD66" s="1520"/>
      <c r="AE66" s="1520"/>
      <c r="AF66" s="1520"/>
      <c r="AG66" s="1520"/>
      <c r="AH66" s="1520"/>
      <c r="AI66" s="1520"/>
      <c r="AJ66" s="1520"/>
      <c r="AK66" s="1520"/>
      <c r="AL66" s="1539"/>
      <c r="AM66" s="2031"/>
      <c r="AN66" s="2032"/>
      <c r="AO66" s="2032"/>
      <c r="AP66" s="4"/>
      <c r="AQ66" s="4"/>
      <c r="AR66" s="4"/>
      <c r="AS66" s="4"/>
      <c r="AT66" s="4"/>
      <c r="AU66" s="4"/>
      <c r="AV66" s="4"/>
      <c r="AW66" s="4"/>
      <c r="AX66" s="4"/>
      <c r="AY66" s="4"/>
      <c r="AZ66" s="4"/>
      <c r="BA66" s="4"/>
      <c r="BB66" s="4"/>
      <c r="BC66" s="4"/>
      <c r="BD66" s="4"/>
      <c r="BE66" s="4"/>
      <c r="BF66" s="4"/>
      <c r="BG66" s="4"/>
      <c r="BH66" s="4"/>
    </row>
    <row r="67" spans="1:60" x14ac:dyDescent="0.3">
      <c r="A67" s="4"/>
      <c r="B67" s="4"/>
      <c r="C67" s="24"/>
      <c r="D67" s="4"/>
      <c r="E67" s="4"/>
      <c r="F67" s="4"/>
      <c r="G67" s="4"/>
      <c r="H67" s="24"/>
      <c r="I67" s="4"/>
      <c r="J67" s="4"/>
      <c r="K67" s="24"/>
      <c r="L67" s="4"/>
      <c r="M67" s="4"/>
      <c r="N67" s="24"/>
      <c r="O67" s="4"/>
      <c r="P67" s="4"/>
      <c r="Q67" s="24"/>
      <c r="R67" s="4"/>
      <c r="S67" s="24"/>
      <c r="T67" s="4"/>
      <c r="U67" s="24"/>
      <c r="V67" s="4"/>
      <c r="W67" s="2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row>
    <row r="68" spans="1:60" ht="14.5" x14ac:dyDescent="0.35">
      <c r="A68" s="4"/>
      <c r="B68" s="4"/>
      <c r="C68" s="24"/>
      <c r="D68" s="4"/>
      <c r="E68" s="24"/>
      <c r="F68" s="4"/>
      <c r="G68" s="4"/>
      <c r="H68" s="24"/>
      <c r="I68" s="24"/>
      <c r="J68" s="4"/>
      <c r="K68" s="24"/>
      <c r="L68" s="4"/>
      <c r="M68" s="4"/>
      <c r="N68" s="24"/>
      <c r="O68" s="4"/>
      <c r="P68" s="4"/>
      <c r="Q68" s="24"/>
      <c r="R68" s="4"/>
      <c r="S68" s="24"/>
      <c r="T68" s="4"/>
      <c r="U68" s="24"/>
      <c r="V68" s="4"/>
      <c r="W68" s="6" t="s">
        <v>189</v>
      </c>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row>
    <row r="69" spans="1:60" ht="14.5" x14ac:dyDescent="0.35">
      <c r="A69" s="4"/>
      <c r="B69" s="4"/>
      <c r="C69" s="24"/>
      <c r="D69" s="4"/>
      <c r="E69" s="24"/>
      <c r="F69" s="4"/>
      <c r="G69" s="4"/>
      <c r="H69" s="24"/>
      <c r="I69" s="24"/>
      <c r="J69" s="4"/>
      <c r="K69" s="24"/>
      <c r="L69" s="4"/>
      <c r="M69" s="4"/>
      <c r="N69" s="24"/>
      <c r="O69" s="4"/>
      <c r="P69" s="4"/>
      <c r="Q69" s="24"/>
      <c r="R69" s="4"/>
      <c r="S69" s="24"/>
      <c r="T69" s="4"/>
      <c r="U69" s="6" t="s">
        <v>190</v>
      </c>
      <c r="V69" s="4"/>
      <c r="W69" s="6"/>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row>
    <row r="70" spans="1:60" ht="14.5" x14ac:dyDescent="0.35">
      <c r="A70" s="4"/>
      <c r="B70" s="4"/>
      <c r="C70" s="24"/>
      <c r="D70" s="4"/>
      <c r="E70" s="24"/>
      <c r="F70" s="4"/>
      <c r="G70" s="4"/>
      <c r="H70" s="24"/>
      <c r="I70" s="24"/>
      <c r="J70" s="4"/>
      <c r="K70" s="24"/>
      <c r="L70" s="4"/>
      <c r="M70" s="4"/>
      <c r="N70" s="24"/>
      <c r="O70" s="4"/>
      <c r="P70" s="4"/>
      <c r="Q70" s="24"/>
      <c r="R70" s="4"/>
      <c r="S70" s="6" t="s">
        <v>191</v>
      </c>
      <c r="T70" s="4"/>
      <c r="U70" s="6"/>
      <c r="V70" s="4"/>
      <c r="W70" s="6"/>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row>
    <row r="71" spans="1:60" ht="14.5" x14ac:dyDescent="0.35">
      <c r="A71" s="4"/>
      <c r="B71" s="4"/>
      <c r="C71" s="24"/>
      <c r="D71" s="4"/>
      <c r="E71" s="4"/>
      <c r="F71" s="4"/>
      <c r="G71" s="4"/>
      <c r="H71" s="24"/>
      <c r="I71" s="4"/>
      <c r="J71" s="4"/>
      <c r="K71" s="24"/>
      <c r="L71" s="4"/>
      <c r="M71" s="4"/>
      <c r="N71" s="24"/>
      <c r="O71" s="4"/>
      <c r="P71" s="4"/>
      <c r="Q71" s="6" t="s">
        <v>151</v>
      </c>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row>
    <row r="72" spans="1:60" ht="14.5" x14ac:dyDescent="0.35">
      <c r="A72" s="4"/>
      <c r="B72" s="4"/>
      <c r="C72" s="24"/>
      <c r="D72" s="4"/>
      <c r="E72" s="4"/>
      <c r="F72" s="4"/>
      <c r="G72" s="4"/>
      <c r="H72" s="24"/>
      <c r="I72" s="4"/>
      <c r="J72" s="4"/>
      <c r="K72" s="24"/>
      <c r="L72" s="4"/>
      <c r="M72" s="4"/>
      <c r="N72" s="24"/>
      <c r="O72" s="4"/>
      <c r="P72" s="4"/>
      <c r="Q72" s="6"/>
      <c r="R72" s="6" t="s">
        <v>145</v>
      </c>
      <c r="S72" s="4"/>
      <c r="T72" s="4"/>
      <c r="U72" s="6"/>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row>
    <row r="73" spans="1:60" ht="14.5" x14ac:dyDescent="0.35">
      <c r="A73" s="4"/>
      <c r="B73" s="4"/>
      <c r="C73" s="24"/>
      <c r="D73" s="4"/>
      <c r="E73" s="4"/>
      <c r="F73" s="4"/>
      <c r="G73" s="4"/>
      <c r="H73" s="24"/>
      <c r="I73" s="4"/>
      <c r="J73" s="4"/>
      <c r="K73" s="24"/>
      <c r="L73" s="4"/>
      <c r="M73" s="4"/>
      <c r="N73" s="24"/>
      <c r="O73" s="4"/>
      <c r="P73" s="4"/>
      <c r="Q73" s="6"/>
      <c r="R73" s="6" t="s">
        <v>144</v>
      </c>
      <c r="S73" s="4"/>
      <c r="T73" s="4"/>
      <c r="U73" s="6"/>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row>
    <row r="74" spans="1:60" ht="14.5" x14ac:dyDescent="0.35">
      <c r="A74" s="4"/>
      <c r="B74" s="4"/>
      <c r="C74" s="24"/>
      <c r="D74" s="4"/>
      <c r="E74" s="4"/>
      <c r="F74" s="4"/>
      <c r="G74" s="4"/>
      <c r="H74" s="24"/>
      <c r="I74" s="4"/>
      <c r="J74" s="4"/>
      <c r="K74" s="24"/>
      <c r="L74" s="4"/>
      <c r="M74" s="4"/>
      <c r="N74" s="24"/>
      <c r="O74" s="4"/>
      <c r="P74" s="4"/>
      <c r="Q74" s="6"/>
      <c r="R74" s="6" t="s">
        <v>1419</v>
      </c>
      <c r="S74" s="4"/>
      <c r="T74" s="4"/>
      <c r="U74" s="6"/>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row>
    <row r="75" spans="1:60" ht="14.5" x14ac:dyDescent="0.35">
      <c r="A75" s="4"/>
      <c r="B75" s="4"/>
      <c r="C75" s="24"/>
      <c r="D75" s="4"/>
      <c r="E75" s="4"/>
      <c r="F75" s="4"/>
      <c r="G75" s="4"/>
      <c r="H75" s="24"/>
      <c r="I75" s="4"/>
      <c r="J75" s="4"/>
      <c r="K75" s="24"/>
      <c r="L75" s="4"/>
      <c r="M75" s="4"/>
      <c r="N75" s="24"/>
      <c r="O75" s="4"/>
      <c r="P75" s="4"/>
      <c r="Q75" s="6"/>
      <c r="R75" s="6"/>
      <c r="S75" s="4"/>
      <c r="T75" s="4"/>
      <c r="U75" s="6"/>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row>
    <row r="76" spans="1:60" ht="14.5" x14ac:dyDescent="0.35">
      <c r="A76" s="4"/>
      <c r="B76" s="4"/>
      <c r="C76" s="24"/>
      <c r="D76" s="4"/>
      <c r="E76" s="4"/>
      <c r="F76" s="4"/>
      <c r="G76" s="4"/>
      <c r="H76" s="24"/>
      <c r="I76" s="4"/>
      <c r="J76" s="4"/>
      <c r="K76" s="24"/>
      <c r="L76" s="4"/>
      <c r="M76" s="4"/>
      <c r="N76" s="6" t="s">
        <v>140</v>
      </c>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row>
    <row r="77" spans="1:60" ht="14.5" x14ac:dyDescent="0.35">
      <c r="A77" s="4"/>
      <c r="B77" s="4"/>
      <c r="C77" s="24"/>
      <c r="D77" s="4"/>
      <c r="E77" s="4"/>
      <c r="F77" s="4"/>
      <c r="G77" s="4"/>
      <c r="H77" s="24"/>
      <c r="I77" s="4"/>
      <c r="J77" s="4"/>
      <c r="K77" s="6" t="s">
        <v>1664</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row>
    <row r="78" spans="1:60" ht="14.5" x14ac:dyDescent="0.35">
      <c r="A78" s="4"/>
      <c r="B78" s="4"/>
      <c r="C78" s="24"/>
      <c r="D78" s="4"/>
      <c r="E78" s="4"/>
      <c r="F78" s="4"/>
      <c r="G78" s="4"/>
      <c r="H78" s="6" t="s">
        <v>1665</v>
      </c>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x14ac:dyDescent="0.3">
      <c r="A80" s="4"/>
      <c r="B80" s="5" t="s">
        <v>142</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18" t="s">
        <v>114</v>
      </c>
      <c r="C81" s="2033"/>
      <c r="D81" s="2033"/>
      <c r="E81" s="2033" t="s">
        <v>139</v>
      </c>
      <c r="F81" s="2033"/>
      <c r="G81" s="2033"/>
      <c r="H81" s="2033" t="s">
        <v>143</v>
      </c>
      <c r="I81" s="2033"/>
      <c r="J81" s="2033"/>
      <c r="K81" s="2033" t="s">
        <v>119</v>
      </c>
      <c r="L81" s="2033"/>
      <c r="M81" s="2033"/>
      <c r="N81" s="2033" t="s">
        <v>120</v>
      </c>
      <c r="O81" s="2033"/>
      <c r="P81" s="2033"/>
      <c r="Q81" s="2033" t="s">
        <v>121</v>
      </c>
      <c r="R81" s="2033"/>
      <c r="S81" s="2033" t="s">
        <v>122</v>
      </c>
      <c r="T81" s="2033"/>
      <c r="U81" s="2033" t="s">
        <v>146</v>
      </c>
      <c r="V81" s="2033"/>
      <c r="W81" s="2033" t="s">
        <v>148</v>
      </c>
      <c r="X81" s="2033"/>
      <c r="Y81" s="2063" t="s">
        <v>181</v>
      </c>
      <c r="Z81" s="2063"/>
      <c r="AA81" s="2063"/>
      <c r="AB81" s="143" t="s">
        <v>1645</v>
      </c>
      <c r="AC81" s="143"/>
      <c r="AD81" s="143"/>
      <c r="AE81" s="143"/>
      <c r="AF81" s="143"/>
      <c r="AG81" s="143"/>
      <c r="AH81" s="143" t="s">
        <v>547</v>
      </c>
      <c r="AI81" s="143"/>
      <c r="AJ81" s="143"/>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ht="16.5" thickBot="1" x14ac:dyDescent="0.45">
      <c r="A82" s="4"/>
      <c r="B82" s="2"/>
      <c r="C82" s="2033"/>
      <c r="D82" s="2033"/>
      <c r="E82" s="2"/>
      <c r="F82" s="2"/>
      <c r="G82" s="2"/>
      <c r="H82" s="2"/>
      <c r="I82" s="2"/>
      <c r="J82" s="2"/>
      <c r="K82" s="2033"/>
      <c r="L82" s="2033"/>
      <c r="M82" s="2033"/>
      <c r="N82" s="2033"/>
      <c r="O82" s="2033"/>
      <c r="P82" s="2033"/>
      <c r="Q82" s="2"/>
      <c r="R82" s="2"/>
      <c r="S82" s="2033" t="s">
        <v>418</v>
      </c>
      <c r="T82" s="2033"/>
      <c r="U82" s="2033" t="s">
        <v>147</v>
      </c>
      <c r="V82" s="2033"/>
      <c r="W82" s="2033" t="s">
        <v>149</v>
      </c>
      <c r="X82" s="2033"/>
      <c r="Y82" s="2063" t="s">
        <v>132</v>
      </c>
      <c r="Z82" s="2063"/>
      <c r="AA82" s="2063"/>
      <c r="AB82" s="143" t="s">
        <v>544</v>
      </c>
      <c r="AC82" s="143"/>
      <c r="AD82" s="143" t="s">
        <v>545</v>
      </c>
      <c r="AE82" s="143"/>
      <c r="AF82" s="143" t="s">
        <v>546</v>
      </c>
      <c r="AG82" s="143"/>
      <c r="AH82" s="143" t="s">
        <v>548</v>
      </c>
      <c r="AI82" s="143"/>
      <c r="AJ82" s="143"/>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ht="15" customHeight="1" thickTop="1" x14ac:dyDescent="0.3">
      <c r="A83" s="4"/>
      <c r="B83" s="29">
        <v>51</v>
      </c>
      <c r="C83" s="30"/>
      <c r="D83" s="30"/>
      <c r="E83" s="2050" t="s">
        <v>1700</v>
      </c>
      <c r="F83" s="2051"/>
      <c r="G83" s="2052"/>
      <c r="H83" s="2088" t="s">
        <v>1416</v>
      </c>
      <c r="I83" s="2030"/>
      <c r="J83" s="2089"/>
      <c r="K83" s="2050" t="s">
        <v>1418</v>
      </c>
      <c r="L83" s="2051"/>
      <c r="M83" s="2052"/>
      <c r="N83" s="2050" t="s">
        <v>1417</v>
      </c>
      <c r="O83" s="2051"/>
      <c r="P83" s="2052"/>
      <c r="Q83" s="2050" t="s">
        <v>16</v>
      </c>
      <c r="R83" s="2052"/>
      <c r="S83" s="2082">
        <v>1.0249999999999999</v>
      </c>
      <c r="T83" s="2083"/>
      <c r="U83" s="2050">
        <v>60</v>
      </c>
      <c r="V83" s="2052"/>
      <c r="W83" s="2056">
        <v>48</v>
      </c>
      <c r="X83" s="2096"/>
      <c r="Y83" s="2098">
        <v>98</v>
      </c>
      <c r="Z83" s="2051"/>
      <c r="AA83" s="2099"/>
      <c r="AB83" s="2104">
        <v>55</v>
      </c>
      <c r="AC83" s="2096"/>
      <c r="AD83" s="2098">
        <v>7.36</v>
      </c>
      <c r="AE83" s="2099"/>
      <c r="AF83" s="2098">
        <v>7.0000000000000007E-2</v>
      </c>
      <c r="AG83" s="2099"/>
      <c r="AH83" s="2098" t="s">
        <v>549</v>
      </c>
      <c r="AI83" s="2051"/>
      <c r="AJ83" s="2051"/>
      <c r="AK83" s="4"/>
      <c r="AL83" s="4"/>
      <c r="AM83" s="4"/>
      <c r="AN83" s="4"/>
      <c r="AO83" s="4"/>
      <c r="AP83" s="4"/>
      <c r="AQ83" s="4"/>
      <c r="AR83" s="4"/>
      <c r="AS83" s="4"/>
      <c r="AT83" s="4"/>
      <c r="AU83" s="4"/>
      <c r="AV83" s="4"/>
      <c r="AW83" s="4"/>
      <c r="AX83" s="4"/>
      <c r="AY83" s="4"/>
      <c r="AZ83" s="4"/>
      <c r="BA83" s="4"/>
      <c r="BB83" s="4"/>
      <c r="BC83" s="4"/>
      <c r="BD83" s="4"/>
      <c r="BE83" s="4"/>
      <c r="BF83" s="4"/>
      <c r="BG83" s="4"/>
      <c r="BH83" s="4"/>
    </row>
    <row r="84" spans="1:60" x14ac:dyDescent="0.3">
      <c r="A84" s="4"/>
      <c r="B84" s="31">
        <v>52</v>
      </c>
      <c r="C84" s="32"/>
      <c r="D84" s="32"/>
      <c r="E84" s="2053"/>
      <c r="F84" s="2054"/>
      <c r="G84" s="2055"/>
      <c r="H84" s="2090"/>
      <c r="I84" s="2032"/>
      <c r="J84" s="2091"/>
      <c r="K84" s="2053"/>
      <c r="L84" s="2054"/>
      <c r="M84" s="2055"/>
      <c r="N84" s="2053"/>
      <c r="O84" s="2054"/>
      <c r="P84" s="2055"/>
      <c r="Q84" s="2053"/>
      <c r="R84" s="2055"/>
      <c r="S84" s="2035"/>
      <c r="T84" s="2036"/>
      <c r="U84" s="2053"/>
      <c r="V84" s="2055"/>
      <c r="W84" s="2058"/>
      <c r="X84" s="2095"/>
      <c r="Y84" s="2100"/>
      <c r="Z84" s="2054"/>
      <c r="AA84" s="2101"/>
      <c r="AB84" s="2100"/>
      <c r="AC84" s="2101"/>
      <c r="AD84" s="2100"/>
      <c r="AE84" s="2101"/>
      <c r="AF84" s="2100"/>
      <c r="AG84" s="2101"/>
      <c r="AH84" s="2100"/>
      <c r="AI84" s="2054"/>
      <c r="AJ84" s="205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42">
        <v>53</v>
      </c>
      <c r="C85" s="43"/>
      <c r="D85" s="43"/>
      <c r="E85" s="2053"/>
      <c r="F85" s="2054"/>
      <c r="G85" s="2055"/>
      <c r="H85" s="2090"/>
      <c r="I85" s="2032"/>
      <c r="J85" s="2091"/>
      <c r="K85" s="2053"/>
      <c r="L85" s="2054"/>
      <c r="M85" s="2055"/>
      <c r="N85" s="2053"/>
      <c r="O85" s="2054"/>
      <c r="P85" s="2055"/>
      <c r="Q85" s="2053"/>
      <c r="R85" s="2055"/>
      <c r="S85" s="2035"/>
      <c r="T85" s="2036"/>
      <c r="U85" s="2053"/>
      <c r="V85" s="2055"/>
      <c r="W85" s="2058"/>
      <c r="X85" s="2095"/>
      <c r="Y85" s="2100"/>
      <c r="Z85" s="2054"/>
      <c r="AA85" s="2101"/>
      <c r="AB85" s="2100"/>
      <c r="AC85" s="2101"/>
      <c r="AD85" s="2100"/>
      <c r="AE85" s="2101"/>
      <c r="AF85" s="2100"/>
      <c r="AG85" s="2101"/>
      <c r="AH85" s="2100"/>
      <c r="AI85" s="2054"/>
      <c r="AJ85" s="205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42">
        <v>54</v>
      </c>
      <c r="C86" s="43"/>
      <c r="D86" s="43"/>
      <c r="E86" s="2053"/>
      <c r="F86" s="2054"/>
      <c r="G86" s="2055"/>
      <c r="H86" s="2090"/>
      <c r="I86" s="2032"/>
      <c r="J86" s="2091"/>
      <c r="K86" s="2053"/>
      <c r="L86" s="2054"/>
      <c r="M86" s="2055"/>
      <c r="N86" s="2053"/>
      <c r="O86" s="2054"/>
      <c r="P86" s="2055"/>
      <c r="Q86" s="2053"/>
      <c r="R86" s="2055"/>
      <c r="S86" s="2035"/>
      <c r="T86" s="2036"/>
      <c r="U86" s="2053"/>
      <c r="V86" s="2055"/>
      <c r="W86" s="2058"/>
      <c r="X86" s="2095"/>
      <c r="Y86" s="2100"/>
      <c r="Z86" s="2054"/>
      <c r="AA86" s="2101"/>
      <c r="AB86" s="2100"/>
      <c r="AC86" s="2101"/>
      <c r="AD86" s="2100"/>
      <c r="AE86" s="2101"/>
      <c r="AF86" s="2100"/>
      <c r="AG86" s="2101"/>
      <c r="AH86" s="2100"/>
      <c r="AI86" s="2054"/>
      <c r="AJ86" s="205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x14ac:dyDescent="0.3">
      <c r="A87" s="4"/>
      <c r="B87" s="42">
        <v>55</v>
      </c>
      <c r="C87" s="43"/>
      <c r="D87" s="43"/>
      <c r="E87" s="2053"/>
      <c r="F87" s="2054"/>
      <c r="G87" s="2055"/>
      <c r="H87" s="2090"/>
      <c r="I87" s="2032"/>
      <c r="J87" s="2091"/>
      <c r="K87" s="2053"/>
      <c r="L87" s="2054"/>
      <c r="M87" s="2055"/>
      <c r="N87" s="2053"/>
      <c r="O87" s="2054"/>
      <c r="P87" s="2055"/>
      <c r="Q87" s="2053"/>
      <c r="R87" s="2055"/>
      <c r="S87" s="2035"/>
      <c r="T87" s="2036"/>
      <c r="U87" s="2053"/>
      <c r="V87" s="2055"/>
      <c r="W87" s="2058"/>
      <c r="X87" s="2095"/>
      <c r="Y87" s="2100"/>
      <c r="Z87" s="2054"/>
      <c r="AA87" s="2101"/>
      <c r="AB87" s="2100"/>
      <c r="AC87" s="2101"/>
      <c r="AD87" s="2100"/>
      <c r="AE87" s="2101"/>
      <c r="AF87" s="2100"/>
      <c r="AG87" s="2101"/>
      <c r="AH87" s="2100"/>
      <c r="AI87" s="2054"/>
      <c r="AJ87" s="205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x14ac:dyDescent="0.3">
      <c r="A88" s="4"/>
      <c r="B88" s="42">
        <v>56</v>
      </c>
      <c r="C88" s="43"/>
      <c r="D88" s="43"/>
      <c r="E88" s="2053"/>
      <c r="F88" s="2054"/>
      <c r="G88" s="2055"/>
      <c r="H88" s="2090"/>
      <c r="I88" s="2032"/>
      <c r="J88" s="2091"/>
      <c r="K88" s="2053"/>
      <c r="L88" s="2054"/>
      <c r="M88" s="2055"/>
      <c r="N88" s="2053"/>
      <c r="O88" s="2054"/>
      <c r="P88" s="2055"/>
      <c r="Q88" s="2053"/>
      <c r="R88" s="2055"/>
      <c r="S88" s="2035"/>
      <c r="T88" s="2036"/>
      <c r="U88" s="2053"/>
      <c r="V88" s="2055"/>
      <c r="W88" s="2058"/>
      <c r="X88" s="2095"/>
      <c r="Y88" s="2100"/>
      <c r="Z88" s="2054"/>
      <c r="AA88" s="2101"/>
      <c r="AB88" s="2100"/>
      <c r="AC88" s="2101"/>
      <c r="AD88" s="2100"/>
      <c r="AE88" s="2101"/>
      <c r="AF88" s="2100"/>
      <c r="AG88" s="2101"/>
      <c r="AH88" s="2100"/>
      <c r="AI88" s="2054"/>
      <c r="AJ88" s="205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42">
        <v>57</v>
      </c>
      <c r="C89" s="43"/>
      <c r="D89" s="43"/>
      <c r="E89" s="2053"/>
      <c r="F89" s="2054"/>
      <c r="G89" s="2055"/>
      <c r="H89" s="2090"/>
      <c r="I89" s="2032"/>
      <c r="J89" s="2091"/>
      <c r="K89" s="2053"/>
      <c r="L89" s="2054"/>
      <c r="M89" s="2055"/>
      <c r="N89" s="2053"/>
      <c r="O89" s="2054"/>
      <c r="P89" s="2055"/>
      <c r="Q89" s="2053"/>
      <c r="R89" s="2055"/>
      <c r="S89" s="2035"/>
      <c r="T89" s="2036"/>
      <c r="U89" s="2053"/>
      <c r="V89" s="2055"/>
      <c r="W89" s="2058"/>
      <c r="X89" s="2095"/>
      <c r="Y89" s="2100"/>
      <c r="Z89" s="2054"/>
      <c r="AA89" s="2101"/>
      <c r="AB89" s="2100"/>
      <c r="AC89" s="2101"/>
      <c r="AD89" s="2100"/>
      <c r="AE89" s="2101"/>
      <c r="AF89" s="2100"/>
      <c r="AG89" s="2101"/>
      <c r="AH89" s="2100"/>
      <c r="AI89" s="2054"/>
      <c r="AJ89" s="205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42">
        <v>58</v>
      </c>
      <c r="C90" s="43"/>
      <c r="D90" s="43"/>
      <c r="E90" s="2053"/>
      <c r="F90" s="2054"/>
      <c r="G90" s="2055"/>
      <c r="H90" s="2090"/>
      <c r="I90" s="2032"/>
      <c r="J90" s="2091"/>
      <c r="K90" s="2053"/>
      <c r="L90" s="2054"/>
      <c r="M90" s="2055"/>
      <c r="N90" s="2053"/>
      <c r="O90" s="2054"/>
      <c r="P90" s="2055"/>
      <c r="Q90" s="2053"/>
      <c r="R90" s="2055"/>
      <c r="S90" s="2035"/>
      <c r="T90" s="2036"/>
      <c r="U90" s="2053"/>
      <c r="V90" s="2055"/>
      <c r="W90" s="2058"/>
      <c r="X90" s="2095"/>
      <c r="Y90" s="2100"/>
      <c r="Z90" s="2054"/>
      <c r="AA90" s="2101"/>
      <c r="AB90" s="2100"/>
      <c r="AC90" s="2101"/>
      <c r="AD90" s="2100"/>
      <c r="AE90" s="2101"/>
      <c r="AF90" s="2100"/>
      <c r="AG90" s="2101"/>
      <c r="AH90" s="2100"/>
      <c r="AI90" s="2054"/>
      <c r="AJ90" s="205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42">
        <v>59</v>
      </c>
      <c r="C91" s="43"/>
      <c r="D91" s="43"/>
      <c r="E91" s="2053"/>
      <c r="F91" s="2054"/>
      <c r="G91" s="2055"/>
      <c r="H91" s="2090"/>
      <c r="I91" s="2032"/>
      <c r="J91" s="2091"/>
      <c r="K91" s="2053"/>
      <c r="L91" s="2054"/>
      <c r="M91" s="2055"/>
      <c r="N91" s="2053"/>
      <c r="O91" s="2054"/>
      <c r="P91" s="2055"/>
      <c r="Q91" s="2053"/>
      <c r="R91" s="2055"/>
      <c r="S91" s="2035"/>
      <c r="T91" s="2036"/>
      <c r="U91" s="2053"/>
      <c r="V91" s="2055"/>
      <c r="W91" s="2058"/>
      <c r="X91" s="2095"/>
      <c r="Y91" s="2100"/>
      <c r="Z91" s="2054"/>
      <c r="AA91" s="2101"/>
      <c r="AB91" s="2100"/>
      <c r="AC91" s="2101"/>
      <c r="AD91" s="2100"/>
      <c r="AE91" s="2101"/>
      <c r="AF91" s="2100"/>
      <c r="AG91" s="2101"/>
      <c r="AH91" s="2100"/>
      <c r="AI91" s="2054"/>
      <c r="AJ91" s="205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42">
        <v>60</v>
      </c>
      <c r="C92" s="43"/>
      <c r="D92" s="43"/>
      <c r="E92" s="2053"/>
      <c r="F92" s="2054"/>
      <c r="G92" s="2055"/>
      <c r="H92" s="2090"/>
      <c r="I92" s="2032"/>
      <c r="J92" s="2091"/>
      <c r="K92" s="2053"/>
      <c r="L92" s="2054"/>
      <c r="M92" s="2055"/>
      <c r="N92" s="2053"/>
      <c r="O92" s="2054"/>
      <c r="P92" s="2055"/>
      <c r="Q92" s="2053"/>
      <c r="R92" s="2055"/>
      <c r="S92" s="2035"/>
      <c r="T92" s="2036"/>
      <c r="U92" s="2053"/>
      <c r="V92" s="2055"/>
      <c r="W92" s="2058"/>
      <c r="X92" s="2095"/>
      <c r="Y92" s="2100"/>
      <c r="Z92" s="2054"/>
      <c r="AA92" s="2101"/>
      <c r="AB92" s="2100"/>
      <c r="AC92" s="2101"/>
      <c r="AD92" s="2100"/>
      <c r="AE92" s="2101"/>
      <c r="AF92" s="2100"/>
      <c r="AG92" s="2101"/>
      <c r="AH92" s="2100"/>
      <c r="AI92" s="2054"/>
      <c r="AJ92" s="205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42">
        <v>61</v>
      </c>
      <c r="C93" s="43"/>
      <c r="D93" s="43"/>
      <c r="E93" s="2053"/>
      <c r="F93" s="2054"/>
      <c r="G93" s="2055"/>
      <c r="H93" s="2090"/>
      <c r="I93" s="2032"/>
      <c r="J93" s="2091"/>
      <c r="K93" s="2053"/>
      <c r="L93" s="2054"/>
      <c r="M93" s="2055"/>
      <c r="N93" s="2053"/>
      <c r="O93" s="2054"/>
      <c r="P93" s="2055"/>
      <c r="Q93" s="2053"/>
      <c r="R93" s="2055"/>
      <c r="S93" s="2035"/>
      <c r="T93" s="2036"/>
      <c r="U93" s="2053"/>
      <c r="V93" s="2055"/>
      <c r="W93" s="2058"/>
      <c r="X93" s="2095"/>
      <c r="Y93" s="2100"/>
      <c r="Z93" s="2054"/>
      <c r="AA93" s="2101"/>
      <c r="AB93" s="2100"/>
      <c r="AC93" s="2101"/>
      <c r="AD93" s="2100"/>
      <c r="AE93" s="2101"/>
      <c r="AF93" s="2100"/>
      <c r="AG93" s="2101"/>
      <c r="AH93" s="2100"/>
      <c r="AI93" s="2054"/>
      <c r="AJ93" s="205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42">
        <v>62</v>
      </c>
      <c r="C94" s="43"/>
      <c r="D94" s="43"/>
      <c r="E94" s="2053"/>
      <c r="F94" s="2054"/>
      <c r="G94" s="2055"/>
      <c r="H94" s="2090"/>
      <c r="I94" s="2032"/>
      <c r="J94" s="2091"/>
      <c r="K94" s="2053"/>
      <c r="L94" s="2054"/>
      <c r="M94" s="2055"/>
      <c r="N94" s="2053"/>
      <c r="O94" s="2054"/>
      <c r="P94" s="2055"/>
      <c r="Q94" s="2053"/>
      <c r="R94" s="2055"/>
      <c r="S94" s="2035"/>
      <c r="T94" s="2036"/>
      <c r="U94" s="2053"/>
      <c r="V94" s="2055"/>
      <c r="W94" s="2058"/>
      <c r="X94" s="2095"/>
      <c r="Y94" s="2100"/>
      <c r="Z94" s="2054"/>
      <c r="AA94" s="2101"/>
      <c r="AB94" s="2100"/>
      <c r="AC94" s="2101"/>
      <c r="AD94" s="2100"/>
      <c r="AE94" s="2101"/>
      <c r="AF94" s="2100"/>
      <c r="AG94" s="2101"/>
      <c r="AH94" s="2100"/>
      <c r="AI94" s="2054"/>
      <c r="AJ94" s="205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42">
        <v>63</v>
      </c>
      <c r="C95" s="43"/>
      <c r="D95" s="43"/>
      <c r="E95" s="2053"/>
      <c r="F95" s="2054"/>
      <c r="G95" s="2055"/>
      <c r="H95" s="2090"/>
      <c r="I95" s="2032"/>
      <c r="J95" s="2091"/>
      <c r="K95" s="2053"/>
      <c r="L95" s="2054"/>
      <c r="M95" s="2055"/>
      <c r="N95" s="2053"/>
      <c r="O95" s="2054"/>
      <c r="P95" s="2055"/>
      <c r="Q95" s="2053"/>
      <c r="R95" s="2055"/>
      <c r="S95" s="2035"/>
      <c r="T95" s="2036"/>
      <c r="U95" s="2053"/>
      <c r="V95" s="2055"/>
      <c r="W95" s="2058"/>
      <c r="X95" s="2095"/>
      <c r="Y95" s="2100"/>
      <c r="Z95" s="2054"/>
      <c r="AA95" s="2101"/>
      <c r="AB95" s="2100"/>
      <c r="AC95" s="2101"/>
      <c r="AD95" s="2100"/>
      <c r="AE95" s="2101"/>
      <c r="AF95" s="2100"/>
      <c r="AG95" s="2101"/>
      <c r="AH95" s="2100"/>
      <c r="AI95" s="2054"/>
      <c r="AJ95" s="205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42">
        <v>64</v>
      </c>
      <c r="C96" s="43"/>
      <c r="D96" s="43"/>
      <c r="E96" s="2053"/>
      <c r="F96" s="2054"/>
      <c r="G96" s="2055"/>
      <c r="H96" s="2090"/>
      <c r="I96" s="2032"/>
      <c r="J96" s="2091"/>
      <c r="K96" s="2053"/>
      <c r="L96" s="2054"/>
      <c r="M96" s="2055"/>
      <c r="N96" s="2053"/>
      <c r="O96" s="2054"/>
      <c r="P96" s="2055"/>
      <c r="Q96" s="2053"/>
      <c r="R96" s="2055"/>
      <c r="S96" s="2035"/>
      <c r="T96" s="2036"/>
      <c r="U96" s="2053"/>
      <c r="V96" s="2055"/>
      <c r="W96" s="2058"/>
      <c r="X96" s="2095"/>
      <c r="Y96" s="2100"/>
      <c r="Z96" s="2054"/>
      <c r="AA96" s="2101"/>
      <c r="AB96" s="2100"/>
      <c r="AC96" s="2101"/>
      <c r="AD96" s="1521"/>
      <c r="AE96" s="1521"/>
      <c r="AF96" s="2100"/>
      <c r="AG96" s="2101"/>
      <c r="AH96" s="2100"/>
      <c r="AI96" s="2054"/>
      <c r="AJ96" s="205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x14ac:dyDescent="0.3">
      <c r="A97" s="4"/>
      <c r="B97" s="42">
        <v>65</v>
      </c>
      <c r="C97" s="43"/>
      <c r="D97" s="43"/>
      <c r="E97" s="2053"/>
      <c r="F97" s="2054"/>
      <c r="G97" s="2055"/>
      <c r="H97" s="2090"/>
      <c r="I97" s="2032"/>
      <c r="J97" s="2091"/>
      <c r="K97" s="2053"/>
      <c r="L97" s="2054"/>
      <c r="M97" s="2055"/>
      <c r="N97" s="2053"/>
      <c r="O97" s="2054"/>
      <c r="P97" s="2055"/>
      <c r="Q97" s="2053"/>
      <c r="R97" s="2055"/>
      <c r="S97" s="2035"/>
      <c r="T97" s="2036"/>
      <c r="U97" s="2053"/>
      <c r="V97" s="2055"/>
      <c r="W97" s="2058"/>
      <c r="X97" s="2095"/>
      <c r="Y97" s="2100"/>
      <c r="Z97" s="2054"/>
      <c r="AA97" s="2101"/>
      <c r="AB97" s="2100"/>
      <c r="AC97" s="2101"/>
      <c r="AD97" s="2100"/>
      <c r="AE97" s="2101"/>
      <c r="AF97" s="2100"/>
      <c r="AG97" s="2101"/>
      <c r="AH97" s="2100"/>
      <c r="AI97" s="2054"/>
      <c r="AJ97" s="205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42">
        <v>66</v>
      </c>
      <c r="C98" s="43"/>
      <c r="D98" s="43"/>
      <c r="E98" s="2053"/>
      <c r="F98" s="2054"/>
      <c r="G98" s="2055"/>
      <c r="H98" s="2090"/>
      <c r="I98" s="2032"/>
      <c r="J98" s="2091"/>
      <c r="K98" s="2053"/>
      <c r="L98" s="2054"/>
      <c r="M98" s="2055"/>
      <c r="N98" s="2053"/>
      <c r="O98" s="2054"/>
      <c r="P98" s="2055"/>
      <c r="Q98" s="2053"/>
      <c r="R98" s="2055"/>
      <c r="S98" s="2035"/>
      <c r="T98" s="2036"/>
      <c r="U98" s="2053"/>
      <c r="V98" s="2055"/>
      <c r="W98" s="2058"/>
      <c r="X98" s="2095"/>
      <c r="Y98" s="2100"/>
      <c r="Z98" s="2054"/>
      <c r="AA98" s="2101"/>
      <c r="AB98" s="2100"/>
      <c r="AC98" s="2101"/>
      <c r="AD98" s="2100"/>
      <c r="AE98" s="2101"/>
      <c r="AF98" s="2100"/>
      <c r="AG98" s="2101"/>
      <c r="AH98" s="2100"/>
      <c r="AI98" s="2054"/>
      <c r="AJ98" s="205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2">
        <v>67</v>
      </c>
      <c r="C99" s="43"/>
      <c r="D99" s="43"/>
      <c r="E99" s="2053"/>
      <c r="F99" s="2054"/>
      <c r="G99" s="2055"/>
      <c r="H99" s="2090"/>
      <c r="I99" s="2032"/>
      <c r="J99" s="2091"/>
      <c r="K99" s="2053"/>
      <c r="L99" s="2054"/>
      <c r="M99" s="2055"/>
      <c r="N99" s="2053"/>
      <c r="O99" s="2054"/>
      <c r="P99" s="2055"/>
      <c r="Q99" s="2053"/>
      <c r="R99" s="2055"/>
      <c r="S99" s="2035"/>
      <c r="T99" s="2036"/>
      <c r="U99" s="2053"/>
      <c r="V99" s="2055"/>
      <c r="W99" s="2058"/>
      <c r="X99" s="2095"/>
      <c r="Y99" s="2100"/>
      <c r="Z99" s="2054"/>
      <c r="AA99" s="2101"/>
      <c r="AB99" s="2100"/>
      <c r="AC99" s="2101"/>
      <c r="AD99" s="2100"/>
      <c r="AE99" s="2101"/>
      <c r="AF99" s="2100"/>
      <c r="AG99" s="2101"/>
      <c r="AH99" s="2100"/>
      <c r="AI99" s="2054"/>
      <c r="AJ99" s="205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x14ac:dyDescent="0.3">
      <c r="A100" s="4"/>
      <c r="B100" s="42">
        <v>68</v>
      </c>
      <c r="C100" s="43"/>
      <c r="D100" s="43"/>
      <c r="E100" s="2053"/>
      <c r="F100" s="2054"/>
      <c r="G100" s="2055"/>
      <c r="H100" s="2090"/>
      <c r="I100" s="2032"/>
      <c r="J100" s="2091"/>
      <c r="K100" s="2053"/>
      <c r="L100" s="2054"/>
      <c r="M100" s="2055"/>
      <c r="N100" s="2053"/>
      <c r="O100" s="2054"/>
      <c r="P100" s="2055"/>
      <c r="Q100" s="2053"/>
      <c r="R100" s="2055"/>
      <c r="S100" s="2035"/>
      <c r="T100" s="2036"/>
      <c r="U100" s="2053"/>
      <c r="V100" s="2055"/>
      <c r="W100" s="2058"/>
      <c r="X100" s="2095"/>
      <c r="Y100" s="2100"/>
      <c r="Z100" s="2054"/>
      <c r="AA100" s="2101"/>
      <c r="AB100" s="2100"/>
      <c r="AC100" s="2101"/>
      <c r="AD100" s="2100"/>
      <c r="AE100" s="2101"/>
      <c r="AF100" s="2100"/>
      <c r="AG100" s="2101"/>
      <c r="AH100" s="2100"/>
      <c r="AI100" s="2054"/>
      <c r="AJ100" s="205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2">
        <v>69</v>
      </c>
      <c r="C101" s="43"/>
      <c r="D101" s="43"/>
      <c r="E101" s="2053"/>
      <c r="F101" s="2054"/>
      <c r="G101" s="2055"/>
      <c r="H101" s="2090"/>
      <c r="I101" s="2032"/>
      <c r="J101" s="2091"/>
      <c r="K101" s="2053"/>
      <c r="L101" s="2054"/>
      <c r="M101" s="2055"/>
      <c r="N101" s="2053"/>
      <c r="O101" s="2054"/>
      <c r="P101" s="2055"/>
      <c r="Q101" s="2053"/>
      <c r="R101" s="2055"/>
      <c r="S101" s="2035"/>
      <c r="T101" s="2036"/>
      <c r="U101" s="2053"/>
      <c r="V101" s="2055"/>
      <c r="W101" s="2058"/>
      <c r="X101" s="2095"/>
      <c r="Y101" s="2100"/>
      <c r="Z101" s="2054"/>
      <c r="AA101" s="2101"/>
      <c r="AB101" s="2100"/>
      <c r="AC101" s="2101"/>
      <c r="AD101" s="2100"/>
      <c r="AE101" s="2101"/>
      <c r="AF101" s="2100"/>
      <c r="AG101" s="2101"/>
      <c r="AH101" s="2100"/>
      <c r="AI101" s="2054"/>
      <c r="AJ101" s="205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2">
        <v>70</v>
      </c>
      <c r="C102" s="43"/>
      <c r="D102" s="43"/>
      <c r="E102" s="2070"/>
      <c r="F102" s="2071"/>
      <c r="G102" s="2072"/>
      <c r="H102" s="2092"/>
      <c r="I102" s="2093"/>
      <c r="J102" s="2094"/>
      <c r="K102" s="2070"/>
      <c r="L102" s="2071"/>
      <c r="M102" s="2072"/>
      <c r="N102" s="2070"/>
      <c r="O102" s="2071"/>
      <c r="P102" s="2072"/>
      <c r="Q102" s="2070"/>
      <c r="R102" s="2072"/>
      <c r="S102" s="2086"/>
      <c r="T102" s="2087"/>
      <c r="U102" s="2070"/>
      <c r="V102" s="2072"/>
      <c r="W102" s="2060"/>
      <c r="X102" s="2097"/>
      <c r="Y102" s="2102"/>
      <c r="Z102" s="2071"/>
      <c r="AA102" s="2103"/>
      <c r="AB102" s="2102"/>
      <c r="AC102" s="2103"/>
      <c r="AD102" s="2102"/>
      <c r="AE102" s="2103"/>
      <c r="AF102" s="2102"/>
      <c r="AG102" s="2103"/>
      <c r="AH102" s="2102"/>
      <c r="AI102" s="2071"/>
      <c r="AJ102" s="2071"/>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x14ac:dyDescent="0.3">
      <c r="A103" s="4"/>
      <c r="B103" s="4"/>
      <c r="C103" s="24"/>
      <c r="D103" s="4"/>
      <c r="E103" s="24"/>
      <c r="F103" s="4"/>
      <c r="G103" s="4"/>
      <c r="H103" s="24"/>
      <c r="I103" s="4"/>
      <c r="J103" s="4"/>
      <c r="K103" s="24"/>
      <c r="L103" s="4"/>
      <c r="M103" s="4"/>
      <c r="N103" s="24"/>
      <c r="O103" s="4"/>
      <c r="P103" s="4"/>
      <c r="Q103" s="24"/>
      <c r="R103" s="4"/>
      <c r="S103" s="24"/>
      <c r="T103" s="4"/>
      <c r="U103" s="24"/>
      <c r="V103" s="4"/>
      <c r="W103" s="24"/>
      <c r="X103" s="24"/>
      <c r="Y103" s="2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ht="14.5" x14ac:dyDescent="0.35">
      <c r="A104" s="4"/>
      <c r="B104" s="4"/>
      <c r="C104" s="24"/>
      <c r="D104" s="4"/>
      <c r="E104" s="24"/>
      <c r="F104" s="4"/>
      <c r="G104" s="4"/>
      <c r="H104" s="24"/>
      <c r="I104" s="4"/>
      <c r="J104" s="4"/>
      <c r="K104" s="24"/>
      <c r="L104" s="4"/>
      <c r="M104" s="4"/>
      <c r="N104" s="24"/>
      <c r="O104" s="4"/>
      <c r="P104" s="4"/>
      <c r="Q104" s="24"/>
      <c r="R104" s="4"/>
      <c r="S104" s="24"/>
      <c r="T104" s="4"/>
      <c r="U104" s="24"/>
      <c r="V104" s="4"/>
      <c r="W104" s="24"/>
      <c r="X104" s="24"/>
      <c r="Y104" s="6" t="s">
        <v>192</v>
      </c>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ht="14.5" x14ac:dyDescent="0.35">
      <c r="A105" s="4"/>
      <c r="B105" s="4"/>
      <c r="C105" s="24"/>
      <c r="D105" s="4"/>
      <c r="E105" s="24"/>
      <c r="F105" s="4"/>
      <c r="G105" s="4"/>
      <c r="H105" s="24"/>
      <c r="I105" s="4"/>
      <c r="J105" s="4"/>
      <c r="K105" s="24"/>
      <c r="L105" s="4"/>
      <c r="M105" s="4"/>
      <c r="N105" s="24"/>
      <c r="O105" s="4"/>
      <c r="P105" s="4"/>
      <c r="Q105" s="24"/>
      <c r="R105" s="4"/>
      <c r="S105" s="24"/>
      <c r="T105" s="4"/>
      <c r="U105" s="24"/>
      <c r="V105" s="4"/>
      <c r="W105" s="6" t="s">
        <v>193</v>
      </c>
      <c r="X105" s="24"/>
      <c r="Y105" s="2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ht="14.5" x14ac:dyDescent="0.35">
      <c r="A106" s="4"/>
      <c r="B106" s="4"/>
      <c r="C106" s="24"/>
      <c r="D106" s="4"/>
      <c r="E106" s="24"/>
      <c r="F106" s="4"/>
      <c r="G106" s="4"/>
      <c r="H106" s="24"/>
      <c r="I106" s="4"/>
      <c r="J106" s="4"/>
      <c r="K106" s="24"/>
      <c r="L106" s="4"/>
      <c r="M106" s="4"/>
      <c r="N106" s="24"/>
      <c r="O106" s="4"/>
      <c r="P106" s="4"/>
      <c r="Q106" s="24"/>
      <c r="R106" s="4"/>
      <c r="S106" s="24"/>
      <c r="T106" s="4"/>
      <c r="U106" s="6" t="s">
        <v>194</v>
      </c>
      <c r="V106" s="4"/>
      <c r="W106" s="6"/>
      <c r="X106" s="24"/>
      <c r="Y106" s="2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ht="14.5" x14ac:dyDescent="0.35">
      <c r="A107" s="4"/>
      <c r="B107" s="4"/>
      <c r="C107" s="24"/>
      <c r="D107" s="4"/>
      <c r="E107" s="24"/>
      <c r="F107" s="4"/>
      <c r="G107" s="4"/>
      <c r="H107" s="24"/>
      <c r="I107" s="4"/>
      <c r="J107" s="4"/>
      <c r="K107" s="24"/>
      <c r="L107" s="4"/>
      <c r="M107" s="4"/>
      <c r="N107" s="24"/>
      <c r="O107" s="4"/>
      <c r="P107" s="4"/>
      <c r="Q107" s="24"/>
      <c r="R107" s="4"/>
      <c r="S107" s="6" t="s">
        <v>195</v>
      </c>
      <c r="T107" s="4"/>
      <c r="U107" s="6"/>
      <c r="V107" s="4"/>
      <c r="W107" s="6"/>
      <c r="X107" s="24"/>
      <c r="Y107" s="2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x14ac:dyDescent="0.35">
      <c r="A108" s="4"/>
      <c r="B108" s="4"/>
      <c r="C108" s="24"/>
      <c r="D108" s="4"/>
      <c r="E108" s="24"/>
      <c r="F108" s="4"/>
      <c r="G108" s="4"/>
      <c r="H108" s="24"/>
      <c r="I108" s="4"/>
      <c r="J108" s="4"/>
      <c r="K108" s="24"/>
      <c r="L108" s="4"/>
      <c r="M108" s="4"/>
      <c r="N108" s="24"/>
      <c r="O108" s="4"/>
      <c r="P108" s="4"/>
      <c r="Q108" s="6" t="s">
        <v>152</v>
      </c>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x14ac:dyDescent="0.35">
      <c r="A109" s="4"/>
      <c r="B109" s="4"/>
      <c r="C109" s="24"/>
      <c r="D109" s="4"/>
      <c r="E109" s="24"/>
      <c r="F109" s="4"/>
      <c r="G109" s="4"/>
      <c r="H109" s="24"/>
      <c r="I109" s="4"/>
      <c r="J109" s="4"/>
      <c r="K109" s="24"/>
      <c r="L109" s="4"/>
      <c r="M109" s="4"/>
      <c r="N109" s="24"/>
      <c r="O109" s="4"/>
      <c r="P109" s="4"/>
      <c r="Q109" s="6"/>
      <c r="R109" s="6" t="s">
        <v>153</v>
      </c>
      <c r="S109" s="4"/>
      <c r="T109" s="4"/>
      <c r="U109" s="6"/>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24"/>
      <c r="D110" s="4"/>
      <c r="E110" s="24"/>
      <c r="F110" s="4"/>
      <c r="G110" s="4"/>
      <c r="H110" s="24"/>
      <c r="I110" s="4"/>
      <c r="J110" s="4"/>
      <c r="K110" s="24"/>
      <c r="L110" s="4"/>
      <c r="M110" s="4"/>
      <c r="N110" s="24"/>
      <c r="O110" s="4"/>
      <c r="P110" s="4"/>
      <c r="Q110" s="6"/>
      <c r="R110" s="6" t="s">
        <v>154</v>
      </c>
      <c r="S110" s="4"/>
      <c r="T110" s="4"/>
      <c r="U110" s="6"/>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ht="14.5" x14ac:dyDescent="0.35">
      <c r="A111" s="4"/>
      <c r="B111" s="4"/>
      <c r="C111" s="24"/>
      <c r="D111" s="4"/>
      <c r="E111" s="24"/>
      <c r="F111" s="4"/>
      <c r="G111" s="4"/>
      <c r="H111" s="24"/>
      <c r="I111" s="4"/>
      <c r="J111" s="4"/>
      <c r="K111" s="24"/>
      <c r="L111" s="4"/>
      <c r="M111" s="4"/>
      <c r="N111" s="24"/>
      <c r="O111" s="4"/>
      <c r="P111" s="4"/>
      <c r="Q111" s="6"/>
      <c r="R111" s="6" t="s">
        <v>1420</v>
      </c>
      <c r="S111" s="4"/>
      <c r="T111" s="4"/>
      <c r="U111" s="6"/>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ht="14.5" x14ac:dyDescent="0.35">
      <c r="A112" s="4"/>
      <c r="B112" s="4"/>
      <c r="C112" s="24"/>
      <c r="D112" s="4"/>
      <c r="E112" s="24"/>
      <c r="F112" s="4"/>
      <c r="G112" s="4"/>
      <c r="H112" s="24"/>
      <c r="I112" s="4"/>
      <c r="J112" s="4"/>
      <c r="K112" s="24"/>
      <c r="L112" s="4"/>
      <c r="M112" s="4"/>
      <c r="N112" s="6" t="s">
        <v>155</v>
      </c>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ht="14.5" x14ac:dyDescent="0.35">
      <c r="A113" s="4"/>
      <c r="B113" s="4"/>
      <c r="C113" s="24"/>
      <c r="D113" s="4"/>
      <c r="E113" s="24"/>
      <c r="F113" s="4"/>
      <c r="G113" s="4"/>
      <c r="H113" s="24"/>
      <c r="I113" s="4"/>
      <c r="J113" s="4"/>
      <c r="K113" s="6" t="s">
        <v>159</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ht="14.5" x14ac:dyDescent="0.35">
      <c r="A114" s="4"/>
      <c r="B114" s="4"/>
      <c r="C114" s="24"/>
      <c r="D114" s="4"/>
      <c r="E114" s="24"/>
      <c r="F114" s="4"/>
      <c r="G114" s="4"/>
      <c r="H114" s="6" t="s">
        <v>877</v>
      </c>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ht="14.5" x14ac:dyDescent="0.35">
      <c r="A115" s="4"/>
      <c r="B115" s="4"/>
      <c r="C115" s="24"/>
      <c r="D115" s="4"/>
      <c r="E115" s="6" t="s">
        <v>1644</v>
      </c>
      <c r="F115" s="4"/>
      <c r="G115" s="4"/>
      <c r="H115" s="6"/>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5" t="s">
        <v>160</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18" t="s">
        <v>114</v>
      </c>
      <c r="C118" s="2033"/>
      <c r="D118" s="2033"/>
      <c r="E118" s="2033" t="s">
        <v>131</v>
      </c>
      <c r="F118" s="2033"/>
      <c r="G118" s="2033"/>
      <c r="H118" s="2033" t="s">
        <v>256</v>
      </c>
      <c r="I118" s="2033"/>
      <c r="J118" s="2033"/>
      <c r="K118" s="2033" t="s">
        <v>257</v>
      </c>
      <c r="L118" s="2033"/>
      <c r="M118" s="2033"/>
      <c r="N118" s="2033" t="s">
        <v>173</v>
      </c>
      <c r="O118" s="2033"/>
      <c r="P118" s="2" t="s">
        <v>859</v>
      </c>
      <c r="Q118" s="18"/>
      <c r="R118" s="18"/>
      <c r="S118" s="143" t="s">
        <v>863</v>
      </c>
      <c r="T118" s="143"/>
      <c r="U118" s="2033" t="s">
        <v>121</v>
      </c>
      <c r="V118" s="2033"/>
      <c r="W118" s="2034" t="s">
        <v>122</v>
      </c>
      <c r="X118" s="2034"/>
      <c r="Y118" s="2034" t="s">
        <v>122</v>
      </c>
      <c r="Z118" s="2034"/>
      <c r="AA118" s="2034" t="s">
        <v>122</v>
      </c>
      <c r="AB118" s="2034"/>
      <c r="AC118" s="2033" t="s">
        <v>183</v>
      </c>
      <c r="AD118" s="2033"/>
      <c r="AE118" s="2033" t="s">
        <v>146</v>
      </c>
      <c r="AF118" s="2033"/>
      <c r="AG118" s="2033" t="s">
        <v>148</v>
      </c>
      <c r="AH118" s="2033"/>
      <c r="AI118" s="2033" t="s">
        <v>133</v>
      </c>
      <c r="AJ118" s="2033"/>
      <c r="AK118" s="2033" t="s">
        <v>127</v>
      </c>
      <c r="AL118" s="2033"/>
      <c r="AM118" s="2033"/>
      <c r="AN118" s="2033"/>
      <c r="AO118" s="2033"/>
      <c r="AP118" s="2033"/>
      <c r="AQ118" s="2033"/>
      <c r="AR118" s="2033"/>
      <c r="AS118" s="2033"/>
      <c r="AT118" s="2033"/>
      <c r="AU118" s="2033"/>
      <c r="AV118" s="2033"/>
      <c r="AW118" s="2033"/>
      <c r="AX118" s="2033"/>
      <c r="AY118" s="2033"/>
      <c r="AZ118" s="2033"/>
      <c r="BA118" s="2033" t="s">
        <v>199</v>
      </c>
      <c r="BB118" s="2033"/>
      <c r="BC118" s="2033"/>
      <c r="BD118" s="2033"/>
      <c r="BE118" s="2033" t="s">
        <v>179</v>
      </c>
      <c r="BF118" s="2033"/>
      <c r="BG118" s="2033"/>
      <c r="BH118" s="4"/>
    </row>
    <row r="119" spans="1:60" ht="16" x14ac:dyDescent="0.4">
      <c r="A119" s="4"/>
      <c r="B119" s="18"/>
      <c r="C119" s="2033"/>
      <c r="D119" s="2033"/>
      <c r="E119" s="2"/>
      <c r="F119" s="2"/>
      <c r="G119" s="2"/>
      <c r="H119" s="2033" t="s">
        <v>258</v>
      </c>
      <c r="I119" s="2033"/>
      <c r="J119" s="2033"/>
      <c r="K119" s="2033" t="s">
        <v>258</v>
      </c>
      <c r="L119" s="2033"/>
      <c r="M119" s="2033"/>
      <c r="N119" s="2"/>
      <c r="O119" s="2"/>
      <c r="P119" s="18" t="s">
        <v>861</v>
      </c>
      <c r="Q119" s="18" t="s">
        <v>860</v>
      </c>
      <c r="R119" s="2"/>
      <c r="S119" s="143" t="s">
        <v>864</v>
      </c>
      <c r="T119" s="143"/>
      <c r="U119" s="2"/>
      <c r="V119" s="2"/>
      <c r="W119" s="2034" t="s">
        <v>186</v>
      </c>
      <c r="X119" s="2034"/>
      <c r="Y119" s="2034" t="s">
        <v>174</v>
      </c>
      <c r="Z119" s="2034"/>
      <c r="AA119" s="2034" t="s">
        <v>175</v>
      </c>
      <c r="AB119" s="2034"/>
      <c r="AC119" s="2033" t="s">
        <v>184</v>
      </c>
      <c r="AD119" s="2033"/>
      <c r="AE119" s="2033" t="s">
        <v>103</v>
      </c>
      <c r="AF119" s="2033"/>
      <c r="AG119" s="2033" t="s">
        <v>149</v>
      </c>
      <c r="AH119" s="2033"/>
      <c r="AI119" s="2033" t="s">
        <v>178</v>
      </c>
      <c r="AJ119" s="2033"/>
      <c r="AK119" s="18"/>
      <c r="AL119" s="18"/>
      <c r="AM119" s="18"/>
      <c r="AN119" s="18"/>
      <c r="AO119" s="18"/>
      <c r="AP119" s="18"/>
      <c r="AQ119" s="18"/>
      <c r="AR119" s="18"/>
      <c r="AS119" s="18"/>
      <c r="AT119" s="18"/>
      <c r="AU119" s="18"/>
      <c r="AV119" s="18"/>
      <c r="AW119" s="18"/>
      <c r="AX119" s="18"/>
      <c r="AY119" s="18"/>
      <c r="AZ119" s="18"/>
      <c r="BA119" s="2"/>
      <c r="BB119" s="2"/>
      <c r="BC119" s="2"/>
      <c r="BD119" s="2"/>
      <c r="BE119" s="2033" t="s">
        <v>180</v>
      </c>
      <c r="BF119" s="2033"/>
      <c r="BG119" s="2033"/>
      <c r="BH119" s="4"/>
    </row>
    <row r="120" spans="1:60" ht="14.5" thickBot="1" x14ac:dyDescent="0.35">
      <c r="A120" s="4"/>
      <c r="B120" s="18"/>
      <c r="C120" s="2033"/>
      <c r="D120" s="2033"/>
      <c r="E120" s="2"/>
      <c r="F120" s="2"/>
      <c r="G120" s="2"/>
      <c r="H120" s="2"/>
      <c r="I120" s="2"/>
      <c r="J120" s="2"/>
      <c r="K120" s="2"/>
      <c r="L120" s="2"/>
      <c r="M120" s="2"/>
      <c r="N120" s="2"/>
      <c r="O120" s="2"/>
      <c r="P120" s="828" t="s">
        <v>862</v>
      </c>
      <c r="Q120" s="2"/>
      <c r="R120" s="2"/>
      <c r="S120" s="2"/>
      <c r="T120" s="2"/>
      <c r="U120" s="2"/>
      <c r="V120" s="2"/>
      <c r="W120" s="2033" t="s">
        <v>418</v>
      </c>
      <c r="X120" s="2033"/>
      <c r="Y120" s="2033" t="s">
        <v>418</v>
      </c>
      <c r="Z120" s="2033"/>
      <c r="AA120" s="2033" t="s">
        <v>418</v>
      </c>
      <c r="AB120" s="2033"/>
      <c r="AC120" s="2033" t="s">
        <v>185</v>
      </c>
      <c r="AD120" s="2033"/>
      <c r="AE120" s="2033" t="s">
        <v>147</v>
      </c>
      <c r="AF120" s="2033"/>
      <c r="AG120" s="2033"/>
      <c r="AH120" s="2033"/>
      <c r="AI120" s="2033" t="s">
        <v>132</v>
      </c>
      <c r="AJ120" s="2033"/>
      <c r="AK120" s="18">
        <f>berekeningen!D9</f>
        <v>40</v>
      </c>
      <c r="AL120" s="18">
        <f>berekeningen!E9</f>
        <v>31.5</v>
      </c>
      <c r="AM120" s="18">
        <f>berekeningen!F9</f>
        <v>20</v>
      </c>
      <c r="AN120" s="18">
        <f>berekeningen!G9</f>
        <v>16</v>
      </c>
      <c r="AO120" s="18">
        <f>berekeningen!H9</f>
        <v>14</v>
      </c>
      <c r="AP120" s="18">
        <f>berekeningen!I9</f>
        <v>12.5</v>
      </c>
      <c r="AQ120" s="18">
        <f>berekeningen!J9</f>
        <v>10</v>
      </c>
      <c r="AR120" s="18">
        <f>berekeningen!K9</f>
        <v>8</v>
      </c>
      <c r="AS120" s="18">
        <f>berekeningen!L9</f>
        <v>6.3</v>
      </c>
      <c r="AT120" s="18">
        <f>berekeningen!M9</f>
        <v>4</v>
      </c>
      <c r="AU120" s="18">
        <f>berekeningen!N9</f>
        <v>2</v>
      </c>
      <c r="AV120" s="18">
        <f>berekeningen!O9</f>
        <v>1</v>
      </c>
      <c r="AW120" s="18">
        <f>berekeningen!P9</f>
        <v>0.5</v>
      </c>
      <c r="AX120" s="18">
        <f>berekeningen!Q9</f>
        <v>0.25</v>
      </c>
      <c r="AY120" s="18">
        <f>berekeningen!R9</f>
        <v>0.125</v>
      </c>
      <c r="AZ120" s="18">
        <f>berekeningen!S9</f>
        <v>6.3E-2</v>
      </c>
      <c r="BA120" s="2"/>
      <c r="BB120" s="2"/>
      <c r="BC120" s="2"/>
      <c r="BD120" s="2"/>
      <c r="BE120" s="2"/>
      <c r="BF120" s="2"/>
      <c r="BG120" s="2"/>
      <c r="BH120" s="4"/>
    </row>
    <row r="121" spans="1:60" ht="15" customHeight="1" thickTop="1" x14ac:dyDescent="0.3">
      <c r="A121" s="4"/>
      <c r="B121" s="29">
        <v>71</v>
      </c>
      <c r="C121" s="30"/>
      <c r="D121" s="30"/>
      <c r="E121" s="35" t="s">
        <v>177</v>
      </c>
      <c r="F121" s="30"/>
      <c r="G121" s="36"/>
      <c r="H121" s="2050" t="s">
        <v>1666</v>
      </c>
      <c r="I121" s="2051"/>
      <c r="J121" s="2052"/>
      <c r="K121" s="2050" t="s">
        <v>259</v>
      </c>
      <c r="L121" s="2051"/>
      <c r="M121" s="2052"/>
      <c r="N121" s="1504" t="s">
        <v>937</v>
      </c>
      <c r="O121" s="1522"/>
      <c r="P121" s="1523" t="s">
        <v>857</v>
      </c>
      <c r="Q121" s="1524" t="s">
        <v>858</v>
      </c>
      <c r="R121" s="1525"/>
      <c r="S121" s="1504" t="s">
        <v>865</v>
      </c>
      <c r="T121" s="1522"/>
      <c r="U121" s="2050" t="s">
        <v>16</v>
      </c>
      <c r="V121" s="2052"/>
      <c r="W121" s="2082">
        <v>2.4500000000000002</v>
      </c>
      <c r="X121" s="2083"/>
      <c r="Y121" s="2082">
        <f>berekeningen!W49</f>
        <v>2.6416804407713501</v>
      </c>
      <c r="Z121" s="2083"/>
      <c r="AA121" s="2082">
        <v>1.03</v>
      </c>
      <c r="AB121" s="2083"/>
      <c r="AC121" s="2056">
        <v>5</v>
      </c>
      <c r="AD121" s="2057"/>
      <c r="AE121" s="2110">
        <v>25</v>
      </c>
      <c r="AF121" s="2111"/>
      <c r="AG121" s="2116">
        <v>48</v>
      </c>
      <c r="AH121" s="2117"/>
      <c r="AI121" s="2037">
        <v>29</v>
      </c>
      <c r="AJ121" s="2038"/>
      <c r="AK121" s="1517"/>
      <c r="AL121" s="1518"/>
      <c r="AM121" s="1518"/>
      <c r="AN121" s="1518"/>
      <c r="AO121" s="1518"/>
      <c r="AP121" s="1518"/>
      <c r="AQ121" s="1518">
        <v>100</v>
      </c>
      <c r="AR121" s="1518">
        <v>90</v>
      </c>
      <c r="AS121" s="1518">
        <v>80</v>
      </c>
      <c r="AT121" s="1518">
        <v>70</v>
      </c>
      <c r="AU121" s="1518">
        <v>60</v>
      </c>
      <c r="AV121" s="1518">
        <v>50</v>
      </c>
      <c r="AW121" s="1518">
        <v>40</v>
      </c>
      <c r="AX121" s="1518">
        <v>30</v>
      </c>
      <c r="AY121" s="1518">
        <v>20</v>
      </c>
      <c r="AZ121" s="1526">
        <v>10</v>
      </c>
      <c r="BA121" s="2050" t="s">
        <v>394</v>
      </c>
      <c r="BB121" s="2051"/>
      <c r="BC121" s="2051"/>
      <c r="BD121" s="2052"/>
      <c r="BE121" s="2050" t="s">
        <v>247</v>
      </c>
      <c r="BF121" s="2051"/>
      <c r="BG121" s="2051"/>
      <c r="BH121" s="4"/>
    </row>
    <row r="122" spans="1:60" x14ac:dyDescent="0.3">
      <c r="A122" s="4"/>
      <c r="B122" s="47">
        <v>72</v>
      </c>
      <c r="C122" s="49"/>
      <c r="D122" s="49"/>
      <c r="E122" s="38" t="s">
        <v>177</v>
      </c>
      <c r="F122" s="49"/>
      <c r="G122" s="99"/>
      <c r="H122" s="2053"/>
      <c r="I122" s="2054"/>
      <c r="J122" s="2055"/>
      <c r="K122" s="2053"/>
      <c r="L122" s="2054"/>
      <c r="M122" s="2055"/>
      <c r="N122" s="1527" t="s">
        <v>937</v>
      </c>
      <c r="O122" s="1528"/>
      <c r="P122" s="1529"/>
      <c r="Q122" s="1530"/>
      <c r="R122" s="1531"/>
      <c r="S122" s="1527"/>
      <c r="T122" s="1528"/>
      <c r="U122" s="2053"/>
      <c r="V122" s="2055"/>
      <c r="W122" s="2035">
        <v>2.4500000000000002</v>
      </c>
      <c r="X122" s="2036"/>
      <c r="Y122" s="2035">
        <f>berekeningen!W50</f>
        <v>2.6416804407713501</v>
      </c>
      <c r="Z122" s="2036"/>
      <c r="AA122" s="2035">
        <v>1.03</v>
      </c>
      <c r="AB122" s="2036"/>
      <c r="AC122" s="2058">
        <v>5</v>
      </c>
      <c r="AD122" s="2109"/>
      <c r="AE122" s="2105"/>
      <c r="AF122" s="2106"/>
      <c r="AG122" s="2118"/>
      <c r="AH122" s="2119"/>
      <c r="AI122" s="2039"/>
      <c r="AJ122" s="2040"/>
      <c r="AK122" s="1532"/>
      <c r="AL122" s="1533"/>
      <c r="AM122" s="1533"/>
      <c r="AN122" s="1533"/>
      <c r="AO122" s="1533"/>
      <c r="AP122" s="1533"/>
      <c r="AQ122" s="1533"/>
      <c r="AR122" s="1533"/>
      <c r="AS122" s="1533"/>
      <c r="AT122" s="1533"/>
      <c r="AU122" s="1533"/>
      <c r="AV122" s="1533"/>
      <c r="AW122" s="1533"/>
      <c r="AX122" s="1533"/>
      <c r="AY122" s="1533"/>
      <c r="AZ122" s="1534"/>
      <c r="BA122" s="2053"/>
      <c r="BB122" s="2054"/>
      <c r="BC122" s="2054"/>
      <c r="BD122" s="2055"/>
      <c r="BE122" s="2053"/>
      <c r="BF122" s="2054"/>
      <c r="BG122" s="2054"/>
      <c r="BH122" s="4"/>
    </row>
    <row r="123" spans="1:60" x14ac:dyDescent="0.3">
      <c r="A123" s="4"/>
      <c r="B123" s="47">
        <v>73</v>
      </c>
      <c r="C123" s="49"/>
      <c r="D123" s="49"/>
      <c r="E123" s="38" t="s">
        <v>177</v>
      </c>
      <c r="F123" s="49"/>
      <c r="G123" s="99"/>
      <c r="H123" s="2053"/>
      <c r="I123" s="2054"/>
      <c r="J123" s="2055"/>
      <c r="K123" s="2053"/>
      <c r="L123" s="2054"/>
      <c r="M123" s="2055"/>
      <c r="N123" s="1527" t="s">
        <v>937</v>
      </c>
      <c r="O123" s="1528"/>
      <c r="P123" s="1529"/>
      <c r="Q123" s="1530"/>
      <c r="R123" s="1531"/>
      <c r="S123" s="1527"/>
      <c r="T123" s="1528"/>
      <c r="U123" s="2053"/>
      <c r="V123" s="2055"/>
      <c r="W123" s="2035"/>
      <c r="X123" s="2036"/>
      <c r="Y123" s="2035" t="str">
        <f>berekeningen!W51</f>
        <v/>
      </c>
      <c r="Z123" s="2036"/>
      <c r="AA123" s="2035"/>
      <c r="AB123" s="2036"/>
      <c r="AC123" s="2058"/>
      <c r="AD123" s="2109"/>
      <c r="AE123" s="2105"/>
      <c r="AF123" s="2106"/>
      <c r="AG123" s="2118"/>
      <c r="AH123" s="2119"/>
      <c r="AI123" s="2039"/>
      <c r="AJ123" s="2040"/>
      <c r="AK123" s="1532"/>
      <c r="AL123" s="1533"/>
      <c r="AM123" s="1533"/>
      <c r="AN123" s="1533"/>
      <c r="AO123" s="1533"/>
      <c r="AP123" s="1533"/>
      <c r="AQ123" s="1533"/>
      <c r="AR123" s="1533"/>
      <c r="AS123" s="1533"/>
      <c r="AT123" s="1533"/>
      <c r="AU123" s="1533"/>
      <c r="AV123" s="1533"/>
      <c r="AW123" s="1533"/>
      <c r="AX123" s="1533"/>
      <c r="AY123" s="1533"/>
      <c r="AZ123" s="1534"/>
      <c r="BA123" s="2053"/>
      <c r="BB123" s="2054"/>
      <c r="BC123" s="2054"/>
      <c r="BD123" s="2055"/>
      <c r="BE123" s="2053"/>
      <c r="BF123" s="2054"/>
      <c r="BG123" s="2054"/>
      <c r="BH123" s="4"/>
    </row>
    <row r="124" spans="1:60" x14ac:dyDescent="0.3">
      <c r="A124" s="4"/>
      <c r="B124" s="47">
        <v>74</v>
      </c>
      <c r="C124" s="49"/>
      <c r="D124" s="49"/>
      <c r="E124" s="38" t="s">
        <v>177</v>
      </c>
      <c r="F124" s="49"/>
      <c r="G124" s="99"/>
      <c r="H124" s="2053"/>
      <c r="I124" s="2054"/>
      <c r="J124" s="2055"/>
      <c r="K124" s="2053"/>
      <c r="L124" s="2054"/>
      <c r="M124" s="2055"/>
      <c r="N124" s="1527" t="s">
        <v>937</v>
      </c>
      <c r="O124" s="1528"/>
      <c r="P124" s="1529"/>
      <c r="Q124" s="1530"/>
      <c r="R124" s="1531"/>
      <c r="S124" s="1527"/>
      <c r="T124" s="1528"/>
      <c r="U124" s="2053"/>
      <c r="V124" s="2055"/>
      <c r="W124" s="2035"/>
      <c r="X124" s="2036"/>
      <c r="Y124" s="2035" t="str">
        <f>berekeningen!W52</f>
        <v/>
      </c>
      <c r="Z124" s="2036"/>
      <c r="AA124" s="2035"/>
      <c r="AB124" s="2036"/>
      <c r="AC124" s="2058"/>
      <c r="AD124" s="2109"/>
      <c r="AE124" s="2105"/>
      <c r="AF124" s="2106"/>
      <c r="AG124" s="2118"/>
      <c r="AH124" s="2119"/>
      <c r="AI124" s="2039"/>
      <c r="AJ124" s="2040"/>
      <c r="AK124" s="1532"/>
      <c r="AL124" s="1533"/>
      <c r="AM124" s="1533"/>
      <c r="AN124" s="1533"/>
      <c r="AO124" s="1533"/>
      <c r="AP124" s="1533"/>
      <c r="AQ124" s="1533"/>
      <c r="AR124" s="1533"/>
      <c r="AS124" s="1533"/>
      <c r="AT124" s="1533"/>
      <c r="AU124" s="1533"/>
      <c r="AV124" s="1533"/>
      <c r="AW124" s="1533"/>
      <c r="AX124" s="1533"/>
      <c r="AY124" s="1533"/>
      <c r="AZ124" s="1534"/>
      <c r="BA124" s="2053"/>
      <c r="BB124" s="2054"/>
      <c r="BC124" s="2054"/>
      <c r="BD124" s="2055"/>
      <c r="BE124" s="2053"/>
      <c r="BF124" s="2054"/>
      <c r="BG124" s="2054"/>
      <c r="BH124" s="4"/>
    </row>
    <row r="125" spans="1:60" x14ac:dyDescent="0.3">
      <c r="A125" s="4"/>
      <c r="B125" s="47">
        <v>75</v>
      </c>
      <c r="C125" s="49"/>
      <c r="D125" s="49"/>
      <c r="E125" s="38" t="s">
        <v>177</v>
      </c>
      <c r="F125" s="49"/>
      <c r="G125" s="99"/>
      <c r="H125" s="2053"/>
      <c r="I125" s="2054"/>
      <c r="J125" s="2055"/>
      <c r="K125" s="2053"/>
      <c r="L125" s="2054"/>
      <c r="M125" s="2055"/>
      <c r="N125" s="1527" t="s">
        <v>937</v>
      </c>
      <c r="O125" s="1528"/>
      <c r="P125" s="1529"/>
      <c r="Q125" s="1530"/>
      <c r="R125" s="1531"/>
      <c r="S125" s="1527"/>
      <c r="T125" s="1528"/>
      <c r="U125" s="2053"/>
      <c r="V125" s="2055"/>
      <c r="W125" s="2035"/>
      <c r="X125" s="2036"/>
      <c r="Y125" s="2035" t="str">
        <f>berekeningen!W53</f>
        <v/>
      </c>
      <c r="Z125" s="2036"/>
      <c r="AA125" s="2035"/>
      <c r="AB125" s="2036"/>
      <c r="AC125" s="2058"/>
      <c r="AD125" s="2109"/>
      <c r="AE125" s="2105"/>
      <c r="AF125" s="2106"/>
      <c r="AG125" s="2118"/>
      <c r="AH125" s="2119"/>
      <c r="AI125" s="2039"/>
      <c r="AJ125" s="2040"/>
      <c r="AK125" s="1532"/>
      <c r="AL125" s="1533"/>
      <c r="AM125" s="1533"/>
      <c r="AN125" s="1533"/>
      <c r="AO125" s="1533"/>
      <c r="AP125" s="1533"/>
      <c r="AQ125" s="1533"/>
      <c r="AR125" s="1533"/>
      <c r="AS125" s="1533"/>
      <c r="AT125" s="1533"/>
      <c r="AU125" s="1533"/>
      <c r="AV125" s="1533"/>
      <c r="AW125" s="1533"/>
      <c r="AX125" s="1533"/>
      <c r="AY125" s="1533"/>
      <c r="AZ125" s="1534"/>
      <c r="BA125" s="2053"/>
      <c r="BB125" s="2054"/>
      <c r="BC125" s="2054"/>
      <c r="BD125" s="2055"/>
      <c r="BE125" s="2053"/>
      <c r="BF125" s="2054"/>
      <c r="BG125" s="2054"/>
      <c r="BH125" s="4"/>
    </row>
    <row r="126" spans="1:60" x14ac:dyDescent="0.3">
      <c r="A126" s="4"/>
      <c r="B126" s="47">
        <v>76</v>
      </c>
      <c r="C126" s="49"/>
      <c r="D126" s="49"/>
      <c r="E126" s="38" t="s">
        <v>177</v>
      </c>
      <c r="F126" s="49"/>
      <c r="G126" s="99"/>
      <c r="H126" s="2053"/>
      <c r="I126" s="2054"/>
      <c r="J126" s="2055"/>
      <c r="K126" s="2053"/>
      <c r="L126" s="2054"/>
      <c r="M126" s="2055"/>
      <c r="N126" s="1527" t="s">
        <v>937</v>
      </c>
      <c r="O126" s="1528"/>
      <c r="P126" s="1529"/>
      <c r="Q126" s="1530"/>
      <c r="R126" s="1531"/>
      <c r="S126" s="1527"/>
      <c r="T126" s="1528"/>
      <c r="U126" s="2053"/>
      <c r="V126" s="2055"/>
      <c r="W126" s="2035"/>
      <c r="X126" s="2036"/>
      <c r="Y126" s="2035" t="str">
        <f>berekeningen!W54</f>
        <v/>
      </c>
      <c r="Z126" s="2036"/>
      <c r="AA126" s="2035"/>
      <c r="AB126" s="2036"/>
      <c r="AC126" s="2058"/>
      <c r="AD126" s="2109"/>
      <c r="AE126" s="2105"/>
      <c r="AF126" s="2106"/>
      <c r="AG126" s="2118"/>
      <c r="AH126" s="2119"/>
      <c r="AI126" s="2039"/>
      <c r="AJ126" s="2040"/>
      <c r="AK126" s="1532"/>
      <c r="AL126" s="1533"/>
      <c r="AM126" s="1533"/>
      <c r="AN126" s="1533"/>
      <c r="AO126" s="1533"/>
      <c r="AP126" s="1533"/>
      <c r="AQ126" s="1533"/>
      <c r="AR126" s="1533"/>
      <c r="AS126" s="1533"/>
      <c r="AT126" s="1533"/>
      <c r="AU126" s="1533"/>
      <c r="AV126" s="1533"/>
      <c r="AW126" s="1533"/>
      <c r="AX126" s="1533"/>
      <c r="AY126" s="1533"/>
      <c r="AZ126" s="1534"/>
      <c r="BA126" s="2053"/>
      <c r="BB126" s="2054"/>
      <c r="BC126" s="2054"/>
      <c r="BD126" s="2055"/>
      <c r="BE126" s="2053"/>
      <c r="BF126" s="2054"/>
      <c r="BG126" s="2054"/>
      <c r="BH126" s="4"/>
    </row>
    <row r="127" spans="1:60" x14ac:dyDescent="0.3">
      <c r="A127" s="4"/>
      <c r="B127" s="47">
        <v>77</v>
      </c>
      <c r="C127" s="49"/>
      <c r="D127" s="49"/>
      <c r="E127" s="38" t="s">
        <v>177</v>
      </c>
      <c r="F127" s="49"/>
      <c r="G127" s="99"/>
      <c r="H127" s="2053"/>
      <c r="I127" s="2054"/>
      <c r="J127" s="2055"/>
      <c r="K127" s="2053"/>
      <c r="L127" s="2054"/>
      <c r="M127" s="2055"/>
      <c r="N127" s="1527" t="s">
        <v>937</v>
      </c>
      <c r="O127" s="1528"/>
      <c r="P127" s="1529"/>
      <c r="Q127" s="1530"/>
      <c r="R127" s="1531"/>
      <c r="S127" s="1527"/>
      <c r="T127" s="1528"/>
      <c r="U127" s="2053"/>
      <c r="V127" s="2055"/>
      <c r="W127" s="2035"/>
      <c r="X127" s="2036"/>
      <c r="Y127" s="2035" t="str">
        <f>berekeningen!W55</f>
        <v/>
      </c>
      <c r="Z127" s="2036"/>
      <c r="AA127" s="2035"/>
      <c r="AB127" s="2036"/>
      <c r="AC127" s="2058"/>
      <c r="AD127" s="2109"/>
      <c r="AE127" s="2105"/>
      <c r="AF127" s="2106"/>
      <c r="AG127" s="2118"/>
      <c r="AH127" s="2119"/>
      <c r="AI127" s="2039"/>
      <c r="AJ127" s="2040"/>
      <c r="AK127" s="1532"/>
      <c r="AL127" s="1533"/>
      <c r="AM127" s="1533"/>
      <c r="AN127" s="1533"/>
      <c r="AO127" s="1533"/>
      <c r="AP127" s="1533"/>
      <c r="AQ127" s="1533"/>
      <c r="AR127" s="1533"/>
      <c r="AS127" s="1533"/>
      <c r="AT127" s="1533"/>
      <c r="AU127" s="1533"/>
      <c r="AV127" s="1533"/>
      <c r="AW127" s="1533"/>
      <c r="AX127" s="1533"/>
      <c r="AY127" s="1533"/>
      <c r="AZ127" s="1534"/>
      <c r="BA127" s="2053"/>
      <c r="BB127" s="2054"/>
      <c r="BC127" s="2054"/>
      <c r="BD127" s="2055"/>
      <c r="BE127" s="2053"/>
      <c r="BF127" s="2054"/>
      <c r="BG127" s="2054"/>
      <c r="BH127" s="4"/>
    </row>
    <row r="128" spans="1:60" x14ac:dyDescent="0.3">
      <c r="A128" s="4"/>
      <c r="B128" s="31">
        <v>78</v>
      </c>
      <c r="C128" s="32"/>
      <c r="D128" s="32"/>
      <c r="E128" s="38" t="s">
        <v>177</v>
      </c>
      <c r="F128" s="32"/>
      <c r="G128" s="39"/>
      <c r="H128" s="2053"/>
      <c r="I128" s="2054"/>
      <c r="J128" s="2055"/>
      <c r="K128" s="2053"/>
      <c r="L128" s="2054"/>
      <c r="M128" s="2055"/>
      <c r="N128" s="1508" t="s">
        <v>937</v>
      </c>
      <c r="O128" s="1535"/>
      <c r="P128" s="1536"/>
      <c r="Q128" s="1537"/>
      <c r="R128" s="1538"/>
      <c r="S128" s="1508"/>
      <c r="T128" s="1535"/>
      <c r="U128" s="2053"/>
      <c r="V128" s="2055"/>
      <c r="W128" s="2035"/>
      <c r="X128" s="2036"/>
      <c r="Y128" s="2035" t="str">
        <f>berekeningen!W56</f>
        <v/>
      </c>
      <c r="Z128" s="2036"/>
      <c r="AA128" s="2035"/>
      <c r="AB128" s="2036"/>
      <c r="AC128" s="2058"/>
      <c r="AD128" s="2059"/>
      <c r="AE128" s="2105"/>
      <c r="AF128" s="2106"/>
      <c r="AG128" s="2118"/>
      <c r="AH128" s="2119"/>
      <c r="AI128" s="2039"/>
      <c r="AJ128" s="2040"/>
      <c r="AK128" s="1519"/>
      <c r="AL128" s="1520"/>
      <c r="AM128" s="1520"/>
      <c r="AN128" s="1520"/>
      <c r="AO128" s="1520"/>
      <c r="AP128" s="1520"/>
      <c r="AQ128" s="1520"/>
      <c r="AR128" s="1520"/>
      <c r="AS128" s="1520"/>
      <c r="AT128" s="1520"/>
      <c r="AU128" s="1520"/>
      <c r="AV128" s="1520"/>
      <c r="AW128" s="1520"/>
      <c r="AX128" s="1520"/>
      <c r="AY128" s="1520"/>
      <c r="AZ128" s="1539"/>
      <c r="BA128" s="2053"/>
      <c r="BB128" s="2054"/>
      <c r="BC128" s="2054"/>
      <c r="BD128" s="2055"/>
      <c r="BE128" s="2053"/>
      <c r="BF128" s="2054"/>
      <c r="BG128" s="2054"/>
      <c r="BH128" s="4"/>
    </row>
    <row r="129" spans="1:60" x14ac:dyDescent="0.3">
      <c r="A129" s="4"/>
      <c r="B129" s="31">
        <v>79</v>
      </c>
      <c r="C129" s="32"/>
      <c r="D129" s="32"/>
      <c r="E129" s="2053"/>
      <c r="F129" s="2054"/>
      <c r="G129" s="2055"/>
      <c r="H129" s="2053"/>
      <c r="I129" s="2054"/>
      <c r="J129" s="2055"/>
      <c r="K129" s="2053"/>
      <c r="L129" s="2054"/>
      <c r="M129" s="2055"/>
      <c r="N129" s="1508" t="s">
        <v>937</v>
      </c>
      <c r="O129" s="1535"/>
      <c r="P129" s="1536"/>
      <c r="Q129" s="1537"/>
      <c r="R129" s="1538"/>
      <c r="S129" s="1508"/>
      <c r="T129" s="1535"/>
      <c r="U129" s="2053"/>
      <c r="V129" s="2055"/>
      <c r="W129" s="2035"/>
      <c r="X129" s="2036"/>
      <c r="Y129" s="2035" t="str">
        <f>berekeningen!W57</f>
        <v/>
      </c>
      <c r="Z129" s="2036"/>
      <c r="AA129" s="2035"/>
      <c r="AB129" s="2036"/>
      <c r="AC129" s="2058"/>
      <c r="AD129" s="2059"/>
      <c r="AE129" s="2105"/>
      <c r="AF129" s="2106"/>
      <c r="AG129" s="2118"/>
      <c r="AH129" s="2119"/>
      <c r="AI129" s="2039"/>
      <c r="AJ129" s="2040"/>
      <c r="AK129" s="1519"/>
      <c r="AL129" s="1520"/>
      <c r="AM129" s="1520"/>
      <c r="AN129" s="1520"/>
      <c r="AO129" s="1520"/>
      <c r="AP129" s="1520"/>
      <c r="AQ129" s="1520"/>
      <c r="AR129" s="1520"/>
      <c r="AS129" s="1520"/>
      <c r="AT129" s="1520"/>
      <c r="AU129" s="1520"/>
      <c r="AV129" s="1520"/>
      <c r="AW129" s="1520"/>
      <c r="AX129" s="1520"/>
      <c r="AY129" s="1520"/>
      <c r="AZ129" s="1539"/>
      <c r="BA129" s="2053"/>
      <c r="BB129" s="2054"/>
      <c r="BC129" s="2054"/>
      <c r="BD129" s="2055"/>
      <c r="BE129" s="2053"/>
      <c r="BF129" s="2054"/>
      <c r="BG129" s="2054"/>
      <c r="BH129" s="4"/>
    </row>
    <row r="130" spans="1:60" x14ac:dyDescent="0.3">
      <c r="A130" s="4"/>
      <c r="B130" s="42">
        <v>80</v>
      </c>
      <c r="C130" s="43"/>
      <c r="D130" s="43"/>
      <c r="E130" s="2070"/>
      <c r="F130" s="2071"/>
      <c r="G130" s="2072"/>
      <c r="H130" s="2070"/>
      <c r="I130" s="2071"/>
      <c r="J130" s="2072"/>
      <c r="K130" s="2070"/>
      <c r="L130" s="2071"/>
      <c r="M130" s="2072"/>
      <c r="N130" s="1512" t="s">
        <v>937</v>
      </c>
      <c r="O130" s="1540"/>
      <c r="P130" s="1541"/>
      <c r="Q130" s="1542"/>
      <c r="R130" s="1543"/>
      <c r="S130" s="1512"/>
      <c r="T130" s="1540"/>
      <c r="U130" s="2070"/>
      <c r="V130" s="2072"/>
      <c r="W130" s="2086"/>
      <c r="X130" s="2087"/>
      <c r="Y130" s="2035" t="str">
        <f>berekeningen!W58</f>
        <v/>
      </c>
      <c r="Z130" s="2036"/>
      <c r="AA130" s="2086"/>
      <c r="AB130" s="2087"/>
      <c r="AC130" s="2060"/>
      <c r="AD130" s="2061"/>
      <c r="AE130" s="2107"/>
      <c r="AF130" s="2108"/>
      <c r="AG130" s="2112"/>
      <c r="AH130" s="2113"/>
      <c r="AI130" s="2114"/>
      <c r="AJ130" s="2115"/>
      <c r="AK130" s="1544"/>
      <c r="AL130" s="1545"/>
      <c r="AM130" s="1545"/>
      <c r="AN130" s="1545"/>
      <c r="AO130" s="1545"/>
      <c r="AP130" s="1545"/>
      <c r="AQ130" s="1545"/>
      <c r="AR130" s="1545"/>
      <c r="AS130" s="1545"/>
      <c r="AT130" s="1545"/>
      <c r="AU130" s="1545"/>
      <c r="AV130" s="1545"/>
      <c r="AW130" s="1545"/>
      <c r="AX130" s="1545"/>
      <c r="AY130" s="1545"/>
      <c r="AZ130" s="1546"/>
      <c r="BA130" s="2070"/>
      <c r="BB130" s="2071"/>
      <c r="BC130" s="2071"/>
      <c r="BD130" s="2072"/>
      <c r="BE130" s="2070"/>
      <c r="BF130" s="2071"/>
      <c r="BG130" s="2071"/>
      <c r="BH130" s="4"/>
    </row>
    <row r="131" spans="1:60" x14ac:dyDescent="0.3">
      <c r="A131" s="4"/>
      <c r="B131" s="4"/>
      <c r="C131" s="24"/>
      <c r="D131" s="4"/>
      <c r="E131" s="4"/>
      <c r="F131" s="4"/>
      <c r="G131" s="4"/>
      <c r="H131" s="24"/>
      <c r="I131" s="4"/>
      <c r="J131" s="4"/>
      <c r="K131" s="4"/>
      <c r="L131" s="4"/>
      <c r="M131" s="4"/>
      <c r="N131" s="24"/>
      <c r="O131" s="4"/>
      <c r="P131" s="4"/>
      <c r="Q131" s="4"/>
      <c r="R131" s="4"/>
      <c r="S131" s="4"/>
      <c r="T131" s="4"/>
      <c r="U131" s="24"/>
      <c r="V131" s="4"/>
      <c r="W131" s="24"/>
      <c r="X131" s="4"/>
      <c r="Y131" s="24"/>
      <c r="Z131" s="4"/>
      <c r="AA131" s="4"/>
      <c r="AB131" s="4"/>
      <c r="AC131" s="24"/>
      <c r="AD131" s="4"/>
      <c r="AE131" s="24"/>
      <c r="AF131" s="4"/>
      <c r="AG131" s="24"/>
      <c r="AH131" s="4"/>
      <c r="AI131" s="24"/>
      <c r="AJ131" s="4"/>
      <c r="AK131" s="24"/>
      <c r="AL131" s="4"/>
      <c r="AM131" s="4"/>
      <c r="AN131" s="4"/>
      <c r="AO131" s="4"/>
      <c r="AP131" s="4"/>
      <c r="AQ131" s="4"/>
      <c r="AR131" s="4"/>
      <c r="AS131" s="4"/>
      <c r="AT131" s="4"/>
      <c r="AU131" s="4"/>
      <c r="AV131" s="4"/>
      <c r="AW131" s="4"/>
      <c r="AX131" s="4"/>
      <c r="AY131" s="4"/>
      <c r="AZ131" s="4"/>
      <c r="BA131" s="24"/>
      <c r="BB131" s="4"/>
      <c r="BC131" s="4"/>
      <c r="BD131" s="4"/>
      <c r="BE131" s="24"/>
      <c r="BF131" s="4"/>
      <c r="BG131" s="4"/>
      <c r="BH131" s="4"/>
    </row>
    <row r="132" spans="1:60" ht="14.5" x14ac:dyDescent="0.35">
      <c r="A132" s="4"/>
      <c r="B132" s="27"/>
      <c r="C132" s="24"/>
      <c r="D132" s="4"/>
      <c r="E132" s="4"/>
      <c r="F132" s="4"/>
      <c r="G132" s="4"/>
      <c r="H132" s="24"/>
      <c r="I132" s="4"/>
      <c r="J132" s="4"/>
      <c r="K132" s="4"/>
      <c r="L132" s="4"/>
      <c r="M132" s="4"/>
      <c r="N132" s="24"/>
      <c r="O132" s="4"/>
      <c r="P132" s="4"/>
      <c r="Q132" s="4"/>
      <c r="R132" s="4"/>
      <c r="S132" s="4"/>
      <c r="T132" s="4"/>
      <c r="U132" s="24"/>
      <c r="V132" s="4"/>
      <c r="W132" s="24"/>
      <c r="X132" s="4"/>
      <c r="Y132" s="24"/>
      <c r="Z132" s="4"/>
      <c r="AA132" s="4"/>
      <c r="AB132" s="4"/>
      <c r="AC132" s="24"/>
      <c r="AD132" s="4"/>
      <c r="AE132" s="24"/>
      <c r="AF132" s="4"/>
      <c r="AG132" s="24"/>
      <c r="AH132" s="4"/>
      <c r="AI132" s="24"/>
      <c r="AJ132" s="4"/>
      <c r="AK132" s="24"/>
      <c r="AL132" s="4"/>
      <c r="AM132" s="4"/>
      <c r="AN132" s="4"/>
      <c r="AO132" s="4"/>
      <c r="AP132" s="4"/>
      <c r="AQ132" s="4"/>
      <c r="AR132" s="4"/>
      <c r="AS132" s="4"/>
      <c r="AT132" s="4"/>
      <c r="AU132" s="4"/>
      <c r="AV132" s="4"/>
      <c r="AW132" s="4"/>
      <c r="AX132" s="4"/>
      <c r="AY132" s="4"/>
      <c r="AZ132" s="4"/>
      <c r="BA132" s="24"/>
      <c r="BB132" s="4"/>
      <c r="BC132" s="4"/>
      <c r="BD132" s="4"/>
      <c r="BE132" s="6" t="s">
        <v>198</v>
      </c>
      <c r="BF132" s="4"/>
      <c r="BG132" s="4"/>
      <c r="BH132" s="4"/>
    </row>
    <row r="133" spans="1:60" ht="14.5" x14ac:dyDescent="0.35">
      <c r="A133" s="4"/>
      <c r="B133" s="4"/>
      <c r="C133" s="24"/>
      <c r="D133" s="4"/>
      <c r="E133" s="4"/>
      <c r="F133" s="4"/>
      <c r="G133" s="4"/>
      <c r="H133" s="24"/>
      <c r="I133" s="4"/>
      <c r="J133" s="4"/>
      <c r="K133" s="4"/>
      <c r="L133" s="4"/>
      <c r="M133" s="4"/>
      <c r="N133" s="24"/>
      <c r="O133" s="4"/>
      <c r="P133" s="4"/>
      <c r="Q133" s="4"/>
      <c r="R133" s="4"/>
      <c r="S133" s="4"/>
      <c r="T133" s="4"/>
      <c r="U133" s="24"/>
      <c r="V133" s="4"/>
      <c r="W133" s="24"/>
      <c r="X133" s="4"/>
      <c r="Y133" s="24"/>
      <c r="Z133" s="4"/>
      <c r="AA133" s="4"/>
      <c r="AB133" s="4"/>
      <c r="AC133" s="24"/>
      <c r="AD133" s="4"/>
      <c r="AE133" s="24"/>
      <c r="AF133" s="4"/>
      <c r="AG133" s="24"/>
      <c r="AH133" s="4"/>
      <c r="AI133" s="24"/>
      <c r="AJ133" s="4"/>
      <c r="AK133" s="24"/>
      <c r="AL133" s="4"/>
      <c r="AM133" s="4"/>
      <c r="AN133" s="4"/>
      <c r="AO133" s="4"/>
      <c r="AP133" s="4"/>
      <c r="AQ133" s="4"/>
      <c r="AR133" s="4"/>
      <c r="AS133" s="4"/>
      <c r="AT133" s="4"/>
      <c r="AU133" s="4"/>
      <c r="AV133" s="4"/>
      <c r="AW133" s="4"/>
      <c r="AX133" s="4"/>
      <c r="AY133" s="4"/>
      <c r="AZ133" s="4"/>
      <c r="BA133" s="24"/>
      <c r="BB133" s="4"/>
      <c r="BC133" s="4"/>
      <c r="BD133" s="4"/>
      <c r="BE133" s="6" t="s">
        <v>196</v>
      </c>
      <c r="BF133" s="4"/>
      <c r="BG133" s="4"/>
      <c r="BH133" s="4"/>
    </row>
    <row r="134" spans="1:60" ht="14.5" x14ac:dyDescent="0.35">
      <c r="A134" s="4"/>
      <c r="B134" s="4"/>
      <c r="C134" s="24"/>
      <c r="D134" s="4"/>
      <c r="E134" s="4"/>
      <c r="F134" s="4"/>
      <c r="G134" s="4"/>
      <c r="H134" s="24"/>
      <c r="I134" s="4"/>
      <c r="J134" s="4"/>
      <c r="K134" s="4"/>
      <c r="L134" s="4"/>
      <c r="M134" s="4"/>
      <c r="N134" s="24"/>
      <c r="O134" s="4"/>
      <c r="P134" s="4"/>
      <c r="Q134" s="4"/>
      <c r="R134" s="4"/>
      <c r="S134" s="4"/>
      <c r="T134" s="4"/>
      <c r="U134" s="24"/>
      <c r="V134" s="4"/>
      <c r="W134" s="24"/>
      <c r="X134" s="4"/>
      <c r="Y134" s="24"/>
      <c r="Z134" s="4"/>
      <c r="AA134" s="4"/>
      <c r="AB134" s="4"/>
      <c r="AC134" s="24"/>
      <c r="AD134" s="4"/>
      <c r="AE134" s="24"/>
      <c r="AF134" s="4"/>
      <c r="AG134" s="24"/>
      <c r="AH134" s="4"/>
      <c r="AI134" s="24"/>
      <c r="AJ134" s="4"/>
      <c r="AK134" s="24"/>
      <c r="AL134" s="4"/>
      <c r="AM134" s="4"/>
      <c r="AN134" s="4"/>
      <c r="AO134" s="4"/>
      <c r="AP134" s="4"/>
      <c r="AQ134" s="4"/>
      <c r="AR134" s="4"/>
      <c r="AS134" s="4"/>
      <c r="AT134" s="4"/>
      <c r="AU134" s="4"/>
      <c r="AV134" s="4"/>
      <c r="AW134" s="4"/>
      <c r="AX134" s="4"/>
      <c r="AY134" s="4"/>
      <c r="AZ134" s="4"/>
      <c r="BA134" s="6" t="s">
        <v>197</v>
      </c>
      <c r="BB134" s="4"/>
      <c r="BC134" s="4"/>
      <c r="BD134" s="4"/>
      <c r="BE134" s="4"/>
      <c r="BF134" s="4"/>
      <c r="BG134" s="4"/>
      <c r="BH134" s="4"/>
    </row>
    <row r="135" spans="1:60" ht="14.5" x14ac:dyDescent="0.35">
      <c r="A135" s="4"/>
      <c r="B135" s="4"/>
      <c r="C135" s="24"/>
      <c r="D135" s="4"/>
      <c r="E135" s="4"/>
      <c r="F135" s="4"/>
      <c r="G135" s="4"/>
      <c r="H135" s="24"/>
      <c r="I135" s="4"/>
      <c r="J135" s="4"/>
      <c r="K135" s="4"/>
      <c r="L135" s="4"/>
      <c r="M135" s="4"/>
      <c r="N135" s="24"/>
      <c r="O135" s="4"/>
      <c r="P135" s="4"/>
      <c r="Q135" s="4"/>
      <c r="R135" s="4"/>
      <c r="S135" s="4"/>
      <c r="T135" s="4"/>
      <c r="U135" s="24"/>
      <c r="V135" s="4"/>
      <c r="W135" s="24"/>
      <c r="X135" s="4"/>
      <c r="Y135" s="24"/>
      <c r="Z135" s="4"/>
      <c r="AA135" s="4"/>
      <c r="AB135" s="4"/>
      <c r="AC135" s="24"/>
      <c r="AD135" s="4"/>
      <c r="AE135" s="24"/>
      <c r="AF135" s="4"/>
      <c r="AG135" s="24"/>
      <c r="AH135" s="4"/>
      <c r="AI135" s="24"/>
      <c r="AJ135" s="4"/>
      <c r="AK135" s="6" t="s">
        <v>187</v>
      </c>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ht="14.5" x14ac:dyDescent="0.35">
      <c r="A136" s="4"/>
      <c r="B136" s="4"/>
      <c r="C136" s="24"/>
      <c r="D136" s="4"/>
      <c r="E136" s="4"/>
      <c r="F136" s="4"/>
      <c r="G136" s="4"/>
      <c r="H136" s="24"/>
      <c r="I136" s="4"/>
      <c r="J136" s="4"/>
      <c r="K136" s="4"/>
      <c r="L136" s="4"/>
      <c r="M136" s="4"/>
      <c r="N136" s="24"/>
      <c r="O136" s="4"/>
      <c r="P136" s="4"/>
      <c r="Q136" s="4"/>
      <c r="R136" s="4"/>
      <c r="S136" s="4"/>
      <c r="T136" s="4"/>
      <c r="U136" s="24"/>
      <c r="V136" s="4"/>
      <c r="W136" s="24"/>
      <c r="X136" s="4"/>
      <c r="Y136" s="24"/>
      <c r="Z136" s="4"/>
      <c r="AA136" s="4"/>
      <c r="AB136" s="4"/>
      <c r="AC136" s="24"/>
      <c r="AD136" s="4"/>
      <c r="AE136" s="24"/>
      <c r="AF136" s="4"/>
      <c r="AG136" s="24"/>
      <c r="AH136" s="4"/>
      <c r="AI136" s="6" t="s">
        <v>200</v>
      </c>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x14ac:dyDescent="0.35">
      <c r="A137" s="4"/>
      <c r="B137" s="4"/>
      <c r="C137" s="24"/>
      <c r="D137" s="4"/>
      <c r="E137" s="4"/>
      <c r="F137" s="4"/>
      <c r="G137" s="4"/>
      <c r="H137" s="24"/>
      <c r="I137" s="4"/>
      <c r="J137" s="4"/>
      <c r="K137" s="4"/>
      <c r="L137" s="4"/>
      <c r="M137" s="4"/>
      <c r="N137" s="24"/>
      <c r="O137" s="4"/>
      <c r="P137" s="4"/>
      <c r="Q137" s="4"/>
      <c r="R137" s="4"/>
      <c r="S137" s="4"/>
      <c r="T137" s="4"/>
      <c r="U137" s="24"/>
      <c r="V137" s="4"/>
      <c r="W137" s="24"/>
      <c r="X137" s="4"/>
      <c r="Y137" s="24"/>
      <c r="Z137" s="4"/>
      <c r="AA137" s="4"/>
      <c r="AB137" s="4"/>
      <c r="AC137" s="24"/>
      <c r="AD137" s="4"/>
      <c r="AE137" s="24"/>
      <c r="AF137" s="4"/>
      <c r="AG137" s="6" t="s">
        <v>193</v>
      </c>
      <c r="AH137" s="4"/>
      <c r="AI137" s="6"/>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4.5" x14ac:dyDescent="0.35">
      <c r="A138" s="4"/>
      <c r="B138" s="4"/>
      <c r="C138" s="24"/>
      <c r="D138" s="4"/>
      <c r="E138" s="4"/>
      <c r="F138" s="4"/>
      <c r="G138" s="4"/>
      <c r="H138" s="24"/>
      <c r="I138" s="4"/>
      <c r="J138" s="4"/>
      <c r="K138" s="4"/>
      <c r="L138" s="4"/>
      <c r="M138" s="4"/>
      <c r="N138" s="24"/>
      <c r="O138" s="4"/>
      <c r="P138" s="4"/>
      <c r="Q138" s="4"/>
      <c r="R138" s="4"/>
      <c r="S138" s="4"/>
      <c r="T138" s="4"/>
      <c r="U138" s="24"/>
      <c r="V138" s="4"/>
      <c r="W138" s="24"/>
      <c r="X138" s="4"/>
      <c r="Y138" s="24"/>
      <c r="Z138" s="4"/>
      <c r="AA138" s="4"/>
      <c r="AB138" s="4"/>
      <c r="AC138" s="24"/>
      <c r="AD138" s="4"/>
      <c r="AE138" s="6" t="s">
        <v>201</v>
      </c>
      <c r="AF138" s="4"/>
      <c r="AG138" s="6"/>
      <c r="AH138" s="4"/>
      <c r="AI138" s="6"/>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ht="14.5" x14ac:dyDescent="0.35">
      <c r="A139" s="4"/>
      <c r="B139" s="4"/>
      <c r="C139" s="24"/>
      <c r="D139" s="4"/>
      <c r="E139" s="4"/>
      <c r="F139" s="4"/>
      <c r="G139" s="4"/>
      <c r="H139" s="24"/>
      <c r="I139" s="4"/>
      <c r="J139" s="4"/>
      <c r="K139" s="4"/>
      <c r="L139" s="4"/>
      <c r="M139" s="4"/>
      <c r="N139" s="24"/>
      <c r="O139" s="4"/>
      <c r="P139" s="4"/>
      <c r="Q139" s="4"/>
      <c r="R139" s="4"/>
      <c r="S139" s="4"/>
      <c r="T139" s="4"/>
      <c r="U139" s="24"/>
      <c r="V139" s="4"/>
      <c r="W139" s="24"/>
      <c r="X139" s="4"/>
      <c r="Y139" s="24"/>
      <c r="Z139" s="4"/>
      <c r="AA139" s="4"/>
      <c r="AB139" s="4"/>
      <c r="AC139" s="6" t="s">
        <v>202</v>
      </c>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ht="14.5" x14ac:dyDescent="0.35">
      <c r="A140" s="4"/>
      <c r="B140" s="4"/>
      <c r="C140" s="24"/>
      <c r="D140" s="4"/>
      <c r="E140" s="4"/>
      <c r="F140" s="4"/>
      <c r="G140" s="4"/>
      <c r="H140" s="24"/>
      <c r="I140" s="4"/>
      <c r="J140" s="4"/>
      <c r="K140" s="4"/>
      <c r="L140" s="4"/>
      <c r="M140" s="4"/>
      <c r="N140" s="24"/>
      <c r="O140" s="4"/>
      <c r="P140" s="4"/>
      <c r="Q140" s="4"/>
      <c r="R140" s="4"/>
      <c r="S140" s="4"/>
      <c r="T140" s="4"/>
      <c r="U140" s="24"/>
      <c r="V140" s="4"/>
      <c r="W140" s="24"/>
      <c r="X140" s="4"/>
      <c r="Y140" s="24"/>
      <c r="Z140" s="4"/>
      <c r="AA140" s="6" t="s">
        <v>203</v>
      </c>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ht="14.5" x14ac:dyDescent="0.35">
      <c r="A141" s="4"/>
      <c r="B141" s="4"/>
      <c r="C141" s="24"/>
      <c r="D141" s="4"/>
      <c r="E141" s="4"/>
      <c r="F141" s="4"/>
      <c r="G141" s="4"/>
      <c r="H141" s="24"/>
      <c r="I141" s="4"/>
      <c r="J141" s="4"/>
      <c r="K141" s="4"/>
      <c r="L141" s="4"/>
      <c r="M141" s="4"/>
      <c r="N141" s="24"/>
      <c r="O141" s="4"/>
      <c r="P141" s="4"/>
      <c r="Q141" s="4"/>
      <c r="R141" s="4"/>
      <c r="S141" s="4"/>
      <c r="T141" s="4"/>
      <c r="U141" s="24"/>
      <c r="V141" s="4"/>
      <c r="W141" s="24"/>
      <c r="X141" s="4"/>
      <c r="Y141" s="6" t="s">
        <v>1643</v>
      </c>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ht="14.5" x14ac:dyDescent="0.35">
      <c r="A142" s="4"/>
      <c r="B142" s="4"/>
      <c r="C142" s="24"/>
      <c r="D142" s="4"/>
      <c r="E142" s="4"/>
      <c r="F142" s="4"/>
      <c r="G142" s="4"/>
      <c r="H142" s="24"/>
      <c r="I142" s="4"/>
      <c r="J142" s="4"/>
      <c r="K142" s="4"/>
      <c r="L142" s="4"/>
      <c r="M142" s="4"/>
      <c r="N142" s="24"/>
      <c r="O142" s="4"/>
      <c r="P142" s="4"/>
      <c r="Q142" s="4"/>
      <c r="R142" s="4"/>
      <c r="S142" s="4"/>
      <c r="T142" s="4"/>
      <c r="U142" s="24"/>
      <c r="V142" s="4"/>
      <c r="W142" s="6" t="s">
        <v>204</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ht="14.5" x14ac:dyDescent="0.35">
      <c r="A143" s="4"/>
      <c r="B143" s="4"/>
      <c r="C143" s="24"/>
      <c r="D143" s="4"/>
      <c r="E143" s="4"/>
      <c r="F143" s="4"/>
      <c r="G143" s="4"/>
      <c r="H143" s="24"/>
      <c r="I143" s="4"/>
      <c r="J143" s="4"/>
      <c r="K143" s="4"/>
      <c r="L143" s="4"/>
      <c r="M143" s="4"/>
      <c r="N143" s="24"/>
      <c r="O143" s="4"/>
      <c r="P143" s="4"/>
      <c r="Q143" s="4"/>
      <c r="R143" s="4"/>
      <c r="S143" s="4"/>
      <c r="T143" s="4"/>
      <c r="U143" s="6" t="s">
        <v>205</v>
      </c>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4.5" x14ac:dyDescent="0.35">
      <c r="A144" s="4"/>
      <c r="B144" s="4"/>
      <c r="C144" s="24"/>
      <c r="D144" s="4"/>
      <c r="E144" s="4"/>
      <c r="F144" s="4"/>
      <c r="G144" s="4"/>
      <c r="H144" s="24"/>
      <c r="I144" s="4"/>
      <c r="J144" s="4"/>
      <c r="K144" s="4"/>
      <c r="L144" s="4"/>
      <c r="M144" s="4"/>
      <c r="N144" s="166" t="s">
        <v>1484</v>
      </c>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x14ac:dyDescent="0.35">
      <c r="A145" s="4"/>
      <c r="B145" s="4"/>
      <c r="C145" s="24"/>
      <c r="D145" s="4"/>
      <c r="E145" s="4"/>
      <c r="F145" s="4"/>
      <c r="G145" s="4"/>
      <c r="H145" s="24"/>
      <c r="I145" s="4"/>
      <c r="J145" s="4"/>
      <c r="K145" s="4"/>
      <c r="L145" s="4"/>
      <c r="M145" s="194" t="s">
        <v>1421</v>
      </c>
      <c r="N145" s="110"/>
      <c r="O145" s="4"/>
      <c r="P145" s="4"/>
      <c r="Q145" s="4"/>
      <c r="R145" s="4"/>
      <c r="S145" s="1257"/>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ht="14.5" x14ac:dyDescent="0.35">
      <c r="A146" s="4"/>
      <c r="B146" s="2" t="s">
        <v>1243</v>
      </c>
      <c r="C146" s="875"/>
      <c r="D146" s="2"/>
      <c r="E146" s="2"/>
      <c r="F146" s="2"/>
      <c r="G146" s="2"/>
      <c r="H146" s="875"/>
      <c r="I146" s="2"/>
      <c r="J146" s="18"/>
      <c r="K146" s="948" t="s">
        <v>1242</v>
      </c>
      <c r="L146" s="25" t="s">
        <v>983</v>
      </c>
      <c r="M146" s="2"/>
      <c r="N146" s="876"/>
      <c r="O146" s="2"/>
      <c r="P146" s="2"/>
      <c r="Q146" s="2"/>
      <c r="R146" s="4"/>
      <c r="S146" s="49"/>
      <c r="T146" s="49"/>
      <c r="U146" s="49"/>
      <c r="V146" s="49"/>
      <c r="W146" s="49"/>
      <c r="X146" s="49"/>
      <c r="Y146" s="49"/>
      <c r="Z146" s="49"/>
      <c r="AA146" s="49"/>
      <c r="AB146" s="145"/>
      <c r="AC146" s="49" t="s">
        <v>183</v>
      </c>
      <c r="AD146" s="49"/>
      <c r="AE146" s="49" t="s">
        <v>146</v>
      </c>
      <c r="AF146" s="49"/>
      <c r="AG146" s="47">
        <f>berekeningen!D9</f>
        <v>40</v>
      </c>
      <c r="AH146" s="47">
        <f>berekeningen!E9</f>
        <v>31.5</v>
      </c>
      <c r="AI146" s="47">
        <f>berekeningen!F9</f>
        <v>20</v>
      </c>
      <c r="AJ146" s="47">
        <f>berekeningen!G9</f>
        <v>16</v>
      </c>
      <c r="AK146" s="47">
        <f>berekeningen!H9</f>
        <v>14</v>
      </c>
      <c r="AL146" s="47">
        <f>berekeningen!I9</f>
        <v>12.5</v>
      </c>
      <c r="AM146" s="47">
        <f>berekeningen!J9</f>
        <v>10</v>
      </c>
      <c r="AN146" s="47">
        <f>berekeningen!K9</f>
        <v>8</v>
      </c>
      <c r="AO146" s="47">
        <f>berekeningen!L9</f>
        <v>6.3</v>
      </c>
      <c r="AP146" s="47">
        <f>berekeningen!M9</f>
        <v>4</v>
      </c>
      <c r="AQ146" s="47">
        <f>berekeningen!N9</f>
        <v>2</v>
      </c>
      <c r="AR146" s="47">
        <f>berekeningen!O9</f>
        <v>1</v>
      </c>
      <c r="AS146" s="47">
        <f>berekeningen!P9</f>
        <v>0.5</v>
      </c>
      <c r="AT146" s="47">
        <f>berekeningen!Q9</f>
        <v>0.25</v>
      </c>
      <c r="AU146" s="47">
        <f>berekeningen!R9</f>
        <v>0.125</v>
      </c>
      <c r="AV146" s="47">
        <f>berekeningen!S9</f>
        <v>6.3E-2</v>
      </c>
      <c r="AW146" s="4"/>
      <c r="AX146" s="4"/>
      <c r="AY146" s="4"/>
      <c r="AZ146" s="4"/>
      <c r="BA146" s="4"/>
      <c r="BB146" s="4"/>
      <c r="BC146" s="4"/>
      <c r="BD146" s="4"/>
      <c r="BE146" s="4"/>
      <c r="BF146" s="4"/>
      <c r="BG146" s="4"/>
      <c r="BH146" s="4"/>
    </row>
    <row r="147" spans="1:60" ht="14.5" x14ac:dyDescent="0.35">
      <c r="A147" s="4"/>
      <c r="B147" s="2" t="s">
        <v>1244</v>
      </c>
      <c r="C147" s="875"/>
      <c r="D147" s="2"/>
      <c r="E147" s="2"/>
      <c r="F147" s="2"/>
      <c r="G147" s="2"/>
      <c r="H147" s="875"/>
      <c r="I147" s="2"/>
      <c r="J147" s="18"/>
      <c r="K147" s="948" t="s">
        <v>857</v>
      </c>
      <c r="L147" s="25" t="s">
        <v>984</v>
      </c>
      <c r="M147" s="2"/>
      <c r="N147" s="876"/>
      <c r="O147" s="2"/>
      <c r="P147" s="2"/>
      <c r="Q147" s="2"/>
      <c r="R147" s="4"/>
      <c r="S147" s="2"/>
      <c r="T147" s="2"/>
      <c r="U147" s="2"/>
      <c r="V147" s="2"/>
      <c r="W147" s="2"/>
      <c r="X147" s="2"/>
      <c r="Y147" s="2" t="s">
        <v>868</v>
      </c>
      <c r="Z147" s="2"/>
      <c r="AA147" s="2"/>
      <c r="AB147" s="140" t="s">
        <v>865</v>
      </c>
      <c r="AC147" s="60">
        <v>0.8</v>
      </c>
      <c r="AD147" s="60"/>
      <c r="AE147" s="60">
        <v>10</v>
      </c>
      <c r="AF147" s="18"/>
      <c r="AG147" s="18"/>
      <c r="AH147" s="18"/>
      <c r="AI147" s="18"/>
      <c r="AJ147" s="18"/>
      <c r="AK147" s="18"/>
      <c r="AL147" s="18"/>
      <c r="AM147" s="18">
        <v>15</v>
      </c>
      <c r="AN147" s="18"/>
      <c r="AO147" s="18">
        <v>15</v>
      </c>
      <c r="AP147" s="18"/>
      <c r="AQ147" s="18">
        <v>10</v>
      </c>
      <c r="AR147" s="18"/>
      <c r="AS147" s="18"/>
      <c r="AT147" s="18"/>
      <c r="AU147" s="18"/>
      <c r="AV147" s="18">
        <v>2.5</v>
      </c>
      <c r="AW147" s="4"/>
      <c r="AX147" s="4"/>
      <c r="AY147" s="4"/>
      <c r="AZ147" s="4"/>
      <c r="BA147" s="4"/>
      <c r="BB147" s="4"/>
      <c r="BC147" s="4"/>
      <c r="BD147" s="4"/>
      <c r="BE147" s="4"/>
      <c r="BF147" s="4"/>
      <c r="BG147" s="4"/>
      <c r="BH147" s="4"/>
    </row>
    <row r="148" spans="1:60" ht="14.5" x14ac:dyDescent="0.35">
      <c r="A148" s="4"/>
      <c r="B148" s="2"/>
      <c r="C148" s="875"/>
      <c r="D148" s="2"/>
      <c r="E148" s="2"/>
      <c r="F148" s="2"/>
      <c r="G148" s="2"/>
      <c r="H148" s="875"/>
      <c r="I148" s="2"/>
      <c r="J148" s="2"/>
      <c r="K148" s="948" t="s">
        <v>982</v>
      </c>
      <c r="L148" s="25" t="s">
        <v>985</v>
      </c>
      <c r="M148" s="2"/>
      <c r="N148" s="876"/>
      <c r="O148" s="2"/>
      <c r="P148" s="2"/>
      <c r="Q148" s="2"/>
      <c r="R148" s="4"/>
      <c r="S148" s="2"/>
      <c r="T148" s="2"/>
      <c r="U148" s="2"/>
      <c r="V148" s="2"/>
      <c r="W148" s="2"/>
      <c r="X148" s="2"/>
      <c r="Y148" s="2"/>
      <c r="Z148" s="2"/>
      <c r="AA148" s="2"/>
      <c r="AB148" s="140" t="s">
        <v>866</v>
      </c>
      <c r="AC148" s="60">
        <v>1</v>
      </c>
      <c r="AD148" s="60"/>
      <c r="AE148" s="60">
        <v>10</v>
      </c>
      <c r="AF148" s="18"/>
      <c r="AG148" s="18"/>
      <c r="AH148" s="18"/>
      <c r="AI148" s="18"/>
      <c r="AJ148" s="18"/>
      <c r="AK148" s="18"/>
      <c r="AL148" s="18"/>
      <c r="AM148" s="18"/>
      <c r="AN148" s="18"/>
      <c r="AO148" s="18"/>
      <c r="AP148" s="18"/>
      <c r="AQ148" s="18">
        <v>10</v>
      </c>
      <c r="AR148" s="18"/>
      <c r="AS148" s="18"/>
      <c r="AT148" s="18"/>
      <c r="AU148" s="18"/>
      <c r="AV148" s="18">
        <v>3</v>
      </c>
      <c r="AW148" s="4"/>
      <c r="AX148" s="4"/>
      <c r="AY148" s="4"/>
      <c r="AZ148" s="4"/>
      <c r="BA148" s="4"/>
      <c r="BB148" s="4"/>
      <c r="BC148" s="4"/>
      <c r="BD148" s="4"/>
      <c r="BE148" s="4"/>
      <c r="BF148" s="4"/>
      <c r="BG148" s="4"/>
      <c r="BH148" s="4"/>
    </row>
    <row r="149" spans="1:60" ht="14.5" x14ac:dyDescent="0.35">
      <c r="A149" s="4"/>
      <c r="B149" s="2"/>
      <c r="C149" s="875"/>
      <c r="D149" s="2"/>
      <c r="E149" s="2"/>
      <c r="F149" s="2"/>
      <c r="G149" s="2"/>
      <c r="H149" s="875"/>
      <c r="I149" s="2"/>
      <c r="J149" s="2"/>
      <c r="K149" s="948" t="s">
        <v>858</v>
      </c>
      <c r="L149" s="25" t="s">
        <v>986</v>
      </c>
      <c r="M149" s="2"/>
      <c r="N149" s="876"/>
      <c r="O149" s="2"/>
      <c r="P149" s="2"/>
      <c r="Q149" s="2"/>
      <c r="R149" s="4"/>
      <c r="S149" s="2"/>
      <c r="T149" s="2"/>
      <c r="U149" s="2"/>
      <c r="V149" s="2"/>
      <c r="W149" s="2"/>
      <c r="X149" s="2"/>
      <c r="Y149" s="2"/>
      <c r="Z149" s="2"/>
      <c r="AA149" s="2"/>
      <c r="AB149" s="140" t="s">
        <v>867</v>
      </c>
      <c r="AC149" s="60">
        <v>5</v>
      </c>
      <c r="AD149" s="60"/>
      <c r="AE149" s="60">
        <v>5</v>
      </c>
      <c r="AF149" s="18"/>
      <c r="AG149" s="18"/>
      <c r="AH149" s="18"/>
      <c r="AI149" s="18"/>
      <c r="AJ149" s="18"/>
      <c r="AK149" s="18"/>
      <c r="AL149" s="18"/>
      <c r="AM149" s="18"/>
      <c r="AN149" s="18"/>
      <c r="AO149" s="18"/>
      <c r="AP149" s="18"/>
      <c r="AQ149" s="18">
        <v>10</v>
      </c>
      <c r="AR149" s="18"/>
      <c r="AS149" s="18"/>
      <c r="AT149" s="18"/>
      <c r="AU149" s="18"/>
      <c r="AV149" s="18">
        <v>15</v>
      </c>
      <c r="AW149" s="4"/>
      <c r="AX149" s="4"/>
      <c r="AY149" s="4"/>
      <c r="AZ149" s="4"/>
      <c r="BA149" s="4"/>
      <c r="BB149" s="4"/>
      <c r="BC149" s="4"/>
      <c r="BD149" s="4"/>
      <c r="BE149" s="4"/>
      <c r="BF149" s="4"/>
      <c r="BG149" s="4"/>
      <c r="BH149" s="4"/>
    </row>
    <row r="150" spans="1:60" x14ac:dyDescent="0.3">
      <c r="A150" s="4"/>
      <c r="B150" s="2"/>
      <c r="C150" s="875"/>
      <c r="D150" s="2"/>
      <c r="E150" s="2"/>
      <c r="F150" s="2"/>
      <c r="G150" s="2"/>
      <c r="H150" s="875"/>
      <c r="I150" s="2"/>
      <c r="J150" s="2"/>
      <c r="K150" s="1547"/>
      <c r="L150" s="2062"/>
      <c r="M150" s="2062"/>
      <c r="N150" s="2062"/>
      <c r="O150" s="2062"/>
      <c r="P150" s="2062"/>
      <c r="Q150" s="2062"/>
      <c r="R150" s="4"/>
      <c r="S150" s="2"/>
      <c r="T150" s="2"/>
      <c r="U150" s="2"/>
      <c r="V150" s="2"/>
      <c r="W150" s="2"/>
      <c r="X150" s="2"/>
      <c r="Y150" s="2"/>
      <c r="Z150" s="2"/>
      <c r="AA150" s="2"/>
      <c r="AB150" s="1548"/>
      <c r="AC150" s="1960"/>
      <c r="AD150" s="1960"/>
      <c r="AE150" s="1960"/>
      <c r="AF150" s="1960"/>
      <c r="AG150" s="1494"/>
      <c r="AH150" s="1494"/>
      <c r="AI150" s="1494"/>
      <c r="AJ150" s="1494"/>
      <c r="AK150" s="1494"/>
      <c r="AL150" s="1494"/>
      <c r="AM150" s="1494"/>
      <c r="AN150" s="1494"/>
      <c r="AO150" s="1494"/>
      <c r="AP150" s="1494"/>
      <c r="AQ150" s="1494"/>
      <c r="AR150" s="1494"/>
      <c r="AS150" s="1494"/>
      <c r="AT150" s="1494"/>
      <c r="AU150" s="1494"/>
      <c r="AV150" s="1494"/>
      <c r="AW150" s="4"/>
      <c r="AX150" s="4"/>
      <c r="AY150" s="4"/>
      <c r="AZ150" s="4"/>
      <c r="BA150" s="4"/>
      <c r="BB150" s="4"/>
      <c r="BC150" s="4"/>
      <c r="BD150" s="4"/>
      <c r="BE150" s="4"/>
      <c r="BF150" s="4"/>
      <c r="BG150" s="4"/>
      <c r="BH150" s="4"/>
    </row>
    <row r="151" spans="1:60"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x14ac:dyDescent="0.3">
      <c r="A152" s="4"/>
      <c r="B152" s="5" t="s">
        <v>161</v>
      </c>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x14ac:dyDescent="0.35">
      <c r="A153" s="4"/>
      <c r="B153" s="18" t="s">
        <v>114</v>
      </c>
      <c r="C153" s="2033"/>
      <c r="D153" s="2033"/>
      <c r="E153" s="2033" t="s">
        <v>131</v>
      </c>
      <c r="F153" s="2033"/>
      <c r="G153" s="2033"/>
      <c r="H153" s="2033" t="s">
        <v>170</v>
      </c>
      <c r="I153" s="2033"/>
      <c r="J153" s="2033"/>
      <c r="K153" s="2033" t="s">
        <v>119</v>
      </c>
      <c r="L153" s="2033"/>
      <c r="M153" s="2033"/>
      <c r="N153" s="2033" t="s">
        <v>120</v>
      </c>
      <c r="O153" s="2033"/>
      <c r="P153" s="2033"/>
      <c r="Q153" s="2033" t="s">
        <v>121</v>
      </c>
      <c r="R153" s="2033"/>
      <c r="S153" s="2034" t="s">
        <v>122</v>
      </c>
      <c r="T153" s="2034"/>
      <c r="U153" s="2034" t="s">
        <v>122</v>
      </c>
      <c r="V153" s="2034"/>
      <c r="W153" s="2033" t="s">
        <v>127</v>
      </c>
      <c r="X153" s="2033"/>
      <c r="Y153" s="2033"/>
      <c r="Z153" s="2033"/>
      <c r="AA153" s="2033"/>
      <c r="AB153" s="2033"/>
      <c r="AC153" s="2033"/>
      <c r="AD153" s="2033"/>
      <c r="AE153" s="2033"/>
      <c r="AF153" s="2033"/>
      <c r="AG153" s="2033"/>
      <c r="AH153" s="2033"/>
      <c r="AI153" s="2033"/>
      <c r="AJ153" s="2033"/>
      <c r="AK153" s="2033"/>
      <c r="AL153" s="2033"/>
      <c r="AM153" s="2034" t="s">
        <v>277</v>
      </c>
      <c r="AN153" s="2034"/>
      <c r="AO153" s="2034" t="s">
        <v>146</v>
      </c>
      <c r="AP153" s="2034"/>
      <c r="AQ153" s="2034" t="s">
        <v>278</v>
      </c>
      <c r="AR153" s="2034"/>
      <c r="AS153" s="2033" t="s">
        <v>133</v>
      </c>
      <c r="AT153" s="2033"/>
      <c r="AU153" s="4"/>
      <c r="AV153" s="4"/>
      <c r="AW153" s="4"/>
      <c r="AX153" s="4"/>
      <c r="AY153" s="4"/>
      <c r="AZ153" s="4"/>
      <c r="BA153" s="4"/>
      <c r="BB153" s="4"/>
      <c r="BC153" s="4"/>
      <c r="BD153" s="4"/>
      <c r="BE153" s="4"/>
      <c r="BF153" s="4"/>
      <c r="BG153" s="4"/>
      <c r="BH153" s="4"/>
    </row>
    <row r="154" spans="1:60" x14ac:dyDescent="0.3">
      <c r="A154" s="4"/>
      <c r="B154" s="18"/>
      <c r="C154" s="18"/>
      <c r="D154" s="18"/>
      <c r="E154" s="18"/>
      <c r="F154" s="18"/>
      <c r="G154" s="18"/>
      <c r="H154" s="18"/>
      <c r="I154" s="18"/>
      <c r="J154" s="18"/>
      <c r="K154" s="18"/>
      <c r="L154" s="18"/>
      <c r="M154" s="18"/>
      <c r="N154" s="18"/>
      <c r="O154" s="18"/>
      <c r="P154" s="18"/>
      <c r="Q154" s="18"/>
      <c r="R154" s="18"/>
      <c r="S154" s="2034" t="s">
        <v>174</v>
      </c>
      <c r="T154" s="2034"/>
      <c r="U154" s="2034" t="s">
        <v>176</v>
      </c>
      <c r="V154" s="2034"/>
      <c r="W154" s="18"/>
      <c r="X154" s="18"/>
      <c r="Y154" s="18"/>
      <c r="Z154" s="18"/>
      <c r="AA154" s="18"/>
      <c r="AB154" s="18"/>
      <c r="AC154" s="18"/>
      <c r="AD154" s="18"/>
      <c r="AE154" s="18"/>
      <c r="AF154" s="18"/>
      <c r="AG154" s="18"/>
      <c r="AH154" s="18"/>
      <c r="AI154" s="18"/>
      <c r="AJ154" s="18"/>
      <c r="AK154" s="18"/>
      <c r="AL154" s="18"/>
      <c r="AM154" s="2034" t="s">
        <v>176</v>
      </c>
      <c r="AN154" s="2034"/>
      <c r="AO154" s="2034" t="s">
        <v>176</v>
      </c>
      <c r="AP154" s="2034"/>
      <c r="AQ154" s="2034" t="s">
        <v>176</v>
      </c>
      <c r="AR154" s="2034"/>
      <c r="AS154" s="2033" t="s">
        <v>178</v>
      </c>
      <c r="AT154" s="2033"/>
      <c r="AU154" s="4"/>
      <c r="AV154" s="4"/>
      <c r="AW154" s="4"/>
      <c r="AX154" s="4"/>
      <c r="AY154" s="4"/>
      <c r="AZ154" s="4"/>
      <c r="BA154" s="4"/>
      <c r="BB154" s="4"/>
      <c r="BC154" s="4"/>
      <c r="BD154" s="4"/>
      <c r="BE154" s="4"/>
      <c r="BF154" s="4"/>
      <c r="BG154" s="4"/>
      <c r="BH154" s="4"/>
    </row>
    <row r="155" spans="1:60" ht="14.5" thickBot="1" x14ac:dyDescent="0.35">
      <c r="A155" s="4"/>
      <c r="B155" s="18"/>
      <c r="C155" s="2033"/>
      <c r="D155" s="2033"/>
      <c r="E155" s="2"/>
      <c r="F155" s="2"/>
      <c r="G155" s="2"/>
      <c r="H155" s="2"/>
      <c r="I155" s="2"/>
      <c r="J155" s="2"/>
      <c r="K155" s="2033"/>
      <c r="L155" s="2033"/>
      <c r="M155" s="2033"/>
      <c r="N155" s="2033"/>
      <c r="O155" s="2033"/>
      <c r="P155" s="2033"/>
      <c r="Q155" s="2"/>
      <c r="R155" s="2"/>
      <c r="S155" s="2033" t="s">
        <v>418</v>
      </c>
      <c r="T155" s="2033"/>
      <c r="U155" s="2033" t="s">
        <v>418</v>
      </c>
      <c r="V155" s="2033"/>
      <c r="W155" s="18">
        <f>berekeningen!D9</f>
        <v>40</v>
      </c>
      <c r="X155" s="18">
        <f>berekeningen!E9</f>
        <v>31.5</v>
      </c>
      <c r="Y155" s="18">
        <f>berekeningen!F9</f>
        <v>20</v>
      </c>
      <c r="Z155" s="18">
        <f>berekeningen!G9</f>
        <v>16</v>
      </c>
      <c r="AA155" s="18">
        <f>berekeningen!H9</f>
        <v>14</v>
      </c>
      <c r="AB155" s="18">
        <f>berekeningen!I9</f>
        <v>12.5</v>
      </c>
      <c r="AC155" s="18">
        <f>berekeningen!J9</f>
        <v>10</v>
      </c>
      <c r="AD155" s="18">
        <f>berekeningen!K9</f>
        <v>8</v>
      </c>
      <c r="AE155" s="18">
        <f>berekeningen!L9</f>
        <v>6.3</v>
      </c>
      <c r="AF155" s="18">
        <f>berekeningen!M9</f>
        <v>4</v>
      </c>
      <c r="AG155" s="18">
        <f>berekeningen!N9</f>
        <v>2</v>
      </c>
      <c r="AH155" s="18">
        <f>berekeningen!O9</f>
        <v>1</v>
      </c>
      <c r="AI155" s="18">
        <f>berekeningen!P9</f>
        <v>0.5</v>
      </c>
      <c r="AJ155" s="18">
        <f>berekeningen!Q9</f>
        <v>0.25</v>
      </c>
      <c r="AK155" s="18">
        <f>berekeningen!R9</f>
        <v>0.125</v>
      </c>
      <c r="AL155" s="18">
        <f>berekeningen!S9</f>
        <v>6.3E-2</v>
      </c>
      <c r="AM155" s="2033" t="s">
        <v>132</v>
      </c>
      <c r="AN155" s="2033"/>
      <c r="AO155" s="2033" t="s">
        <v>147</v>
      </c>
      <c r="AP155" s="2033"/>
      <c r="AQ155" s="2033" t="s">
        <v>488</v>
      </c>
      <c r="AR155" s="2033"/>
      <c r="AS155" s="2033" t="s">
        <v>132</v>
      </c>
      <c r="AT155" s="2033"/>
      <c r="AU155" s="4"/>
      <c r="AV155" s="4"/>
      <c r="AW155" s="4"/>
      <c r="AX155" s="4"/>
      <c r="AY155" s="4"/>
      <c r="AZ155" s="4"/>
      <c r="BA155" s="4"/>
      <c r="BB155" s="4"/>
      <c r="BC155" s="4"/>
      <c r="BD155" s="4"/>
      <c r="BE155" s="4"/>
      <c r="BF155" s="4"/>
      <c r="BG155" s="4"/>
      <c r="BH155" s="4"/>
    </row>
    <row r="156" spans="1:60" ht="15" customHeight="1" thickTop="1" x14ac:dyDescent="0.3">
      <c r="A156" s="4"/>
      <c r="B156" s="29">
        <v>81</v>
      </c>
      <c r="C156" s="30"/>
      <c r="D156" s="30"/>
      <c r="E156" s="35" t="s">
        <v>162</v>
      </c>
      <c r="F156" s="30"/>
      <c r="G156" s="36"/>
      <c r="H156" s="2050" t="s">
        <v>400</v>
      </c>
      <c r="I156" s="2051"/>
      <c r="J156" s="2052"/>
      <c r="K156" s="2050" t="s">
        <v>401</v>
      </c>
      <c r="L156" s="2051"/>
      <c r="M156" s="2052"/>
      <c r="N156" s="2050" t="s">
        <v>402</v>
      </c>
      <c r="O156" s="2051"/>
      <c r="P156" s="2052"/>
      <c r="Q156" s="2050" t="s">
        <v>16</v>
      </c>
      <c r="R156" s="2052"/>
      <c r="S156" s="58"/>
      <c r="T156" s="58"/>
      <c r="U156" s="30"/>
      <c r="V156" s="30"/>
      <c r="W156" s="37"/>
      <c r="X156" s="37"/>
      <c r="Y156" s="37"/>
      <c r="Z156" s="37"/>
      <c r="AA156" s="37"/>
      <c r="AB156" s="37"/>
      <c r="AC156" s="37"/>
      <c r="AD156" s="37"/>
      <c r="AE156" s="37"/>
      <c r="AF156" s="37"/>
      <c r="AG156" s="37"/>
      <c r="AH156" s="37"/>
      <c r="AI156" s="37"/>
      <c r="AJ156" s="37"/>
      <c r="AK156" s="37"/>
      <c r="AL156" s="35"/>
      <c r="AM156" s="35"/>
      <c r="AN156" s="36"/>
      <c r="AO156" s="35"/>
      <c r="AP156" s="36"/>
      <c r="AQ156" s="35"/>
      <c r="AR156" s="36"/>
      <c r="AS156" s="30"/>
      <c r="AT156" s="30"/>
      <c r="AU156" s="4"/>
      <c r="AV156" s="4"/>
      <c r="AW156" s="4"/>
      <c r="AX156" s="4"/>
      <c r="AY156" s="4"/>
      <c r="AZ156" s="4"/>
      <c r="BA156" s="4"/>
      <c r="BB156" s="4"/>
      <c r="BC156" s="4"/>
      <c r="BD156" s="4"/>
      <c r="BE156" s="4"/>
      <c r="BF156" s="4"/>
      <c r="BG156" s="4"/>
      <c r="BH156" s="4"/>
    </row>
    <row r="157" spans="1:60" ht="14.5" thickBot="1" x14ac:dyDescent="0.35">
      <c r="A157" s="4"/>
      <c r="B157" s="42">
        <v>82</v>
      </c>
      <c r="C157" s="43"/>
      <c r="D157" s="43"/>
      <c r="E157" s="2047"/>
      <c r="F157" s="2048"/>
      <c r="G157" s="2049"/>
      <c r="H157" s="2047"/>
      <c r="I157" s="2048"/>
      <c r="J157" s="2049"/>
      <c r="K157" s="2047"/>
      <c r="L157" s="2048"/>
      <c r="M157" s="2049"/>
      <c r="N157" s="2047"/>
      <c r="O157" s="2048"/>
      <c r="P157" s="2049"/>
      <c r="Q157" s="2047"/>
      <c r="R157" s="2049"/>
      <c r="S157" s="66"/>
      <c r="T157" s="66"/>
      <c r="U157" s="43"/>
      <c r="V157" s="43"/>
      <c r="W157" s="44"/>
      <c r="X157" s="44"/>
      <c r="Y157" s="44"/>
      <c r="Z157" s="44"/>
      <c r="AA157" s="44"/>
      <c r="AB157" s="44"/>
      <c r="AC157" s="44"/>
      <c r="AD157" s="44"/>
      <c r="AE157" s="44"/>
      <c r="AF157" s="44"/>
      <c r="AG157" s="44"/>
      <c r="AH157" s="44"/>
      <c r="AI157" s="44"/>
      <c r="AJ157" s="44"/>
      <c r="AK157" s="44"/>
      <c r="AL157" s="45"/>
      <c r="AM157" s="45"/>
      <c r="AN157" s="46"/>
      <c r="AO157" s="45"/>
      <c r="AP157" s="46"/>
      <c r="AQ157" s="45"/>
      <c r="AR157" s="46"/>
      <c r="AS157" s="43"/>
      <c r="AT157" s="43"/>
      <c r="AU157" s="4"/>
      <c r="AV157" s="4"/>
      <c r="AW157" s="4"/>
      <c r="AX157" s="4"/>
      <c r="AY157" s="4"/>
      <c r="AZ157" s="4"/>
      <c r="BA157" s="4"/>
      <c r="BB157" s="4"/>
      <c r="BC157" s="4"/>
      <c r="BD157" s="4"/>
      <c r="BE157" s="4"/>
      <c r="BF157" s="4"/>
      <c r="BG157" s="4"/>
      <c r="BH157" s="4"/>
    </row>
    <row r="158" spans="1:60" ht="15" customHeight="1" thickTop="1" x14ac:dyDescent="0.3">
      <c r="A158" s="4"/>
      <c r="B158" s="29">
        <v>83</v>
      </c>
      <c r="C158" s="30"/>
      <c r="D158" s="30"/>
      <c r="E158" s="2050" t="s">
        <v>615</v>
      </c>
      <c r="F158" s="2051"/>
      <c r="G158" s="2052"/>
      <c r="H158" s="2050" t="s">
        <v>616</v>
      </c>
      <c r="I158" s="2051"/>
      <c r="J158" s="2052"/>
      <c r="K158" s="2050" t="s">
        <v>403</v>
      </c>
      <c r="L158" s="2051"/>
      <c r="M158" s="2052"/>
      <c r="N158" s="2050" t="s">
        <v>404</v>
      </c>
      <c r="O158" s="2051"/>
      <c r="P158" s="2052"/>
      <c r="Q158" s="2050" t="s">
        <v>405</v>
      </c>
      <c r="R158" s="2052"/>
      <c r="S158" s="2082">
        <v>5</v>
      </c>
      <c r="T158" s="2120"/>
      <c r="U158" s="51"/>
      <c r="V158" s="30"/>
      <c r="W158" s="1505"/>
      <c r="X158" s="1505"/>
      <c r="Y158" s="1505"/>
      <c r="Z158" s="1505"/>
      <c r="AA158" s="1505"/>
      <c r="AB158" s="1505"/>
      <c r="AC158" s="1505"/>
      <c r="AD158" s="1505"/>
      <c r="AE158" s="1505"/>
      <c r="AF158" s="1505"/>
      <c r="AG158" s="1505"/>
      <c r="AH158" s="1505"/>
      <c r="AI158" s="1505"/>
      <c r="AJ158" s="1505"/>
      <c r="AK158" s="1505"/>
      <c r="AL158" s="1848">
        <v>100</v>
      </c>
      <c r="AM158" s="35"/>
      <c r="AN158" s="36"/>
      <c r="AO158" s="35"/>
      <c r="AP158" s="36"/>
      <c r="AQ158" s="35"/>
      <c r="AR158" s="36"/>
      <c r="AS158" s="2037">
        <v>40</v>
      </c>
      <c r="AT158" s="2129"/>
      <c r="AU158" s="4"/>
      <c r="AV158" s="4"/>
      <c r="AW158" s="4"/>
      <c r="AX158" s="4"/>
      <c r="AY158" s="4"/>
      <c r="AZ158" s="4"/>
      <c r="BA158" s="4"/>
      <c r="BB158" s="4"/>
      <c r="BC158" s="4"/>
      <c r="BD158" s="4"/>
      <c r="BE158" s="4"/>
      <c r="BF158" s="4"/>
      <c r="BG158" s="4"/>
      <c r="BH158" s="4"/>
    </row>
    <row r="159" spans="1:60" x14ac:dyDescent="0.3">
      <c r="A159" s="4"/>
      <c r="B159" s="47">
        <v>84</v>
      </c>
      <c r="C159" s="49"/>
      <c r="D159" s="49"/>
      <c r="E159" s="2053" t="s">
        <v>163</v>
      </c>
      <c r="F159" s="2054"/>
      <c r="G159" s="2055"/>
      <c r="H159" s="2053"/>
      <c r="I159" s="2054"/>
      <c r="J159" s="2055"/>
      <c r="K159" s="2053"/>
      <c r="L159" s="2054"/>
      <c r="M159" s="2055"/>
      <c r="N159" s="2053"/>
      <c r="O159" s="2054"/>
      <c r="P159" s="2055"/>
      <c r="Q159" s="2053"/>
      <c r="R159" s="2055"/>
      <c r="S159" s="2035"/>
      <c r="T159" s="2121"/>
      <c r="U159" s="105"/>
      <c r="V159" s="49"/>
      <c r="W159" s="1549"/>
      <c r="X159" s="1549"/>
      <c r="Y159" s="1549"/>
      <c r="Z159" s="1549"/>
      <c r="AA159" s="1549"/>
      <c r="AB159" s="1549"/>
      <c r="AC159" s="1549"/>
      <c r="AD159" s="1549"/>
      <c r="AE159" s="1549"/>
      <c r="AF159" s="1549"/>
      <c r="AG159" s="1549"/>
      <c r="AH159" s="1549"/>
      <c r="AI159" s="1549"/>
      <c r="AJ159" s="1549"/>
      <c r="AK159" s="1549"/>
      <c r="AL159" s="1849"/>
      <c r="AM159" s="48"/>
      <c r="AN159" s="99"/>
      <c r="AO159" s="48"/>
      <c r="AP159" s="99"/>
      <c r="AQ159" s="48"/>
      <c r="AR159" s="99"/>
      <c r="AS159" s="2039"/>
      <c r="AT159" s="2130"/>
      <c r="AU159" s="4"/>
      <c r="AV159" s="4"/>
      <c r="AW159" s="4"/>
      <c r="AX159" s="4"/>
      <c r="AY159" s="4"/>
      <c r="AZ159" s="4"/>
      <c r="BA159" s="4"/>
      <c r="BB159" s="4"/>
      <c r="BC159" s="4"/>
      <c r="BD159" s="4"/>
      <c r="BE159" s="4"/>
      <c r="BF159" s="4"/>
      <c r="BG159" s="4"/>
      <c r="BH159" s="4"/>
    </row>
    <row r="160" spans="1:60" x14ac:dyDescent="0.3">
      <c r="A160" s="4"/>
      <c r="B160" s="47">
        <v>85</v>
      </c>
      <c r="C160" s="49"/>
      <c r="D160" s="49"/>
      <c r="E160" s="2053" t="s">
        <v>163</v>
      </c>
      <c r="F160" s="2054"/>
      <c r="G160" s="2055"/>
      <c r="H160" s="2053"/>
      <c r="I160" s="2054"/>
      <c r="J160" s="2055"/>
      <c r="K160" s="2053"/>
      <c r="L160" s="2054"/>
      <c r="M160" s="2055"/>
      <c r="N160" s="2053"/>
      <c r="O160" s="2054"/>
      <c r="P160" s="2055"/>
      <c r="Q160" s="2053"/>
      <c r="R160" s="2055"/>
      <c r="S160" s="2035"/>
      <c r="T160" s="2121"/>
      <c r="U160" s="105"/>
      <c r="V160" s="49"/>
      <c r="W160" s="1549"/>
      <c r="X160" s="1549"/>
      <c r="Y160" s="1549"/>
      <c r="Z160" s="1549"/>
      <c r="AA160" s="1549"/>
      <c r="AB160" s="1549"/>
      <c r="AC160" s="1549"/>
      <c r="AD160" s="1549"/>
      <c r="AE160" s="1549"/>
      <c r="AF160" s="1549"/>
      <c r="AG160" s="1549"/>
      <c r="AH160" s="1549"/>
      <c r="AI160" s="1549"/>
      <c r="AJ160" s="1549"/>
      <c r="AK160" s="1549"/>
      <c r="AL160" s="1849"/>
      <c r="AM160" s="48"/>
      <c r="AN160" s="99"/>
      <c r="AO160" s="48"/>
      <c r="AP160" s="99"/>
      <c r="AQ160" s="48"/>
      <c r="AR160" s="99"/>
      <c r="AS160" s="2039"/>
      <c r="AT160" s="2130"/>
      <c r="AU160" s="4"/>
      <c r="AV160" s="4"/>
      <c r="AW160" s="4"/>
      <c r="AX160" s="4"/>
      <c r="AY160" s="4"/>
      <c r="AZ160" s="4"/>
      <c r="BA160" s="4"/>
      <c r="BB160" s="4"/>
      <c r="BC160" s="4"/>
      <c r="BD160" s="4"/>
      <c r="BE160" s="4"/>
      <c r="BF160" s="4"/>
      <c r="BG160" s="4"/>
      <c r="BH160" s="4"/>
    </row>
    <row r="161" spans="1:60" x14ac:dyDescent="0.3">
      <c r="A161" s="4"/>
      <c r="B161" s="47">
        <v>86</v>
      </c>
      <c r="C161" s="49"/>
      <c r="D161" s="49"/>
      <c r="E161" s="2053" t="s">
        <v>163</v>
      </c>
      <c r="F161" s="2054"/>
      <c r="G161" s="2055"/>
      <c r="H161" s="2053"/>
      <c r="I161" s="2054"/>
      <c r="J161" s="2055"/>
      <c r="K161" s="2053"/>
      <c r="L161" s="2054"/>
      <c r="M161" s="2055"/>
      <c r="N161" s="2053"/>
      <c r="O161" s="2054"/>
      <c r="P161" s="2055"/>
      <c r="Q161" s="2053"/>
      <c r="R161" s="2055"/>
      <c r="S161" s="2035"/>
      <c r="T161" s="2121"/>
      <c r="U161" s="105"/>
      <c r="V161" s="49"/>
      <c r="W161" s="1549"/>
      <c r="X161" s="1549"/>
      <c r="Y161" s="1549"/>
      <c r="Z161" s="1549"/>
      <c r="AA161" s="1549"/>
      <c r="AB161" s="1549"/>
      <c r="AC161" s="1549"/>
      <c r="AD161" s="1549"/>
      <c r="AE161" s="1549"/>
      <c r="AF161" s="1549"/>
      <c r="AG161" s="1549"/>
      <c r="AH161" s="1549"/>
      <c r="AI161" s="1549"/>
      <c r="AJ161" s="1549"/>
      <c r="AK161" s="1549"/>
      <c r="AL161" s="1849"/>
      <c r="AM161" s="48"/>
      <c r="AN161" s="99"/>
      <c r="AO161" s="48"/>
      <c r="AP161" s="99"/>
      <c r="AQ161" s="48"/>
      <c r="AR161" s="99"/>
      <c r="AS161" s="2039"/>
      <c r="AT161" s="2130"/>
      <c r="AU161" s="4"/>
      <c r="AV161" s="4"/>
      <c r="AW161" s="4"/>
      <c r="AX161" s="4"/>
      <c r="AY161" s="4"/>
      <c r="AZ161" s="4"/>
      <c r="BA161" s="4"/>
      <c r="BB161" s="4"/>
      <c r="BC161" s="4"/>
      <c r="BD161" s="4"/>
      <c r="BE161" s="4"/>
      <c r="BF161" s="4"/>
      <c r="BG161" s="4"/>
      <c r="BH161" s="4"/>
    </row>
    <row r="162" spans="1:60" x14ac:dyDescent="0.3">
      <c r="A162" s="4"/>
      <c r="B162" s="47">
        <v>87</v>
      </c>
      <c r="C162" s="49"/>
      <c r="D162" s="49"/>
      <c r="E162" s="2053" t="s">
        <v>163</v>
      </c>
      <c r="F162" s="2054"/>
      <c r="G162" s="2055"/>
      <c r="H162" s="2053"/>
      <c r="I162" s="2054"/>
      <c r="J162" s="2055"/>
      <c r="K162" s="2053"/>
      <c r="L162" s="2054"/>
      <c r="M162" s="2055"/>
      <c r="N162" s="2053"/>
      <c r="O162" s="2054"/>
      <c r="P162" s="2055"/>
      <c r="Q162" s="2053"/>
      <c r="R162" s="2055"/>
      <c r="S162" s="2035"/>
      <c r="T162" s="2121"/>
      <c r="U162" s="105"/>
      <c r="V162" s="49"/>
      <c r="W162" s="1549"/>
      <c r="X162" s="1549"/>
      <c r="Y162" s="1549"/>
      <c r="Z162" s="1549"/>
      <c r="AA162" s="1549"/>
      <c r="AB162" s="1549"/>
      <c r="AC162" s="1549"/>
      <c r="AD162" s="1549"/>
      <c r="AE162" s="1549"/>
      <c r="AF162" s="1549"/>
      <c r="AG162" s="1549"/>
      <c r="AH162" s="1549"/>
      <c r="AI162" s="1549"/>
      <c r="AJ162" s="1549"/>
      <c r="AK162" s="1549"/>
      <c r="AL162" s="1849"/>
      <c r="AM162" s="48"/>
      <c r="AN162" s="99"/>
      <c r="AO162" s="48"/>
      <c r="AP162" s="99"/>
      <c r="AQ162" s="48"/>
      <c r="AR162" s="99"/>
      <c r="AS162" s="2039"/>
      <c r="AT162" s="2130"/>
      <c r="AU162" s="4"/>
      <c r="AV162" s="4"/>
      <c r="AW162" s="4"/>
      <c r="AX162" s="4"/>
      <c r="AY162" s="4"/>
      <c r="AZ162" s="4"/>
      <c r="BA162" s="4"/>
      <c r="BB162" s="4"/>
      <c r="BC162" s="4"/>
      <c r="BD162" s="4"/>
      <c r="BE162" s="4"/>
      <c r="BF162" s="4"/>
      <c r="BG162" s="4"/>
      <c r="BH162" s="4"/>
    </row>
    <row r="163" spans="1:60" x14ac:dyDescent="0.3">
      <c r="A163" s="4"/>
      <c r="B163" s="47">
        <v>88</v>
      </c>
      <c r="C163" s="49"/>
      <c r="D163" s="49"/>
      <c r="E163" s="2053" t="s">
        <v>163</v>
      </c>
      <c r="F163" s="2054"/>
      <c r="G163" s="2055"/>
      <c r="H163" s="2053"/>
      <c r="I163" s="2054"/>
      <c r="J163" s="2055"/>
      <c r="K163" s="2053"/>
      <c r="L163" s="2054"/>
      <c r="M163" s="2055"/>
      <c r="N163" s="2053"/>
      <c r="O163" s="2054"/>
      <c r="P163" s="2055"/>
      <c r="Q163" s="2053"/>
      <c r="R163" s="2055"/>
      <c r="S163" s="2035"/>
      <c r="T163" s="2121"/>
      <c r="U163" s="105"/>
      <c r="V163" s="49"/>
      <c r="W163" s="1549"/>
      <c r="X163" s="1549"/>
      <c r="Y163" s="1549"/>
      <c r="Z163" s="1549"/>
      <c r="AA163" s="1549"/>
      <c r="AB163" s="1549"/>
      <c r="AC163" s="1549"/>
      <c r="AD163" s="1549"/>
      <c r="AE163" s="1549"/>
      <c r="AF163" s="1549"/>
      <c r="AG163" s="1549"/>
      <c r="AH163" s="1549"/>
      <c r="AI163" s="1549"/>
      <c r="AJ163" s="1549"/>
      <c r="AK163" s="1549"/>
      <c r="AL163" s="1849"/>
      <c r="AM163" s="48"/>
      <c r="AN163" s="99"/>
      <c r="AO163" s="48"/>
      <c r="AP163" s="99"/>
      <c r="AQ163" s="48"/>
      <c r="AR163" s="99"/>
      <c r="AS163" s="2039"/>
      <c r="AT163" s="2130"/>
      <c r="AU163" s="4"/>
      <c r="AV163" s="4"/>
      <c r="AW163" s="4"/>
      <c r="AX163" s="4"/>
      <c r="AY163" s="4"/>
      <c r="AZ163" s="4"/>
      <c r="BA163" s="4"/>
      <c r="BB163" s="4"/>
      <c r="BC163" s="4"/>
      <c r="BD163" s="4"/>
      <c r="BE163" s="4"/>
      <c r="BF163" s="4"/>
      <c r="BG163" s="4"/>
      <c r="BH163" s="4"/>
    </row>
    <row r="164" spans="1:60" x14ac:dyDescent="0.3">
      <c r="A164" s="4"/>
      <c r="B164" s="47">
        <v>89</v>
      </c>
      <c r="C164" s="49"/>
      <c r="D164" s="49"/>
      <c r="E164" s="2053" t="s">
        <v>163</v>
      </c>
      <c r="F164" s="2054"/>
      <c r="G164" s="2055"/>
      <c r="H164" s="2053"/>
      <c r="I164" s="2054"/>
      <c r="J164" s="2055"/>
      <c r="K164" s="2053"/>
      <c r="L164" s="2054"/>
      <c r="M164" s="2055"/>
      <c r="N164" s="2053"/>
      <c r="O164" s="2054"/>
      <c r="P164" s="2055"/>
      <c r="Q164" s="2053"/>
      <c r="R164" s="2055"/>
      <c r="S164" s="2035"/>
      <c r="T164" s="2121"/>
      <c r="U164" s="105"/>
      <c r="V164" s="49"/>
      <c r="W164" s="1549"/>
      <c r="X164" s="1549"/>
      <c r="Y164" s="1549"/>
      <c r="Z164" s="1549"/>
      <c r="AA164" s="1549"/>
      <c r="AB164" s="1549"/>
      <c r="AC164" s="1549"/>
      <c r="AD164" s="1549"/>
      <c r="AE164" s="1549"/>
      <c r="AF164" s="1549"/>
      <c r="AG164" s="1549"/>
      <c r="AH164" s="1549"/>
      <c r="AI164" s="1549"/>
      <c r="AJ164" s="1549"/>
      <c r="AK164" s="1549"/>
      <c r="AL164" s="1849"/>
      <c r="AM164" s="48"/>
      <c r="AN164" s="99"/>
      <c r="AO164" s="48"/>
      <c r="AP164" s="99"/>
      <c r="AQ164" s="48"/>
      <c r="AR164" s="99"/>
      <c r="AS164" s="2039"/>
      <c r="AT164" s="2130"/>
      <c r="AU164" s="4"/>
      <c r="AV164" s="4"/>
      <c r="AW164" s="4"/>
      <c r="AX164" s="4"/>
      <c r="AY164" s="4"/>
      <c r="AZ164" s="4"/>
      <c r="BA164" s="4"/>
      <c r="BB164" s="4"/>
      <c r="BC164" s="4"/>
      <c r="BD164" s="4"/>
      <c r="BE164" s="4"/>
      <c r="BF164" s="4"/>
      <c r="BG164" s="4"/>
      <c r="BH164" s="4"/>
    </row>
    <row r="165" spans="1:60" x14ac:dyDescent="0.3">
      <c r="A165" s="4"/>
      <c r="B165" s="31">
        <v>90</v>
      </c>
      <c r="C165" s="32"/>
      <c r="D165" s="32"/>
      <c r="E165" s="2053" t="s">
        <v>163</v>
      </c>
      <c r="F165" s="2054"/>
      <c r="G165" s="2055"/>
      <c r="H165" s="2053"/>
      <c r="I165" s="2054"/>
      <c r="J165" s="2055"/>
      <c r="K165" s="2053"/>
      <c r="L165" s="2054"/>
      <c r="M165" s="2055"/>
      <c r="N165" s="2053"/>
      <c r="O165" s="2054"/>
      <c r="P165" s="2055"/>
      <c r="Q165" s="2053"/>
      <c r="R165" s="2055"/>
      <c r="S165" s="2035"/>
      <c r="T165" s="2121"/>
      <c r="U165" s="41"/>
      <c r="V165" s="32"/>
      <c r="W165" s="1509"/>
      <c r="X165" s="1509"/>
      <c r="Y165" s="1509"/>
      <c r="Z165" s="1509"/>
      <c r="AA165" s="1509"/>
      <c r="AB165" s="1509"/>
      <c r="AC165" s="1509"/>
      <c r="AD165" s="1509"/>
      <c r="AE165" s="1509"/>
      <c r="AF165" s="1509"/>
      <c r="AG165" s="1509"/>
      <c r="AH165" s="1509"/>
      <c r="AI165" s="1509"/>
      <c r="AJ165" s="1509"/>
      <c r="AK165" s="1509"/>
      <c r="AL165" s="1850"/>
      <c r="AM165" s="38"/>
      <c r="AN165" s="39"/>
      <c r="AO165" s="38"/>
      <c r="AP165" s="39"/>
      <c r="AQ165" s="38"/>
      <c r="AR165" s="39"/>
      <c r="AS165" s="2039"/>
      <c r="AT165" s="2130"/>
      <c r="AU165" s="4"/>
      <c r="AV165" s="4"/>
      <c r="AW165" s="4"/>
      <c r="AX165" s="4"/>
      <c r="AY165" s="4"/>
      <c r="AZ165" s="4"/>
      <c r="BA165" s="4"/>
      <c r="BB165" s="4"/>
      <c r="BC165" s="4"/>
      <c r="BD165" s="4"/>
      <c r="BE165" s="4"/>
      <c r="BF165" s="4"/>
      <c r="BG165" s="4"/>
      <c r="BH165" s="4"/>
    </row>
    <row r="166" spans="1:60" x14ac:dyDescent="0.3">
      <c r="A166" s="4"/>
      <c r="B166" s="31">
        <v>91</v>
      </c>
      <c r="C166" s="32"/>
      <c r="D166" s="32"/>
      <c r="E166" s="2053" t="s">
        <v>163</v>
      </c>
      <c r="F166" s="2054"/>
      <c r="G166" s="2055"/>
      <c r="H166" s="2053"/>
      <c r="I166" s="2054"/>
      <c r="J166" s="2055"/>
      <c r="K166" s="2053"/>
      <c r="L166" s="2054"/>
      <c r="M166" s="2055"/>
      <c r="N166" s="2053"/>
      <c r="O166" s="2054"/>
      <c r="P166" s="2055"/>
      <c r="Q166" s="2053"/>
      <c r="R166" s="2055"/>
      <c r="S166" s="2035"/>
      <c r="T166" s="2121"/>
      <c r="U166" s="41"/>
      <c r="V166" s="32"/>
      <c r="W166" s="1509"/>
      <c r="X166" s="1509"/>
      <c r="Y166" s="1509"/>
      <c r="Z166" s="1509"/>
      <c r="AA166" s="1509"/>
      <c r="AB166" s="1509"/>
      <c r="AC166" s="1509"/>
      <c r="AD166" s="1509"/>
      <c r="AE166" s="1509"/>
      <c r="AF166" s="1509"/>
      <c r="AG166" s="1509"/>
      <c r="AH166" s="1509"/>
      <c r="AI166" s="1509"/>
      <c r="AJ166" s="1509"/>
      <c r="AK166" s="1509"/>
      <c r="AL166" s="1850"/>
      <c r="AM166" s="38"/>
      <c r="AN166" s="39"/>
      <c r="AO166" s="38"/>
      <c r="AP166" s="39"/>
      <c r="AQ166" s="38"/>
      <c r="AR166" s="39"/>
      <c r="AS166" s="2039"/>
      <c r="AT166" s="2130"/>
      <c r="AU166" s="4"/>
      <c r="AV166" s="4"/>
      <c r="AW166" s="4"/>
      <c r="AX166" s="4"/>
      <c r="AY166" s="4"/>
      <c r="AZ166" s="4"/>
      <c r="BA166" s="4"/>
      <c r="BB166" s="4"/>
      <c r="BC166" s="4"/>
      <c r="BD166" s="4"/>
      <c r="BE166" s="4"/>
      <c r="BF166" s="4"/>
      <c r="BG166" s="4"/>
      <c r="BH166" s="4"/>
    </row>
    <row r="167" spans="1:60" x14ac:dyDescent="0.3">
      <c r="A167" s="4"/>
      <c r="B167" s="31">
        <v>92</v>
      </c>
      <c r="C167" s="32"/>
      <c r="D167" s="32"/>
      <c r="E167" s="2053" t="s">
        <v>163</v>
      </c>
      <c r="F167" s="2054"/>
      <c r="G167" s="2055"/>
      <c r="H167" s="2053"/>
      <c r="I167" s="2054"/>
      <c r="J167" s="2055"/>
      <c r="K167" s="2053"/>
      <c r="L167" s="2054"/>
      <c r="M167" s="2055"/>
      <c r="N167" s="2053"/>
      <c r="O167" s="2054"/>
      <c r="P167" s="2055"/>
      <c r="Q167" s="2053"/>
      <c r="R167" s="2055"/>
      <c r="S167" s="2035"/>
      <c r="T167" s="2121"/>
      <c r="U167" s="41"/>
      <c r="V167" s="32"/>
      <c r="W167" s="1509"/>
      <c r="X167" s="1509"/>
      <c r="Y167" s="1509"/>
      <c r="Z167" s="1509"/>
      <c r="AA167" s="1509"/>
      <c r="AB167" s="1509"/>
      <c r="AC167" s="1509"/>
      <c r="AD167" s="1509"/>
      <c r="AE167" s="1509"/>
      <c r="AF167" s="1509"/>
      <c r="AG167" s="1509"/>
      <c r="AH167" s="1509"/>
      <c r="AI167" s="1509"/>
      <c r="AJ167" s="1509"/>
      <c r="AK167" s="1509"/>
      <c r="AL167" s="1850"/>
      <c r="AM167" s="38"/>
      <c r="AN167" s="39"/>
      <c r="AO167" s="38"/>
      <c r="AP167" s="39"/>
      <c r="AQ167" s="38"/>
      <c r="AR167" s="39"/>
      <c r="AS167" s="2039"/>
      <c r="AT167" s="2130"/>
      <c r="AU167" s="4"/>
      <c r="AV167" s="4"/>
      <c r="AW167" s="4"/>
      <c r="AX167" s="4"/>
      <c r="AY167" s="4"/>
      <c r="AZ167" s="4"/>
      <c r="BA167" s="4"/>
      <c r="BB167" s="4"/>
      <c r="BC167" s="4"/>
      <c r="BD167" s="4"/>
      <c r="BE167" s="4"/>
      <c r="BF167" s="4"/>
      <c r="BG167" s="4"/>
      <c r="BH167" s="4"/>
    </row>
    <row r="168" spans="1:60" x14ac:dyDescent="0.3">
      <c r="A168" s="4"/>
      <c r="B168" s="31">
        <v>93</v>
      </c>
      <c r="C168" s="32"/>
      <c r="D168" s="32"/>
      <c r="E168" s="2053" t="s">
        <v>163</v>
      </c>
      <c r="F168" s="2054"/>
      <c r="G168" s="2055"/>
      <c r="H168" s="2053"/>
      <c r="I168" s="2054"/>
      <c r="J168" s="2055"/>
      <c r="K168" s="2053"/>
      <c r="L168" s="2054"/>
      <c r="M168" s="2055"/>
      <c r="N168" s="2053"/>
      <c r="O168" s="2054"/>
      <c r="P168" s="2055"/>
      <c r="Q168" s="2053"/>
      <c r="R168" s="2055"/>
      <c r="S168" s="2035"/>
      <c r="T168" s="2121"/>
      <c r="U168" s="41"/>
      <c r="V168" s="32"/>
      <c r="W168" s="1509"/>
      <c r="X168" s="1509"/>
      <c r="Y168" s="1509"/>
      <c r="Z168" s="1509"/>
      <c r="AA168" s="1509"/>
      <c r="AB168" s="1509"/>
      <c r="AC168" s="1509"/>
      <c r="AD168" s="1509"/>
      <c r="AE168" s="1509"/>
      <c r="AF168" s="1509"/>
      <c r="AG168" s="1509"/>
      <c r="AH168" s="1509"/>
      <c r="AI168" s="1509"/>
      <c r="AJ168" s="1509"/>
      <c r="AK168" s="1509"/>
      <c r="AL168" s="1850"/>
      <c r="AM168" s="38"/>
      <c r="AN168" s="39"/>
      <c r="AO168" s="38"/>
      <c r="AP168" s="39"/>
      <c r="AQ168" s="38"/>
      <c r="AR168" s="39"/>
      <c r="AS168" s="2039"/>
      <c r="AT168" s="2130"/>
      <c r="AU168" s="4"/>
      <c r="AV168" s="4"/>
      <c r="AW168" s="4"/>
      <c r="AX168" s="4"/>
      <c r="AY168" s="4"/>
      <c r="AZ168" s="4"/>
      <c r="BA168" s="4"/>
      <c r="BB168" s="4"/>
      <c r="BC168" s="4"/>
      <c r="BD168" s="4"/>
      <c r="BE168" s="4"/>
      <c r="BF168" s="4"/>
      <c r="BG168" s="4"/>
      <c r="BH168" s="4"/>
    </row>
    <row r="169" spans="1:60" x14ac:dyDescent="0.3">
      <c r="A169" s="4"/>
      <c r="B169" s="31">
        <v>94</v>
      </c>
      <c r="C169" s="32"/>
      <c r="D169" s="32"/>
      <c r="E169" s="2053" t="s">
        <v>163</v>
      </c>
      <c r="F169" s="2054"/>
      <c r="G169" s="2055"/>
      <c r="H169" s="2053"/>
      <c r="I169" s="2054"/>
      <c r="J169" s="2055"/>
      <c r="K169" s="2053"/>
      <c r="L169" s="2054"/>
      <c r="M169" s="2055"/>
      <c r="N169" s="2053"/>
      <c r="O169" s="2054"/>
      <c r="P169" s="2055"/>
      <c r="Q169" s="2053"/>
      <c r="R169" s="2055"/>
      <c r="S169" s="2035"/>
      <c r="T169" s="2121"/>
      <c r="U169" s="41"/>
      <c r="V169" s="32"/>
      <c r="W169" s="1509"/>
      <c r="X169" s="1509"/>
      <c r="Y169" s="1509"/>
      <c r="Z169" s="1509"/>
      <c r="AA169" s="1509"/>
      <c r="AB169" s="1509"/>
      <c r="AC169" s="1509"/>
      <c r="AD169" s="1509"/>
      <c r="AE169" s="1509"/>
      <c r="AF169" s="1509"/>
      <c r="AG169" s="1509"/>
      <c r="AH169" s="1509"/>
      <c r="AI169" s="1509"/>
      <c r="AJ169" s="1509"/>
      <c r="AK169" s="1509"/>
      <c r="AL169" s="1850"/>
      <c r="AM169" s="38"/>
      <c r="AN169" s="39"/>
      <c r="AO169" s="38"/>
      <c r="AP169" s="39"/>
      <c r="AQ169" s="38"/>
      <c r="AR169" s="39"/>
      <c r="AS169" s="2039"/>
      <c r="AT169" s="2130"/>
      <c r="AU169" s="4"/>
      <c r="AV169" s="4"/>
      <c r="AW169" s="4"/>
      <c r="AX169" s="4"/>
      <c r="AY169" s="4"/>
      <c r="AZ169" s="4"/>
      <c r="BA169" s="4"/>
      <c r="BB169" s="4"/>
      <c r="BC169" s="4"/>
      <c r="BD169" s="4"/>
      <c r="BE169" s="4"/>
      <c r="BF169" s="4"/>
      <c r="BG169" s="4"/>
      <c r="BH169" s="4"/>
    </row>
    <row r="170" spans="1:60" ht="15" customHeight="1" thickBot="1" x14ac:dyDescent="0.35">
      <c r="A170" s="4"/>
      <c r="B170" s="33">
        <v>95</v>
      </c>
      <c r="C170" s="34"/>
      <c r="D170" s="34"/>
      <c r="E170" s="2047"/>
      <c r="F170" s="2048"/>
      <c r="G170" s="2049"/>
      <c r="H170" s="2047"/>
      <c r="I170" s="2048"/>
      <c r="J170" s="2049"/>
      <c r="K170" s="2047"/>
      <c r="L170" s="2048"/>
      <c r="M170" s="2049"/>
      <c r="N170" s="2047"/>
      <c r="O170" s="2048"/>
      <c r="P170" s="2049"/>
      <c r="Q170" s="2047"/>
      <c r="R170" s="2049"/>
      <c r="S170" s="2084"/>
      <c r="T170" s="2122"/>
      <c r="U170" s="52"/>
      <c r="V170" s="34"/>
      <c r="W170" s="1550"/>
      <c r="X170" s="1550"/>
      <c r="Y170" s="1550"/>
      <c r="Z170" s="1550"/>
      <c r="AA170" s="1550"/>
      <c r="AB170" s="1550"/>
      <c r="AC170" s="1550"/>
      <c r="AD170" s="1550"/>
      <c r="AE170" s="1550"/>
      <c r="AF170" s="1550"/>
      <c r="AG170" s="1550"/>
      <c r="AH170" s="1550"/>
      <c r="AI170" s="1550"/>
      <c r="AJ170" s="1550"/>
      <c r="AK170" s="1550"/>
      <c r="AL170" s="1851"/>
      <c r="AM170" s="53"/>
      <c r="AN170" s="54"/>
      <c r="AO170" s="53"/>
      <c r="AP170" s="54"/>
      <c r="AQ170" s="53"/>
      <c r="AR170" s="54"/>
      <c r="AS170" s="2131"/>
      <c r="AT170" s="2132"/>
      <c r="AU170" s="4"/>
      <c r="AV170" s="4"/>
      <c r="AW170" s="4"/>
      <c r="AX170" s="4"/>
      <c r="AY170" s="4"/>
      <c r="AZ170" s="4"/>
      <c r="BA170" s="4"/>
      <c r="BB170" s="4"/>
      <c r="BC170" s="4"/>
      <c r="BD170" s="4"/>
      <c r="BE170" s="4"/>
      <c r="BF170" s="4"/>
      <c r="BG170" s="4"/>
      <c r="BH170" s="4"/>
    </row>
    <row r="171" spans="1:60" ht="15" customHeight="1" thickTop="1" x14ac:dyDescent="0.3">
      <c r="A171" s="4"/>
      <c r="B171" s="29">
        <v>96</v>
      </c>
      <c r="C171" s="30"/>
      <c r="D171" s="100"/>
      <c r="E171" s="1259" t="s">
        <v>164</v>
      </c>
      <c r="F171" s="58"/>
      <c r="G171" s="1260"/>
      <c r="H171" s="2050" t="s">
        <v>409</v>
      </c>
      <c r="I171" s="2051"/>
      <c r="J171" s="2052"/>
      <c r="K171" s="2050" t="s">
        <v>410</v>
      </c>
      <c r="L171" s="2051"/>
      <c r="M171" s="2052"/>
      <c r="N171" s="2050" t="s">
        <v>411</v>
      </c>
      <c r="O171" s="2051"/>
      <c r="P171" s="2052"/>
      <c r="Q171" s="2050" t="s">
        <v>412</v>
      </c>
      <c r="R171" s="2052"/>
      <c r="S171" s="1261">
        <v>1.8089999999999999</v>
      </c>
      <c r="T171" s="1262"/>
      <c r="U171" s="1234">
        <v>1.07</v>
      </c>
      <c r="V171" s="30"/>
      <c r="W171" s="1551"/>
      <c r="X171" s="1551"/>
      <c r="Y171" s="1551"/>
      <c r="Z171" s="1551"/>
      <c r="AA171" s="1551"/>
      <c r="AB171" s="1551"/>
      <c r="AC171" s="1551"/>
      <c r="AD171" s="1551"/>
      <c r="AE171" s="1551"/>
      <c r="AF171" s="1551"/>
      <c r="AG171" s="1551"/>
      <c r="AH171" s="1551"/>
      <c r="AI171" s="1551"/>
      <c r="AJ171" s="1551">
        <v>100</v>
      </c>
      <c r="AK171" s="1551">
        <v>95</v>
      </c>
      <c r="AL171" s="1852">
        <v>90</v>
      </c>
      <c r="AM171" s="2127">
        <v>54</v>
      </c>
      <c r="AN171" s="2128"/>
      <c r="AO171" s="2127">
        <v>7.5</v>
      </c>
      <c r="AP171" s="2128"/>
      <c r="AQ171" s="2127">
        <v>73</v>
      </c>
      <c r="AR171" s="2128"/>
      <c r="AS171" s="2127" t="s">
        <v>763</v>
      </c>
      <c r="AT171" s="2133"/>
      <c r="AU171" s="4"/>
      <c r="AV171" s="4"/>
      <c r="AW171" s="4"/>
      <c r="AX171" s="4"/>
      <c r="AY171" s="4"/>
      <c r="AZ171" s="4"/>
      <c r="BA171" s="4"/>
      <c r="BB171" s="4"/>
      <c r="BC171" s="4"/>
      <c r="BD171" s="4"/>
      <c r="BE171" s="4"/>
      <c r="BF171" s="4"/>
      <c r="BG171" s="4"/>
      <c r="BH171" s="4"/>
    </row>
    <row r="172" spans="1:60" ht="15" customHeight="1" thickBot="1" x14ac:dyDescent="0.35">
      <c r="A172" s="4"/>
      <c r="B172" s="33">
        <v>97</v>
      </c>
      <c r="C172" s="34"/>
      <c r="D172" s="101"/>
      <c r="E172" s="2047"/>
      <c r="F172" s="2048"/>
      <c r="G172" s="2049"/>
      <c r="H172" s="2047"/>
      <c r="I172" s="2048"/>
      <c r="J172" s="2049"/>
      <c r="K172" s="2047"/>
      <c r="L172" s="2048"/>
      <c r="M172" s="2049"/>
      <c r="N172" s="2047"/>
      <c r="O172" s="2048"/>
      <c r="P172" s="2049"/>
      <c r="Q172" s="2047"/>
      <c r="R172" s="2049"/>
      <c r="S172" s="2084"/>
      <c r="T172" s="2122"/>
      <c r="U172" s="2123"/>
      <c r="V172" s="2085"/>
      <c r="W172" s="1550"/>
      <c r="X172" s="1550"/>
      <c r="Y172" s="1550"/>
      <c r="Z172" s="1550"/>
      <c r="AA172" s="1550"/>
      <c r="AB172" s="1550"/>
      <c r="AC172" s="1550"/>
      <c r="AD172" s="1550"/>
      <c r="AE172" s="1550"/>
      <c r="AF172" s="1550"/>
      <c r="AG172" s="1550"/>
      <c r="AH172" s="1550"/>
      <c r="AI172" s="1550"/>
      <c r="AJ172" s="1550"/>
      <c r="AK172" s="1550"/>
      <c r="AL172" s="1851"/>
      <c r="AM172" s="2047"/>
      <c r="AN172" s="2049"/>
      <c r="AO172" s="2047"/>
      <c r="AP172" s="2049"/>
      <c r="AQ172" s="2047"/>
      <c r="AR172" s="2049"/>
      <c r="AS172" s="2047"/>
      <c r="AT172" s="2048"/>
      <c r="AU172" s="4"/>
      <c r="AV172" s="4"/>
      <c r="AW172" s="4"/>
      <c r="AX172" s="4"/>
      <c r="AY172" s="4"/>
      <c r="AZ172" s="4"/>
      <c r="BA172" s="4"/>
      <c r="BB172" s="4"/>
      <c r="BC172" s="4"/>
      <c r="BD172" s="4"/>
      <c r="BE172" s="4"/>
      <c r="BF172" s="4"/>
      <c r="BG172" s="4"/>
      <c r="BH172" s="4"/>
    </row>
    <row r="173" spans="1:60" ht="14.5" thickTop="1" x14ac:dyDescent="0.3">
      <c r="A173" s="4"/>
      <c r="B173" s="47">
        <v>98</v>
      </c>
      <c r="C173" s="49"/>
      <c r="D173" s="102"/>
      <c r="E173" s="2050" t="s">
        <v>165</v>
      </c>
      <c r="F173" s="2051"/>
      <c r="G173" s="2052"/>
      <c r="H173" s="2050" t="s">
        <v>413</v>
      </c>
      <c r="I173" s="2051"/>
      <c r="J173" s="2052"/>
      <c r="K173" s="2050" t="s">
        <v>414</v>
      </c>
      <c r="L173" s="2051"/>
      <c r="M173" s="2052"/>
      <c r="N173" s="2050" t="s">
        <v>165</v>
      </c>
      <c r="O173" s="2051"/>
      <c r="P173" s="2052"/>
      <c r="Q173" s="2050" t="s">
        <v>16</v>
      </c>
      <c r="R173" s="2052"/>
      <c r="S173" s="71"/>
      <c r="T173" s="1263"/>
      <c r="U173" s="2124">
        <v>1.07</v>
      </c>
      <c r="V173" s="2083"/>
      <c r="W173" s="50"/>
      <c r="X173" s="50"/>
      <c r="Y173" s="50"/>
      <c r="Z173" s="50"/>
      <c r="AA173" s="50"/>
      <c r="AB173" s="50"/>
      <c r="AC173" s="50"/>
      <c r="AD173" s="50"/>
      <c r="AE173" s="50"/>
      <c r="AF173" s="50"/>
      <c r="AG173" s="50"/>
      <c r="AH173" s="50"/>
      <c r="AI173" s="50"/>
      <c r="AJ173" s="50"/>
      <c r="AK173" s="50"/>
      <c r="AL173" s="48"/>
      <c r="AM173" s="2041">
        <v>100</v>
      </c>
      <c r="AN173" s="2042"/>
      <c r="AO173" s="2050"/>
      <c r="AP173" s="2052"/>
      <c r="AQ173" s="2050"/>
      <c r="AR173" s="2052"/>
      <c r="AS173" s="2127"/>
      <c r="AT173" s="2133"/>
      <c r="AU173" s="4"/>
      <c r="AV173" s="4"/>
      <c r="AW173" s="4"/>
      <c r="AX173" s="4"/>
      <c r="AY173" s="4"/>
      <c r="AZ173" s="4"/>
      <c r="BA173" s="4"/>
      <c r="BB173" s="4"/>
      <c r="BC173" s="4"/>
      <c r="BD173" s="4"/>
      <c r="BE173" s="4"/>
      <c r="BF173" s="4"/>
      <c r="BG173" s="4"/>
      <c r="BH173" s="4"/>
    </row>
    <row r="174" spans="1:60" x14ac:dyDescent="0.3">
      <c r="A174" s="4"/>
      <c r="B174" s="31">
        <v>99</v>
      </c>
      <c r="C174" s="32"/>
      <c r="D174" s="103"/>
      <c r="E174" s="2053" t="s">
        <v>166</v>
      </c>
      <c r="F174" s="2054"/>
      <c r="G174" s="2055"/>
      <c r="H174" s="2053"/>
      <c r="I174" s="2054"/>
      <c r="J174" s="2055"/>
      <c r="K174" s="2053"/>
      <c r="L174" s="2054"/>
      <c r="M174" s="2055"/>
      <c r="N174" s="2053"/>
      <c r="O174" s="2054"/>
      <c r="P174" s="2055"/>
      <c r="Q174" s="2053"/>
      <c r="R174" s="2055"/>
      <c r="S174" s="57"/>
      <c r="T174" s="1264"/>
      <c r="U174" s="2125"/>
      <c r="V174" s="2036"/>
      <c r="W174" s="40"/>
      <c r="X174" s="40"/>
      <c r="Y174" s="40"/>
      <c r="Z174" s="40"/>
      <c r="AA174" s="40"/>
      <c r="AB174" s="40"/>
      <c r="AC174" s="40"/>
      <c r="AD174" s="40"/>
      <c r="AE174" s="40"/>
      <c r="AF174" s="40"/>
      <c r="AG174" s="40"/>
      <c r="AH174" s="40"/>
      <c r="AI174" s="40"/>
      <c r="AJ174" s="40"/>
      <c r="AK174" s="40"/>
      <c r="AL174" s="38"/>
      <c r="AM174" s="2043">
        <v>100</v>
      </c>
      <c r="AN174" s="2044"/>
      <c r="AO174" s="2053"/>
      <c r="AP174" s="2055"/>
      <c r="AQ174" s="2053"/>
      <c r="AR174" s="2055"/>
      <c r="AS174" s="2134"/>
      <c r="AT174" s="2135"/>
      <c r="AU174" s="4"/>
      <c r="AV174" s="4"/>
      <c r="AW174" s="4"/>
      <c r="AX174" s="4"/>
      <c r="AY174" s="4"/>
      <c r="AZ174" s="4"/>
      <c r="BA174" s="4"/>
      <c r="BB174" s="4"/>
      <c r="BC174" s="4"/>
      <c r="BD174" s="4"/>
      <c r="BE174" s="4"/>
      <c r="BF174" s="4"/>
      <c r="BG174" s="4"/>
      <c r="BH174" s="4"/>
    </row>
    <row r="175" spans="1:60" x14ac:dyDescent="0.3">
      <c r="A175" s="4"/>
      <c r="B175" s="42">
        <v>100</v>
      </c>
      <c r="C175" s="43"/>
      <c r="D175" s="104"/>
      <c r="E175" s="2070"/>
      <c r="F175" s="2071"/>
      <c r="G175" s="2072"/>
      <c r="H175" s="2070"/>
      <c r="I175" s="2071"/>
      <c r="J175" s="2072"/>
      <c r="K175" s="2070"/>
      <c r="L175" s="2071"/>
      <c r="M175" s="2072"/>
      <c r="N175" s="2070"/>
      <c r="O175" s="2071"/>
      <c r="P175" s="2072"/>
      <c r="Q175" s="2070"/>
      <c r="R175" s="2072"/>
      <c r="S175" s="66"/>
      <c r="T175" s="1265"/>
      <c r="U175" s="2126"/>
      <c r="V175" s="2087"/>
      <c r="W175" s="44"/>
      <c r="X175" s="44"/>
      <c r="Y175" s="44"/>
      <c r="Z175" s="44"/>
      <c r="AA175" s="44"/>
      <c r="AB175" s="44"/>
      <c r="AC175" s="44"/>
      <c r="AD175" s="44"/>
      <c r="AE175" s="44"/>
      <c r="AF175" s="44"/>
      <c r="AG175" s="44"/>
      <c r="AH175" s="44"/>
      <c r="AI175" s="44"/>
      <c r="AJ175" s="44"/>
      <c r="AK175" s="44"/>
      <c r="AL175" s="45"/>
      <c r="AM175" s="2045">
        <v>100</v>
      </c>
      <c r="AN175" s="2046"/>
      <c r="AO175" s="2070"/>
      <c r="AP175" s="2072"/>
      <c r="AQ175" s="2070"/>
      <c r="AR175" s="2072"/>
      <c r="AS175" s="2136"/>
      <c r="AT175" s="2137"/>
      <c r="AU175" s="4"/>
      <c r="AV175" s="4"/>
      <c r="AW175" s="4"/>
      <c r="AX175" s="4"/>
      <c r="AY175" s="4"/>
      <c r="AZ175" s="4"/>
      <c r="BA175" s="4"/>
      <c r="BB175" s="4"/>
      <c r="BC175" s="4"/>
      <c r="BD175" s="4"/>
      <c r="BE175" s="4"/>
      <c r="BF175" s="4"/>
      <c r="BG175" s="4"/>
      <c r="BH175" s="4"/>
    </row>
    <row r="176" spans="1:60" ht="14.5" x14ac:dyDescent="0.35">
      <c r="A176" s="4"/>
      <c r="B176" s="24"/>
      <c r="C176" s="24"/>
      <c r="D176" s="4"/>
      <c r="E176" s="24"/>
      <c r="F176" s="4"/>
      <c r="G176" s="4"/>
      <c r="H176" s="24"/>
      <c r="I176" s="4"/>
      <c r="J176" s="4"/>
      <c r="K176" s="24"/>
      <c r="L176" s="4"/>
      <c r="M176" s="4"/>
      <c r="N176" s="24"/>
      <c r="O176" s="4"/>
      <c r="P176" s="4"/>
      <c r="Q176" s="24"/>
      <c r="R176" s="4"/>
      <c r="S176" s="24"/>
      <c r="T176" s="4"/>
      <c r="U176" s="24"/>
      <c r="V176" s="4"/>
      <c r="W176" s="24"/>
      <c r="X176" s="4"/>
      <c r="Y176" s="4"/>
      <c r="Z176" s="4"/>
      <c r="AA176" s="4"/>
      <c r="AB176" s="4"/>
      <c r="AC176" s="4"/>
      <c r="AD176" s="4"/>
      <c r="AE176" s="4"/>
      <c r="AF176" s="4"/>
      <c r="AG176" s="4"/>
      <c r="AH176" s="4"/>
      <c r="AI176" s="4"/>
      <c r="AJ176" s="4"/>
      <c r="AK176" s="4"/>
      <c r="AL176" s="4"/>
      <c r="AM176" s="6"/>
      <c r="AN176" s="4"/>
      <c r="AO176" s="6"/>
      <c r="AP176" s="4"/>
      <c r="AQ176" s="6"/>
      <c r="AR176" s="4"/>
      <c r="AS176" s="6"/>
      <c r="AT176" s="4"/>
      <c r="AU176" s="4"/>
      <c r="AV176" s="4"/>
      <c r="AW176" s="4"/>
      <c r="AX176" s="4"/>
      <c r="AY176" s="4"/>
      <c r="AZ176" s="4"/>
      <c r="BA176" s="4"/>
      <c r="BB176" s="4"/>
      <c r="BC176" s="4"/>
      <c r="BD176" s="4"/>
      <c r="BE176" s="4"/>
      <c r="BF176" s="4"/>
      <c r="BG176" s="4"/>
      <c r="BH176" s="4"/>
    </row>
    <row r="177" spans="1:60" ht="14.5" x14ac:dyDescent="0.35">
      <c r="A177" s="4"/>
      <c r="B177" s="24"/>
      <c r="C177" s="24"/>
      <c r="D177" s="4"/>
      <c r="E177" s="24"/>
      <c r="F177" s="4"/>
      <c r="G177" s="4"/>
      <c r="H177" s="24"/>
      <c r="I177" s="4"/>
      <c r="J177" s="4"/>
      <c r="K177" s="24"/>
      <c r="L177" s="4"/>
      <c r="M177" s="4"/>
      <c r="N177" s="24"/>
      <c r="O177" s="4"/>
      <c r="P177" s="4"/>
      <c r="Q177" s="24"/>
      <c r="R177" s="4"/>
      <c r="S177" s="24"/>
      <c r="T177" s="4"/>
      <c r="U177" s="24"/>
      <c r="V177" s="4"/>
      <c r="W177" s="6" t="s">
        <v>207</v>
      </c>
      <c r="X177" s="4"/>
      <c r="Y177" s="4"/>
      <c r="Z177" s="4"/>
      <c r="AA177" s="4"/>
      <c r="AB177" s="4"/>
      <c r="AC177" s="4"/>
      <c r="AD177" s="4"/>
      <c r="AE177" s="4"/>
      <c r="AF177" s="4"/>
      <c r="AG177" s="4"/>
      <c r="AH177" s="4"/>
      <c r="AI177" s="4"/>
      <c r="AJ177" s="4"/>
      <c r="AK177" s="4"/>
      <c r="AL177" s="4"/>
      <c r="AM177" s="6"/>
      <c r="AN177" s="4"/>
      <c r="AO177" s="6"/>
      <c r="AP177" s="4"/>
      <c r="AQ177" s="4"/>
      <c r="AR177" s="4"/>
      <c r="AS177" s="4"/>
      <c r="AT177" s="4"/>
      <c r="AU177" s="4"/>
      <c r="AV177" s="4"/>
      <c r="AW177" s="4"/>
      <c r="AX177" s="4"/>
      <c r="AY177" s="4"/>
      <c r="AZ177" s="4"/>
      <c r="BA177" s="4"/>
      <c r="BB177" s="4"/>
      <c r="BC177" s="4"/>
      <c r="BD177" s="4"/>
      <c r="BE177" s="4"/>
      <c r="BF177" s="4"/>
      <c r="BG177" s="4"/>
      <c r="BH177" s="4"/>
    </row>
    <row r="178" spans="1:60" ht="14.5" x14ac:dyDescent="0.35">
      <c r="A178" s="4"/>
      <c r="B178" s="24"/>
      <c r="C178" s="24"/>
      <c r="D178" s="4"/>
      <c r="E178" s="24"/>
      <c r="F178" s="4"/>
      <c r="G178" s="4"/>
      <c r="H178" s="24"/>
      <c r="I178" s="4"/>
      <c r="J178" s="4"/>
      <c r="K178" s="24"/>
      <c r="L178" s="4"/>
      <c r="M178" s="4"/>
      <c r="N178" s="24"/>
      <c r="O178" s="4"/>
      <c r="P178" s="4"/>
      <c r="Q178" s="24"/>
      <c r="R178" s="4"/>
      <c r="S178" s="24"/>
      <c r="T178" s="4"/>
      <c r="U178" s="6" t="s">
        <v>1422</v>
      </c>
      <c r="V178" s="4"/>
      <c r="W178" s="6"/>
      <c r="X178" s="4"/>
      <c r="Y178" s="6"/>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ht="14.5" x14ac:dyDescent="0.35">
      <c r="A179" s="4"/>
      <c r="B179" s="24"/>
      <c r="C179" s="24"/>
      <c r="D179" s="4"/>
      <c r="E179" s="24"/>
      <c r="F179" s="4"/>
      <c r="G179" s="4"/>
      <c r="H179" s="24"/>
      <c r="I179" s="4"/>
      <c r="J179" s="4"/>
      <c r="K179" s="24"/>
      <c r="L179" s="4"/>
      <c r="M179" s="4"/>
      <c r="N179" s="24"/>
      <c r="O179" s="4"/>
      <c r="P179" s="4"/>
      <c r="Q179" s="24"/>
      <c r="R179" s="4"/>
      <c r="S179" s="6" t="s">
        <v>1423</v>
      </c>
      <c r="T179" s="4"/>
      <c r="U179" s="6"/>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24"/>
      <c r="C180" s="24"/>
      <c r="D180" s="4"/>
      <c r="E180" s="24"/>
      <c r="F180" s="4"/>
      <c r="G180" s="4"/>
      <c r="H180" s="24"/>
      <c r="I180" s="4"/>
      <c r="J180" s="4"/>
      <c r="K180" s="24"/>
      <c r="L180" s="4"/>
      <c r="M180" s="4"/>
      <c r="N180" s="24"/>
      <c r="O180" s="4"/>
      <c r="P180" s="4"/>
      <c r="Q180" s="6" t="s">
        <v>152</v>
      </c>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24"/>
      <c r="C181" s="24"/>
      <c r="D181" s="4"/>
      <c r="E181" s="24"/>
      <c r="F181" s="4"/>
      <c r="G181" s="4"/>
      <c r="H181" s="24"/>
      <c r="I181" s="4"/>
      <c r="J181" s="4"/>
      <c r="K181" s="24"/>
      <c r="L181" s="4"/>
      <c r="M181" s="4"/>
      <c r="N181" s="24"/>
      <c r="O181" s="4"/>
      <c r="P181" s="4"/>
      <c r="Q181" s="6"/>
      <c r="R181" s="6" t="s">
        <v>153</v>
      </c>
      <c r="S181" s="4"/>
      <c r="T181" s="4"/>
      <c r="U181" s="6"/>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ht="14.5" x14ac:dyDescent="0.35">
      <c r="A182" s="4"/>
      <c r="B182" s="24"/>
      <c r="C182" s="24"/>
      <c r="D182" s="4"/>
      <c r="E182" s="24"/>
      <c r="F182" s="4"/>
      <c r="G182" s="4"/>
      <c r="H182" s="24"/>
      <c r="I182" s="4"/>
      <c r="J182" s="4"/>
      <c r="K182" s="24"/>
      <c r="L182" s="4"/>
      <c r="M182" s="4"/>
      <c r="N182" s="24"/>
      <c r="O182" s="4"/>
      <c r="P182" s="4"/>
      <c r="Q182" s="6"/>
      <c r="R182" s="6" t="s">
        <v>1424</v>
      </c>
      <c r="S182" s="4"/>
      <c r="T182" s="4"/>
      <c r="U182" s="6"/>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x14ac:dyDescent="0.35">
      <c r="A183" s="4"/>
      <c r="B183" s="24"/>
      <c r="C183" s="24"/>
      <c r="D183" s="4"/>
      <c r="E183" s="24"/>
      <c r="F183" s="4"/>
      <c r="G183" s="4"/>
      <c r="H183" s="24"/>
      <c r="I183" s="4"/>
      <c r="J183" s="4"/>
      <c r="K183" s="24"/>
      <c r="L183" s="4"/>
      <c r="M183" s="4"/>
      <c r="N183" s="24"/>
      <c r="O183" s="4"/>
      <c r="P183" s="4"/>
      <c r="Q183" s="6"/>
      <c r="R183" s="6" t="s">
        <v>1425</v>
      </c>
      <c r="S183" s="4"/>
      <c r="T183" s="4"/>
      <c r="U183" s="6"/>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ht="14.5" x14ac:dyDescent="0.35">
      <c r="A184" s="4"/>
      <c r="B184" s="24"/>
      <c r="C184" s="24"/>
      <c r="D184" s="4"/>
      <c r="E184" s="24"/>
      <c r="F184" s="4"/>
      <c r="G184" s="4"/>
      <c r="H184" s="24"/>
      <c r="I184" s="4"/>
      <c r="J184" s="4"/>
      <c r="K184" s="24"/>
      <c r="L184" s="4"/>
      <c r="M184" s="4"/>
      <c r="N184" s="6" t="s">
        <v>167</v>
      </c>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ht="14.5" x14ac:dyDescent="0.35">
      <c r="A185" s="4"/>
      <c r="B185" s="24"/>
      <c r="C185" s="24"/>
      <c r="D185" s="4"/>
      <c r="E185" s="24"/>
      <c r="F185" s="4"/>
      <c r="G185" s="4"/>
      <c r="H185" s="24"/>
      <c r="I185" s="4"/>
      <c r="J185" s="4"/>
      <c r="K185" s="6" t="s">
        <v>168</v>
      </c>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ht="14.5" x14ac:dyDescent="0.35">
      <c r="A186" s="4"/>
      <c r="B186" s="24"/>
      <c r="C186" s="24"/>
      <c r="D186" s="4"/>
      <c r="E186" s="24"/>
      <c r="F186" s="4"/>
      <c r="G186" s="4"/>
      <c r="H186" s="6" t="s">
        <v>171</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ht="14.5" x14ac:dyDescent="0.35">
      <c r="A187" s="4"/>
      <c r="B187" s="24"/>
      <c r="C187" s="24"/>
      <c r="D187" s="4"/>
      <c r="E187" s="6" t="s">
        <v>169</v>
      </c>
      <c r="F187" s="4"/>
      <c r="G187" s="4"/>
      <c r="H187" s="6"/>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ht="14.5" x14ac:dyDescent="0.35">
      <c r="A188" s="4"/>
      <c r="B188" s="24"/>
      <c r="C188" s="6"/>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ht="14.5" x14ac:dyDescent="0.35">
      <c r="A189" s="4"/>
      <c r="B189" s="6" t="s">
        <v>172</v>
      </c>
      <c r="C189" s="6" t="s">
        <v>380</v>
      </c>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ht="14.5" x14ac:dyDescent="0.35">
      <c r="A190" s="4"/>
      <c r="B190" s="6"/>
      <c r="C190" s="6" t="s">
        <v>381</v>
      </c>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ht="14.5" x14ac:dyDescent="0.35">
      <c r="A191" s="4"/>
      <c r="B191" s="6"/>
      <c r="C191" s="6" t="s">
        <v>382</v>
      </c>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row r="192" spans="1:60" ht="14.5" x14ac:dyDescent="0.35">
      <c r="A192" s="4"/>
      <c r="B192" s="6"/>
      <c r="C192" s="6" t="s">
        <v>383</v>
      </c>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row>
    <row r="193" spans="1:60"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row>
    <row r="194" spans="1:60"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row>
  </sheetData>
  <sheetProtection algorithmName="SHA-512" hashValue="uoZEOCMwNxQ2WDtKCKsxWPxqu/si1wln1s4mTvIQcc/+wSizVcOf6/JS0JE/ULPAbrOKc8IwCbOw6LhS1/iaHw==" saltValue="TrDqDHEVn1HxZjS+QnTrYw==" spinCount="100000" sheet="1" objects="1" scenarios="1"/>
  <mergeCells count="993">
    <mergeCell ref="AS167:AT167"/>
    <mergeCell ref="AS168:AT168"/>
    <mergeCell ref="AS169:AT169"/>
    <mergeCell ref="AS170:AT170"/>
    <mergeCell ref="AS171:AT171"/>
    <mergeCell ref="AS172:AT172"/>
    <mergeCell ref="AS173:AT173"/>
    <mergeCell ref="AS174:AT174"/>
    <mergeCell ref="AS175:AT175"/>
    <mergeCell ref="AS158:AT158"/>
    <mergeCell ref="AS159:AT159"/>
    <mergeCell ref="AS160:AT160"/>
    <mergeCell ref="AS161:AT161"/>
    <mergeCell ref="AS162:AT162"/>
    <mergeCell ref="AS163:AT163"/>
    <mergeCell ref="AS164:AT164"/>
    <mergeCell ref="AS165:AT165"/>
    <mergeCell ref="AS166:AT166"/>
    <mergeCell ref="AM171:AN171"/>
    <mergeCell ref="AM172:AN172"/>
    <mergeCell ref="AO171:AP171"/>
    <mergeCell ref="AO172:AP172"/>
    <mergeCell ref="AO173:AP173"/>
    <mergeCell ref="AO174:AP174"/>
    <mergeCell ref="AO175:AP175"/>
    <mergeCell ref="AQ171:AR171"/>
    <mergeCell ref="AQ172:AR172"/>
    <mergeCell ref="AQ173:AR173"/>
    <mergeCell ref="AQ174:AR174"/>
    <mergeCell ref="AQ175:AR175"/>
    <mergeCell ref="S167:T167"/>
    <mergeCell ref="S168:T168"/>
    <mergeCell ref="S169:T169"/>
    <mergeCell ref="S170:T170"/>
    <mergeCell ref="S172:T172"/>
    <mergeCell ref="U172:V172"/>
    <mergeCell ref="U173:V173"/>
    <mergeCell ref="U174:V174"/>
    <mergeCell ref="U175:V175"/>
    <mergeCell ref="S158:T158"/>
    <mergeCell ref="S159:T159"/>
    <mergeCell ref="S160:T160"/>
    <mergeCell ref="S161:T161"/>
    <mergeCell ref="S162:T162"/>
    <mergeCell ref="S163:T163"/>
    <mergeCell ref="S164:T164"/>
    <mergeCell ref="S165:T165"/>
    <mergeCell ref="S166:T166"/>
    <mergeCell ref="N174:P174"/>
    <mergeCell ref="N175:P17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 ref="Q170:R170"/>
    <mergeCell ref="Q171:R171"/>
    <mergeCell ref="Q172:R172"/>
    <mergeCell ref="Q173:R173"/>
    <mergeCell ref="Q174:R174"/>
    <mergeCell ref="Q175:R175"/>
    <mergeCell ref="N165:P165"/>
    <mergeCell ref="N166:P166"/>
    <mergeCell ref="N167:P167"/>
    <mergeCell ref="N168:P168"/>
    <mergeCell ref="N169:P169"/>
    <mergeCell ref="N170:P170"/>
    <mergeCell ref="N171:P171"/>
    <mergeCell ref="N172:P172"/>
    <mergeCell ref="N173:P173"/>
    <mergeCell ref="N156:P156"/>
    <mergeCell ref="N157:P157"/>
    <mergeCell ref="N158:P158"/>
    <mergeCell ref="N159:P159"/>
    <mergeCell ref="N160:P160"/>
    <mergeCell ref="N161:P161"/>
    <mergeCell ref="N162:P162"/>
    <mergeCell ref="N163:P163"/>
    <mergeCell ref="N164:P164"/>
    <mergeCell ref="H174:J174"/>
    <mergeCell ref="H175:J17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E169:G169"/>
    <mergeCell ref="E170:G170"/>
    <mergeCell ref="E172:G172"/>
    <mergeCell ref="E173:G173"/>
    <mergeCell ref="E174:G174"/>
    <mergeCell ref="E175:G17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BA130:BD130"/>
    <mergeCell ref="BE121:BG121"/>
    <mergeCell ref="BE122:BG122"/>
    <mergeCell ref="BE123:BG123"/>
    <mergeCell ref="BE124:BG124"/>
    <mergeCell ref="BE125:BG125"/>
    <mergeCell ref="BE126:BG126"/>
    <mergeCell ref="BE127:BG127"/>
    <mergeCell ref="BE128:BG128"/>
    <mergeCell ref="BE129:BG129"/>
    <mergeCell ref="BE130:BG130"/>
    <mergeCell ref="BA121:BD121"/>
    <mergeCell ref="BA122:BD122"/>
    <mergeCell ref="BA123:BD123"/>
    <mergeCell ref="BA124:BD124"/>
    <mergeCell ref="BA125:BD125"/>
    <mergeCell ref="BA126:BD126"/>
    <mergeCell ref="BA127:BD127"/>
    <mergeCell ref="BA128:BD128"/>
    <mergeCell ref="BA129:BD129"/>
    <mergeCell ref="AG130:AH130"/>
    <mergeCell ref="AI121:AJ121"/>
    <mergeCell ref="AI122:AJ122"/>
    <mergeCell ref="AI123:AJ123"/>
    <mergeCell ref="AI124:AJ124"/>
    <mergeCell ref="AI125:AJ125"/>
    <mergeCell ref="AI126:AJ126"/>
    <mergeCell ref="AI127:AJ127"/>
    <mergeCell ref="AI128:AJ128"/>
    <mergeCell ref="AI129:AJ129"/>
    <mergeCell ref="AI130:AJ130"/>
    <mergeCell ref="AG121:AH121"/>
    <mergeCell ref="AG122:AH122"/>
    <mergeCell ref="AG123:AH123"/>
    <mergeCell ref="AG124:AH124"/>
    <mergeCell ref="AG125:AH125"/>
    <mergeCell ref="AG126:AH126"/>
    <mergeCell ref="AG127:AH127"/>
    <mergeCell ref="AG128:AH128"/>
    <mergeCell ref="AG129:AH129"/>
    <mergeCell ref="AE128:AF128"/>
    <mergeCell ref="AE129:AF129"/>
    <mergeCell ref="AE130:AF130"/>
    <mergeCell ref="AA121:AB121"/>
    <mergeCell ref="AA122:AB122"/>
    <mergeCell ref="AA123:AB123"/>
    <mergeCell ref="AA124:AB124"/>
    <mergeCell ref="AA125:AB125"/>
    <mergeCell ref="AA126:AB126"/>
    <mergeCell ref="AA127:AB127"/>
    <mergeCell ref="AC122:AD122"/>
    <mergeCell ref="AC123:AD123"/>
    <mergeCell ref="AC124:AD124"/>
    <mergeCell ref="AC125:AD125"/>
    <mergeCell ref="AC126:AD126"/>
    <mergeCell ref="AC127:AD127"/>
    <mergeCell ref="AE121:AF121"/>
    <mergeCell ref="AE122:AF122"/>
    <mergeCell ref="AE123:AF123"/>
    <mergeCell ref="AE124:AF124"/>
    <mergeCell ref="AE125:AF125"/>
    <mergeCell ref="AE126:AF126"/>
    <mergeCell ref="AE127:AF127"/>
    <mergeCell ref="AA128:AB128"/>
    <mergeCell ref="AA129:AB129"/>
    <mergeCell ref="W130:X130"/>
    <mergeCell ref="Y121:Z121"/>
    <mergeCell ref="Y122:Z122"/>
    <mergeCell ref="Y123:Z123"/>
    <mergeCell ref="Y124:Z124"/>
    <mergeCell ref="Y125:Z125"/>
    <mergeCell ref="Y126:Z126"/>
    <mergeCell ref="Y127:Z127"/>
    <mergeCell ref="Y128:Z128"/>
    <mergeCell ref="Y129:Z129"/>
    <mergeCell ref="Y130:Z130"/>
    <mergeCell ref="W121:X121"/>
    <mergeCell ref="W122:X122"/>
    <mergeCell ref="W123:X123"/>
    <mergeCell ref="W124:X124"/>
    <mergeCell ref="W125:X125"/>
    <mergeCell ref="W126:X126"/>
    <mergeCell ref="W127:X127"/>
    <mergeCell ref="W128:X128"/>
    <mergeCell ref="W129:X129"/>
    <mergeCell ref="AA130:AB130"/>
    <mergeCell ref="K130:M130"/>
    <mergeCell ref="U121:V121"/>
    <mergeCell ref="U122:V122"/>
    <mergeCell ref="U123:V123"/>
    <mergeCell ref="U124:V124"/>
    <mergeCell ref="U125:V125"/>
    <mergeCell ref="U126:V126"/>
    <mergeCell ref="U127:V127"/>
    <mergeCell ref="U128:V128"/>
    <mergeCell ref="U129:V129"/>
    <mergeCell ref="U130:V130"/>
    <mergeCell ref="K121:M121"/>
    <mergeCell ref="K122:M122"/>
    <mergeCell ref="K123:M123"/>
    <mergeCell ref="K124:M124"/>
    <mergeCell ref="K125:M125"/>
    <mergeCell ref="K126:M126"/>
    <mergeCell ref="K127:M127"/>
    <mergeCell ref="K128:M128"/>
    <mergeCell ref="K129:M129"/>
    <mergeCell ref="E130:G130"/>
    <mergeCell ref="H121:J121"/>
    <mergeCell ref="H122:J122"/>
    <mergeCell ref="H123:J123"/>
    <mergeCell ref="H124:J124"/>
    <mergeCell ref="H125:J125"/>
    <mergeCell ref="H126:J126"/>
    <mergeCell ref="H127:J127"/>
    <mergeCell ref="H128:J128"/>
    <mergeCell ref="H129:J129"/>
    <mergeCell ref="H130:J130"/>
    <mergeCell ref="AF101:AG101"/>
    <mergeCell ref="AF102:AG102"/>
    <mergeCell ref="AH83:AJ83"/>
    <mergeCell ref="AH84:AJ84"/>
    <mergeCell ref="AH85:AJ85"/>
    <mergeCell ref="AH86:AJ86"/>
    <mergeCell ref="AH87:AJ87"/>
    <mergeCell ref="AH88:AJ88"/>
    <mergeCell ref="AH89:AJ89"/>
    <mergeCell ref="AH90:AJ90"/>
    <mergeCell ref="AH91:AJ91"/>
    <mergeCell ref="AH92:AJ92"/>
    <mergeCell ref="AH93:AJ93"/>
    <mergeCell ref="AH94:AJ94"/>
    <mergeCell ref="AH95:AJ95"/>
    <mergeCell ref="AH96:AJ96"/>
    <mergeCell ref="AH97:AJ97"/>
    <mergeCell ref="AH98:AJ98"/>
    <mergeCell ref="AH99:AJ99"/>
    <mergeCell ref="AH100:AJ100"/>
    <mergeCell ref="AH101:AJ101"/>
    <mergeCell ref="AH102:AJ102"/>
    <mergeCell ref="AF92:AG92"/>
    <mergeCell ref="AF93:AG93"/>
    <mergeCell ref="AF94:AG94"/>
    <mergeCell ref="AF95:AG95"/>
    <mergeCell ref="AF96:AG96"/>
    <mergeCell ref="AF97:AG97"/>
    <mergeCell ref="AF98:AG98"/>
    <mergeCell ref="AF99:AG99"/>
    <mergeCell ref="AF100:AG100"/>
    <mergeCell ref="AF83:AG83"/>
    <mergeCell ref="AF84:AG84"/>
    <mergeCell ref="AF85:AG85"/>
    <mergeCell ref="AF86:AG86"/>
    <mergeCell ref="AF87:AG87"/>
    <mergeCell ref="AF88:AG88"/>
    <mergeCell ref="AF89:AG89"/>
    <mergeCell ref="AF90:AG90"/>
    <mergeCell ref="AF91:AG91"/>
    <mergeCell ref="AB101:AC101"/>
    <mergeCell ref="AB102:AC102"/>
    <mergeCell ref="AD83:AE83"/>
    <mergeCell ref="AD84:AE84"/>
    <mergeCell ref="AD85:AE85"/>
    <mergeCell ref="AD86:AE86"/>
    <mergeCell ref="AD87:AE87"/>
    <mergeCell ref="AD88:AE88"/>
    <mergeCell ref="AD89:AE89"/>
    <mergeCell ref="AD90:AE90"/>
    <mergeCell ref="AD91:AE91"/>
    <mergeCell ref="AD92:AE92"/>
    <mergeCell ref="AD93:AE93"/>
    <mergeCell ref="AD94:AE94"/>
    <mergeCell ref="AD95:AE95"/>
    <mergeCell ref="AD97:AE97"/>
    <mergeCell ref="AD98:AE98"/>
    <mergeCell ref="AD99:AE99"/>
    <mergeCell ref="AD100:AE100"/>
    <mergeCell ref="AD101:AE101"/>
    <mergeCell ref="AD102:AE102"/>
    <mergeCell ref="AB92:AC92"/>
    <mergeCell ref="AB93:AC93"/>
    <mergeCell ref="AB94:AC94"/>
    <mergeCell ref="AB95:AC95"/>
    <mergeCell ref="AB96:AC96"/>
    <mergeCell ref="AB97:AC97"/>
    <mergeCell ref="AB98:AC98"/>
    <mergeCell ref="AB99:AC99"/>
    <mergeCell ref="AB100:AC100"/>
    <mergeCell ref="AB83:AC83"/>
    <mergeCell ref="AB84:AC84"/>
    <mergeCell ref="AB85:AC85"/>
    <mergeCell ref="AB86:AC86"/>
    <mergeCell ref="AB87:AC87"/>
    <mergeCell ref="AB88:AC88"/>
    <mergeCell ref="AB89:AC89"/>
    <mergeCell ref="AB90:AC90"/>
    <mergeCell ref="AB91:AC91"/>
    <mergeCell ref="W101:X101"/>
    <mergeCell ref="W102:X102"/>
    <mergeCell ref="Y83:AA83"/>
    <mergeCell ref="Y84:AA84"/>
    <mergeCell ref="Y85:AA85"/>
    <mergeCell ref="Y86:AA86"/>
    <mergeCell ref="Y87:AA87"/>
    <mergeCell ref="Y88:AA88"/>
    <mergeCell ref="Y89:AA89"/>
    <mergeCell ref="Y90:AA90"/>
    <mergeCell ref="Y91:AA91"/>
    <mergeCell ref="Y92:AA92"/>
    <mergeCell ref="Y93:AA93"/>
    <mergeCell ref="Y94:AA94"/>
    <mergeCell ref="Y95:AA95"/>
    <mergeCell ref="Y96:AA96"/>
    <mergeCell ref="Y97:AA97"/>
    <mergeCell ref="Y98:AA98"/>
    <mergeCell ref="Y99:AA99"/>
    <mergeCell ref="Y100:AA100"/>
    <mergeCell ref="Y101:AA101"/>
    <mergeCell ref="Y102:AA102"/>
    <mergeCell ref="W92:X92"/>
    <mergeCell ref="W93:X93"/>
    <mergeCell ref="W94:X94"/>
    <mergeCell ref="W95:X95"/>
    <mergeCell ref="W96:X96"/>
    <mergeCell ref="W97:X97"/>
    <mergeCell ref="W98:X98"/>
    <mergeCell ref="W99:X99"/>
    <mergeCell ref="W100:X100"/>
    <mergeCell ref="W83:X83"/>
    <mergeCell ref="W84:X84"/>
    <mergeCell ref="W85:X85"/>
    <mergeCell ref="W86:X86"/>
    <mergeCell ref="W87:X87"/>
    <mergeCell ref="W88:X88"/>
    <mergeCell ref="W89:X89"/>
    <mergeCell ref="W90:X90"/>
    <mergeCell ref="W91:X91"/>
    <mergeCell ref="S99:T99"/>
    <mergeCell ref="S100:T100"/>
    <mergeCell ref="S101:T101"/>
    <mergeCell ref="S102:T10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S90:T90"/>
    <mergeCell ref="S91:T91"/>
    <mergeCell ref="S92:T92"/>
    <mergeCell ref="S93:T93"/>
    <mergeCell ref="S94:T94"/>
    <mergeCell ref="S95:T95"/>
    <mergeCell ref="S96:T96"/>
    <mergeCell ref="S97:T97"/>
    <mergeCell ref="S98:T98"/>
    <mergeCell ref="N101:P101"/>
    <mergeCell ref="N102:P10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N91:P91"/>
    <mergeCell ref="N92:P92"/>
    <mergeCell ref="N93:P93"/>
    <mergeCell ref="N94:P94"/>
    <mergeCell ref="N95:P95"/>
    <mergeCell ref="N96:P96"/>
    <mergeCell ref="N97:P97"/>
    <mergeCell ref="N98:P98"/>
    <mergeCell ref="N99:P99"/>
    <mergeCell ref="H100:J100"/>
    <mergeCell ref="N100:P100"/>
    <mergeCell ref="H101:J101"/>
    <mergeCell ref="H102:J10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E96:G96"/>
    <mergeCell ref="E97:G97"/>
    <mergeCell ref="E98:G98"/>
    <mergeCell ref="E99:G99"/>
    <mergeCell ref="E100:G100"/>
    <mergeCell ref="E101:G101"/>
    <mergeCell ref="E102:G10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U66:V66"/>
    <mergeCell ref="E83:G83"/>
    <mergeCell ref="E84:G84"/>
    <mergeCell ref="E85:G85"/>
    <mergeCell ref="E86:G86"/>
    <mergeCell ref="E87:G87"/>
    <mergeCell ref="E88:G88"/>
    <mergeCell ref="E89:G89"/>
    <mergeCell ref="E90:G90"/>
    <mergeCell ref="N83:P83"/>
    <mergeCell ref="N84:P84"/>
    <mergeCell ref="N85:P85"/>
    <mergeCell ref="N86:P86"/>
    <mergeCell ref="N87:P87"/>
    <mergeCell ref="N88:P88"/>
    <mergeCell ref="N89:P89"/>
    <mergeCell ref="N90:P90"/>
    <mergeCell ref="S83:T83"/>
    <mergeCell ref="S84:T84"/>
    <mergeCell ref="S85:T85"/>
    <mergeCell ref="S86:T86"/>
    <mergeCell ref="S87:T87"/>
    <mergeCell ref="S88:T88"/>
    <mergeCell ref="S89:T89"/>
    <mergeCell ref="U46:V46"/>
    <mergeCell ref="U47:V47"/>
    <mergeCell ref="H62:J62"/>
    <mergeCell ref="H63:J63"/>
    <mergeCell ref="H64:J64"/>
    <mergeCell ref="H65:J65"/>
    <mergeCell ref="H66:J66"/>
    <mergeCell ref="K62:M62"/>
    <mergeCell ref="K63:M63"/>
    <mergeCell ref="K64:M64"/>
    <mergeCell ref="K65:M65"/>
    <mergeCell ref="K66:M66"/>
    <mergeCell ref="N62:P62"/>
    <mergeCell ref="N63:P63"/>
    <mergeCell ref="N64:P64"/>
    <mergeCell ref="N65:P65"/>
    <mergeCell ref="N66:P66"/>
    <mergeCell ref="Q62:R62"/>
    <mergeCell ref="Q63:R63"/>
    <mergeCell ref="Q64:R64"/>
    <mergeCell ref="Q65:R65"/>
    <mergeCell ref="Q66:R66"/>
    <mergeCell ref="S62:T62"/>
    <mergeCell ref="S63:T63"/>
    <mergeCell ref="U37:V37"/>
    <mergeCell ref="U38:V38"/>
    <mergeCell ref="U39:V39"/>
    <mergeCell ref="U40:V40"/>
    <mergeCell ref="U41:V41"/>
    <mergeCell ref="U42:V42"/>
    <mergeCell ref="U43:V43"/>
    <mergeCell ref="U44:V44"/>
    <mergeCell ref="U45:V45"/>
    <mergeCell ref="U28:V28"/>
    <mergeCell ref="U29:V29"/>
    <mergeCell ref="U30:V30"/>
    <mergeCell ref="U31:V31"/>
    <mergeCell ref="U32:V32"/>
    <mergeCell ref="U33:V33"/>
    <mergeCell ref="U34:V34"/>
    <mergeCell ref="U35:V35"/>
    <mergeCell ref="U36:V36"/>
    <mergeCell ref="S44:T44"/>
    <mergeCell ref="S45:T45"/>
    <mergeCell ref="S46:T46"/>
    <mergeCell ref="S47:T4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U27:V27"/>
    <mergeCell ref="S35:T35"/>
    <mergeCell ref="S36:T36"/>
    <mergeCell ref="S37:T37"/>
    <mergeCell ref="S38:T38"/>
    <mergeCell ref="S39:T39"/>
    <mergeCell ref="S40:T40"/>
    <mergeCell ref="S41:T41"/>
    <mergeCell ref="S42:T42"/>
    <mergeCell ref="S43:T43"/>
    <mergeCell ref="S26:T26"/>
    <mergeCell ref="S27:T27"/>
    <mergeCell ref="S28:T28"/>
    <mergeCell ref="S29:T29"/>
    <mergeCell ref="S30:T30"/>
    <mergeCell ref="S31:T31"/>
    <mergeCell ref="S32:T32"/>
    <mergeCell ref="S33:T33"/>
    <mergeCell ref="S34:T34"/>
    <mergeCell ref="S17:T17"/>
    <mergeCell ref="S18:T18"/>
    <mergeCell ref="S19:T19"/>
    <mergeCell ref="S20:T20"/>
    <mergeCell ref="S21:T21"/>
    <mergeCell ref="S22:T22"/>
    <mergeCell ref="S23:T23"/>
    <mergeCell ref="S24:T24"/>
    <mergeCell ref="S25:T25"/>
    <mergeCell ref="S8:T8"/>
    <mergeCell ref="S9:T9"/>
    <mergeCell ref="S10:T10"/>
    <mergeCell ref="S11:T11"/>
    <mergeCell ref="S12:T12"/>
    <mergeCell ref="S13:T13"/>
    <mergeCell ref="S14:T14"/>
    <mergeCell ref="S15:T15"/>
    <mergeCell ref="S16:T16"/>
    <mergeCell ref="Q39:R39"/>
    <mergeCell ref="Q40:R40"/>
    <mergeCell ref="Q41:R41"/>
    <mergeCell ref="Q42:R42"/>
    <mergeCell ref="Q43:R43"/>
    <mergeCell ref="Q44:R44"/>
    <mergeCell ref="Q45:R45"/>
    <mergeCell ref="Q46:R46"/>
    <mergeCell ref="Q47:R47"/>
    <mergeCell ref="Q30:R30"/>
    <mergeCell ref="Q31:R31"/>
    <mergeCell ref="Q32:R32"/>
    <mergeCell ref="Q33:R33"/>
    <mergeCell ref="Q34:R34"/>
    <mergeCell ref="Q35:R35"/>
    <mergeCell ref="Q36:R36"/>
    <mergeCell ref="Q37:R37"/>
    <mergeCell ref="Q38:R38"/>
    <mergeCell ref="N46:P46"/>
    <mergeCell ref="N47:P47"/>
    <mergeCell ref="Q8:R8"/>
    <mergeCell ref="Q9:R9"/>
    <mergeCell ref="Q10:R10"/>
    <mergeCell ref="Q11:R11"/>
    <mergeCell ref="Q12:R12"/>
    <mergeCell ref="Q13:R13"/>
    <mergeCell ref="Q14:R14"/>
    <mergeCell ref="Q15:R15"/>
    <mergeCell ref="Q16:R16"/>
    <mergeCell ref="Q17:R17"/>
    <mergeCell ref="Q18:R18"/>
    <mergeCell ref="Q19:R19"/>
    <mergeCell ref="Q20:R20"/>
    <mergeCell ref="Q21:R21"/>
    <mergeCell ref="Q22:R22"/>
    <mergeCell ref="Q23:R23"/>
    <mergeCell ref="Q24:R24"/>
    <mergeCell ref="Q25:R25"/>
    <mergeCell ref="Q26:R26"/>
    <mergeCell ref="Q27:R27"/>
    <mergeCell ref="Q28:R28"/>
    <mergeCell ref="Q29:R29"/>
    <mergeCell ref="N37:P37"/>
    <mergeCell ref="N38:P38"/>
    <mergeCell ref="N39:P39"/>
    <mergeCell ref="N40:P40"/>
    <mergeCell ref="N41:P41"/>
    <mergeCell ref="N42:P42"/>
    <mergeCell ref="N43:P43"/>
    <mergeCell ref="N44:P44"/>
    <mergeCell ref="N45:P45"/>
    <mergeCell ref="N28:P28"/>
    <mergeCell ref="N29:P29"/>
    <mergeCell ref="N30:P30"/>
    <mergeCell ref="N31:P31"/>
    <mergeCell ref="N32:P32"/>
    <mergeCell ref="N33:P33"/>
    <mergeCell ref="N34:P34"/>
    <mergeCell ref="N35:P35"/>
    <mergeCell ref="N36:P36"/>
    <mergeCell ref="K44:M44"/>
    <mergeCell ref="K45:M45"/>
    <mergeCell ref="K46:M46"/>
    <mergeCell ref="K47:M47"/>
    <mergeCell ref="N8:P8"/>
    <mergeCell ref="N9:P9"/>
    <mergeCell ref="N10:P10"/>
    <mergeCell ref="N11:P11"/>
    <mergeCell ref="N12:P12"/>
    <mergeCell ref="N13:P13"/>
    <mergeCell ref="N14:P14"/>
    <mergeCell ref="N15:P15"/>
    <mergeCell ref="N16:P16"/>
    <mergeCell ref="N17:P17"/>
    <mergeCell ref="N18:P18"/>
    <mergeCell ref="N19:P19"/>
    <mergeCell ref="N20:P20"/>
    <mergeCell ref="N21:P21"/>
    <mergeCell ref="N22:P22"/>
    <mergeCell ref="N23:P23"/>
    <mergeCell ref="N24:P24"/>
    <mergeCell ref="N25:P25"/>
    <mergeCell ref="N26:P26"/>
    <mergeCell ref="N27:P27"/>
    <mergeCell ref="K35:M35"/>
    <mergeCell ref="K36:M36"/>
    <mergeCell ref="K37:M37"/>
    <mergeCell ref="K38:M38"/>
    <mergeCell ref="K39:M39"/>
    <mergeCell ref="K40:M40"/>
    <mergeCell ref="K41:M41"/>
    <mergeCell ref="K42:M42"/>
    <mergeCell ref="K43:M43"/>
    <mergeCell ref="K26:M26"/>
    <mergeCell ref="K27:M27"/>
    <mergeCell ref="K28:M28"/>
    <mergeCell ref="K29:M29"/>
    <mergeCell ref="K30:M30"/>
    <mergeCell ref="K31:M31"/>
    <mergeCell ref="K32:M32"/>
    <mergeCell ref="K33:M33"/>
    <mergeCell ref="K34:M34"/>
    <mergeCell ref="K17:M17"/>
    <mergeCell ref="K18:M18"/>
    <mergeCell ref="K19:M19"/>
    <mergeCell ref="K20:M20"/>
    <mergeCell ref="K21:M21"/>
    <mergeCell ref="K22:M22"/>
    <mergeCell ref="K23:M23"/>
    <mergeCell ref="K24:M24"/>
    <mergeCell ref="K25:M25"/>
    <mergeCell ref="K8:M8"/>
    <mergeCell ref="K9:M9"/>
    <mergeCell ref="K10:M10"/>
    <mergeCell ref="K11:M11"/>
    <mergeCell ref="K12:M12"/>
    <mergeCell ref="K13:M13"/>
    <mergeCell ref="K14:M14"/>
    <mergeCell ref="K15:M15"/>
    <mergeCell ref="K16:M16"/>
    <mergeCell ref="I35:J35"/>
    <mergeCell ref="I36:J36"/>
    <mergeCell ref="I37:J37"/>
    <mergeCell ref="I38:J38"/>
    <mergeCell ref="I39:J39"/>
    <mergeCell ref="I40:J40"/>
    <mergeCell ref="I41:J41"/>
    <mergeCell ref="I42:J42"/>
    <mergeCell ref="I43:J43"/>
    <mergeCell ref="I26:J26"/>
    <mergeCell ref="I27:J27"/>
    <mergeCell ref="I28:J28"/>
    <mergeCell ref="I29:J29"/>
    <mergeCell ref="I30:J30"/>
    <mergeCell ref="I31:J31"/>
    <mergeCell ref="I32:J32"/>
    <mergeCell ref="I33:J33"/>
    <mergeCell ref="I34:J34"/>
    <mergeCell ref="I17:J17"/>
    <mergeCell ref="I18:J18"/>
    <mergeCell ref="I19:J19"/>
    <mergeCell ref="I20:J20"/>
    <mergeCell ref="I21:J21"/>
    <mergeCell ref="I22:J22"/>
    <mergeCell ref="I23:J23"/>
    <mergeCell ref="I24:J24"/>
    <mergeCell ref="I25:J25"/>
    <mergeCell ref="I8:J8"/>
    <mergeCell ref="I9:J9"/>
    <mergeCell ref="I10:J10"/>
    <mergeCell ref="I11:J11"/>
    <mergeCell ref="I12:J12"/>
    <mergeCell ref="I13:J13"/>
    <mergeCell ref="I14:J14"/>
    <mergeCell ref="I15:J15"/>
    <mergeCell ref="I16:J16"/>
    <mergeCell ref="E32:G32"/>
    <mergeCell ref="E33:G33"/>
    <mergeCell ref="E34:G34"/>
    <mergeCell ref="E35:G35"/>
    <mergeCell ref="E36:G36"/>
    <mergeCell ref="E37:G37"/>
    <mergeCell ref="E38:G38"/>
    <mergeCell ref="E39:G39"/>
    <mergeCell ref="E40:G40"/>
    <mergeCell ref="E23:G23"/>
    <mergeCell ref="E24:G24"/>
    <mergeCell ref="E25:G25"/>
    <mergeCell ref="E26:G26"/>
    <mergeCell ref="E27:G27"/>
    <mergeCell ref="E28:G28"/>
    <mergeCell ref="E29:G29"/>
    <mergeCell ref="E30:G30"/>
    <mergeCell ref="E31:G31"/>
    <mergeCell ref="E14:G14"/>
    <mergeCell ref="E15:G15"/>
    <mergeCell ref="E16:G16"/>
    <mergeCell ref="E17:G17"/>
    <mergeCell ref="E18:G18"/>
    <mergeCell ref="E19:G19"/>
    <mergeCell ref="E20:G20"/>
    <mergeCell ref="E21:G21"/>
    <mergeCell ref="E22:G22"/>
    <mergeCell ref="C8:D8"/>
    <mergeCell ref="C9:D9"/>
    <mergeCell ref="C10:D10"/>
    <mergeCell ref="C11:D11"/>
    <mergeCell ref="C12:D12"/>
    <mergeCell ref="C13:D13"/>
    <mergeCell ref="S6:T6"/>
    <mergeCell ref="U6:V6"/>
    <mergeCell ref="W6:AL6"/>
    <mergeCell ref="C7:D7"/>
    <mergeCell ref="I7:J7"/>
    <mergeCell ref="S7:T7"/>
    <mergeCell ref="C6:D6"/>
    <mergeCell ref="E6:G6"/>
    <mergeCell ref="I6:J6"/>
    <mergeCell ref="K6:M6"/>
    <mergeCell ref="N6:P6"/>
    <mergeCell ref="Q6:R6"/>
    <mergeCell ref="E8:G8"/>
    <mergeCell ref="E9:G9"/>
    <mergeCell ref="E10:G10"/>
    <mergeCell ref="E11:G11"/>
    <mergeCell ref="E12:G12"/>
    <mergeCell ref="E13:G13"/>
    <mergeCell ref="C20:D20"/>
    <mergeCell ref="C21:D21"/>
    <mergeCell ref="C22:D22"/>
    <mergeCell ref="C23:D23"/>
    <mergeCell ref="C24:D24"/>
    <mergeCell ref="C25:D25"/>
    <mergeCell ref="C14:D14"/>
    <mergeCell ref="C15:D15"/>
    <mergeCell ref="C16:D16"/>
    <mergeCell ref="C17:D17"/>
    <mergeCell ref="C18:D18"/>
    <mergeCell ref="C19:D19"/>
    <mergeCell ref="C32:D32"/>
    <mergeCell ref="C33:D33"/>
    <mergeCell ref="C34:D34"/>
    <mergeCell ref="C35:D35"/>
    <mergeCell ref="C36:D36"/>
    <mergeCell ref="C37:D37"/>
    <mergeCell ref="C26:D26"/>
    <mergeCell ref="C27:D27"/>
    <mergeCell ref="C28:D28"/>
    <mergeCell ref="C29:D29"/>
    <mergeCell ref="C30:D30"/>
    <mergeCell ref="C31:D31"/>
    <mergeCell ref="W60:AL60"/>
    <mergeCell ref="C44:D44"/>
    <mergeCell ref="C45:D45"/>
    <mergeCell ref="C46:D46"/>
    <mergeCell ref="C47:D47"/>
    <mergeCell ref="C60:D60"/>
    <mergeCell ref="E60:G60"/>
    <mergeCell ref="C38:D38"/>
    <mergeCell ref="C39:D39"/>
    <mergeCell ref="C40:D40"/>
    <mergeCell ref="C41:D41"/>
    <mergeCell ref="C42:D42"/>
    <mergeCell ref="C43:D43"/>
    <mergeCell ref="E41:G41"/>
    <mergeCell ref="E42:G42"/>
    <mergeCell ref="E43:G43"/>
    <mergeCell ref="E44:G44"/>
    <mergeCell ref="E45:G45"/>
    <mergeCell ref="E46:G46"/>
    <mergeCell ref="E47:G47"/>
    <mergeCell ref="I44:J44"/>
    <mergeCell ref="I45:J45"/>
    <mergeCell ref="I46:J46"/>
    <mergeCell ref="I47:J47"/>
    <mergeCell ref="C61:D61"/>
    <mergeCell ref="K61:M61"/>
    <mergeCell ref="N61:P61"/>
    <mergeCell ref="S61:T61"/>
    <mergeCell ref="U61:V61"/>
    <mergeCell ref="H60:J60"/>
    <mergeCell ref="K60:M60"/>
    <mergeCell ref="N60:P60"/>
    <mergeCell ref="Q60:R60"/>
    <mergeCell ref="U60:V60"/>
    <mergeCell ref="BA118:BD118"/>
    <mergeCell ref="Q81:R81"/>
    <mergeCell ref="S81:T81"/>
    <mergeCell ref="U81:V81"/>
    <mergeCell ref="W81:X81"/>
    <mergeCell ref="Y81:AA81"/>
    <mergeCell ref="C82:D82"/>
    <mergeCell ref="K82:M82"/>
    <mergeCell ref="N82:P82"/>
    <mergeCell ref="S82:T82"/>
    <mergeCell ref="U82:V82"/>
    <mergeCell ref="C81:D81"/>
    <mergeCell ref="E81:G81"/>
    <mergeCell ref="H81:J81"/>
    <mergeCell ref="K81:M81"/>
    <mergeCell ref="N81:P81"/>
    <mergeCell ref="W82:X82"/>
    <mergeCell ref="Y82:AA82"/>
    <mergeCell ref="N118:O118"/>
    <mergeCell ref="E91:G91"/>
    <mergeCell ref="E92:G92"/>
    <mergeCell ref="E93:G93"/>
    <mergeCell ref="E94:G94"/>
    <mergeCell ref="E95:G95"/>
    <mergeCell ref="BE118:BG118"/>
    <mergeCell ref="C119:D119"/>
    <mergeCell ref="H119:J119"/>
    <mergeCell ref="K119:M119"/>
    <mergeCell ref="W119:X119"/>
    <mergeCell ref="Y119:Z119"/>
    <mergeCell ref="AA119:AB119"/>
    <mergeCell ref="AC119:AD119"/>
    <mergeCell ref="AE119:AF119"/>
    <mergeCell ref="AA118:AB118"/>
    <mergeCell ref="AC118:AD118"/>
    <mergeCell ref="AE118:AF118"/>
    <mergeCell ref="AG118:AH118"/>
    <mergeCell ref="AI118:AJ118"/>
    <mergeCell ref="AK118:AZ118"/>
    <mergeCell ref="AG119:AH119"/>
    <mergeCell ref="AI119:AJ119"/>
    <mergeCell ref="BE119:BG119"/>
    <mergeCell ref="C118:D118"/>
    <mergeCell ref="E118:G118"/>
    <mergeCell ref="H118:J118"/>
    <mergeCell ref="K118:M118"/>
    <mergeCell ref="U118:V118"/>
    <mergeCell ref="W118:X118"/>
    <mergeCell ref="C120:D120"/>
    <mergeCell ref="W120:X120"/>
    <mergeCell ref="Y120:Z120"/>
    <mergeCell ref="AA120:AB120"/>
    <mergeCell ref="AC120:AD120"/>
    <mergeCell ref="AE120:AF120"/>
    <mergeCell ref="AG120:AH120"/>
    <mergeCell ref="AO153:AP153"/>
    <mergeCell ref="AQ153:AR153"/>
    <mergeCell ref="AI120:AJ120"/>
    <mergeCell ref="AC121:AD121"/>
    <mergeCell ref="AC129:AD129"/>
    <mergeCell ref="AC130:AD130"/>
    <mergeCell ref="C153:D153"/>
    <mergeCell ref="E153:G153"/>
    <mergeCell ref="H153:J153"/>
    <mergeCell ref="K153:M153"/>
    <mergeCell ref="N153:P153"/>
    <mergeCell ref="Q153:R153"/>
    <mergeCell ref="AC128:AD128"/>
    <mergeCell ref="L150:Q150"/>
    <mergeCell ref="AC150:AD150"/>
    <mergeCell ref="AE150:AF150"/>
    <mergeCell ref="E129:G129"/>
    <mergeCell ref="AO155:AP155"/>
    <mergeCell ref="AQ155:AR155"/>
    <mergeCell ref="AS155:AT155"/>
    <mergeCell ref="AM173:AN173"/>
    <mergeCell ref="AM174:AN174"/>
    <mergeCell ref="AM175:AN175"/>
    <mergeCell ref="C155:D155"/>
    <mergeCell ref="K155:M155"/>
    <mergeCell ref="N155:P155"/>
    <mergeCell ref="S155:T155"/>
    <mergeCell ref="U155:V155"/>
    <mergeCell ref="AM155:AN155"/>
    <mergeCell ref="E157:G157"/>
    <mergeCell ref="E158:G158"/>
    <mergeCell ref="E159:G159"/>
    <mergeCell ref="E160:G160"/>
    <mergeCell ref="E161:G161"/>
    <mergeCell ref="E162:G162"/>
    <mergeCell ref="E163:G163"/>
    <mergeCell ref="E164:G164"/>
    <mergeCell ref="E165:G165"/>
    <mergeCell ref="E166:G166"/>
    <mergeCell ref="E167:G167"/>
    <mergeCell ref="E168:G168"/>
    <mergeCell ref="AM62:AO62"/>
    <mergeCell ref="AM63:AO63"/>
    <mergeCell ref="AM64:AO64"/>
    <mergeCell ref="AM65:AO65"/>
    <mergeCell ref="AM66:AO66"/>
    <mergeCell ref="AS153:AT153"/>
    <mergeCell ref="S154:T154"/>
    <mergeCell ref="U154:V154"/>
    <mergeCell ref="AM154:AN154"/>
    <mergeCell ref="AO154:AP154"/>
    <mergeCell ref="AQ154:AR154"/>
    <mergeCell ref="AS154:AT154"/>
    <mergeCell ref="S153:T153"/>
    <mergeCell ref="U153:V153"/>
    <mergeCell ref="W153:AL153"/>
    <mergeCell ref="AM153:AN153"/>
    <mergeCell ref="Y118:Z118"/>
    <mergeCell ref="S64:T64"/>
    <mergeCell ref="S65:T65"/>
    <mergeCell ref="S66:T66"/>
    <mergeCell ref="U62:V62"/>
    <mergeCell ref="U63:V63"/>
    <mergeCell ref="U64:V64"/>
    <mergeCell ref="U65:V65"/>
  </mergeCells>
  <dataValidations count="2">
    <dataValidation type="list" allowBlank="1" showInputMessage="1" showErrorMessage="1" sqref="P121:Q130" xr:uid="{00000000-0002-0000-0100-000000000000}">
      <formula1>$K$146:$K$150</formula1>
    </dataValidation>
    <dataValidation type="list" allowBlank="1" showInputMessage="1" showErrorMessage="1" sqref="S121:S130" xr:uid="{00000000-0002-0000-0100-000001000000}">
      <formula1>$AB$147:$AB$150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100-000002000000}">
          <x14:formula1>
            <xm:f>berekeningen!G110:G111</xm:f>
          </x14:formula1>
          <xm:sqref>N121</xm:sqref>
        </x14:dataValidation>
        <x14:dataValidation type="list" allowBlank="1" showInputMessage="1" showErrorMessage="1" xr:uid="{00000000-0002-0000-0100-000003000000}">
          <x14:formula1>
            <xm:f>berekeningen!G110:G111</xm:f>
          </x14:formula1>
          <xm:sqref>N122</xm:sqref>
        </x14:dataValidation>
        <x14:dataValidation type="list" allowBlank="1" showInputMessage="1" showErrorMessage="1" xr:uid="{00000000-0002-0000-0100-000004000000}">
          <x14:formula1>
            <xm:f>berekeningen!G110:G111</xm:f>
          </x14:formula1>
          <xm:sqref>N123</xm:sqref>
        </x14:dataValidation>
        <x14:dataValidation type="list" allowBlank="1" showInputMessage="1" showErrorMessage="1" xr:uid="{00000000-0002-0000-0100-000005000000}">
          <x14:formula1>
            <xm:f>berekeningen!G110:G111</xm:f>
          </x14:formula1>
          <xm:sqref>N124</xm:sqref>
        </x14:dataValidation>
        <x14:dataValidation type="list" allowBlank="1" showInputMessage="1" showErrorMessage="1" xr:uid="{00000000-0002-0000-0100-000006000000}">
          <x14:formula1>
            <xm:f>berekeningen!G110:G111</xm:f>
          </x14:formula1>
          <xm:sqref>N125</xm:sqref>
        </x14:dataValidation>
        <x14:dataValidation type="list" allowBlank="1" showInputMessage="1" showErrorMessage="1" xr:uid="{00000000-0002-0000-0100-000007000000}">
          <x14:formula1>
            <xm:f>berekeningen!G110:G111</xm:f>
          </x14:formula1>
          <xm:sqref>N126</xm:sqref>
        </x14:dataValidation>
        <x14:dataValidation type="list" allowBlank="1" showInputMessage="1" showErrorMessage="1" xr:uid="{00000000-0002-0000-0100-000008000000}">
          <x14:formula1>
            <xm:f>berekeningen!G110:G111</xm:f>
          </x14:formula1>
          <xm:sqref>N127</xm:sqref>
        </x14:dataValidation>
        <x14:dataValidation type="list" allowBlank="1" showInputMessage="1" showErrorMessage="1" xr:uid="{00000000-0002-0000-0100-000009000000}">
          <x14:formula1>
            <xm:f>berekeningen!G110:G111</xm:f>
          </x14:formula1>
          <xm:sqref>N128</xm:sqref>
        </x14:dataValidation>
        <x14:dataValidation type="list" allowBlank="1" showInputMessage="1" showErrorMessage="1" xr:uid="{00000000-0002-0000-0100-00000A000000}">
          <x14:formula1>
            <xm:f>berekeningen!G110:G111</xm:f>
          </x14:formula1>
          <xm:sqref>N129</xm:sqref>
        </x14:dataValidation>
        <x14:dataValidation type="list" allowBlank="1" showInputMessage="1" showErrorMessage="1" xr:uid="{00000000-0002-0000-0100-00000B000000}">
          <x14:formula1>
            <xm:f>berekeningen!G110:G111</xm:f>
          </x14:formula1>
          <xm:sqref>N130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91"/>
  <sheetViews>
    <sheetView workbookViewId="0">
      <selection activeCell="N9" sqref="N9"/>
    </sheetView>
  </sheetViews>
  <sheetFormatPr defaultColWidth="9.1796875" defaultRowHeight="14" x14ac:dyDescent="0.3"/>
  <cols>
    <col min="1" max="1" width="9.1796875" style="1"/>
    <col min="2" max="2" width="6.7265625" style="1" customWidth="1"/>
    <col min="3" max="3" width="7.81640625" style="1" customWidth="1"/>
    <col min="4" max="52" width="6.7265625" style="1" customWidth="1"/>
    <col min="53"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384</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033" t="s">
        <v>150</v>
      </c>
      <c r="D6" s="2033"/>
      <c r="E6" s="2033" t="s">
        <v>115</v>
      </c>
      <c r="F6" s="2033"/>
      <c r="G6" s="2033"/>
      <c r="H6" s="2" t="s">
        <v>116</v>
      </c>
      <c r="I6" s="2033" t="s">
        <v>117</v>
      </c>
      <c r="J6" s="2033"/>
      <c r="K6" s="2033" t="s">
        <v>119</v>
      </c>
      <c r="L6" s="2033"/>
      <c r="M6" s="2033"/>
      <c r="N6" s="2033" t="s">
        <v>120</v>
      </c>
      <c r="O6" s="2033"/>
      <c r="P6" s="2033"/>
      <c r="Q6" s="2033" t="s">
        <v>121</v>
      </c>
      <c r="R6" s="2033"/>
      <c r="S6" s="2033" t="s">
        <v>122</v>
      </c>
      <c r="T6" s="2033"/>
      <c r="U6" s="2033" t="s">
        <v>128</v>
      </c>
      <c r="V6" s="2033"/>
      <c r="W6" s="2155" t="s">
        <v>127</v>
      </c>
      <c r="X6" s="2155"/>
      <c r="Y6" s="2155"/>
      <c r="Z6" s="2155"/>
      <c r="AA6" s="2155"/>
      <c r="AB6" s="2155"/>
      <c r="AC6" s="2155"/>
      <c r="AD6" s="2155"/>
      <c r="AE6" s="2155"/>
      <c r="AF6" s="2155"/>
      <c r="AG6" s="2155"/>
      <c r="AH6" s="2155"/>
      <c r="AI6" s="2155"/>
      <c r="AJ6" s="2155"/>
      <c r="AK6" s="2155"/>
      <c r="AL6" s="2155"/>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106" t="s">
        <v>385</v>
      </c>
      <c r="C7" s="2033" t="s">
        <v>132</v>
      </c>
      <c r="D7" s="2033"/>
      <c r="E7" s="2"/>
      <c r="F7" s="2"/>
      <c r="G7" s="2"/>
      <c r="H7" s="2"/>
      <c r="I7" s="2033" t="s">
        <v>118</v>
      </c>
      <c r="J7" s="2033"/>
      <c r="K7" s="2"/>
      <c r="L7" s="2"/>
      <c r="M7" s="2"/>
      <c r="N7" s="2"/>
      <c r="O7" s="2"/>
      <c r="P7" s="2"/>
      <c r="Q7" s="2"/>
      <c r="R7" s="2"/>
      <c r="S7" s="2033" t="s">
        <v>418</v>
      </c>
      <c r="T7" s="2033"/>
      <c r="U7" s="2"/>
      <c r="V7" s="2"/>
      <c r="W7" s="355">
        <f>berekeningen!D9</f>
        <v>40</v>
      </c>
      <c r="X7" s="355">
        <f>berekeningen!E9</f>
        <v>31.5</v>
      </c>
      <c r="Y7" s="355">
        <f>berekeningen!F9</f>
        <v>20</v>
      </c>
      <c r="Z7" s="355">
        <f>berekeningen!G9</f>
        <v>16</v>
      </c>
      <c r="AA7" s="355">
        <f>berekeningen!H9</f>
        <v>14</v>
      </c>
      <c r="AB7" s="355">
        <f>berekeningen!I9</f>
        <v>12.5</v>
      </c>
      <c r="AC7" s="355">
        <f>berekeningen!J9</f>
        <v>10</v>
      </c>
      <c r="AD7" s="355">
        <f>berekeningen!K9</f>
        <v>8</v>
      </c>
      <c r="AE7" s="355">
        <f>berekeningen!L9</f>
        <v>6.3</v>
      </c>
      <c r="AF7" s="355">
        <f>berekeningen!M9</f>
        <v>4</v>
      </c>
      <c r="AG7" s="355">
        <f>berekeningen!N9</f>
        <v>2</v>
      </c>
      <c r="AH7" s="355">
        <f>berekeningen!O9</f>
        <v>1</v>
      </c>
      <c r="AI7" s="355">
        <f>berekeningen!P9</f>
        <v>0.5</v>
      </c>
      <c r="AJ7" s="355">
        <f>berekeningen!Q9</f>
        <v>0.25</v>
      </c>
      <c r="AK7" s="355">
        <f>berekeningen!R9</f>
        <v>0.125</v>
      </c>
      <c r="AL7" s="355">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4.5" thickTop="1" x14ac:dyDescent="0.3">
      <c r="A8" s="4"/>
      <c r="B8" s="1552">
        <v>1</v>
      </c>
      <c r="C8" s="2171">
        <f t="shared" ref="C8:C17" si="0">IF(B8="","",C88)</f>
        <v>5.0999999999999996</v>
      </c>
      <c r="D8" s="2172"/>
      <c r="E8" s="35" t="str">
        <f>IF($B8="","",IF(VLOOKUP($B8,grondstoffen!$B$8:$AL$47,4,FALSE)="","",VLOOKUP($B8,grondstoffen!$B$8:$AL$47,4,FALSE)))</f>
        <v>Kalksteen</v>
      </c>
      <c r="F8" s="30"/>
      <c r="G8" s="30"/>
      <c r="H8" s="30" t="str">
        <f>IF($B8="","",IF(VLOOKUP($B8,grondstoffen!$B$8:$AL$47,7,FALSE)="","",VLOOKUP($B8,grondstoffen!$B$8:$AL$47,7,FALSE)))</f>
        <v>14/20</v>
      </c>
      <c r="I8" s="30" t="str">
        <f>IF($B8="","",IF(VLOOKUP($B8,grondstoffen!$B$8:$AL$47,8,FALSE)="","",VLOOKUP($B8,grondstoffen!$B$8:$AL$47,8,FALSE)))</f>
        <v>Aa1 I f1</v>
      </c>
      <c r="J8" s="30"/>
      <c r="K8" s="30" t="str">
        <f>IF($B8="","",IF(VLOOKUP($B8,grondstoffen!$B$8:$AL$47,10,FALSE)="","",VLOOKUP($B8,grondstoffen!$B$8:$AL$47,10,FALSE)))</f>
        <v>Gralex</v>
      </c>
      <c r="L8" s="30"/>
      <c r="M8" s="30"/>
      <c r="N8" s="30" t="str">
        <f>IF($B8="","",IF(VLOOKUP($B8,grondstoffen!$B$8:$AL$47,13,FALSE)="","",VLOOKUP($B8,grondstoffen!$B$8:$AL$47,13,FALSE)))</f>
        <v>Beez</v>
      </c>
      <c r="O8" s="30"/>
      <c r="P8" s="30"/>
      <c r="Q8" s="30" t="str">
        <f>IF($B8="","",IF(VLOOKUP($B8,grondstoffen!$B$8:$AL$47,16,FALSE)="","",VLOOKUP($B8,grondstoffen!$B$8:$AL$47,16,FALSE)))</f>
        <v>BENOR</v>
      </c>
      <c r="R8" s="30"/>
      <c r="S8" s="1261">
        <f>IF($B8="","",IF(VLOOKUP($B8,grondstoffen!$B$8:$AL$47,18,FALSE)="","",VLOOKUP($B8,grondstoffen!$B$8:$AL$47,18,FALSE)))</f>
        <v>2.7890000000000001</v>
      </c>
      <c r="T8" s="30"/>
      <c r="U8" s="30" t="str">
        <f>IF($B8="","",IF(VLOOKUP($B8,grondstoffen!$B$8:$AL$47,20,FALSE)="","",VLOOKUP($B8,grondstoffen!$B$8:$AL$47,20,FALSE)))</f>
        <v>B</v>
      </c>
      <c r="V8" s="30"/>
      <c r="W8" s="356">
        <f>IF($B8="","",IF(VLOOKUP($B8,grondstoffen!$B$8:$AL$47,22,FALSE)="","",VLOOKUP($B8,grondstoffen!$B$8:$AL$47,22,FALSE)))</f>
        <v>100</v>
      </c>
      <c r="X8" s="356">
        <f>IF($B8="","",IF(VLOOKUP($B8,grondstoffen!$B$8:$AL$47,23,FALSE)="","",VLOOKUP($B8,grondstoffen!$B$8:$AL$47,23,FALSE)))</f>
        <v>100</v>
      </c>
      <c r="Y8" s="356">
        <f>IF($B8="","",IF(VLOOKUP($B8,grondstoffen!$B$8:$AL$47,24,FALSE)="","",VLOOKUP($B8,grondstoffen!$B$8:$AL$47,24,FALSE)))</f>
        <v>99</v>
      </c>
      <c r="Z8" s="356">
        <f>IF($B8="","",IF(VLOOKUP($B8,grondstoffen!$B$8:$AL$47,25,FALSE)="","",VLOOKUP($B8,grondstoffen!$B$8:$AL$47,25,FALSE)))</f>
        <v>55</v>
      </c>
      <c r="AA8" s="356">
        <f>IF($B8="","",IF(VLOOKUP($B8,grondstoffen!$B$8:$AL$47,26,FALSE)="","",VLOOKUP($B8,grondstoffen!$B$8:$AL$47,26,FALSE)))</f>
        <v>25</v>
      </c>
      <c r="AB8" s="356">
        <f>IF($B8="","",IF(VLOOKUP($B8,grondstoffen!$B$8:$AL$47,27,FALSE)="","",VLOOKUP($B8,grondstoffen!$B$8:$AL$47,27,FALSE)))</f>
        <v>10</v>
      </c>
      <c r="AC8" s="356">
        <f>IF($B8="","",IF(VLOOKUP($B8,grondstoffen!$B$8:$AL$47,28,FALSE)="","",VLOOKUP($B8,grondstoffen!$B$8:$AL$47,28,FALSE)))</f>
        <v>2</v>
      </c>
      <c r="AD8" s="356">
        <f>IF($B8="","",IF(VLOOKUP($B8,grondstoffen!$B$8:$AL$47,29,FALSE)="","",VLOOKUP($B8,grondstoffen!$B$8:$AL$47,29,FALSE)))</f>
        <v>1</v>
      </c>
      <c r="AE8" s="356">
        <f>IF($B8="","",IF(VLOOKUP($B8,grondstoffen!$B$8:$AL$47,30,FALSE)="","",VLOOKUP($B8,grondstoffen!$B$8:$AL$47,30,FALSE)))</f>
        <v>0.9</v>
      </c>
      <c r="AF8" s="356">
        <f>IF($B8="","",IF(VLOOKUP($B8,grondstoffen!$B$8:$AL$47,31,FALSE)="","",VLOOKUP($B8,grondstoffen!$B$8:$AL$47,31,FALSE)))</f>
        <v>0.8</v>
      </c>
      <c r="AG8" s="356">
        <f>IF($B8="","",IF(VLOOKUP($B8,grondstoffen!$B$8:$AL$47,32,FALSE)="","",VLOOKUP($B8,grondstoffen!$B$8:$AL$47,32,FALSE)))</f>
        <v>0.7</v>
      </c>
      <c r="AH8" s="356">
        <f>IF($B8="","",IF(VLOOKUP($B8,grondstoffen!$B$8:$AL$47,33,FALSE)="","",VLOOKUP($B8,grondstoffen!$B$8:$AL$47,33,FALSE)))</f>
        <v>0.6</v>
      </c>
      <c r="AI8" s="356">
        <f>IF($B8="","",IF(VLOOKUP($B8,grondstoffen!$B$8:$AL$47,34,FALSE)="","",VLOOKUP($B8,grondstoffen!$B$8:$AL$47,34,FALSE)))</f>
        <v>0.5</v>
      </c>
      <c r="AJ8" s="356">
        <f>IF($B8="","",IF(VLOOKUP($B8,grondstoffen!$B$8:$AL$47,35,FALSE)="","",VLOOKUP($B8,grondstoffen!$B$8:$AL$47,35,FALSE)))</f>
        <v>0.4</v>
      </c>
      <c r="AK8" s="356">
        <f>IF($B8="","",IF(VLOOKUP($B8,grondstoffen!$B$8:$AL$47,36,FALSE)="","",VLOOKUP($B8,grondstoffen!$B$8:$AL$47,36,FALSE)))</f>
        <v>0.3</v>
      </c>
      <c r="AL8" s="356">
        <f>IF($B8="","",IF(VLOOKUP($B8,grondstoffen!$B$8:$AL$47,37,FALSE)="","",VLOOKUP($B8,grondstoffen!$B$8:$AL$47,37,FALSE)))</f>
        <v>0.2</v>
      </c>
      <c r="AM8" s="29">
        <f>IF($B8="","",IF(VLOOKUP($B8,grondstoffen!$B$8:$AQ$47,38,FALSE)="","",VLOOKUP($B8,grondstoffen!$B$8:$AQ$47,38,FALSE)))</f>
        <v>15</v>
      </c>
      <c r="AN8" s="29" t="str">
        <f>IF($B8="","",IF(VLOOKUP($B8,grondstoffen!$B$8:$AQ$47,39,FALSE)="","",VLOOKUP($B8,grondstoffen!$B$8:$AQ$47,39,FALSE)))</f>
        <v>100/0</v>
      </c>
      <c r="AO8" s="29">
        <f>IF($B8="","",IF(VLOOKUP($B8,grondstoffen!$B$8:$AQ$47,40,FALSE)="","",VLOOKUP($B8,grondstoffen!$B$8:$AQ$47,40,FALSE)))</f>
        <v>25</v>
      </c>
      <c r="AP8" s="29">
        <f>IF($B8="","",IF(VLOOKUP($B8,grondstoffen!$B$8:$AQ$47,41,FALSE)="","",VLOOKUP($B8,grondstoffen!$B$8:$AQ$47,41,FALSE)))</f>
        <v>10</v>
      </c>
      <c r="AQ8" s="29">
        <f>IF($B8="","",IF(VLOOKUP($B8,grondstoffen!$B$8:$AQ$47,42,FALSE)="","",VLOOKUP($B8,grondstoffen!$B$8:$AQ$47,42,FALSE)))</f>
        <v>35</v>
      </c>
      <c r="AR8" s="29">
        <f>IF($B8="","",IF(VLOOKUP($B8,grondstoffen!$B$8:$AR$47,43,FALSE)="","",VLOOKUP($B8,grondstoffen!$B$8:$AR$47,43,FALSE)))</f>
        <v>50</v>
      </c>
      <c r="AS8" s="4"/>
      <c r="AT8" s="4"/>
      <c r="AU8" s="4"/>
      <c r="AV8" s="4"/>
      <c r="AW8" s="4"/>
      <c r="AX8" s="4"/>
      <c r="AY8" s="4"/>
      <c r="AZ8" s="4"/>
      <c r="BA8" s="4"/>
      <c r="BB8" s="4"/>
      <c r="BC8" s="4"/>
      <c r="BD8" s="4"/>
      <c r="BE8" s="4"/>
      <c r="BF8" s="4"/>
      <c r="BG8" s="4"/>
      <c r="BH8" s="4"/>
    </row>
    <row r="9" spans="1:60" x14ac:dyDescent="0.3">
      <c r="A9" s="4"/>
      <c r="B9" s="1553">
        <v>2</v>
      </c>
      <c r="C9" s="2167">
        <f t="shared" si="0"/>
        <v>10.199999999999999</v>
      </c>
      <c r="D9" s="2168"/>
      <c r="E9" s="38" t="str">
        <f>IF($B9="","",IF(VLOOKUP($B9,grondstoffen!$B$8:$AL$47,4,FALSE)="","",VLOOKUP($B9,grondstoffen!$B$8:$AL$47,4,FALSE)))</f>
        <v>Porfier</v>
      </c>
      <c r="F9" s="32"/>
      <c r="G9" s="32"/>
      <c r="H9" s="32" t="str">
        <f>IF($B9="","",IF(VLOOKUP($B9,grondstoffen!$B$8:$AL$47,7,FALSE)="","",VLOOKUP($B9,grondstoffen!$B$8:$AL$47,7,FALSE)))</f>
        <v>6/14</v>
      </c>
      <c r="I9" s="32" t="str">
        <f>IF($B9="","",IF(VLOOKUP($B9,grondstoffen!$B$8:$AL$47,8,FALSE)="","",VLOOKUP($B9,grondstoffen!$B$8:$AL$47,8,FALSE)))</f>
        <v>BB2 II f2</v>
      </c>
      <c r="J9" s="32"/>
      <c r="K9" s="32" t="str">
        <f>IF($B9="","",IF(VLOOKUP($B9,grondstoffen!$B$8:$AL$47,10,FALSE)="","",VLOOKUP($B9,grondstoffen!$B$8:$AL$47,10,FALSE)))</f>
        <v>Holcim</v>
      </c>
      <c r="L9" s="32"/>
      <c r="M9" s="32"/>
      <c r="N9" s="32" t="str">
        <f>IF($B9="","",IF(VLOOKUP($B9,grondstoffen!$B$8:$AL$47,13,FALSE)="","",VLOOKUP($B9,grondstoffen!$B$8:$AL$47,13,FALSE)))</f>
        <v>Soignies</v>
      </c>
      <c r="O9" s="32"/>
      <c r="P9" s="32"/>
      <c r="Q9" s="32" t="str">
        <f>IF($B9="","",IF(VLOOKUP($B9,grondstoffen!$B$8:$AL$47,16,FALSE)="","",VLOOKUP($B9,grondstoffen!$B$8:$AL$47,16,FALSE)))</f>
        <v>BENOR</v>
      </c>
      <c r="R9" s="32"/>
      <c r="S9" s="1276">
        <f>IF($B9="","",IF(VLOOKUP($B9,grondstoffen!$B$8:$AL$47,18,FALSE)="","",VLOOKUP($B9,grondstoffen!$B$8:$AL$47,18,FALSE)))</f>
        <v>2.7879999999999998</v>
      </c>
      <c r="T9" s="32"/>
      <c r="U9" s="32" t="str">
        <f>IF($B9="","",IF(VLOOKUP($B9,grondstoffen!$B$8:$AL$47,20,FALSE)="","",VLOOKUP($B9,grondstoffen!$B$8:$AL$47,20,FALSE)))</f>
        <v>B</v>
      </c>
      <c r="V9" s="32"/>
      <c r="W9" s="357" t="str">
        <f>IF($B9="","",IF(VLOOKUP($B9,grondstoffen!$B$8:$AL$47,22,FALSE)="","",VLOOKUP($B9,grondstoffen!$B$8:$AL$47,22,FALSE)))</f>
        <v/>
      </c>
      <c r="X9" s="357" t="str">
        <f>IF($B9="","",IF(VLOOKUP($B9,grondstoffen!$B$8:$AL$47,23,FALSE)="","",VLOOKUP($B9,grondstoffen!$B$8:$AL$47,23,FALSE)))</f>
        <v/>
      </c>
      <c r="Y9" s="357">
        <f>IF($B9="","",IF(VLOOKUP($B9,grondstoffen!$B$8:$AL$47,24,FALSE)="","",VLOOKUP($B9,grondstoffen!$B$8:$AL$47,24,FALSE)))</f>
        <v>100</v>
      </c>
      <c r="Z9" s="357">
        <f>IF($B9="","",IF(VLOOKUP($B9,grondstoffen!$B$8:$AL$47,25,FALSE)="","",VLOOKUP($B9,grondstoffen!$B$8:$AL$47,25,FALSE)))</f>
        <v>98</v>
      </c>
      <c r="AA9" s="357">
        <f>IF($B9="","",IF(VLOOKUP($B9,grondstoffen!$B$8:$AL$47,26,FALSE)="","",VLOOKUP($B9,grondstoffen!$B$8:$AL$47,26,FALSE)))</f>
        <v>97</v>
      </c>
      <c r="AB9" s="357">
        <f>IF($B9="","",IF(VLOOKUP($B9,grondstoffen!$B$8:$AL$47,27,FALSE)="","",VLOOKUP($B9,grondstoffen!$B$8:$AL$47,27,FALSE)))</f>
        <v>72</v>
      </c>
      <c r="AC9" s="357">
        <f>IF($B9="","",IF(VLOOKUP($B9,grondstoffen!$B$8:$AL$47,28,FALSE)="","",VLOOKUP($B9,grondstoffen!$B$8:$AL$47,28,FALSE)))</f>
        <v>65</v>
      </c>
      <c r="AD9" s="357">
        <f>IF($B9="","",IF(VLOOKUP($B9,grondstoffen!$B$8:$AL$47,29,FALSE)="","",VLOOKUP($B9,grondstoffen!$B$8:$AL$47,29,FALSE)))</f>
        <v>44</v>
      </c>
      <c r="AE9" s="357">
        <f>IF($B9="","",IF(VLOOKUP($B9,grondstoffen!$B$8:$AL$47,30,FALSE)="","",VLOOKUP($B9,grondstoffen!$B$8:$AL$47,30,FALSE)))</f>
        <v>21</v>
      </c>
      <c r="AF9" s="357">
        <f>IF($B9="","",IF(VLOOKUP($B9,grondstoffen!$B$8:$AL$47,31,FALSE)="","",VLOOKUP($B9,grondstoffen!$B$8:$AL$47,31,FALSE)))</f>
        <v>10</v>
      </c>
      <c r="AG9" s="357">
        <f>IF($B9="","",IF(VLOOKUP($B9,grondstoffen!$B$8:$AL$47,32,FALSE)="","",VLOOKUP($B9,grondstoffen!$B$8:$AL$47,32,FALSE)))</f>
        <v>4</v>
      </c>
      <c r="AH9" s="357">
        <f>IF($B9="","",IF(VLOOKUP($B9,grondstoffen!$B$8:$AL$47,33,FALSE)="","",VLOOKUP($B9,grondstoffen!$B$8:$AL$47,33,FALSE)))</f>
        <v>3</v>
      </c>
      <c r="AI9" s="357">
        <f>IF($B9="","",IF(VLOOKUP($B9,grondstoffen!$B$8:$AL$47,34,FALSE)="","",VLOOKUP($B9,grondstoffen!$B$8:$AL$47,34,FALSE)))</f>
        <v>2</v>
      </c>
      <c r="AJ9" s="357">
        <f>IF($B9="","",IF(VLOOKUP($B9,grondstoffen!$B$8:$AL$47,35,FALSE)="","",VLOOKUP($B9,grondstoffen!$B$8:$AL$47,35,FALSE)))</f>
        <v>1</v>
      </c>
      <c r="AK9" s="357">
        <f>IF($B9="","",IF(VLOOKUP($B9,grondstoffen!$B$8:$AL$47,36,FALSE)="","",VLOOKUP($B9,grondstoffen!$B$8:$AL$47,36,FALSE)))</f>
        <v>0.5</v>
      </c>
      <c r="AL9" s="357">
        <f>IF($B9="","",IF(VLOOKUP($B9,grondstoffen!$B$8:$AL$47,37,FALSE)="","",VLOOKUP($B9,grondstoffen!$B$8:$AL$47,37,FALSE)))</f>
        <v>0.2</v>
      </c>
      <c r="AM9" s="31">
        <f>IF($B9="","",IF(VLOOKUP($B9,grondstoffen!$B$8:$AQ$47,38,FALSE)="","",VLOOKUP($B9,grondstoffen!$B$8:$AQ$47,38,FALSE)))</f>
        <v>20</v>
      </c>
      <c r="AN9" s="31" t="str">
        <f>IF($B9="","",IF(VLOOKUP($B9,grondstoffen!$B$8:$AQ$47,39,FALSE)="","",VLOOKUP($B9,grondstoffen!$B$8:$AQ$47,39,FALSE)))</f>
        <v>100/0</v>
      </c>
      <c r="AO9" s="31">
        <f>IF($B9="","",IF(VLOOKUP($B9,grondstoffen!$B$8:$AQ$47,40,FALSE)="","",VLOOKUP($B9,grondstoffen!$B$8:$AQ$47,40,FALSE)))</f>
        <v>30</v>
      </c>
      <c r="AP9" s="31">
        <f>IF($B9="","",IF(VLOOKUP($B9,grondstoffen!$B$8:$AQ$47,41,FALSE)="","",VLOOKUP($B9,grondstoffen!$B$8:$AQ$47,41,FALSE)))</f>
        <v>15</v>
      </c>
      <c r="AQ9" s="31">
        <f>IF($B9="","",IF(VLOOKUP($B9,grondstoffen!$B$8:$AQ$47,42,FALSE)="","",VLOOKUP($B9,grondstoffen!$B$8:$AQ$47,42,FALSE)))</f>
        <v>40</v>
      </c>
      <c r="AR9" s="31">
        <f>IF($B9="","",IF(VLOOKUP($B9,grondstoffen!$B$8:$AR$47,43,FALSE)="","",VLOOKUP($B9,grondstoffen!$B$8:$AR$47,43,FALSE)))</f>
        <v>52</v>
      </c>
      <c r="AS9" s="4"/>
      <c r="AT9" s="4"/>
      <c r="AU9" s="4"/>
      <c r="AV9" s="4"/>
      <c r="AW9" s="4"/>
      <c r="AX9" s="4"/>
      <c r="AY9" s="4"/>
      <c r="AZ9" s="4"/>
      <c r="BA9" s="4"/>
      <c r="BB9" s="4"/>
      <c r="BC9" s="4"/>
      <c r="BD9" s="4"/>
      <c r="BE9" s="4"/>
      <c r="BF9" s="4"/>
      <c r="BG9" s="4"/>
      <c r="BH9" s="4"/>
    </row>
    <row r="10" spans="1:60" x14ac:dyDescent="0.3">
      <c r="A10" s="4"/>
      <c r="B10" s="1553">
        <v>3</v>
      </c>
      <c r="C10" s="2167">
        <f t="shared" si="0"/>
        <v>15.3</v>
      </c>
      <c r="D10" s="2168"/>
      <c r="E10" s="38" t="str">
        <f>IF($B10="","",IF(VLOOKUP($B10,grondstoffen!$B$8:$AL$47,4,FALSE)="","",VLOOKUP($B10,grondstoffen!$B$8:$AL$47,4,FALSE)))</f>
        <v>Rode zandsteen</v>
      </c>
      <c r="F10" s="32"/>
      <c r="G10" s="32"/>
      <c r="H10" s="32" t="str">
        <f>IF($B10="","",IF(VLOOKUP($B10,grondstoffen!$B$8:$AL$47,7,FALSE)="","",VLOOKUP($B10,grondstoffen!$B$8:$AL$47,7,FALSE)))</f>
        <v>0/2 (0/0,05)</v>
      </c>
      <c r="I10" s="32" t="str">
        <f>IF($B10="","",IF(VLOOKUP($B10,grondstoffen!$B$8:$AL$47,8,FALSE)="","",VLOOKUP($B10,grondstoffen!$B$8:$AL$47,8,FALSE)))</f>
        <v>Af22aPA Ecs30</v>
      </c>
      <c r="J10" s="32"/>
      <c r="K10" s="32" t="str">
        <f>IF($B10="","",IF(VLOOKUP($B10,grondstoffen!$B$8:$AL$47,10,FALSE)="","",VLOOKUP($B10,grondstoffen!$B$8:$AL$47,10,FALSE)))</f>
        <v>Porfibel</v>
      </c>
      <c r="L10" s="32"/>
      <c r="M10" s="32"/>
      <c r="N10" s="32" t="str">
        <f>IF($B10="","",IF(VLOOKUP($B10,grondstoffen!$B$8:$AL$47,13,FALSE)="","",VLOOKUP($B10,grondstoffen!$B$8:$AL$47,13,FALSE)))</f>
        <v>Neufvilles</v>
      </c>
      <c r="O10" s="32"/>
      <c r="P10" s="32"/>
      <c r="Q10" s="32" t="str">
        <f>IF($B10="","",IF(VLOOKUP($B10,grondstoffen!$B$8:$AL$47,16,FALSE)="","",VLOOKUP($B10,grondstoffen!$B$8:$AL$47,16,FALSE)))</f>
        <v>BENOR</v>
      </c>
      <c r="R10" s="32"/>
      <c r="S10" s="1276">
        <f>IF($B10="","",IF(VLOOKUP($B10,grondstoffen!$B$8:$AL$47,18,FALSE)="","",VLOOKUP($B10,grondstoffen!$B$8:$AL$47,18,FALSE)))</f>
        <v>2.786</v>
      </c>
      <c r="T10" s="32"/>
      <c r="U10" s="32" t="str">
        <f>IF($B10="","",IF(VLOOKUP($B10,grondstoffen!$B$8:$AL$47,20,FALSE)="","",VLOOKUP($B10,grondstoffen!$B$8:$AL$47,20,FALSE)))</f>
        <v>R</v>
      </c>
      <c r="V10" s="32"/>
      <c r="W10" s="357" t="str">
        <f>IF($B10="","",IF(VLOOKUP($B10,grondstoffen!$B$8:$AL$47,22,FALSE)="","",VLOOKUP($B10,grondstoffen!$B$8:$AL$47,22,FALSE)))</f>
        <v/>
      </c>
      <c r="X10" s="357" t="str">
        <f>IF($B10="","",IF(VLOOKUP($B10,grondstoffen!$B$8:$AL$47,23,FALSE)="","",VLOOKUP($B10,grondstoffen!$B$8:$AL$47,23,FALSE)))</f>
        <v/>
      </c>
      <c r="Y10" s="357" t="str">
        <f>IF($B10="","",IF(VLOOKUP($B10,grondstoffen!$B$8:$AL$47,24,FALSE)="","",VLOOKUP($B10,grondstoffen!$B$8:$AL$47,24,FALSE)))</f>
        <v/>
      </c>
      <c r="Z10" s="357" t="str">
        <f>IF($B10="","",IF(VLOOKUP($B10,grondstoffen!$B$8:$AL$47,25,FALSE)="","",VLOOKUP($B10,grondstoffen!$B$8:$AL$47,25,FALSE)))</f>
        <v/>
      </c>
      <c r="AA10" s="357" t="str">
        <f>IF($B10="","",IF(VLOOKUP($B10,grondstoffen!$B$8:$AL$47,26,FALSE)="","",VLOOKUP($B10,grondstoffen!$B$8:$AL$47,26,FALSE)))</f>
        <v/>
      </c>
      <c r="AB10" s="357" t="str">
        <f>IF($B10="","",IF(VLOOKUP($B10,grondstoffen!$B$8:$AL$47,27,FALSE)="","",VLOOKUP($B10,grondstoffen!$B$8:$AL$47,27,FALSE)))</f>
        <v/>
      </c>
      <c r="AC10" s="357">
        <f>IF($B10="","",IF(VLOOKUP($B10,grondstoffen!$B$8:$AL$47,28,FALSE)="","",VLOOKUP($B10,grondstoffen!$B$8:$AL$47,28,FALSE)))</f>
        <v>100</v>
      </c>
      <c r="AD10" s="357">
        <f>IF($B10="","",IF(VLOOKUP($B10,grondstoffen!$B$8:$AL$47,29,FALSE)="","",VLOOKUP($B10,grondstoffen!$B$8:$AL$47,29,FALSE)))</f>
        <v>98</v>
      </c>
      <c r="AE10" s="357">
        <f>IF($B10="","",IF(VLOOKUP($B10,grondstoffen!$B$8:$AL$47,30,FALSE)="","",VLOOKUP($B10,grondstoffen!$B$8:$AL$47,30,FALSE)))</f>
        <v>85</v>
      </c>
      <c r="AF10" s="357">
        <f>IF($B10="","",IF(VLOOKUP($B10,grondstoffen!$B$8:$AL$47,31,FALSE)="","",VLOOKUP($B10,grondstoffen!$B$8:$AL$47,31,FALSE)))</f>
        <v>64</v>
      </c>
      <c r="AG10" s="357">
        <f>IF($B10="","",IF(VLOOKUP($B10,grondstoffen!$B$8:$AL$47,32,FALSE)="","",VLOOKUP($B10,grondstoffen!$B$8:$AL$47,32,FALSE)))</f>
        <v>23</v>
      </c>
      <c r="AH10" s="357">
        <f>IF($B10="","",IF(VLOOKUP($B10,grondstoffen!$B$8:$AL$47,33,FALSE)="","",VLOOKUP($B10,grondstoffen!$B$8:$AL$47,33,FALSE)))</f>
        <v>11</v>
      </c>
      <c r="AI10" s="357">
        <f>IF($B10="","",IF(VLOOKUP($B10,grondstoffen!$B$8:$AL$47,34,FALSE)="","",VLOOKUP($B10,grondstoffen!$B$8:$AL$47,34,FALSE)))</f>
        <v>4</v>
      </c>
      <c r="AJ10" s="357">
        <f>IF($B10="","",IF(VLOOKUP($B10,grondstoffen!$B$8:$AL$47,35,FALSE)="","",VLOOKUP($B10,grondstoffen!$B$8:$AL$47,35,FALSE)))</f>
        <v>3</v>
      </c>
      <c r="AK10" s="357">
        <f>IF($B10="","",IF(VLOOKUP($B10,grondstoffen!$B$8:$AL$47,36,FALSE)="","",VLOOKUP($B10,grondstoffen!$B$8:$AL$47,36,FALSE)))</f>
        <v>2</v>
      </c>
      <c r="AL10" s="357">
        <f>IF($B10="","",IF(VLOOKUP($B10,grondstoffen!$B$8:$AL$47,37,FALSE)="","",VLOOKUP($B10,grondstoffen!$B$8:$AL$47,37,FALSE)))</f>
        <v>1</v>
      </c>
      <c r="AM10" s="31">
        <f>IF($B10="","",IF(VLOOKUP($B10,grondstoffen!$B$8:$AQ$47,38,FALSE)="","",VLOOKUP($B10,grondstoffen!$B$8:$AQ$47,38,FALSE)))</f>
        <v>25</v>
      </c>
      <c r="AN10" s="31" t="str">
        <f>IF($B10="","",IF(VLOOKUP($B10,grondstoffen!$B$8:$AQ$47,39,FALSE)="","",VLOOKUP($B10,grondstoffen!$B$8:$AQ$47,39,FALSE)))</f>
        <v>95/3</v>
      </c>
      <c r="AO10" s="31">
        <f>IF($B10="","",IF(VLOOKUP($B10,grondstoffen!$B$8:$AQ$47,40,FALSE)="","",VLOOKUP($B10,grondstoffen!$B$8:$AQ$47,40,FALSE)))</f>
        <v>35</v>
      </c>
      <c r="AP10" s="31">
        <f>IF($B10="","",IF(VLOOKUP($B10,grondstoffen!$B$8:$AQ$47,41,FALSE)="","",VLOOKUP($B10,grondstoffen!$B$8:$AQ$47,41,FALSE)))</f>
        <v>20</v>
      </c>
      <c r="AQ10" s="31">
        <f>IF($B10="","",IF(VLOOKUP($B10,grondstoffen!$B$8:$AQ$47,42,FALSE)="","",VLOOKUP($B10,grondstoffen!$B$8:$AQ$47,42,FALSE)))</f>
        <v>45</v>
      </c>
      <c r="AR10" s="31">
        <f>IF($B10="","",IF(VLOOKUP($B10,grondstoffen!$B$8:$AR$47,43,FALSE)="","",VLOOKUP($B10,grondstoffen!$B$8:$AR$47,43,FALSE)))</f>
        <v>54</v>
      </c>
      <c r="AS10" s="4"/>
      <c r="AT10" s="4"/>
      <c r="AU10" s="4"/>
      <c r="AV10" s="4"/>
      <c r="AW10" s="4"/>
      <c r="AX10" s="4"/>
      <c r="AY10" s="4"/>
      <c r="AZ10" s="4"/>
      <c r="BA10" s="4"/>
      <c r="BB10" s="4"/>
      <c r="BC10" s="4"/>
      <c r="BD10" s="4"/>
      <c r="BE10" s="4"/>
      <c r="BF10" s="4"/>
      <c r="BG10" s="4"/>
      <c r="BH10" s="4"/>
    </row>
    <row r="11" spans="1:60" x14ac:dyDescent="0.3">
      <c r="A11" s="4"/>
      <c r="B11" s="1553"/>
      <c r="C11" s="2167" t="str">
        <f t="shared" si="0"/>
        <v/>
      </c>
      <c r="D11" s="2168"/>
      <c r="E11" s="38" t="str">
        <f>IF($B11="","",IF(VLOOKUP($B11,grondstoffen!$B$8:$AL$47,4,FALSE)="","",VLOOKUP($B11,grondstoffen!$B$8:$AL$47,4,FALSE)))</f>
        <v/>
      </c>
      <c r="F11" s="32"/>
      <c r="G11" s="32"/>
      <c r="H11" s="32" t="str">
        <f>IF($B11="","",IF(VLOOKUP($B11,grondstoffen!$B$8:$AL$47,7,FALSE)="","",VLOOKUP($B11,grondstoffen!$B$8:$AL$47,7,FALSE)))</f>
        <v/>
      </c>
      <c r="I11" s="32" t="str">
        <f>IF($B11="","",IF(VLOOKUP($B11,grondstoffen!$B$8:$AL$47,8,FALSE)="","",VLOOKUP($B11,grondstoffen!$B$8:$AL$47,8,FALSE)))</f>
        <v/>
      </c>
      <c r="J11" s="32"/>
      <c r="K11" s="32" t="str">
        <f>IF($B11="","",IF(VLOOKUP($B11,grondstoffen!$B$8:$AL$47,10,FALSE)="","",VLOOKUP($B11,grondstoffen!$B$8:$AL$47,10,FALSE)))</f>
        <v/>
      </c>
      <c r="L11" s="32"/>
      <c r="M11" s="32"/>
      <c r="N11" s="32" t="str">
        <f>IF($B11="","",IF(VLOOKUP($B11,grondstoffen!$B$8:$AL$47,13,FALSE)="","",VLOOKUP($B11,grondstoffen!$B$8:$AL$47,13,FALSE)))</f>
        <v/>
      </c>
      <c r="O11" s="32"/>
      <c r="P11" s="32"/>
      <c r="Q11" s="32" t="str">
        <f>IF($B11="","",IF(VLOOKUP($B11,grondstoffen!$B$8:$AL$47,16,FALSE)="","",VLOOKUP($B11,grondstoffen!$B$8:$AL$47,16,FALSE)))</f>
        <v/>
      </c>
      <c r="R11" s="32"/>
      <c r="S11" s="1276" t="str">
        <f>IF($B11="","",IF(VLOOKUP($B11,grondstoffen!$B$8:$AL$47,18,FALSE)="","",VLOOKUP($B11,grondstoffen!$B$8:$AL$47,18,FALSE)))</f>
        <v/>
      </c>
      <c r="T11" s="32"/>
      <c r="U11" s="32" t="str">
        <f>IF($B11="","",IF(VLOOKUP($B11,grondstoffen!$B$8:$AL$47,20,FALSE)="","",VLOOKUP($B11,grondstoffen!$B$8:$AL$47,20,FALSE)))</f>
        <v/>
      </c>
      <c r="V11" s="32"/>
      <c r="W11" s="357" t="str">
        <f>IF($B11="","",IF(VLOOKUP($B11,grondstoffen!$B$8:$AL$47,22,FALSE)="","",VLOOKUP($B11,grondstoffen!$B$8:$AL$47,22,FALSE)))</f>
        <v/>
      </c>
      <c r="X11" s="357" t="str">
        <f>IF($B11="","",IF(VLOOKUP($B11,grondstoffen!$B$8:$AL$47,23,FALSE)="","",VLOOKUP($B11,grondstoffen!$B$8:$AL$47,23,FALSE)))</f>
        <v/>
      </c>
      <c r="Y11" s="357" t="str">
        <f>IF($B11="","",IF(VLOOKUP($B11,grondstoffen!$B$8:$AL$47,24,FALSE)="","",VLOOKUP($B11,grondstoffen!$B$8:$AL$47,24,FALSE)))</f>
        <v/>
      </c>
      <c r="Z11" s="357" t="str">
        <f>IF($B11="","",IF(VLOOKUP($B11,grondstoffen!$B$8:$AL$47,25,FALSE)="","",VLOOKUP($B11,grondstoffen!$B$8:$AL$47,25,FALSE)))</f>
        <v/>
      </c>
      <c r="AA11" s="357" t="str">
        <f>IF($B11="","",IF(VLOOKUP($B11,grondstoffen!$B$8:$AL$47,26,FALSE)="","",VLOOKUP($B11,grondstoffen!$B$8:$AL$47,26,FALSE)))</f>
        <v/>
      </c>
      <c r="AB11" s="357" t="str">
        <f>IF($B11="","",IF(VLOOKUP($B11,grondstoffen!$B$8:$AL$47,27,FALSE)="","",VLOOKUP($B11,grondstoffen!$B$8:$AL$47,27,FALSE)))</f>
        <v/>
      </c>
      <c r="AC11" s="357" t="str">
        <f>IF($B11="","",IF(VLOOKUP($B11,grondstoffen!$B$8:$AL$47,28,FALSE)="","",VLOOKUP($B11,grondstoffen!$B$8:$AL$47,28,FALSE)))</f>
        <v/>
      </c>
      <c r="AD11" s="357" t="str">
        <f>IF($B11="","",IF(VLOOKUP($B11,grondstoffen!$B$8:$AL$47,29,FALSE)="","",VLOOKUP($B11,grondstoffen!$B$8:$AL$47,29,FALSE)))</f>
        <v/>
      </c>
      <c r="AE11" s="357" t="str">
        <f>IF($B11="","",IF(VLOOKUP($B11,grondstoffen!$B$8:$AL$47,30,FALSE)="","",VLOOKUP($B11,grondstoffen!$B$8:$AL$47,30,FALSE)))</f>
        <v/>
      </c>
      <c r="AF11" s="357" t="str">
        <f>IF($B11="","",IF(VLOOKUP($B11,grondstoffen!$B$8:$AL$47,31,FALSE)="","",VLOOKUP($B11,grondstoffen!$B$8:$AL$47,31,FALSE)))</f>
        <v/>
      </c>
      <c r="AG11" s="357" t="str">
        <f>IF($B11="","",IF(VLOOKUP($B11,grondstoffen!$B$8:$AL$47,32,FALSE)="","",VLOOKUP($B11,grondstoffen!$B$8:$AL$47,32,FALSE)))</f>
        <v/>
      </c>
      <c r="AH11" s="357" t="str">
        <f>IF($B11="","",IF(VLOOKUP($B11,grondstoffen!$B$8:$AL$47,33,FALSE)="","",VLOOKUP($B11,grondstoffen!$B$8:$AL$47,33,FALSE)))</f>
        <v/>
      </c>
      <c r="AI11" s="357" t="str">
        <f>IF($B11="","",IF(VLOOKUP($B11,grondstoffen!$B$8:$AL$47,34,FALSE)="","",VLOOKUP($B11,grondstoffen!$B$8:$AL$47,34,FALSE)))</f>
        <v/>
      </c>
      <c r="AJ11" s="357" t="str">
        <f>IF($B11="","",IF(VLOOKUP($B11,grondstoffen!$B$8:$AL$47,35,FALSE)="","",VLOOKUP($B11,grondstoffen!$B$8:$AL$47,35,FALSE)))</f>
        <v/>
      </c>
      <c r="AK11" s="357" t="str">
        <f>IF($B11="","",IF(VLOOKUP($B11,grondstoffen!$B$8:$AL$47,36,FALSE)="","",VLOOKUP($B11,grondstoffen!$B$8:$AL$47,36,FALSE)))</f>
        <v/>
      </c>
      <c r="AL11" s="357" t="str">
        <f>IF($B11="","",IF(VLOOKUP($B11,grondstoffen!$B$8:$AL$47,37,FALSE)="","",VLOOKUP($B11,grondstoffen!$B$8:$AL$47,37,FALSE)))</f>
        <v/>
      </c>
      <c r="AM11" s="31" t="str">
        <f>IF($B11="","",IF(VLOOKUP($B11,grondstoffen!$B$8:$AQ$47,38,FALSE)="","",VLOOKUP($B11,grondstoffen!$B$8:$AQ$47,38,FALSE)))</f>
        <v/>
      </c>
      <c r="AN11" s="31" t="str">
        <f>IF($B11="","",IF(VLOOKUP($B11,grondstoffen!$B$8:$AQ$47,39,FALSE)="","",VLOOKUP($B11,grondstoffen!$B$8:$AQ$47,39,FALSE)))</f>
        <v/>
      </c>
      <c r="AO11" s="31" t="str">
        <f>IF($B11="","",IF(VLOOKUP($B11,grondstoffen!$B$8:$AQ$47,40,FALSE)="","",VLOOKUP($B11,grondstoffen!$B$8:$AQ$47,40,FALSE)))</f>
        <v/>
      </c>
      <c r="AP11" s="31" t="str">
        <f>IF($B11="","",IF(VLOOKUP($B11,grondstoffen!$B$8:$AQ$47,41,FALSE)="","",VLOOKUP($B11,grondstoffen!$B$8:$AQ$47,41,FALSE)))</f>
        <v/>
      </c>
      <c r="AQ11" s="31" t="str">
        <f>IF($B11="","",IF(VLOOKUP($B11,grondstoffen!$B$8:$AQ$47,42,FALSE)="","",VLOOKUP($B11,grondstoffen!$B$8:$AQ$47,42,FALSE)))</f>
        <v/>
      </c>
      <c r="AR11" s="31" t="str">
        <f>IF($B11="","",IF(VLOOKUP($B11,grondstoffen!$B$8:$AR$47,43,FALSE)="","",VLOOKUP($B11,grondstoffen!$B$8:$AR$47,43,FALSE)))</f>
        <v/>
      </c>
      <c r="AS11" s="4"/>
      <c r="AT11" s="4"/>
      <c r="AU11" s="4"/>
      <c r="AV11" s="4"/>
      <c r="AW11" s="4"/>
      <c r="AX11" s="4"/>
      <c r="AY11" s="4"/>
      <c r="AZ11" s="4"/>
      <c r="BA11" s="4"/>
      <c r="BB11" s="4"/>
      <c r="BC11" s="4"/>
      <c r="BD11" s="4"/>
      <c r="BE11" s="4"/>
      <c r="BF11" s="4"/>
      <c r="BG11" s="4"/>
      <c r="BH11" s="4"/>
    </row>
    <row r="12" spans="1:60" x14ac:dyDescent="0.3">
      <c r="A12" s="4"/>
      <c r="B12" s="1553"/>
      <c r="C12" s="2167" t="str">
        <f t="shared" si="0"/>
        <v/>
      </c>
      <c r="D12" s="2168"/>
      <c r="E12" s="38" t="str">
        <f>IF($B12="","",IF(VLOOKUP($B12,grondstoffen!$B$8:$AL$47,4,FALSE)="","",VLOOKUP($B12,grondstoffen!$B$8:$AL$47,4,FALSE)))</f>
        <v/>
      </c>
      <c r="F12" s="32"/>
      <c r="G12" s="32"/>
      <c r="H12" s="32" t="str">
        <f>IF($B12="","",IF(VLOOKUP($B12,grondstoffen!$B$8:$AL$47,7,FALSE)="","",VLOOKUP($B12,grondstoffen!$B$8:$AL$47,7,FALSE)))</f>
        <v/>
      </c>
      <c r="I12" s="32" t="str">
        <f>IF($B12="","",IF(VLOOKUP($B12,grondstoffen!$B$8:$AL$47,8,FALSE)="","",VLOOKUP($B12,grondstoffen!$B$8:$AL$47,8,FALSE)))</f>
        <v/>
      </c>
      <c r="J12" s="32"/>
      <c r="K12" s="32" t="str">
        <f>IF($B12="","",IF(VLOOKUP($B12,grondstoffen!$B$8:$AL$47,10,FALSE)="","",VLOOKUP($B12,grondstoffen!$B$8:$AL$47,10,FALSE)))</f>
        <v/>
      </c>
      <c r="L12" s="32"/>
      <c r="M12" s="32"/>
      <c r="N12" s="32" t="str">
        <f>IF($B12="","",IF(VLOOKUP($B12,grondstoffen!$B$8:$AL$47,13,FALSE)="","",VLOOKUP($B12,grondstoffen!$B$8:$AL$47,13,FALSE)))</f>
        <v/>
      </c>
      <c r="O12" s="32"/>
      <c r="P12" s="32"/>
      <c r="Q12" s="32" t="str">
        <f>IF($B12="","",IF(VLOOKUP($B12,grondstoffen!$B$8:$AL$47,16,FALSE)="","",VLOOKUP($B12,grondstoffen!$B$8:$AL$47,16,FALSE)))</f>
        <v/>
      </c>
      <c r="R12" s="32"/>
      <c r="S12" s="1276" t="str">
        <f>IF($B12="","",IF(VLOOKUP($B12,grondstoffen!$B$8:$AL$47,18,FALSE)="","",VLOOKUP($B12,grondstoffen!$B$8:$AL$47,18,FALSE)))</f>
        <v/>
      </c>
      <c r="T12" s="32"/>
      <c r="U12" s="32" t="str">
        <f>IF($B12="","",IF(VLOOKUP($B12,grondstoffen!$B$8:$AL$47,20,FALSE)="","",VLOOKUP($B12,grondstoffen!$B$8:$AL$47,20,FALSE)))</f>
        <v/>
      </c>
      <c r="V12" s="32"/>
      <c r="W12" s="357" t="str">
        <f>IF($B12="","",IF(VLOOKUP($B12,grondstoffen!$B$8:$AL$47,22,FALSE)="","",VLOOKUP($B12,grondstoffen!$B$8:$AL$47,22,FALSE)))</f>
        <v/>
      </c>
      <c r="X12" s="357" t="str">
        <f>IF($B12="","",IF(VLOOKUP($B12,grondstoffen!$B$8:$AL$47,23,FALSE)="","",VLOOKUP($B12,grondstoffen!$B$8:$AL$47,23,FALSE)))</f>
        <v/>
      </c>
      <c r="Y12" s="357" t="str">
        <f>IF($B12="","",IF(VLOOKUP($B12,grondstoffen!$B$8:$AL$47,24,FALSE)="","",VLOOKUP($B12,grondstoffen!$B$8:$AL$47,24,FALSE)))</f>
        <v/>
      </c>
      <c r="Z12" s="357" t="str">
        <f>IF($B12="","",IF(VLOOKUP($B12,grondstoffen!$B$8:$AL$47,25,FALSE)="","",VLOOKUP($B12,grondstoffen!$B$8:$AL$47,25,FALSE)))</f>
        <v/>
      </c>
      <c r="AA12" s="357" t="str">
        <f>IF($B12="","",IF(VLOOKUP($B12,grondstoffen!$B$8:$AL$47,26,FALSE)="","",VLOOKUP($B12,grondstoffen!$B$8:$AL$47,26,FALSE)))</f>
        <v/>
      </c>
      <c r="AB12" s="357" t="str">
        <f>IF($B12="","",IF(VLOOKUP($B12,grondstoffen!$B$8:$AL$47,27,FALSE)="","",VLOOKUP($B12,grondstoffen!$B$8:$AL$47,27,FALSE)))</f>
        <v/>
      </c>
      <c r="AC12" s="357" t="str">
        <f>IF($B12="","",IF(VLOOKUP($B12,grondstoffen!$B$8:$AL$47,28,FALSE)="","",VLOOKUP($B12,grondstoffen!$B$8:$AL$47,28,FALSE)))</f>
        <v/>
      </c>
      <c r="AD12" s="357" t="str">
        <f>IF($B12="","",IF(VLOOKUP($B12,grondstoffen!$B$8:$AL$47,29,FALSE)="","",VLOOKUP($B12,grondstoffen!$B$8:$AL$47,29,FALSE)))</f>
        <v/>
      </c>
      <c r="AE12" s="357" t="str">
        <f>IF($B12="","",IF(VLOOKUP($B12,grondstoffen!$B$8:$AL$47,30,FALSE)="","",VLOOKUP($B12,grondstoffen!$B$8:$AL$47,30,FALSE)))</f>
        <v/>
      </c>
      <c r="AF12" s="357" t="str">
        <f>IF($B12="","",IF(VLOOKUP($B12,grondstoffen!$B$8:$AL$47,31,FALSE)="","",VLOOKUP($B12,grondstoffen!$B$8:$AL$47,31,FALSE)))</f>
        <v/>
      </c>
      <c r="AG12" s="357" t="str">
        <f>IF($B12="","",IF(VLOOKUP($B12,grondstoffen!$B$8:$AL$47,32,FALSE)="","",VLOOKUP($B12,grondstoffen!$B$8:$AL$47,32,FALSE)))</f>
        <v/>
      </c>
      <c r="AH12" s="357" t="str">
        <f>IF($B12="","",IF(VLOOKUP($B12,grondstoffen!$B$8:$AL$47,33,FALSE)="","",VLOOKUP($B12,grondstoffen!$B$8:$AL$47,33,FALSE)))</f>
        <v/>
      </c>
      <c r="AI12" s="357" t="str">
        <f>IF($B12="","",IF(VLOOKUP($B12,grondstoffen!$B$8:$AL$47,34,FALSE)="","",VLOOKUP($B12,grondstoffen!$B$8:$AL$47,34,FALSE)))</f>
        <v/>
      </c>
      <c r="AJ12" s="357" t="str">
        <f>IF($B12="","",IF(VLOOKUP($B12,grondstoffen!$B$8:$AL$47,35,FALSE)="","",VLOOKUP($B12,grondstoffen!$B$8:$AL$47,35,FALSE)))</f>
        <v/>
      </c>
      <c r="AK12" s="357" t="str">
        <f>IF($B12="","",IF(VLOOKUP($B12,grondstoffen!$B$8:$AL$47,36,FALSE)="","",VLOOKUP($B12,grondstoffen!$B$8:$AL$47,36,FALSE)))</f>
        <v/>
      </c>
      <c r="AL12" s="357" t="str">
        <f>IF($B12="","",IF(VLOOKUP($B12,grondstoffen!$B$8:$AL$47,37,FALSE)="","",VLOOKUP($B12,grondstoffen!$B$8:$AL$47,37,FALSE)))</f>
        <v/>
      </c>
      <c r="AM12" s="31" t="str">
        <f>IF($B12="","",IF(VLOOKUP($B12,grondstoffen!$B$8:$AQ$47,38,FALSE)="","",VLOOKUP($B12,grondstoffen!$B$8:$AQ$47,38,FALSE)))</f>
        <v/>
      </c>
      <c r="AN12" s="31" t="str">
        <f>IF($B12="","",IF(VLOOKUP($B12,grondstoffen!$B$8:$AQ$47,39,FALSE)="","",VLOOKUP($B12,grondstoffen!$B$8:$AQ$47,39,FALSE)))</f>
        <v/>
      </c>
      <c r="AO12" s="31" t="str">
        <f>IF($B12="","",IF(VLOOKUP($B12,grondstoffen!$B$8:$AQ$47,40,FALSE)="","",VLOOKUP($B12,grondstoffen!$B$8:$AQ$47,40,FALSE)))</f>
        <v/>
      </c>
      <c r="AP12" s="31" t="str">
        <f>IF($B12="","",IF(VLOOKUP($B12,grondstoffen!$B$8:$AQ$47,41,FALSE)="","",VLOOKUP($B12,grondstoffen!$B$8:$AQ$47,41,FALSE)))</f>
        <v/>
      </c>
      <c r="AQ12" s="31" t="str">
        <f>IF($B12="","",IF(VLOOKUP($B12,grondstoffen!$B$8:$AQ$47,42,FALSE)="","",VLOOKUP($B12,grondstoffen!$B$8:$AQ$47,42,FALSE)))</f>
        <v/>
      </c>
      <c r="AR12" s="31" t="str">
        <f>IF($B12="","",IF(VLOOKUP($B12,grondstoffen!$B$8:$AR$47,43,FALSE)="","",VLOOKUP($B12,grondstoffen!$B$8:$AR$47,43,FALSE)))</f>
        <v/>
      </c>
      <c r="AS12" s="4"/>
      <c r="AT12" s="4"/>
      <c r="AU12" s="4"/>
      <c r="AV12" s="4"/>
      <c r="AW12" s="4"/>
      <c r="AX12" s="4"/>
      <c r="AY12" s="4"/>
      <c r="AZ12" s="4"/>
      <c r="BA12" s="4"/>
      <c r="BB12" s="4"/>
      <c r="BC12" s="4"/>
      <c r="BD12" s="4"/>
      <c r="BE12" s="4"/>
      <c r="BF12" s="4"/>
      <c r="BG12" s="4"/>
      <c r="BH12" s="4"/>
    </row>
    <row r="13" spans="1:60" x14ac:dyDescent="0.3">
      <c r="A13" s="4"/>
      <c r="B13" s="1553">
        <v>6</v>
      </c>
      <c r="C13" s="2167">
        <f t="shared" si="0"/>
        <v>35.299999999999997</v>
      </c>
      <c r="D13" s="2168"/>
      <c r="E13" s="38" t="str">
        <f>IF($B13="","",IF(VLOOKUP($B13,grondstoffen!$B$8:$AL$47,4,FALSE)="","",VLOOKUP($B13,grondstoffen!$B$8:$AL$47,4,FALSE)))</f>
        <v>Slakken</v>
      </c>
      <c r="F13" s="32"/>
      <c r="G13" s="32"/>
      <c r="H13" s="32" t="str">
        <f>IF($B13="","",IF(VLOOKUP($B13,grondstoffen!$B$8:$AL$47,7,FALSE)="","",VLOOKUP($B13,grondstoffen!$B$8:$AL$47,7,FALSE)))</f>
        <v>6/10</v>
      </c>
      <c r="I13" s="32" t="str">
        <f>IF($B13="","",IF(VLOOKUP($B13,grondstoffen!$B$8:$AL$47,8,FALSE)="","",VLOOKUP($B13,grondstoffen!$B$8:$AL$47,8,FALSE)))</f>
        <v>Dd4 IV f4</v>
      </c>
      <c r="J13" s="32"/>
      <c r="K13" s="32" t="str">
        <f>IF($B13="","",IF(VLOOKUP($B13,grondstoffen!$B$8:$AL$47,10,FALSE)="","",VLOOKUP($B13,grondstoffen!$B$8:$AL$47,10,FALSE)))</f>
        <v>SDF</v>
      </c>
      <c r="L13" s="32"/>
      <c r="M13" s="32"/>
      <c r="N13" s="32" t="str">
        <f>IF($B13="","",IF(VLOOKUP($B13,grondstoffen!$B$8:$AL$47,13,FALSE)="","",VLOOKUP($B13,grondstoffen!$B$8:$AL$47,13,FALSE)))</f>
        <v>Genk</v>
      </c>
      <c r="O13" s="32"/>
      <c r="P13" s="32"/>
      <c r="Q13" s="32" t="str">
        <f>IF($B13="","",IF(VLOOKUP($B13,grondstoffen!$B$8:$AL$47,16,FALSE)="","",VLOOKUP($B13,grondstoffen!$B$8:$AL$47,16,FALSE)))</f>
        <v>intern</v>
      </c>
      <c r="R13" s="32"/>
      <c r="S13" s="1276">
        <f>IF($B13="","",IF(VLOOKUP($B13,grondstoffen!$B$8:$AL$47,18,FALSE)="","",VLOOKUP($B13,grondstoffen!$B$8:$AL$47,18,FALSE)))</f>
        <v>3.21</v>
      </c>
      <c r="T13" s="32"/>
      <c r="U13" s="32" t="str">
        <f>IF($B13="","",IF(VLOOKUP($B13,grondstoffen!$B$8:$AL$47,20,FALSE)="","",VLOOKUP($B13,grondstoffen!$B$8:$AL$47,20,FALSE)))</f>
        <v>B</v>
      </c>
      <c r="V13" s="32"/>
      <c r="W13" s="357" t="str">
        <f>IF($B13="","",IF(VLOOKUP($B13,grondstoffen!$B$8:$AL$47,22,FALSE)="","",VLOOKUP($B13,grondstoffen!$B$8:$AL$47,22,FALSE)))</f>
        <v/>
      </c>
      <c r="X13" s="357" t="str">
        <f>IF($B13="","",IF(VLOOKUP($B13,grondstoffen!$B$8:$AL$47,23,FALSE)="","",VLOOKUP($B13,grondstoffen!$B$8:$AL$47,23,FALSE)))</f>
        <v/>
      </c>
      <c r="Y13" s="357" t="str">
        <f>IF($B13="","",IF(VLOOKUP($B13,grondstoffen!$B$8:$AL$47,24,FALSE)="","",VLOOKUP($B13,grondstoffen!$B$8:$AL$47,24,FALSE)))</f>
        <v/>
      </c>
      <c r="Z13" s="357" t="str">
        <f>IF($B13="","",IF(VLOOKUP($B13,grondstoffen!$B$8:$AL$47,25,FALSE)="","",VLOOKUP($B13,grondstoffen!$B$8:$AL$47,25,FALSE)))</f>
        <v/>
      </c>
      <c r="AA13" s="357">
        <f>IF($B13="","",IF(VLOOKUP($B13,grondstoffen!$B$8:$AL$47,26,FALSE)="","",VLOOKUP($B13,grondstoffen!$B$8:$AL$47,26,FALSE)))</f>
        <v>100</v>
      </c>
      <c r="AB13" s="357">
        <f>IF($B13="","",IF(VLOOKUP($B13,grondstoffen!$B$8:$AL$47,27,FALSE)="","",VLOOKUP($B13,grondstoffen!$B$8:$AL$47,27,FALSE)))</f>
        <v>100</v>
      </c>
      <c r="AC13" s="357">
        <f>IF($B13="","",IF(VLOOKUP($B13,grondstoffen!$B$8:$AL$47,28,FALSE)="","",VLOOKUP($B13,grondstoffen!$B$8:$AL$47,28,FALSE)))</f>
        <v>95</v>
      </c>
      <c r="AD13" s="357">
        <f>IF($B13="","",IF(VLOOKUP($B13,grondstoffen!$B$8:$AL$47,29,FALSE)="","",VLOOKUP($B13,grondstoffen!$B$8:$AL$47,29,FALSE)))</f>
        <v>50</v>
      </c>
      <c r="AE13" s="357">
        <f>IF($B13="","",IF(VLOOKUP($B13,grondstoffen!$B$8:$AL$47,30,FALSE)="","",VLOOKUP($B13,grondstoffen!$B$8:$AL$47,30,FALSE)))</f>
        <v>12</v>
      </c>
      <c r="AF13" s="357">
        <f>IF($B13="","",IF(VLOOKUP($B13,grondstoffen!$B$8:$AL$47,31,FALSE)="","",VLOOKUP($B13,grondstoffen!$B$8:$AL$47,31,FALSE)))</f>
        <v>7</v>
      </c>
      <c r="AG13" s="357">
        <f>IF($B13="","",IF(VLOOKUP($B13,grondstoffen!$B$8:$AL$47,32,FALSE)="","",VLOOKUP($B13,grondstoffen!$B$8:$AL$47,32,FALSE)))</f>
        <v>6</v>
      </c>
      <c r="AH13" s="357">
        <f>IF($B13="","",IF(VLOOKUP($B13,grondstoffen!$B$8:$AL$47,33,FALSE)="","",VLOOKUP($B13,grondstoffen!$B$8:$AL$47,33,FALSE)))</f>
        <v>5</v>
      </c>
      <c r="AI13" s="357">
        <f>IF($B13="","",IF(VLOOKUP($B13,grondstoffen!$B$8:$AL$47,34,FALSE)="","",VLOOKUP($B13,grondstoffen!$B$8:$AL$47,34,FALSE)))</f>
        <v>4</v>
      </c>
      <c r="AJ13" s="357">
        <f>IF($B13="","",IF(VLOOKUP($B13,grondstoffen!$B$8:$AL$47,35,FALSE)="","",VLOOKUP($B13,grondstoffen!$B$8:$AL$47,35,FALSE)))</f>
        <v>3</v>
      </c>
      <c r="AK13" s="357">
        <f>IF($B13="","",IF(VLOOKUP($B13,grondstoffen!$B$8:$AL$47,36,FALSE)="","",VLOOKUP($B13,grondstoffen!$B$8:$AL$47,36,FALSE)))</f>
        <v>2</v>
      </c>
      <c r="AL13" s="357">
        <f>IF($B13="","",IF(VLOOKUP($B13,grondstoffen!$B$8:$AL$47,37,FALSE)="","",VLOOKUP($B13,grondstoffen!$B$8:$AL$47,37,FALSE)))</f>
        <v>1</v>
      </c>
      <c r="AM13" s="31">
        <f>IF($B13="","",IF(VLOOKUP($B13,grondstoffen!$B$8:$AQ$47,38,FALSE)="","",VLOOKUP($B13,grondstoffen!$B$8:$AQ$47,38,FALSE)))</f>
        <v>30</v>
      </c>
      <c r="AN13" s="31" t="str">
        <f>IF($B13="","",IF(VLOOKUP($B13,grondstoffen!$B$8:$AQ$47,39,FALSE)="","",VLOOKUP($B13,grondstoffen!$B$8:$AQ$47,39,FALSE)))</f>
        <v>100/0</v>
      </c>
      <c r="AO13" s="31">
        <f>IF($B13="","",IF(VLOOKUP($B13,grondstoffen!$B$8:$AQ$47,40,FALSE)="","",VLOOKUP($B13,grondstoffen!$B$8:$AQ$47,40,FALSE)))</f>
        <v>38</v>
      </c>
      <c r="AP13" s="31">
        <f>IF($B13="","",IF(VLOOKUP($B13,grondstoffen!$B$8:$AQ$47,41,FALSE)="","",VLOOKUP($B13,grondstoffen!$B$8:$AQ$47,41,FALSE)))</f>
        <v>25</v>
      </c>
      <c r="AQ13" s="31">
        <f>IF($B13="","",IF(VLOOKUP($B13,grondstoffen!$B$8:$AQ$47,42,FALSE)="","",VLOOKUP($B13,grondstoffen!$B$8:$AQ$47,42,FALSE)))</f>
        <v>50</v>
      </c>
      <c r="AR13" s="31">
        <f>IF($B13="","",IF(VLOOKUP($B13,grondstoffen!$B$8:$AR$47,43,FALSE)="","",VLOOKUP($B13,grondstoffen!$B$8:$AR$47,43,FALSE)))</f>
        <v>56</v>
      </c>
      <c r="AS13" s="4"/>
      <c r="AT13" s="4"/>
      <c r="AU13" s="4"/>
      <c r="AV13" s="4"/>
      <c r="AW13" s="4"/>
      <c r="AX13" s="4"/>
      <c r="AY13" s="4"/>
      <c r="AZ13" s="4"/>
      <c r="BA13" s="4"/>
      <c r="BB13" s="4"/>
      <c r="BC13" s="4"/>
      <c r="BD13" s="4"/>
      <c r="BE13" s="4"/>
      <c r="BF13" s="4"/>
      <c r="BG13" s="4"/>
      <c r="BH13" s="4"/>
    </row>
    <row r="14" spans="1:60" x14ac:dyDescent="0.3">
      <c r="A14" s="4"/>
      <c r="B14" s="1553">
        <v>11</v>
      </c>
      <c r="C14" s="2167">
        <f t="shared" si="0"/>
        <v>0</v>
      </c>
      <c r="D14" s="2168"/>
      <c r="E14" s="38" t="str">
        <f>IF($B14="","",IF(VLOOKUP($B14,grondstoffen!$B$8:$AL$47,4,FALSE)="","",VLOOKUP($B14,grondstoffen!$B$8:$AL$47,4,FALSE)))</f>
        <v>Kalksteen</v>
      </c>
      <c r="F14" s="32"/>
      <c r="G14" s="32"/>
      <c r="H14" s="32" t="str">
        <f>IF($B14="","",IF(VLOOKUP($B14,grondstoffen!$B$8:$AL$47,7,FALSE)="","",VLOOKUP($B14,grondstoffen!$B$8:$AL$47,7,FALSE)))</f>
        <v>14/20</v>
      </c>
      <c r="I14" s="32" t="str">
        <f>IF($B14="","",IF(VLOOKUP($B14,grondstoffen!$B$8:$AL$47,8,FALSE)="","",VLOOKUP($B14,grondstoffen!$B$8:$AL$47,8,FALSE)))</f>
        <v>Aa1 I f1</v>
      </c>
      <c r="J14" s="32"/>
      <c r="K14" s="32" t="str">
        <f>IF($B14="","",IF(VLOOKUP($B14,grondstoffen!$B$8:$AL$47,10,FALSE)="","",VLOOKUP($B14,grondstoffen!$B$8:$AL$47,10,FALSE)))</f>
        <v>Gralex</v>
      </c>
      <c r="L14" s="32"/>
      <c r="M14" s="32"/>
      <c r="N14" s="32" t="str">
        <f>IF($B14="","",IF(VLOOKUP($B14,grondstoffen!$B$8:$AL$47,13,FALSE)="","",VLOOKUP($B14,grondstoffen!$B$8:$AL$47,13,FALSE)))</f>
        <v>Beez</v>
      </c>
      <c r="O14" s="32"/>
      <c r="P14" s="32"/>
      <c r="Q14" s="32" t="str">
        <f>IF($B14="","",IF(VLOOKUP($B14,grondstoffen!$B$8:$AL$47,16,FALSE)="","",VLOOKUP($B14,grondstoffen!$B$8:$AL$47,16,FALSE)))</f>
        <v>BENOR</v>
      </c>
      <c r="R14" s="32"/>
      <c r="S14" s="1276">
        <f>IF($B14="","",IF(VLOOKUP($B14,grondstoffen!$B$8:$AL$47,18,FALSE)="","",VLOOKUP($B14,grondstoffen!$B$8:$AL$47,18,FALSE)))</f>
        <v>2.7789999999999999</v>
      </c>
      <c r="T14" s="32"/>
      <c r="U14" s="32" t="str">
        <f>IF($B14="","",IF(VLOOKUP($B14,grondstoffen!$B$8:$AL$47,20,FALSE)="","",VLOOKUP($B14,grondstoffen!$B$8:$AL$47,20,FALSE)))</f>
        <v>B</v>
      </c>
      <c r="V14" s="32"/>
      <c r="W14" s="357">
        <f>IF($B14="","",IF(VLOOKUP($B14,grondstoffen!$B$8:$AL$47,22,FALSE)="","",VLOOKUP($B14,grondstoffen!$B$8:$AL$47,22,FALSE)))</f>
        <v>100</v>
      </c>
      <c r="X14" s="357">
        <f>IF($B14="","",IF(VLOOKUP($B14,grondstoffen!$B$8:$AL$47,23,FALSE)="","",VLOOKUP($B14,grondstoffen!$B$8:$AL$47,23,FALSE)))</f>
        <v>100</v>
      </c>
      <c r="Y14" s="357">
        <f>IF($B14="","",IF(VLOOKUP($B14,grondstoffen!$B$8:$AL$47,24,FALSE)="","",VLOOKUP($B14,grondstoffen!$B$8:$AL$47,24,FALSE)))</f>
        <v>99</v>
      </c>
      <c r="Z14" s="357">
        <f>IF($B14="","",IF(VLOOKUP($B14,grondstoffen!$B$8:$AL$47,25,FALSE)="","",VLOOKUP($B14,grondstoffen!$B$8:$AL$47,25,FALSE)))</f>
        <v>55</v>
      </c>
      <c r="AA14" s="357">
        <f>IF($B14="","",IF(VLOOKUP($B14,grondstoffen!$B$8:$AL$47,26,FALSE)="","",VLOOKUP($B14,grondstoffen!$B$8:$AL$47,26,FALSE)))</f>
        <v>25</v>
      </c>
      <c r="AB14" s="357">
        <f>IF($B14="","",IF(VLOOKUP($B14,grondstoffen!$B$8:$AL$47,27,FALSE)="","",VLOOKUP($B14,grondstoffen!$B$8:$AL$47,27,FALSE)))</f>
        <v>10</v>
      </c>
      <c r="AC14" s="357">
        <f>IF($B14="","",IF(VLOOKUP($B14,grondstoffen!$B$8:$AL$47,28,FALSE)="","",VLOOKUP($B14,grondstoffen!$B$8:$AL$47,28,FALSE)))</f>
        <v>2</v>
      </c>
      <c r="AD14" s="357">
        <f>IF($B14="","",IF(VLOOKUP($B14,grondstoffen!$B$8:$AL$47,29,FALSE)="","",VLOOKUP($B14,grondstoffen!$B$8:$AL$47,29,FALSE)))</f>
        <v>1</v>
      </c>
      <c r="AE14" s="357">
        <f>IF($B14="","",IF(VLOOKUP($B14,grondstoffen!$B$8:$AL$47,30,FALSE)="","",VLOOKUP($B14,grondstoffen!$B$8:$AL$47,30,FALSE)))</f>
        <v>0.9</v>
      </c>
      <c r="AF14" s="357">
        <f>IF($B14="","",IF(VLOOKUP($B14,grondstoffen!$B$8:$AL$47,31,FALSE)="","",VLOOKUP($B14,grondstoffen!$B$8:$AL$47,31,FALSE)))</f>
        <v>0.8</v>
      </c>
      <c r="AG14" s="357">
        <f>IF($B14="","",IF(VLOOKUP($B14,grondstoffen!$B$8:$AL$47,32,FALSE)="","",VLOOKUP($B14,grondstoffen!$B$8:$AL$47,32,FALSE)))</f>
        <v>0.7</v>
      </c>
      <c r="AH14" s="357">
        <f>IF($B14="","",IF(VLOOKUP($B14,grondstoffen!$B$8:$AL$47,33,FALSE)="","",VLOOKUP($B14,grondstoffen!$B$8:$AL$47,33,FALSE)))</f>
        <v>0.6</v>
      </c>
      <c r="AI14" s="357">
        <f>IF($B14="","",IF(VLOOKUP($B14,grondstoffen!$B$8:$AL$47,34,FALSE)="","",VLOOKUP($B14,grondstoffen!$B$8:$AL$47,34,FALSE)))</f>
        <v>0.5</v>
      </c>
      <c r="AJ14" s="357">
        <f>IF($B14="","",IF(VLOOKUP($B14,grondstoffen!$B$8:$AL$47,35,FALSE)="","",VLOOKUP($B14,grondstoffen!$B$8:$AL$47,35,FALSE)))</f>
        <v>0.4</v>
      </c>
      <c r="AK14" s="357">
        <f>IF($B14="","",IF(VLOOKUP($B14,grondstoffen!$B$8:$AL$47,36,FALSE)="","",VLOOKUP($B14,grondstoffen!$B$8:$AL$47,36,FALSE)))</f>
        <v>0.3</v>
      </c>
      <c r="AL14" s="357">
        <f>IF($B14="","",IF(VLOOKUP($B14,grondstoffen!$B$8:$AL$47,37,FALSE)="","",VLOOKUP($B14,grondstoffen!$B$8:$AL$47,37,FALSE)))</f>
        <v>0.2</v>
      </c>
      <c r="AM14" s="31">
        <f>IF($B14="","",IF(VLOOKUP($B14,grondstoffen!$B$8:$AQ$47,38,FALSE)="","",VLOOKUP($B14,grondstoffen!$B$8:$AQ$47,38,FALSE)))</f>
        <v>15</v>
      </c>
      <c r="AN14" s="31" t="str">
        <f>IF($B14="","",IF(VLOOKUP($B14,grondstoffen!$B$8:$AQ$47,39,FALSE)="","",VLOOKUP($B14,grondstoffen!$B$8:$AQ$47,39,FALSE)))</f>
        <v>100/0</v>
      </c>
      <c r="AO14" s="31">
        <f>IF($B14="","",IF(VLOOKUP($B14,grondstoffen!$B$8:$AQ$47,40,FALSE)="","",VLOOKUP($B14,grondstoffen!$B$8:$AQ$47,40,FALSE)))</f>
        <v>25</v>
      </c>
      <c r="AP14" s="31">
        <f>IF($B14="","",IF(VLOOKUP($B14,grondstoffen!$B$8:$AQ$47,41,FALSE)="","",VLOOKUP($B14,grondstoffen!$B$8:$AQ$47,41,FALSE)))</f>
        <v>10</v>
      </c>
      <c r="AQ14" s="31">
        <f>IF($B14="","",IF(VLOOKUP($B14,grondstoffen!$B$8:$AQ$47,42,FALSE)="","",VLOOKUP($B14,grondstoffen!$B$8:$AQ$47,42,FALSE)))</f>
        <v>35</v>
      </c>
      <c r="AR14" s="31">
        <f>IF($B14="","",IF(VLOOKUP($B14,grondstoffen!$B$8:$AR$47,43,FALSE)="","",VLOOKUP($B14,grondstoffen!$B$8:$AR$47,43,FALSE)))</f>
        <v>58</v>
      </c>
      <c r="AS14" s="4"/>
      <c r="AT14" s="4"/>
      <c r="AU14" s="4"/>
      <c r="AV14" s="4"/>
      <c r="AW14" s="4"/>
      <c r="AX14" s="4"/>
      <c r="AY14" s="4"/>
      <c r="AZ14" s="4"/>
      <c r="BA14" s="4"/>
      <c r="BB14" s="4"/>
      <c r="BC14" s="4"/>
      <c r="BD14" s="4"/>
      <c r="BE14" s="4"/>
      <c r="BF14" s="4"/>
      <c r="BG14" s="4"/>
      <c r="BH14" s="4"/>
    </row>
    <row r="15" spans="1:60" x14ac:dyDescent="0.3">
      <c r="A15" s="4"/>
      <c r="B15" s="1553">
        <v>12</v>
      </c>
      <c r="C15" s="2167">
        <f t="shared" si="0"/>
        <v>0</v>
      </c>
      <c r="D15" s="2168"/>
      <c r="E15" s="38" t="str">
        <f>IF($B15="","",IF(VLOOKUP($B15,grondstoffen!$B$8:$AL$47,4,FALSE)="","",VLOOKUP($B15,grondstoffen!$B$8:$AL$47,4,FALSE)))</f>
        <v>Porfier</v>
      </c>
      <c r="F15" s="32"/>
      <c r="G15" s="32"/>
      <c r="H15" s="32" t="str">
        <f>IF($B15="","",IF(VLOOKUP($B15,grondstoffen!$B$8:$AL$47,7,FALSE)="","",VLOOKUP($B15,grondstoffen!$B$8:$AL$47,7,FALSE)))</f>
        <v>6/14</v>
      </c>
      <c r="I15" s="32" t="str">
        <f>IF($B15="","",IF(VLOOKUP($B15,grondstoffen!$B$8:$AL$47,8,FALSE)="","",VLOOKUP($B15,grondstoffen!$B$8:$AL$47,8,FALSE)))</f>
        <v>BB2 II f2</v>
      </c>
      <c r="J15" s="32"/>
      <c r="K15" s="32" t="str">
        <f>IF($B15="","",IF(VLOOKUP($B15,grondstoffen!$B$8:$AL$47,10,FALSE)="","",VLOOKUP($B15,grondstoffen!$B$8:$AL$47,10,FALSE)))</f>
        <v>Holcim</v>
      </c>
      <c r="L15" s="32"/>
      <c r="M15" s="32"/>
      <c r="N15" s="32" t="str">
        <f>IF($B15="","",IF(VLOOKUP($B15,grondstoffen!$B$8:$AL$47,13,FALSE)="","",VLOOKUP($B15,grondstoffen!$B$8:$AL$47,13,FALSE)))</f>
        <v>Soignies</v>
      </c>
      <c r="O15" s="32"/>
      <c r="P15" s="32"/>
      <c r="Q15" s="32" t="str">
        <f>IF($B15="","",IF(VLOOKUP($B15,grondstoffen!$B$8:$AL$47,16,FALSE)="","",VLOOKUP($B15,grondstoffen!$B$8:$AL$47,16,FALSE)))</f>
        <v>BENOR</v>
      </c>
      <c r="R15" s="32"/>
      <c r="S15" s="1276">
        <f>IF($B15="","",IF(VLOOKUP($B15,grondstoffen!$B$8:$AL$47,18,FALSE)="","",VLOOKUP($B15,grondstoffen!$B$8:$AL$47,18,FALSE)))</f>
        <v>2.778</v>
      </c>
      <c r="T15" s="32"/>
      <c r="U15" s="32" t="str">
        <f>IF($B15="","",IF(VLOOKUP($B15,grondstoffen!$B$8:$AL$47,20,FALSE)="","",VLOOKUP($B15,grondstoffen!$B$8:$AL$47,20,FALSE)))</f>
        <v>B</v>
      </c>
      <c r="V15" s="32"/>
      <c r="W15" s="357" t="str">
        <f>IF($B15="","",IF(VLOOKUP($B15,grondstoffen!$B$8:$AL$47,22,FALSE)="","",VLOOKUP($B15,grondstoffen!$B$8:$AL$47,22,FALSE)))</f>
        <v/>
      </c>
      <c r="X15" s="357" t="str">
        <f>IF($B15="","",IF(VLOOKUP($B15,grondstoffen!$B$8:$AL$47,23,FALSE)="","",VLOOKUP($B15,grondstoffen!$B$8:$AL$47,23,FALSE)))</f>
        <v/>
      </c>
      <c r="Y15" s="357">
        <f>IF($B15="","",IF(VLOOKUP($B15,grondstoffen!$B$8:$AL$47,24,FALSE)="","",VLOOKUP($B15,grondstoffen!$B$8:$AL$47,24,FALSE)))</f>
        <v>100</v>
      </c>
      <c r="Z15" s="357">
        <f>IF($B15="","",IF(VLOOKUP($B15,grondstoffen!$B$8:$AL$47,25,FALSE)="","",VLOOKUP($B15,grondstoffen!$B$8:$AL$47,25,FALSE)))</f>
        <v>98</v>
      </c>
      <c r="AA15" s="357">
        <f>IF($B15="","",IF(VLOOKUP($B15,grondstoffen!$B$8:$AL$47,26,FALSE)="","",VLOOKUP($B15,grondstoffen!$B$8:$AL$47,26,FALSE)))</f>
        <v>97</v>
      </c>
      <c r="AB15" s="357">
        <f>IF($B15="","",IF(VLOOKUP($B15,grondstoffen!$B$8:$AL$47,27,FALSE)="","",VLOOKUP($B15,grondstoffen!$B$8:$AL$47,27,FALSE)))</f>
        <v>72</v>
      </c>
      <c r="AC15" s="357">
        <f>IF($B15="","",IF(VLOOKUP($B15,grondstoffen!$B$8:$AL$47,28,FALSE)="","",VLOOKUP($B15,grondstoffen!$B$8:$AL$47,28,FALSE)))</f>
        <v>65</v>
      </c>
      <c r="AD15" s="357">
        <f>IF($B15="","",IF(VLOOKUP($B15,grondstoffen!$B$8:$AL$47,29,FALSE)="","",VLOOKUP($B15,grondstoffen!$B$8:$AL$47,29,FALSE)))</f>
        <v>44</v>
      </c>
      <c r="AE15" s="357">
        <f>IF($B15="","",IF(VLOOKUP($B15,grondstoffen!$B$8:$AL$47,30,FALSE)="","",VLOOKUP($B15,grondstoffen!$B$8:$AL$47,30,FALSE)))</f>
        <v>21</v>
      </c>
      <c r="AF15" s="357">
        <f>IF($B15="","",IF(VLOOKUP($B15,grondstoffen!$B$8:$AL$47,31,FALSE)="","",VLOOKUP($B15,grondstoffen!$B$8:$AL$47,31,FALSE)))</f>
        <v>10</v>
      </c>
      <c r="AG15" s="357">
        <f>IF($B15="","",IF(VLOOKUP($B15,grondstoffen!$B$8:$AL$47,32,FALSE)="","",VLOOKUP($B15,grondstoffen!$B$8:$AL$47,32,FALSE)))</f>
        <v>4</v>
      </c>
      <c r="AH15" s="357">
        <f>IF($B15="","",IF(VLOOKUP($B15,grondstoffen!$B$8:$AL$47,33,FALSE)="","",VLOOKUP($B15,grondstoffen!$B$8:$AL$47,33,FALSE)))</f>
        <v>3</v>
      </c>
      <c r="AI15" s="357">
        <f>IF($B15="","",IF(VLOOKUP($B15,grondstoffen!$B$8:$AL$47,34,FALSE)="","",VLOOKUP($B15,grondstoffen!$B$8:$AL$47,34,FALSE)))</f>
        <v>2</v>
      </c>
      <c r="AJ15" s="357">
        <f>IF($B15="","",IF(VLOOKUP($B15,grondstoffen!$B$8:$AL$47,35,FALSE)="","",VLOOKUP($B15,grondstoffen!$B$8:$AL$47,35,FALSE)))</f>
        <v>1</v>
      </c>
      <c r="AK15" s="357">
        <f>IF($B15="","",IF(VLOOKUP($B15,grondstoffen!$B$8:$AL$47,36,FALSE)="","",VLOOKUP($B15,grondstoffen!$B$8:$AL$47,36,FALSE)))</f>
        <v>0.5</v>
      </c>
      <c r="AL15" s="357">
        <f>IF($B15="","",IF(VLOOKUP($B15,grondstoffen!$B$8:$AL$47,37,FALSE)="","",VLOOKUP($B15,grondstoffen!$B$8:$AL$47,37,FALSE)))</f>
        <v>0.2</v>
      </c>
      <c r="AM15" s="31">
        <f>IF($B15="","",IF(VLOOKUP($B15,grondstoffen!$B$8:$AQ$47,38,FALSE)="","",VLOOKUP($B15,grondstoffen!$B$8:$AQ$47,38,FALSE)))</f>
        <v>20</v>
      </c>
      <c r="AN15" s="31" t="str">
        <f>IF($B15="","",IF(VLOOKUP($B15,grondstoffen!$B$8:$AQ$47,39,FALSE)="","",VLOOKUP($B15,grondstoffen!$B$8:$AQ$47,39,FALSE)))</f>
        <v>100/0</v>
      </c>
      <c r="AO15" s="31">
        <f>IF($B15="","",IF(VLOOKUP($B15,grondstoffen!$B$8:$AQ$47,40,FALSE)="","",VLOOKUP($B15,grondstoffen!$B$8:$AQ$47,40,FALSE)))</f>
        <v>30</v>
      </c>
      <c r="AP15" s="31">
        <f>IF($B15="","",IF(VLOOKUP($B15,grondstoffen!$B$8:$AQ$47,41,FALSE)="","",VLOOKUP($B15,grondstoffen!$B$8:$AQ$47,41,FALSE)))</f>
        <v>15</v>
      </c>
      <c r="AQ15" s="31">
        <f>IF($B15="","",IF(VLOOKUP($B15,grondstoffen!$B$8:$AQ$47,42,FALSE)="","",VLOOKUP($B15,grondstoffen!$B$8:$AQ$47,42,FALSE)))</f>
        <v>40</v>
      </c>
      <c r="AR15" s="31">
        <f>IF($B15="","",IF(VLOOKUP($B15,grondstoffen!$B$8:$AR$47,43,FALSE)="","",VLOOKUP($B15,grondstoffen!$B$8:$AR$47,43,FALSE)))</f>
        <v>60</v>
      </c>
      <c r="AS15" s="4"/>
      <c r="AT15" s="4"/>
      <c r="AU15" s="4"/>
      <c r="AV15" s="4"/>
      <c r="AW15" s="4"/>
      <c r="AX15" s="4"/>
      <c r="AY15" s="4"/>
      <c r="AZ15" s="4"/>
      <c r="BA15" s="4"/>
      <c r="BB15" s="4"/>
      <c r="BC15" s="4"/>
      <c r="BD15" s="4"/>
      <c r="BE15" s="4"/>
      <c r="BF15" s="4"/>
      <c r="BG15" s="4"/>
      <c r="BH15" s="4"/>
    </row>
    <row r="16" spans="1:60" x14ac:dyDescent="0.3">
      <c r="A16" s="4"/>
      <c r="B16" s="1553">
        <v>16</v>
      </c>
      <c r="C16" s="2167">
        <f t="shared" si="0"/>
        <v>0</v>
      </c>
      <c r="D16" s="2168"/>
      <c r="E16" s="38" t="str">
        <f>IF($B16="","",IF(VLOOKUP($B16,grondstoffen!$B$8:$AL$47,4,FALSE)="","",VLOOKUP($B16,grondstoffen!$B$8:$AL$47,4,FALSE)))</f>
        <v>Slakken</v>
      </c>
      <c r="F16" s="32"/>
      <c r="G16" s="32"/>
      <c r="H16" s="32" t="str">
        <f>IF($B16="","",IF(VLOOKUP($B16,grondstoffen!$B$8:$AL$47,7,FALSE)="","",VLOOKUP($B16,grondstoffen!$B$8:$AL$47,7,FALSE)))</f>
        <v>6/10</v>
      </c>
      <c r="I16" s="32" t="str">
        <f>IF($B16="","",IF(VLOOKUP($B16,grondstoffen!$B$8:$AL$47,8,FALSE)="","",VLOOKUP($B16,grondstoffen!$B$8:$AL$47,8,FALSE)))</f>
        <v>Dd4 IV f4</v>
      </c>
      <c r="J16" s="32"/>
      <c r="K16" s="32" t="str">
        <f>IF($B16="","",IF(VLOOKUP($B16,grondstoffen!$B$8:$AL$47,10,FALSE)="","",VLOOKUP($B16,grondstoffen!$B$8:$AL$47,10,FALSE)))</f>
        <v>SDF</v>
      </c>
      <c r="L16" s="32"/>
      <c r="M16" s="32"/>
      <c r="N16" s="32" t="str">
        <f>IF($B16="","",IF(VLOOKUP($B16,grondstoffen!$B$8:$AL$47,13,FALSE)="","",VLOOKUP($B16,grondstoffen!$B$8:$AL$47,13,FALSE)))</f>
        <v>Genk</v>
      </c>
      <c r="O16" s="32"/>
      <c r="P16" s="32"/>
      <c r="Q16" s="32" t="str">
        <f>IF($B16="","",IF(VLOOKUP($B16,grondstoffen!$B$8:$AL$47,16,FALSE)="","",VLOOKUP($B16,grondstoffen!$B$8:$AL$47,16,FALSE)))</f>
        <v>intern</v>
      </c>
      <c r="R16" s="32"/>
      <c r="S16" s="1276">
        <f>IF($B16="","",IF(VLOOKUP($B16,grondstoffen!$B$8:$AL$47,18,FALSE)="","",VLOOKUP($B16,grondstoffen!$B$8:$AL$47,18,FALSE)))</f>
        <v>3.2</v>
      </c>
      <c r="T16" s="32"/>
      <c r="U16" s="32" t="str">
        <f>IF($B16="","",IF(VLOOKUP($B16,grondstoffen!$B$8:$AL$47,20,FALSE)="","",VLOOKUP($B16,grondstoffen!$B$8:$AL$47,20,FALSE)))</f>
        <v>B</v>
      </c>
      <c r="V16" s="32"/>
      <c r="W16" s="357" t="str">
        <f>IF($B16="","",IF(VLOOKUP($B16,grondstoffen!$B$8:$AL$47,22,FALSE)="","",VLOOKUP($B16,grondstoffen!$B$8:$AL$47,22,FALSE)))</f>
        <v/>
      </c>
      <c r="X16" s="357" t="str">
        <f>IF($B16="","",IF(VLOOKUP($B16,grondstoffen!$B$8:$AL$47,23,FALSE)="","",VLOOKUP($B16,grondstoffen!$B$8:$AL$47,23,FALSE)))</f>
        <v/>
      </c>
      <c r="Y16" s="357" t="str">
        <f>IF($B16="","",IF(VLOOKUP($B16,grondstoffen!$B$8:$AL$47,24,FALSE)="","",VLOOKUP($B16,grondstoffen!$B$8:$AL$47,24,FALSE)))</f>
        <v/>
      </c>
      <c r="Z16" s="357" t="str">
        <f>IF($B16="","",IF(VLOOKUP($B16,grondstoffen!$B$8:$AL$47,25,FALSE)="","",VLOOKUP($B16,grondstoffen!$B$8:$AL$47,25,FALSE)))</f>
        <v/>
      </c>
      <c r="AA16" s="357">
        <f>IF($B16="","",IF(VLOOKUP($B16,grondstoffen!$B$8:$AL$47,26,FALSE)="","",VLOOKUP($B16,grondstoffen!$B$8:$AL$47,26,FALSE)))</f>
        <v>100</v>
      </c>
      <c r="AB16" s="357">
        <f>IF($B16="","",IF(VLOOKUP($B16,grondstoffen!$B$8:$AL$47,27,FALSE)="","",VLOOKUP($B16,grondstoffen!$B$8:$AL$47,27,FALSE)))</f>
        <v>100</v>
      </c>
      <c r="AC16" s="357">
        <f>IF($B16="","",IF(VLOOKUP($B16,grondstoffen!$B$8:$AL$47,28,FALSE)="","",VLOOKUP($B16,grondstoffen!$B$8:$AL$47,28,FALSE)))</f>
        <v>95</v>
      </c>
      <c r="AD16" s="357">
        <f>IF($B16="","",IF(VLOOKUP($B16,grondstoffen!$B$8:$AL$47,29,FALSE)="","",VLOOKUP($B16,grondstoffen!$B$8:$AL$47,29,FALSE)))</f>
        <v>50</v>
      </c>
      <c r="AE16" s="357">
        <f>IF($B16="","",IF(VLOOKUP($B16,grondstoffen!$B$8:$AL$47,30,FALSE)="","",VLOOKUP($B16,grondstoffen!$B$8:$AL$47,30,FALSE)))</f>
        <v>12</v>
      </c>
      <c r="AF16" s="357">
        <f>IF($B16="","",IF(VLOOKUP($B16,grondstoffen!$B$8:$AL$47,31,FALSE)="","",VLOOKUP($B16,grondstoffen!$B$8:$AL$47,31,FALSE)))</f>
        <v>7</v>
      </c>
      <c r="AG16" s="357">
        <f>IF($B16="","",IF(VLOOKUP($B16,grondstoffen!$B$8:$AL$47,32,FALSE)="","",VLOOKUP($B16,grondstoffen!$B$8:$AL$47,32,FALSE)))</f>
        <v>6</v>
      </c>
      <c r="AH16" s="357">
        <f>IF($B16="","",IF(VLOOKUP($B16,grondstoffen!$B$8:$AL$47,33,FALSE)="","",VLOOKUP($B16,grondstoffen!$B$8:$AL$47,33,FALSE)))</f>
        <v>5</v>
      </c>
      <c r="AI16" s="357">
        <f>IF($B16="","",IF(VLOOKUP($B16,grondstoffen!$B$8:$AL$47,34,FALSE)="","",VLOOKUP($B16,grondstoffen!$B$8:$AL$47,34,FALSE)))</f>
        <v>4</v>
      </c>
      <c r="AJ16" s="357">
        <f>IF($B16="","",IF(VLOOKUP($B16,grondstoffen!$B$8:$AL$47,35,FALSE)="","",VLOOKUP($B16,grondstoffen!$B$8:$AL$47,35,FALSE)))</f>
        <v>3</v>
      </c>
      <c r="AK16" s="357">
        <f>IF($B16="","",IF(VLOOKUP($B16,grondstoffen!$B$8:$AL$47,36,FALSE)="","",VLOOKUP($B16,grondstoffen!$B$8:$AL$47,36,FALSE)))</f>
        <v>2</v>
      </c>
      <c r="AL16" s="357">
        <f>IF($B16="","",IF(VLOOKUP($B16,grondstoffen!$B$8:$AL$47,37,FALSE)="","",VLOOKUP($B16,grondstoffen!$B$8:$AL$47,37,FALSE)))</f>
        <v>1</v>
      </c>
      <c r="AM16" s="31">
        <f>IF($B16="","",IF(VLOOKUP($B16,grondstoffen!$B$8:$AQ$47,38,FALSE)="","",VLOOKUP($B16,grondstoffen!$B$8:$AQ$47,38,FALSE)))</f>
        <v>30</v>
      </c>
      <c r="AN16" s="31" t="str">
        <f>IF($B16="","",IF(VLOOKUP($B16,grondstoffen!$B$8:$AQ$47,39,FALSE)="","",VLOOKUP($B16,grondstoffen!$B$8:$AQ$47,39,FALSE)))</f>
        <v>100/0</v>
      </c>
      <c r="AO16" s="31">
        <f>IF($B16="","",IF(VLOOKUP($B16,grondstoffen!$B$8:$AQ$47,40,FALSE)="","",VLOOKUP($B16,grondstoffen!$B$8:$AQ$47,40,FALSE)))</f>
        <v>38</v>
      </c>
      <c r="AP16" s="31">
        <f>IF($B16="","",IF(VLOOKUP($B16,grondstoffen!$B$8:$AQ$47,41,FALSE)="","",VLOOKUP($B16,grondstoffen!$B$8:$AQ$47,41,FALSE)))</f>
        <v>25</v>
      </c>
      <c r="AQ16" s="31">
        <f>IF($B16="","",IF(VLOOKUP($B16,grondstoffen!$B$8:$AQ$47,42,FALSE)="","",VLOOKUP($B16,grondstoffen!$B$8:$AQ$47,42,FALSE)))</f>
        <v>50</v>
      </c>
      <c r="AR16" s="31">
        <f>IF($B16="","",IF(VLOOKUP($B16,grondstoffen!$B$8:$AR$47,43,FALSE)="","",VLOOKUP($B16,grondstoffen!$B$8:$AR$47,43,FALSE)))</f>
        <v>64</v>
      </c>
      <c r="AS16" s="4"/>
      <c r="AT16" s="4"/>
      <c r="AU16" s="4"/>
      <c r="AV16" s="4"/>
      <c r="AW16" s="4"/>
      <c r="AX16" s="4"/>
      <c r="AY16" s="4"/>
      <c r="AZ16" s="4"/>
      <c r="BA16" s="4"/>
      <c r="BB16" s="4"/>
      <c r="BC16" s="4"/>
      <c r="BD16" s="4"/>
      <c r="BE16" s="4"/>
      <c r="BF16" s="4"/>
      <c r="BG16" s="4"/>
      <c r="BH16" s="4"/>
    </row>
    <row r="17" spans="1:60" x14ac:dyDescent="0.3">
      <c r="A17" s="4"/>
      <c r="B17" s="1554"/>
      <c r="C17" s="2173" t="str">
        <f t="shared" si="0"/>
        <v/>
      </c>
      <c r="D17" s="2174"/>
      <c r="E17" s="38" t="str">
        <f>IF($B17="","",IF(VLOOKUP($B17,grondstoffen!$B$8:$AL$47,4,FALSE)="","",VLOOKUP($B17,grondstoffen!$B$8:$AL$47,4,FALSE)))</f>
        <v/>
      </c>
      <c r="F17" s="32"/>
      <c r="G17" s="32"/>
      <c r="H17" s="32" t="str">
        <f>IF($B17="","",IF(VLOOKUP($B17,grondstoffen!$B$8:$AL$47,7,FALSE)="","",VLOOKUP($B17,grondstoffen!$B$8:$AL$47,7,FALSE)))</f>
        <v/>
      </c>
      <c r="I17" s="32" t="str">
        <f>IF($B17="","",IF(VLOOKUP($B17,grondstoffen!$B$8:$AL$47,8,FALSE)="","",VLOOKUP($B17,grondstoffen!$B$8:$AL$47,8,FALSE)))</f>
        <v/>
      </c>
      <c r="J17" s="32"/>
      <c r="K17" s="32" t="str">
        <f>IF($B17="","",IF(VLOOKUP($B17,grondstoffen!$B$8:$AL$47,10,FALSE)="","",VLOOKUP($B17,grondstoffen!$B$8:$AL$47,10,FALSE)))</f>
        <v/>
      </c>
      <c r="L17" s="32"/>
      <c r="M17" s="32"/>
      <c r="N17" s="32" t="str">
        <f>IF($B17="","",IF(VLOOKUP($B17,grondstoffen!$B$8:$AL$47,13,FALSE)="","",VLOOKUP($B17,grondstoffen!$B$8:$AL$47,13,FALSE)))</f>
        <v/>
      </c>
      <c r="O17" s="32"/>
      <c r="P17" s="32"/>
      <c r="Q17" s="32" t="str">
        <f>IF($B17="","",IF(VLOOKUP($B17,grondstoffen!$B$8:$AL$47,16,FALSE)="","",VLOOKUP($B17,grondstoffen!$B$8:$AL$47,16,FALSE)))</f>
        <v/>
      </c>
      <c r="R17" s="32"/>
      <c r="S17" s="1276" t="str">
        <f>IF($B17="","",IF(VLOOKUP($B17,grondstoffen!$B$8:$AL$47,18,FALSE)="","",VLOOKUP($B17,grondstoffen!$B$8:$AL$47,18,FALSE)))</f>
        <v/>
      </c>
      <c r="T17" s="32"/>
      <c r="U17" s="32" t="str">
        <f>IF($B17="","",IF(VLOOKUP($B17,grondstoffen!$B$8:$AL$47,20,FALSE)="","",VLOOKUP($B17,grondstoffen!$B$8:$AL$47,20,FALSE)))</f>
        <v/>
      </c>
      <c r="V17" s="32"/>
      <c r="W17" s="357" t="str">
        <f>IF($B17="","",IF(VLOOKUP($B17,grondstoffen!$B$8:$AL$47,22,FALSE)="","",VLOOKUP($B17,grondstoffen!$B$8:$AL$47,22,FALSE)))</f>
        <v/>
      </c>
      <c r="X17" s="357" t="str">
        <f>IF($B17="","",IF(VLOOKUP($B17,grondstoffen!$B$8:$AL$47,23,FALSE)="","",VLOOKUP($B17,grondstoffen!$B$8:$AL$47,23,FALSE)))</f>
        <v/>
      </c>
      <c r="Y17" s="357" t="str">
        <f>IF($B17="","",IF(VLOOKUP($B17,grondstoffen!$B$8:$AL$47,24,FALSE)="","",VLOOKUP($B17,grondstoffen!$B$8:$AL$47,24,FALSE)))</f>
        <v/>
      </c>
      <c r="Z17" s="357" t="str">
        <f>IF($B17="","",IF(VLOOKUP($B17,grondstoffen!$B$8:$AL$47,25,FALSE)="","",VLOOKUP($B17,grondstoffen!$B$8:$AL$47,25,FALSE)))</f>
        <v/>
      </c>
      <c r="AA17" s="357" t="str">
        <f>IF($B17="","",IF(VLOOKUP($B17,grondstoffen!$B$8:$AL$47,26,FALSE)="","",VLOOKUP($B17,grondstoffen!$B$8:$AL$47,26,FALSE)))</f>
        <v/>
      </c>
      <c r="AB17" s="357" t="str">
        <f>IF($B17="","",IF(VLOOKUP($B17,grondstoffen!$B$8:$AL$47,27,FALSE)="","",VLOOKUP($B17,grondstoffen!$B$8:$AL$47,27,FALSE)))</f>
        <v/>
      </c>
      <c r="AC17" s="357" t="str">
        <f>IF($B17="","",IF(VLOOKUP($B17,grondstoffen!$B$8:$AL$47,28,FALSE)="","",VLOOKUP($B17,grondstoffen!$B$8:$AL$47,28,FALSE)))</f>
        <v/>
      </c>
      <c r="AD17" s="357" t="str">
        <f>IF($B17="","",IF(VLOOKUP($B17,grondstoffen!$B$8:$AL$47,29,FALSE)="","",VLOOKUP($B17,grondstoffen!$B$8:$AL$47,29,FALSE)))</f>
        <v/>
      </c>
      <c r="AE17" s="357" t="str">
        <f>IF($B17="","",IF(VLOOKUP($B17,grondstoffen!$B$8:$AL$47,30,FALSE)="","",VLOOKUP($B17,grondstoffen!$B$8:$AL$47,30,FALSE)))</f>
        <v/>
      </c>
      <c r="AF17" s="357" t="str">
        <f>IF($B17="","",IF(VLOOKUP($B17,grondstoffen!$B$8:$AL$47,31,FALSE)="","",VLOOKUP($B17,grondstoffen!$B$8:$AL$47,31,FALSE)))</f>
        <v/>
      </c>
      <c r="AG17" s="357" t="str">
        <f>IF($B17="","",IF(VLOOKUP($B17,grondstoffen!$B$8:$AL$47,32,FALSE)="","",VLOOKUP($B17,grondstoffen!$B$8:$AL$47,32,FALSE)))</f>
        <v/>
      </c>
      <c r="AH17" s="357" t="str">
        <f>IF($B17="","",IF(VLOOKUP($B17,grondstoffen!$B$8:$AL$47,33,FALSE)="","",VLOOKUP($B17,grondstoffen!$B$8:$AL$47,33,FALSE)))</f>
        <v/>
      </c>
      <c r="AI17" s="357" t="str">
        <f>IF($B17="","",IF(VLOOKUP($B17,grondstoffen!$B$8:$AL$47,34,FALSE)="","",VLOOKUP($B17,grondstoffen!$B$8:$AL$47,34,FALSE)))</f>
        <v/>
      </c>
      <c r="AJ17" s="357" t="str">
        <f>IF($B17="","",IF(VLOOKUP($B17,grondstoffen!$B$8:$AL$47,35,FALSE)="","",VLOOKUP($B17,grondstoffen!$B$8:$AL$47,35,FALSE)))</f>
        <v/>
      </c>
      <c r="AK17" s="357" t="str">
        <f>IF($B17="","",IF(VLOOKUP($B17,grondstoffen!$B$8:$AL$47,36,FALSE)="","",VLOOKUP($B17,grondstoffen!$B$8:$AL$47,36,FALSE)))</f>
        <v/>
      </c>
      <c r="AL17" s="357" t="str">
        <f>IF($B17="","",IF(VLOOKUP($B17,grondstoffen!$B$8:$AL$47,37,FALSE)="","",VLOOKUP($B17,grondstoffen!$B$8:$AL$47,37,FALSE)))</f>
        <v/>
      </c>
      <c r="AM17" s="42" t="str">
        <f>IF($B17="","",IF(VLOOKUP($B17,grondstoffen!$B$8:$AQ$47,38,FALSE)="","",VLOOKUP($B17,grondstoffen!$B$8:$AQ$47,38,FALSE)))</f>
        <v/>
      </c>
      <c r="AN17" s="42" t="str">
        <f>IF($B17="","",IF(VLOOKUP($B17,grondstoffen!$B$8:$AQ$47,39,FALSE)="","",VLOOKUP($B17,grondstoffen!$B$8:$AQ$47,39,FALSE)))</f>
        <v/>
      </c>
      <c r="AO17" s="42" t="str">
        <f>IF($B17="","",IF(VLOOKUP($B17,grondstoffen!$B$8:$AQ$47,40,FALSE)="","",VLOOKUP($B17,grondstoffen!$B$8:$AQ$47,40,FALSE)))</f>
        <v/>
      </c>
      <c r="AP17" s="42" t="str">
        <f>IF($B17="","",IF(VLOOKUP($B17,grondstoffen!$B$8:$AQ$47,41,FALSE)="","",VLOOKUP($B17,grondstoffen!$B$8:$AQ$47,41,FALSE)))</f>
        <v/>
      </c>
      <c r="AQ17" s="42" t="str">
        <f>IF($B17="","",IF(VLOOKUP($B17,grondstoffen!$B$8:$AQ$47,42,FALSE)="","",VLOOKUP($B17,grondstoffen!$B$8:$AQ$47,42,FALSE)))</f>
        <v/>
      </c>
      <c r="AR17" s="42" t="str">
        <f>IF($B17="","",IF(VLOOKUP($B17,grondstoffen!$B$8:$AR$47,43,FALSE)="","",VLOOKUP($B17,grondstoffen!$B$8:$AR$47,43,FALSE)))</f>
        <v/>
      </c>
      <c r="AS17" s="4"/>
      <c r="AT17" s="4"/>
      <c r="AU17" s="4"/>
      <c r="AV17" s="4"/>
      <c r="AW17" s="4"/>
      <c r="AX17" s="4"/>
      <c r="AY17" s="4"/>
      <c r="AZ17" s="4"/>
      <c r="BA17" s="4"/>
      <c r="BB17" s="4"/>
      <c r="BC17" s="4"/>
      <c r="BD17" s="4"/>
      <c r="BE17" s="4"/>
      <c r="BF17" s="4"/>
      <c r="BG17" s="4"/>
      <c r="BH17" s="4"/>
    </row>
    <row r="18" spans="1:60" ht="14.5" x14ac:dyDescent="0.35">
      <c r="A18" s="4"/>
      <c r="B18" s="4"/>
      <c r="C18" s="24"/>
      <c r="D18" s="4"/>
      <c r="E18" s="6"/>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row>
    <row r="19" spans="1:60" ht="14.5" x14ac:dyDescent="0.35">
      <c r="A19" s="4"/>
      <c r="B19" s="4"/>
      <c r="C19" s="6" t="s">
        <v>1430</v>
      </c>
      <c r="D19" s="4"/>
      <c r="E19" s="6"/>
      <c r="F19" s="4"/>
      <c r="G19" s="4"/>
      <c r="H19" s="6"/>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row>
    <row r="20" spans="1:60" ht="14.5" x14ac:dyDescent="0.35">
      <c r="A20" s="4"/>
      <c r="B20" s="6" t="s">
        <v>1426</v>
      </c>
      <c r="C20" s="6"/>
      <c r="D20" s="4"/>
      <c r="E20" s="6"/>
      <c r="F20" s="4"/>
      <c r="G20" s="4"/>
      <c r="H20" s="6"/>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row>
    <row r="21" spans="1:60" ht="14.5" x14ac:dyDescent="0.35">
      <c r="A21" s="4"/>
      <c r="B21" s="6"/>
      <c r="C21" s="6"/>
      <c r="D21" s="4"/>
      <c r="E21" s="6"/>
      <c r="F21" s="4"/>
      <c r="G21" s="4"/>
      <c r="H21" s="6"/>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row>
    <row r="22" spans="1:60"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row>
    <row r="23" spans="1:60" x14ac:dyDescent="0.3">
      <c r="A23" s="4"/>
      <c r="B23" s="5" t="s">
        <v>130</v>
      </c>
      <c r="C23" s="5"/>
      <c r="D23" s="5"/>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row>
    <row r="24" spans="1:60" ht="16" x14ac:dyDescent="0.4">
      <c r="A24" s="4"/>
      <c r="B24" s="18" t="s">
        <v>114</v>
      </c>
      <c r="C24" s="2033" t="s">
        <v>150</v>
      </c>
      <c r="D24" s="2033"/>
      <c r="E24" s="2033" t="s">
        <v>131</v>
      </c>
      <c r="F24" s="2033"/>
      <c r="G24" s="2033"/>
      <c r="H24" s="2033" t="s">
        <v>139</v>
      </c>
      <c r="I24" s="2033"/>
      <c r="J24" s="2033"/>
      <c r="K24" s="2033" t="s">
        <v>1241</v>
      </c>
      <c r="L24" s="2033"/>
      <c r="M24" s="2033"/>
      <c r="N24" s="2033" t="s">
        <v>119</v>
      </c>
      <c r="O24" s="2033"/>
      <c r="P24" s="2033"/>
      <c r="Q24" s="2033" t="s">
        <v>121</v>
      </c>
      <c r="R24" s="2033"/>
      <c r="S24" s="2" t="s">
        <v>122</v>
      </c>
      <c r="T24" s="2"/>
      <c r="U24" s="2033" t="s">
        <v>133</v>
      </c>
      <c r="V24" s="2033"/>
      <c r="W24" s="2155" t="s">
        <v>127</v>
      </c>
      <c r="X24" s="2155"/>
      <c r="Y24" s="2155"/>
      <c r="Z24" s="2155"/>
      <c r="AA24" s="2155"/>
      <c r="AB24" s="2155"/>
      <c r="AC24" s="2155"/>
      <c r="AD24" s="2155"/>
      <c r="AE24" s="2155"/>
      <c r="AF24" s="2155"/>
      <c r="AG24" s="2155"/>
      <c r="AH24" s="2155"/>
      <c r="AI24" s="2155"/>
      <c r="AJ24" s="2155"/>
      <c r="AK24" s="2155"/>
      <c r="AL24" s="2155"/>
      <c r="AM24" s="1227" t="s">
        <v>1221</v>
      </c>
      <c r="AN24" s="143"/>
      <c r="AO24" s="143"/>
      <c r="AP24" s="4"/>
      <c r="AQ24" s="4"/>
      <c r="AR24" s="4"/>
      <c r="AS24" s="4"/>
      <c r="AT24" s="4"/>
      <c r="AU24" s="4"/>
      <c r="AV24" s="4"/>
      <c r="AW24" s="4"/>
      <c r="AX24" s="4"/>
      <c r="AY24" s="4"/>
      <c r="AZ24" s="4"/>
      <c r="BA24" s="4"/>
      <c r="BB24" s="4"/>
      <c r="BC24" s="4"/>
      <c r="BD24" s="4"/>
      <c r="BE24" s="4"/>
      <c r="BF24" s="4"/>
      <c r="BG24" s="4"/>
      <c r="BH24" s="4"/>
    </row>
    <row r="25" spans="1:60" ht="14.5" thickBot="1" x14ac:dyDescent="0.35">
      <c r="A25" s="4"/>
      <c r="B25" s="106" t="s">
        <v>388</v>
      </c>
      <c r="C25" s="2033" t="s">
        <v>132</v>
      </c>
      <c r="D25" s="2033"/>
      <c r="E25" s="2"/>
      <c r="F25" s="2"/>
      <c r="G25" s="2"/>
      <c r="H25" s="2"/>
      <c r="I25" s="2"/>
      <c r="J25" s="2"/>
      <c r="K25" s="2033" t="s">
        <v>138</v>
      </c>
      <c r="L25" s="2033"/>
      <c r="M25" s="2033"/>
      <c r="N25" s="2033" t="s">
        <v>137</v>
      </c>
      <c r="O25" s="2033"/>
      <c r="P25" s="2033"/>
      <c r="Q25" s="2"/>
      <c r="R25" s="2"/>
      <c r="S25" s="2033" t="s">
        <v>418</v>
      </c>
      <c r="T25" s="2033"/>
      <c r="U25" s="2033" t="s">
        <v>132</v>
      </c>
      <c r="V25" s="2033"/>
      <c r="W25" s="355">
        <f>berekeningen!D9</f>
        <v>40</v>
      </c>
      <c r="X25" s="355">
        <f>berekeningen!E9</f>
        <v>31.5</v>
      </c>
      <c r="Y25" s="355">
        <f>berekeningen!F9</f>
        <v>20</v>
      </c>
      <c r="Z25" s="355">
        <f>berekeningen!G9</f>
        <v>16</v>
      </c>
      <c r="AA25" s="355">
        <f>berekeningen!H9</f>
        <v>14</v>
      </c>
      <c r="AB25" s="355">
        <f>berekeningen!I9</f>
        <v>12.5</v>
      </c>
      <c r="AC25" s="355">
        <f>berekeningen!J9</f>
        <v>10</v>
      </c>
      <c r="AD25" s="355">
        <f>berekeningen!K9</f>
        <v>8</v>
      </c>
      <c r="AE25" s="355">
        <f>berekeningen!L9</f>
        <v>6.3</v>
      </c>
      <c r="AF25" s="355">
        <f>berekeningen!M9</f>
        <v>4</v>
      </c>
      <c r="AG25" s="355">
        <f>berekeningen!N9</f>
        <v>2</v>
      </c>
      <c r="AH25" s="355">
        <f>berekeningen!O9</f>
        <v>1</v>
      </c>
      <c r="AI25" s="355">
        <f>berekeningen!P9</f>
        <v>0.5</v>
      </c>
      <c r="AJ25" s="355">
        <f>berekeningen!Q9</f>
        <v>0.25</v>
      </c>
      <c r="AK25" s="355">
        <f>berekeningen!R9</f>
        <v>0.125</v>
      </c>
      <c r="AL25" s="355">
        <f>berekeningen!S9</f>
        <v>6.3E-2</v>
      </c>
      <c r="AM25" s="1227" t="s">
        <v>132</v>
      </c>
      <c r="AN25" s="143"/>
      <c r="AO25" s="143"/>
      <c r="AP25" s="4"/>
      <c r="AQ25" s="4"/>
      <c r="AR25" s="4"/>
      <c r="AS25" s="4"/>
      <c r="AT25" s="4"/>
      <c r="AU25" s="4"/>
      <c r="AV25" s="4"/>
      <c r="AW25" s="4"/>
      <c r="AX25" s="4"/>
      <c r="AY25" s="4"/>
      <c r="AZ25" s="4"/>
      <c r="BA25" s="4"/>
      <c r="BB25" s="4"/>
      <c r="BC25" s="4"/>
      <c r="BD25" s="4"/>
      <c r="BE25" s="4"/>
      <c r="BF25" s="4"/>
      <c r="BG25" s="4"/>
      <c r="BH25" s="4"/>
    </row>
    <row r="26" spans="1:60" ht="14.5" thickTop="1" x14ac:dyDescent="0.3">
      <c r="A26" s="4"/>
      <c r="B26" s="1552">
        <v>41</v>
      </c>
      <c r="C26" s="2140">
        <f>IF(B26="","",C98)</f>
        <v>0.55000000000000004</v>
      </c>
      <c r="D26" s="2140"/>
      <c r="E26" s="108" t="str">
        <f>IF($B26="","",IF(VLOOKUP($B26,grondstoffen!$B$62:$AL$66,4,FALSE)="","",VLOOKUP($B26,grondstoffen!$B$62:$AL$66,4,FALSE)))</f>
        <v>Aanvoervulstof</v>
      </c>
      <c r="F26" s="9"/>
      <c r="G26" s="9"/>
      <c r="H26" s="9" t="str">
        <f>IF($B26="","",IF(VLOOKUP($B26,grondstoffen!$B$62:$AL$66,7,FALSE)="","",VLOOKUP($B26,grondstoffen!$B$62:$AL$66,7,FALSE)))</f>
        <v>IIa</v>
      </c>
      <c r="I26" s="9"/>
      <c r="J26" s="9"/>
      <c r="K26" s="9" t="str">
        <f>IF($B26="","",IF(VLOOKUP($B26,grondstoffen!$B$62:$AL$66,10,FALSE)="","",VLOOKUP($B26,grondstoffen!$B$62:$AL$66,10,FALSE)))</f>
        <v>Duras filler 2</v>
      </c>
      <c r="L26" s="9"/>
      <c r="M26" s="9"/>
      <c r="N26" s="9" t="str">
        <f>IF($B26="","",IF(VLOOKUP($B26,grondstoffen!$B$62:$AL$66,13,FALSE)="","",VLOOKUP($B26,grondstoffen!$B$62:$AL$66,13,FALSE)))</f>
        <v>Ankersmit Maastricht</v>
      </c>
      <c r="O26" s="9"/>
      <c r="P26" s="9"/>
      <c r="Q26" s="9" t="str">
        <f>IF($B26="","",IF(VLOOKUP($B26,grondstoffen!$B$62:$AL$66,16,FALSE)="","",VLOOKUP($B26,grondstoffen!$B$62:$AL$66,16,FALSE)))</f>
        <v>BENOR</v>
      </c>
      <c r="R26" s="9"/>
      <c r="S26" s="1278">
        <f>IF($B26="","",IF(VLOOKUP($B26,grondstoffen!$B$62:$AL$66,18,FALSE)="","",VLOOKUP($B26,grondstoffen!$B$62:$AL$66,18,FALSE)))</f>
        <v>2.7</v>
      </c>
      <c r="T26" s="9"/>
      <c r="U26" s="1281">
        <f>IF($B26="","",IF(VLOOKUP($B26,grondstoffen!$B$62:$AL$66,20,FALSE)="","",VLOOKUP($B26,grondstoffen!$B$62:$AL$66,20,FALSE)))</f>
        <v>45</v>
      </c>
      <c r="V26" s="9"/>
      <c r="W26" s="358" t="str">
        <f>IF($B26="","",IF(VLOOKUP($B26,grondstoffen!$B$62:$AL$66,22,FALSE)="","",VLOOKUP($B26,grondstoffen!$B$62:$AL$66,22,FALSE)))</f>
        <v/>
      </c>
      <c r="X26" s="358" t="str">
        <f>IF($B26="","",IF(VLOOKUP($B26,grondstoffen!$B$62:$AL$66,23,FALSE)="","",VLOOKUP($B26,grondstoffen!$B$62:$AL$66,23,FALSE)))</f>
        <v/>
      </c>
      <c r="Y26" s="358" t="str">
        <f>IF($B26="","",IF(VLOOKUP($B26,grondstoffen!$B$62:$AL$66,24,FALSE)="","",VLOOKUP($B26,grondstoffen!$B$62:$AL$66,24,FALSE)))</f>
        <v/>
      </c>
      <c r="Z26" s="358" t="str">
        <f>IF($B26="","",IF(VLOOKUP($B26,grondstoffen!$B$62:$AL$66,25,FALSE)="","",VLOOKUP($B26,grondstoffen!$B$62:$AL$66,25,FALSE)))</f>
        <v/>
      </c>
      <c r="AA26" s="358" t="str">
        <f>IF($B26="","",IF(VLOOKUP($B26,grondstoffen!$B$62:$AL$66,26,FALSE)="","",VLOOKUP($B26,grondstoffen!$B$62:$AL$66,26,FALSE)))</f>
        <v/>
      </c>
      <c r="AB26" s="358" t="str">
        <f>IF($B26="","",IF(VLOOKUP($B26,grondstoffen!$B$62:$AL$66,27,FALSE)="","",VLOOKUP($B26,grondstoffen!$B$62:$AL$66,27,FALSE)))</f>
        <v/>
      </c>
      <c r="AC26" s="358" t="str">
        <f>IF($B26="","",IF(VLOOKUP($B26,grondstoffen!$B$62:$AL$66,28,FALSE)="","",VLOOKUP($B26,grondstoffen!$B$62:$AL$66,28,FALSE)))</f>
        <v/>
      </c>
      <c r="AD26" s="358" t="str">
        <f>IF($B26="","",IF(VLOOKUP($B26,grondstoffen!$B$62:$AL$66,29,FALSE)="","",VLOOKUP($B26,grondstoffen!$B$62:$AL$66,29,FALSE)))</f>
        <v/>
      </c>
      <c r="AE26" s="358" t="str">
        <f>IF($B26="","",IF(VLOOKUP($B26,grondstoffen!$B$62:$AL$66,30,FALSE)="","",VLOOKUP($B26,grondstoffen!$B$62:$AL$66,30,FALSE)))</f>
        <v/>
      </c>
      <c r="AF26" s="358" t="str">
        <f>IF($B26="","",IF(VLOOKUP($B26,grondstoffen!$B$62:$AL$66,31,FALSE)="","",VLOOKUP($B26,grondstoffen!$B$62:$AL$66,31,FALSE)))</f>
        <v/>
      </c>
      <c r="AG26" s="358">
        <f>IF($B26="","",IF(VLOOKUP($B26,grondstoffen!$B$62:$AL$66,32,FALSE)="","",VLOOKUP($B26,grondstoffen!$B$62:$AL$66,32,FALSE)))</f>
        <v>100</v>
      </c>
      <c r="AH26" s="358">
        <f>IF($B26="","",IF(VLOOKUP($B26,grondstoffen!$B$62:$AL$66,33,FALSE)="","",VLOOKUP($B26,grondstoffen!$B$62:$AL$66,33,FALSE)))</f>
        <v>99</v>
      </c>
      <c r="AI26" s="358">
        <f>IF($B26="","",IF(VLOOKUP($B26,grondstoffen!$B$62:$AL$66,34,FALSE)="","",VLOOKUP($B26,grondstoffen!$B$62:$AL$66,34,FALSE)))</f>
        <v>98</v>
      </c>
      <c r="AJ26" s="358">
        <f>IF($B26="","",IF(VLOOKUP($B26,grondstoffen!$B$62:$AL$66,35,FALSE)="","",VLOOKUP($B26,grondstoffen!$B$62:$AL$66,35,FALSE)))</f>
        <v>97</v>
      </c>
      <c r="AK26" s="358">
        <f>IF($B26="","",IF(VLOOKUP($B26,grondstoffen!$B$62:$AL$66,36,FALSE)="","",VLOOKUP($B26,grondstoffen!$B$62:$AL$66,36,FALSE)))</f>
        <v>90</v>
      </c>
      <c r="AL26" s="358">
        <f>IF($B26="","",IF(VLOOKUP($B26,grondstoffen!$B$62:$AL$66,37,FALSE)="","",VLOOKUP($B26,grondstoffen!$B$62:$AL$66,37,FALSE)))</f>
        <v>85</v>
      </c>
      <c r="AM26" s="1285" t="str">
        <f>IF($B26="","",IF(VLOOKUP($B26,grondstoffen!$B$62:$AM$66,38,FALSE)="","",VLOOKUP($B26,grondstoffen!$B$62:$AM$66,38,FALSE)))</f>
        <v>17,5</v>
      </c>
      <c r="AN26" s="1228"/>
      <c r="AO26" s="1228"/>
      <c r="AP26" s="4"/>
      <c r="AQ26" s="4"/>
      <c r="AR26" s="4"/>
      <c r="AS26" s="4"/>
      <c r="AT26" s="4"/>
      <c r="AU26" s="4"/>
      <c r="AV26" s="4"/>
      <c r="AW26" s="4"/>
      <c r="AX26" s="4"/>
      <c r="AY26" s="4"/>
      <c r="AZ26" s="4"/>
      <c r="BA26" s="4"/>
      <c r="BB26" s="4"/>
      <c r="BC26" s="4"/>
      <c r="BD26" s="4"/>
      <c r="BE26" s="4"/>
      <c r="BF26" s="4"/>
      <c r="BG26" s="4"/>
      <c r="BH26" s="4"/>
    </row>
    <row r="27" spans="1:60" x14ac:dyDescent="0.3">
      <c r="A27" s="4"/>
      <c r="B27" s="1553"/>
      <c r="C27" s="2167" t="str">
        <f>IF(B27="","",C99)</f>
        <v/>
      </c>
      <c r="D27" s="2167"/>
      <c r="E27" s="38" t="str">
        <f>IF($B27="","",IF(VLOOKUP($B27,grondstoffen!$B$62:$AL$66,4,FALSE)="","",VLOOKUP($B27,grondstoffen!$B$62:$AL$66,4,FALSE)))</f>
        <v/>
      </c>
      <c r="F27" s="32"/>
      <c r="G27" s="32"/>
      <c r="H27" s="32" t="str">
        <f>IF($B27="","",IF(VLOOKUP($B27,grondstoffen!$B$62:$AL$66,7,FALSE)="","",VLOOKUP($B27,grondstoffen!$B$62:$AL$66,7,FALSE)))</f>
        <v/>
      </c>
      <c r="I27" s="32"/>
      <c r="J27" s="32"/>
      <c r="K27" s="32" t="str">
        <f>IF($B27="","",IF(VLOOKUP($B27,grondstoffen!$B$62:$AL$66,10,FALSE)="","",VLOOKUP($B27,grondstoffen!$B$62:$AL$66,10,FALSE)))</f>
        <v/>
      </c>
      <c r="L27" s="32"/>
      <c r="M27" s="32"/>
      <c r="N27" s="32" t="str">
        <f>IF($B27="","",IF(VLOOKUP($B27,grondstoffen!$B$62:$AL$66,13,FALSE)="","",VLOOKUP($B27,grondstoffen!$B$62:$AL$66,13,FALSE)))</f>
        <v/>
      </c>
      <c r="O27" s="32"/>
      <c r="P27" s="32"/>
      <c r="Q27" s="32" t="str">
        <f>IF($B27="","",IF(VLOOKUP($B27,grondstoffen!$B$62:$AL$66,16,FALSE)="","",VLOOKUP($B27,grondstoffen!$B$62:$AL$66,16,FALSE)))</f>
        <v/>
      </c>
      <c r="R27" s="32"/>
      <c r="S27" s="1276" t="str">
        <f>IF($B27="","",IF(VLOOKUP($B27,grondstoffen!$B$62:$AL$66,18,FALSE)="","",VLOOKUP($B27,grondstoffen!$B$62:$AL$66,18,FALSE)))</f>
        <v/>
      </c>
      <c r="T27" s="32"/>
      <c r="U27" s="1282" t="str">
        <f>IF($B27="","",IF(VLOOKUP($B27,grondstoffen!$B$62:$AL$66,20,FALSE)="","",VLOOKUP($B27,grondstoffen!$B$62:$AL$66,20,FALSE)))</f>
        <v/>
      </c>
      <c r="V27" s="32"/>
      <c r="W27" s="357" t="str">
        <f>IF($B27="","",IF(VLOOKUP($B27,grondstoffen!$B$62:$AL$66,22,FALSE)="","",VLOOKUP($B27,grondstoffen!$B$62:$AL$66,22,FALSE)))</f>
        <v/>
      </c>
      <c r="X27" s="357" t="str">
        <f>IF($B27="","",IF(VLOOKUP($B27,grondstoffen!$B$62:$AL$66,23,FALSE)="","",VLOOKUP($B27,grondstoffen!$B$62:$AL$66,23,FALSE)))</f>
        <v/>
      </c>
      <c r="Y27" s="357" t="str">
        <f>IF($B27="","",IF(VLOOKUP($B27,grondstoffen!$B$62:$AL$66,24,FALSE)="","",VLOOKUP($B27,grondstoffen!$B$62:$AL$66,24,FALSE)))</f>
        <v/>
      </c>
      <c r="Z27" s="357" t="str">
        <f>IF($B27="","",IF(VLOOKUP($B27,grondstoffen!$B$62:$AL$66,25,FALSE)="","",VLOOKUP($B27,grondstoffen!$B$62:$AL$66,25,FALSE)))</f>
        <v/>
      </c>
      <c r="AA27" s="357" t="str">
        <f>IF($B27="","",IF(VLOOKUP($B27,grondstoffen!$B$62:$AL$66,26,FALSE)="","",VLOOKUP($B27,grondstoffen!$B$62:$AL$66,26,FALSE)))</f>
        <v/>
      </c>
      <c r="AB27" s="357" t="str">
        <f>IF($B27="","",IF(VLOOKUP($B27,grondstoffen!$B$62:$AL$66,27,FALSE)="","",VLOOKUP($B27,grondstoffen!$B$62:$AL$66,27,FALSE)))</f>
        <v/>
      </c>
      <c r="AC27" s="357" t="str">
        <f>IF($B27="","",IF(VLOOKUP($B27,grondstoffen!$B$62:$AL$66,28,FALSE)="","",VLOOKUP($B27,grondstoffen!$B$62:$AL$66,28,FALSE)))</f>
        <v/>
      </c>
      <c r="AD27" s="357" t="str">
        <f>IF($B27="","",IF(VLOOKUP($B27,grondstoffen!$B$62:$AL$66,29,FALSE)="","",VLOOKUP($B27,grondstoffen!$B$62:$AL$66,29,FALSE)))</f>
        <v/>
      </c>
      <c r="AE27" s="357" t="str">
        <f>IF($B27="","",IF(VLOOKUP($B27,grondstoffen!$B$62:$AL$66,30,FALSE)="","",VLOOKUP($B27,grondstoffen!$B$62:$AL$66,30,FALSE)))</f>
        <v/>
      </c>
      <c r="AF27" s="357" t="str">
        <f>IF($B27="","",IF(VLOOKUP($B27,grondstoffen!$B$62:$AL$66,31,FALSE)="","",VLOOKUP($B27,grondstoffen!$B$62:$AL$66,31,FALSE)))</f>
        <v/>
      </c>
      <c r="AG27" s="357" t="str">
        <f>IF($B27="","",IF(VLOOKUP($B27,grondstoffen!$B$62:$AL$66,32,FALSE)="","",VLOOKUP($B27,grondstoffen!$B$62:$AL$66,32,FALSE)))</f>
        <v/>
      </c>
      <c r="AH27" s="357" t="str">
        <f>IF($B27="","",IF(VLOOKUP($B27,grondstoffen!$B$62:$AL$66,33,FALSE)="","",VLOOKUP($B27,grondstoffen!$B$62:$AL$66,33,FALSE)))</f>
        <v/>
      </c>
      <c r="AI27" s="357" t="str">
        <f>IF($B27="","",IF(VLOOKUP($B27,grondstoffen!$B$62:$AL$66,34,FALSE)="","",VLOOKUP($B27,grondstoffen!$B$62:$AL$66,34,FALSE)))</f>
        <v/>
      </c>
      <c r="AJ27" s="357" t="str">
        <f>IF($B27="","",IF(VLOOKUP($B27,grondstoffen!$B$62:$AL$66,35,FALSE)="","",VLOOKUP($B27,grondstoffen!$B$62:$AL$66,35,FALSE)))</f>
        <v/>
      </c>
      <c r="AK27" s="357" t="str">
        <f>IF($B27="","",IF(VLOOKUP($B27,grondstoffen!$B$62:$AL$66,36,FALSE)="","",VLOOKUP($B27,grondstoffen!$B$62:$AL$66,36,FALSE)))</f>
        <v/>
      </c>
      <c r="AL27" s="357" t="str">
        <f>IF($B27="","",IF(VLOOKUP($B27,grondstoffen!$B$62:$AL$66,37,FALSE)="","",VLOOKUP($B27,grondstoffen!$B$62:$AL$66,37,FALSE)))</f>
        <v/>
      </c>
      <c r="AM27" s="1286" t="str">
        <f>IF($B27="","",IF(VLOOKUP($B27,grondstoffen!$B$62:$AM$66,38,FALSE)="","",VLOOKUP($B27,grondstoffen!$B$62:$AM$66,38,FALSE)))</f>
        <v/>
      </c>
      <c r="AN27" s="1229"/>
      <c r="AO27" s="1229"/>
      <c r="AP27" s="4"/>
      <c r="AQ27" s="4"/>
      <c r="AR27" s="4"/>
      <c r="AS27" s="4"/>
      <c r="AT27" s="4"/>
      <c r="AU27" s="4"/>
      <c r="AV27" s="4"/>
      <c r="AW27" s="4"/>
      <c r="AX27" s="4"/>
      <c r="AY27" s="4"/>
      <c r="AZ27" s="4"/>
      <c r="BA27" s="4"/>
      <c r="BB27" s="4"/>
      <c r="BC27" s="4"/>
      <c r="BD27" s="4"/>
      <c r="BE27" s="4"/>
      <c r="BF27" s="4"/>
      <c r="BG27" s="4"/>
      <c r="BH27" s="4"/>
    </row>
    <row r="28" spans="1:60" x14ac:dyDescent="0.3">
      <c r="A28" s="4"/>
      <c r="B28" s="107"/>
      <c r="C28" s="2167" t="s">
        <v>387</v>
      </c>
      <c r="D28" s="2167"/>
      <c r="E28" s="32" t="s">
        <v>135</v>
      </c>
      <c r="F28" s="32"/>
      <c r="G28" s="32"/>
      <c r="H28" s="32"/>
      <c r="I28" s="32"/>
      <c r="J28" s="32"/>
      <c r="K28" s="38"/>
      <c r="L28" s="32"/>
      <c r="M28" s="39"/>
      <c r="N28" s="32" t="s">
        <v>141</v>
      </c>
      <c r="O28" s="32"/>
      <c r="P28" s="32"/>
      <c r="Q28" s="2053"/>
      <c r="R28" s="2055"/>
      <c r="S28" s="2035">
        <f>AA124</f>
        <v>3.05122851704447</v>
      </c>
      <c r="T28" s="2036"/>
      <c r="U28" s="2039">
        <v>38</v>
      </c>
      <c r="V28" s="2176"/>
      <c r="W28" s="357"/>
      <c r="X28" s="357"/>
      <c r="Y28" s="357"/>
      <c r="Z28" s="357"/>
      <c r="AA28" s="357"/>
      <c r="AB28" s="357"/>
      <c r="AC28" s="357"/>
      <c r="AD28" s="357"/>
      <c r="AE28" s="357"/>
      <c r="AF28" s="357"/>
      <c r="AG28" s="357"/>
      <c r="AH28" s="357"/>
      <c r="AI28" s="357"/>
      <c r="AJ28" s="357"/>
      <c r="AK28" s="357"/>
      <c r="AL28" s="357"/>
      <c r="AM28" s="1286"/>
      <c r="AN28" s="32"/>
      <c r="AO28" s="32"/>
      <c r="AP28" s="4"/>
      <c r="AQ28" s="4"/>
      <c r="AR28" s="4"/>
      <c r="AS28" s="4"/>
      <c r="AT28" s="4"/>
      <c r="AU28" s="4"/>
      <c r="AV28" s="4"/>
      <c r="AW28" s="4"/>
      <c r="AX28" s="4"/>
      <c r="AY28" s="4"/>
      <c r="AZ28" s="4"/>
      <c r="BA28" s="4"/>
      <c r="BB28" s="4"/>
      <c r="BC28" s="4"/>
      <c r="BD28" s="4"/>
      <c r="BE28" s="4"/>
      <c r="BF28" s="4"/>
      <c r="BG28" s="4"/>
      <c r="BH28" s="4"/>
    </row>
    <row r="29" spans="1:60" x14ac:dyDescent="0.3">
      <c r="A29" s="4"/>
      <c r="B29" s="388"/>
      <c r="C29" s="2169">
        <f>IF(C100=0,"",C100)</f>
        <v>1</v>
      </c>
      <c r="D29" s="2170"/>
      <c r="E29" s="43" t="s">
        <v>136</v>
      </c>
      <c r="F29" s="43"/>
      <c r="G29" s="43"/>
      <c r="H29" s="43"/>
      <c r="I29" s="43"/>
      <c r="J29" s="43"/>
      <c r="K29" s="45"/>
      <c r="L29" s="43"/>
      <c r="M29" s="46"/>
      <c r="N29" s="43" t="s">
        <v>141</v>
      </c>
      <c r="O29" s="43"/>
      <c r="P29" s="43"/>
      <c r="Q29" s="2070"/>
      <c r="R29" s="2072"/>
      <c r="S29" s="2086">
        <f>AA124</f>
        <v>3.05122851704447</v>
      </c>
      <c r="T29" s="2087"/>
      <c r="U29" s="2114"/>
      <c r="V29" s="2177"/>
      <c r="W29" s="1555"/>
      <c r="X29" s="1555"/>
      <c r="Y29" s="1555"/>
      <c r="Z29" s="1555"/>
      <c r="AA29" s="1555"/>
      <c r="AB29" s="1555"/>
      <c r="AC29" s="1555"/>
      <c r="AD29" s="1555"/>
      <c r="AE29" s="1555"/>
      <c r="AF29" s="1555"/>
      <c r="AG29" s="1555"/>
      <c r="AH29" s="1555"/>
      <c r="AI29" s="1555"/>
      <c r="AJ29" s="1555"/>
      <c r="AK29" s="1555"/>
      <c r="AL29" s="1555"/>
      <c r="AM29" s="1287"/>
      <c r="AN29" s="43"/>
      <c r="AO29" s="43"/>
      <c r="AP29" s="4"/>
      <c r="AQ29" s="4"/>
      <c r="AR29" s="4"/>
      <c r="AS29" s="4"/>
      <c r="AT29" s="4"/>
      <c r="AU29" s="4"/>
      <c r="AV29" s="4"/>
      <c r="AW29" s="4"/>
      <c r="AX29" s="4"/>
      <c r="AY29" s="4"/>
      <c r="AZ29" s="4"/>
      <c r="BA29" s="4"/>
      <c r="BB29" s="4"/>
      <c r="BC29" s="4"/>
      <c r="BD29" s="4"/>
      <c r="BE29" s="4"/>
      <c r="BF29" s="4"/>
      <c r="BG29" s="4"/>
      <c r="BH29" s="4"/>
    </row>
    <row r="30" spans="1:60" x14ac:dyDescent="0.3">
      <c r="A30" s="4"/>
      <c r="B30" s="4"/>
      <c r="C30" s="24"/>
      <c r="D30" s="4"/>
      <c r="E30" s="4"/>
      <c r="F30" s="4"/>
      <c r="G30" s="4"/>
      <c r="H30" s="24"/>
      <c r="I30" s="4"/>
      <c r="J30" s="4"/>
      <c r="K30" s="24"/>
      <c r="L30" s="4"/>
      <c r="M30" s="4"/>
      <c r="N30" s="24"/>
      <c r="O30" s="4"/>
      <c r="P30" s="4"/>
      <c r="Q30" s="24"/>
      <c r="R30" s="4"/>
      <c r="S30" s="24"/>
      <c r="T30" s="4"/>
      <c r="U30" s="24"/>
      <c r="V30" s="4"/>
      <c r="W30" s="2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row>
    <row r="31" spans="1:60" ht="14.5" x14ac:dyDescent="0.35">
      <c r="A31" s="4"/>
      <c r="B31" s="4"/>
      <c r="C31" s="24"/>
      <c r="D31" s="4"/>
      <c r="E31" s="24"/>
      <c r="F31" s="4"/>
      <c r="G31" s="4"/>
      <c r="H31" s="24"/>
      <c r="I31" s="24"/>
      <c r="J31" s="4"/>
      <c r="K31" s="24"/>
      <c r="L31" s="4"/>
      <c r="M31" s="4"/>
      <c r="N31" s="24"/>
      <c r="O31" s="4"/>
      <c r="P31" s="4"/>
      <c r="Q31" s="24"/>
      <c r="R31" s="4"/>
      <c r="S31" s="24"/>
      <c r="T31" s="4"/>
      <c r="U31" s="24"/>
      <c r="V31" s="4"/>
      <c r="W31" s="6" t="s">
        <v>392</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row>
    <row r="32" spans="1:60" ht="14.5" x14ac:dyDescent="0.35">
      <c r="A32" s="4"/>
      <c r="B32" s="4"/>
      <c r="C32" s="24"/>
      <c r="D32" s="4"/>
      <c r="E32" s="24"/>
      <c r="F32" s="4"/>
      <c r="G32" s="4"/>
      <c r="H32" s="24"/>
      <c r="I32" s="24"/>
      <c r="J32" s="4"/>
      <c r="K32" s="24"/>
      <c r="L32" s="4"/>
      <c r="M32" s="4"/>
      <c r="N32" s="24"/>
      <c r="O32" s="4"/>
      <c r="P32" s="4"/>
      <c r="Q32" s="24"/>
      <c r="R32" s="4"/>
      <c r="S32" s="24"/>
      <c r="T32" s="4"/>
      <c r="U32" s="6" t="s">
        <v>393</v>
      </c>
      <c r="V32" s="4"/>
      <c r="W32" s="6"/>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row>
    <row r="33" spans="1:60" ht="14.5" x14ac:dyDescent="0.35">
      <c r="A33" s="4"/>
      <c r="B33" s="4"/>
      <c r="C33" s="24"/>
      <c r="D33" s="4"/>
      <c r="E33" s="24"/>
      <c r="F33" s="4"/>
      <c r="G33" s="4"/>
      <c r="H33" s="24"/>
      <c r="I33" s="24"/>
      <c r="J33" s="4"/>
      <c r="K33" s="24"/>
      <c r="L33" s="4"/>
      <c r="M33" s="4"/>
      <c r="N33" s="24"/>
      <c r="O33" s="4"/>
      <c r="P33" s="4"/>
      <c r="Q33" s="24"/>
      <c r="R33" s="4"/>
      <c r="S33" s="6" t="s">
        <v>1466</v>
      </c>
      <c r="T33" s="4"/>
      <c r="U33" s="6"/>
      <c r="V33" s="4"/>
      <c r="W33" s="6"/>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row>
    <row r="34" spans="1:60" ht="14.5" x14ac:dyDescent="0.35">
      <c r="A34" s="4"/>
      <c r="B34" s="4"/>
      <c r="C34" s="24"/>
      <c r="D34" s="4"/>
      <c r="E34" s="4"/>
      <c r="F34" s="4"/>
      <c r="G34" s="4"/>
      <c r="H34" s="24"/>
      <c r="I34" s="4"/>
      <c r="J34" s="4"/>
      <c r="K34" s="24"/>
      <c r="L34" s="4"/>
      <c r="M34" s="4"/>
      <c r="N34" s="24"/>
      <c r="O34" s="4"/>
      <c r="P34" s="4"/>
      <c r="Q34" s="6" t="s">
        <v>389</v>
      </c>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row>
    <row r="35" spans="1:60" ht="14.5" x14ac:dyDescent="0.35">
      <c r="A35" s="4"/>
      <c r="B35" s="4"/>
      <c r="C35" s="24"/>
      <c r="D35" s="4"/>
      <c r="E35" s="4"/>
      <c r="F35" s="4"/>
      <c r="G35" s="4"/>
      <c r="H35" s="24"/>
      <c r="I35" s="4"/>
      <c r="J35" s="4"/>
      <c r="K35" s="24"/>
      <c r="L35" s="4"/>
      <c r="M35" s="4"/>
      <c r="N35" s="24"/>
      <c r="O35" s="4"/>
      <c r="P35" s="4"/>
      <c r="Q35" s="6"/>
      <c r="R35" s="6" t="s">
        <v>1245</v>
      </c>
      <c r="S35" s="4"/>
      <c r="T35" s="4"/>
      <c r="U35" s="6"/>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row>
    <row r="36" spans="1:60" ht="14.5" x14ac:dyDescent="0.35">
      <c r="A36" s="4"/>
      <c r="B36" s="4"/>
      <c r="C36" s="6" t="s">
        <v>1431</v>
      </c>
      <c r="D36" s="4"/>
      <c r="E36" s="6"/>
      <c r="F36" s="4"/>
      <c r="G36" s="4"/>
      <c r="H36" s="6"/>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row>
    <row r="37" spans="1:60" ht="14.5" x14ac:dyDescent="0.35">
      <c r="A37" s="4"/>
      <c r="B37" s="6" t="s">
        <v>386</v>
      </c>
      <c r="C37" s="6"/>
      <c r="D37" s="4"/>
      <c r="E37" s="6"/>
      <c r="F37" s="4"/>
      <c r="G37" s="4"/>
      <c r="H37" s="6"/>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row>
    <row r="38" spans="1:60" ht="14.5" x14ac:dyDescent="0.35">
      <c r="A38" s="4"/>
      <c r="B38" s="6"/>
      <c r="C38" s="6"/>
      <c r="D38" s="4"/>
      <c r="E38" s="6"/>
      <c r="F38" s="4"/>
      <c r="G38" s="4"/>
      <c r="H38" s="6"/>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row>
    <row r="39" spans="1:60"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row>
    <row r="40" spans="1:60" x14ac:dyDescent="0.3">
      <c r="A40" s="4"/>
      <c r="B40" s="5" t="s">
        <v>142</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row>
    <row r="41" spans="1:60" x14ac:dyDescent="0.3">
      <c r="A41" s="4"/>
      <c r="B41" s="18" t="s">
        <v>114</v>
      </c>
      <c r="C41" s="2033" t="s">
        <v>150</v>
      </c>
      <c r="D41" s="2033"/>
      <c r="E41" s="2033" t="s">
        <v>139</v>
      </c>
      <c r="F41" s="2033"/>
      <c r="G41" s="2033"/>
      <c r="H41" s="2033" t="s">
        <v>143</v>
      </c>
      <c r="I41" s="2033"/>
      <c r="J41" s="2033"/>
      <c r="K41" s="2033" t="s">
        <v>119</v>
      </c>
      <c r="L41" s="2033"/>
      <c r="M41" s="2033"/>
      <c r="N41" s="2033" t="s">
        <v>120</v>
      </c>
      <c r="O41" s="2033"/>
      <c r="P41" s="2033"/>
      <c r="Q41" s="2033" t="s">
        <v>121</v>
      </c>
      <c r="R41" s="2033"/>
      <c r="S41" s="2033" t="s">
        <v>122</v>
      </c>
      <c r="T41" s="2033"/>
      <c r="U41" s="2033" t="s">
        <v>146</v>
      </c>
      <c r="V41" s="2033"/>
      <c r="W41" s="2033" t="s">
        <v>148</v>
      </c>
      <c r="X41" s="2033"/>
      <c r="Y41" s="2063" t="s">
        <v>181</v>
      </c>
      <c r="Z41" s="2063"/>
      <c r="AA41" s="2063"/>
      <c r="AB41" s="143" t="s">
        <v>543</v>
      </c>
      <c r="AC41" s="143"/>
      <c r="AD41" s="143"/>
      <c r="AE41" s="143"/>
      <c r="AF41" s="143"/>
      <c r="AG41" s="143"/>
      <c r="AH41" s="143" t="s">
        <v>547</v>
      </c>
      <c r="AI41" s="143"/>
      <c r="AJ41" s="143"/>
      <c r="AK41" s="4"/>
      <c r="AL41" s="4"/>
      <c r="AM41" s="4"/>
      <c r="AN41" s="4"/>
      <c r="AO41" s="4"/>
      <c r="AP41" s="4"/>
      <c r="AQ41" s="4"/>
      <c r="AR41" s="4"/>
      <c r="AS41" s="4"/>
      <c r="AT41" s="4"/>
      <c r="AU41" s="4"/>
      <c r="AV41" s="4"/>
      <c r="AW41" s="4"/>
      <c r="AX41" s="4"/>
      <c r="AY41" s="4"/>
      <c r="AZ41" s="4"/>
      <c r="BA41" s="4"/>
      <c r="BB41" s="4"/>
      <c r="BC41" s="4"/>
      <c r="BD41" s="4"/>
      <c r="BE41" s="4"/>
      <c r="BF41" s="4"/>
      <c r="BG41" s="4"/>
      <c r="BH41" s="4"/>
    </row>
    <row r="42" spans="1:60" ht="16.5" thickBot="1" x14ac:dyDescent="0.45">
      <c r="A42" s="4"/>
      <c r="B42" s="106" t="s">
        <v>390</v>
      </c>
      <c r="C42" s="2033" t="s">
        <v>132</v>
      </c>
      <c r="D42" s="2033"/>
      <c r="E42" s="2"/>
      <c r="F42" s="2"/>
      <c r="G42" s="2"/>
      <c r="H42" s="2"/>
      <c r="I42" s="2"/>
      <c r="J42" s="2"/>
      <c r="K42" s="2033"/>
      <c r="L42" s="2033"/>
      <c r="M42" s="2033"/>
      <c r="N42" s="2033"/>
      <c r="O42" s="2033"/>
      <c r="P42" s="2033"/>
      <c r="Q42" s="2"/>
      <c r="R42" s="2"/>
      <c r="S42" s="2033" t="s">
        <v>418</v>
      </c>
      <c r="T42" s="2033"/>
      <c r="U42" s="2033" t="s">
        <v>147</v>
      </c>
      <c r="V42" s="2033"/>
      <c r="W42" s="2033" t="s">
        <v>149</v>
      </c>
      <c r="X42" s="2033"/>
      <c r="Y42" s="2063" t="s">
        <v>132</v>
      </c>
      <c r="Z42" s="2063"/>
      <c r="AA42" s="2063"/>
      <c r="AB42" s="143" t="s">
        <v>544</v>
      </c>
      <c r="AC42" s="143"/>
      <c r="AD42" s="143" t="s">
        <v>545</v>
      </c>
      <c r="AE42" s="143"/>
      <c r="AF42" s="143" t="s">
        <v>546</v>
      </c>
      <c r="AG42" s="143"/>
      <c r="AH42" s="143" t="s">
        <v>548</v>
      </c>
      <c r="AI42" s="143"/>
      <c r="AJ42" s="143"/>
      <c r="AK42" s="4"/>
      <c r="AL42" s="4"/>
      <c r="AM42" s="4"/>
      <c r="AN42" s="4"/>
      <c r="AO42" s="4"/>
      <c r="AP42" s="4"/>
      <c r="AQ42" s="4"/>
      <c r="AR42" s="4"/>
      <c r="AS42" s="4"/>
      <c r="AT42" s="4"/>
      <c r="AU42" s="4"/>
      <c r="AV42" s="4"/>
      <c r="AW42" s="4"/>
      <c r="AX42" s="4"/>
      <c r="AY42" s="4"/>
      <c r="AZ42" s="4"/>
      <c r="BA42" s="4"/>
      <c r="BB42" s="4"/>
      <c r="BC42" s="4"/>
      <c r="BD42" s="4"/>
      <c r="BE42" s="4"/>
      <c r="BF42" s="4"/>
      <c r="BG42" s="4"/>
      <c r="BH42" s="4"/>
    </row>
    <row r="43" spans="1:60" ht="14.5" thickTop="1" x14ac:dyDescent="0.3">
      <c r="A43" s="4"/>
      <c r="B43" s="1506">
        <v>51</v>
      </c>
      <c r="C43" s="2140">
        <f>IF(samenstelling!C158-SUM(samenstelling!C146:C150)-SUM(samenstelling!C153:C157)&lt;0.01,0,samenstelling!C158-SUM(samenstelling!C146:C150)-SUM(samenstelling!C153:C157))</f>
        <v>2.2160500000000001</v>
      </c>
      <c r="D43" s="2141"/>
      <c r="E43" s="108" t="str">
        <f>IF($B43="","",IF(VLOOKUP($B43,grondstoffen!$B$83:$AL$102,4,FALSE)="","",VLOOKUP($B43,grondstoffen!$B$83:$AL$102,4,FALSE)))</f>
        <v>synthetisch pigmenteerbaar bindmiddel</v>
      </c>
      <c r="F43" s="9"/>
      <c r="G43" s="9"/>
      <c r="H43" s="9" t="str">
        <f>IF($B43="","",IF(VLOOKUP($B43,grondstoffen!$B$83:$AL$102,7,FALSE)="","",VLOOKUP($B43,grondstoffen!$B$83:$AL$102,7,FALSE)))</f>
        <v>Mexphalte CLT50/70</v>
      </c>
      <c r="I43" s="9"/>
      <c r="J43" s="9"/>
      <c r="K43" s="9" t="str">
        <f>IF($B43="","",IF(VLOOKUP($B43,grondstoffen!$B$83:$AL$102,10,FALSE)="","",VLOOKUP($B43,grondstoffen!$B$83:$AL$102,10,FALSE)))</f>
        <v>Shell</v>
      </c>
      <c r="L43" s="9"/>
      <c r="M43" s="9"/>
      <c r="N43" s="9" t="str">
        <f>IF($B43="","",IF(VLOOKUP($B43,grondstoffen!$B$83:$AL$102,13,FALSE)="","",VLOOKUP($B43,grondstoffen!$B$83:$AL$102,13,FALSE)))</f>
        <v>Koudekerk-aan-de-Rijn</v>
      </c>
      <c r="O43" s="9"/>
      <c r="P43" s="9"/>
      <c r="Q43" s="9" t="str">
        <f>IF($B43="","",IF(VLOOKUP($B43,grondstoffen!$B$83:$AL$102,16,FALSE)="","",VLOOKUP($B43,grondstoffen!$B$83:$AL$102,16,FALSE)))</f>
        <v>COPRO</v>
      </c>
      <c r="R43" s="9"/>
      <c r="S43" s="1278">
        <f>IF($B43="","",IF(VLOOKUP($B43,grondstoffen!$B$83:$AL$102,18,FALSE)="","",VLOOKUP($B43,grondstoffen!$B$83:$AL$102,18,FALSE)))</f>
        <v>1.0249999999999999</v>
      </c>
      <c r="T43" s="9"/>
      <c r="U43" s="1281">
        <f>IF($B43="","",IF(VLOOKUP($B43,grondstoffen!$B$83:$AL$102,20,FALSE)="","",VLOOKUP($B43,grondstoffen!$B$83:$AL$102,20,FALSE)))</f>
        <v>60</v>
      </c>
      <c r="V43" s="9"/>
      <c r="W43" s="1279">
        <f>IF($B43="","",IF(VLOOKUP($B43,grondstoffen!$B$83:$AL$102,22,FALSE)="","",VLOOKUP($B43,grondstoffen!$B$83:$AL$102,22,FALSE)))</f>
        <v>48</v>
      </c>
      <c r="X43" s="9"/>
      <c r="Y43" s="85">
        <f>IF($B43="","",IF(VLOOKUP($B43,grondstoffen!$B$83:$AL$102,24,FALSE)="","",VLOOKUP($B43,grondstoffen!$B$83:$AL$102,24,FALSE)))</f>
        <v>98</v>
      </c>
      <c r="Z43" s="9"/>
      <c r="AA43" s="9"/>
      <c r="AB43" s="58">
        <f>IF($B43="","",IF(VLOOKUP($B43,grondstoffen!$B$83:$AL$102,27,FALSE)="","",VLOOKUP($B43,grondstoffen!$B$83:$AL$102,27,FALSE)))</f>
        <v>55</v>
      </c>
      <c r="AC43" s="58"/>
      <c r="AD43" s="58">
        <f>IF($B43="","",IF(VLOOKUP($B43,grondstoffen!$B$83:$AL$102,29,FALSE)="","",VLOOKUP($B43,grondstoffen!$B$83:$AL$102,29,FALSE)))</f>
        <v>7.36</v>
      </c>
      <c r="AE43" s="58"/>
      <c r="AF43" s="58">
        <f>IF($B43="","",IF(VLOOKUP($B43,grondstoffen!$B$83:$AL$102,31,FALSE)="","",VLOOKUP($B43,grondstoffen!$B$83:$AL$102,31,FALSE)))</f>
        <v>7.0000000000000007E-2</v>
      </c>
      <c r="AG43" s="58"/>
      <c r="AH43" s="58" t="str">
        <f>IF($B43="","",IF(VLOOKUP($B43,grondstoffen!$B$83:$AL$102,33,FALSE)="","",VLOOKUP($B43,grondstoffen!$B$83:$AL$102,33,FALSE)))</f>
        <v>d</v>
      </c>
      <c r="AI43" s="58"/>
      <c r="AJ43" s="30"/>
      <c r="AK43" s="4"/>
      <c r="AL43" s="4"/>
      <c r="AM43" s="4"/>
      <c r="AN43" s="4"/>
      <c r="AO43" s="4"/>
      <c r="AP43" s="4"/>
      <c r="AQ43" s="4"/>
      <c r="AR43" s="4"/>
      <c r="AS43" s="4"/>
      <c r="AT43" s="4"/>
      <c r="AU43" s="4"/>
      <c r="AV43" s="4"/>
      <c r="AW43" s="4"/>
      <c r="AX43" s="4"/>
      <c r="AY43" s="4"/>
      <c r="AZ43" s="4"/>
      <c r="BA43" s="4"/>
      <c r="BB43" s="4"/>
      <c r="BC43" s="4"/>
      <c r="BD43" s="4"/>
      <c r="BE43" s="4"/>
      <c r="BF43" s="4"/>
      <c r="BG43" s="4"/>
      <c r="BH43" s="4"/>
    </row>
    <row r="44" spans="1:60" x14ac:dyDescent="0.3">
      <c r="A44" s="4"/>
      <c r="B44" s="1510"/>
      <c r="C44" s="2142"/>
      <c r="D44" s="2143"/>
      <c r="E44" s="38" t="str">
        <f>IF($B44="","",IF(VLOOKUP($B44,grondstoffen!$B$83:$AL$102,4,FALSE)="","",VLOOKUP($B44,grondstoffen!$B$83:$AL$102,4,FALSE)))</f>
        <v/>
      </c>
      <c r="F44" s="32"/>
      <c r="G44" s="32"/>
      <c r="H44" s="32" t="str">
        <f>IF($B44="","",IF(VLOOKUP($B44,grondstoffen!$B$83:$AL$102,7,FALSE)="","",VLOOKUP($B44,grondstoffen!$B$83:$AL$102,7,FALSE)))</f>
        <v/>
      </c>
      <c r="I44" s="32"/>
      <c r="J44" s="32"/>
      <c r="K44" s="32" t="str">
        <f>IF($B44="","",IF(VLOOKUP($B44,grondstoffen!$B$83:$AL$102,10,FALSE)="","",VLOOKUP($B44,grondstoffen!$B$83:$AL$102,10,FALSE)))</f>
        <v/>
      </c>
      <c r="L44" s="32"/>
      <c r="M44" s="32"/>
      <c r="N44" s="32" t="str">
        <f>IF($B44="","",IF(VLOOKUP($B44,grondstoffen!$B$83:$AL$102,13,FALSE)="","",VLOOKUP($B44,grondstoffen!$B$83:$AL$102,13,FALSE)))</f>
        <v/>
      </c>
      <c r="O44" s="32"/>
      <c r="P44" s="32"/>
      <c r="Q44" s="32" t="str">
        <f>IF($B44="","",IF(VLOOKUP($B44,grondstoffen!$B$83:$AL$102,16,FALSE)="","",VLOOKUP($B44,grondstoffen!$B$83:$AL$102,16,FALSE)))</f>
        <v/>
      </c>
      <c r="R44" s="32"/>
      <c r="S44" s="1276" t="str">
        <f>IF($B44="","",IF(VLOOKUP($B44,grondstoffen!$B$83:$AL$102,18,FALSE)="","",VLOOKUP($B44,grondstoffen!$B$83:$AL$102,18,FALSE)))</f>
        <v/>
      </c>
      <c r="T44" s="32"/>
      <c r="U44" s="1282" t="str">
        <f>IF($B44="","",IF(VLOOKUP($B44,grondstoffen!$B$83:$AL$102,20,FALSE)="","",VLOOKUP($B44,grondstoffen!$B$83:$AL$102,20,FALSE)))</f>
        <v/>
      </c>
      <c r="V44" s="32"/>
      <c r="W44" s="1280" t="str">
        <f>IF($B44="","",IF(VLOOKUP($B44,grondstoffen!$B$83:$AL$102,22,FALSE)="","",VLOOKUP($B44,grondstoffen!$B$83:$AL$102,22,FALSE)))</f>
        <v/>
      </c>
      <c r="X44" s="32"/>
      <c r="Y44" s="57" t="str">
        <f>IF($B44="","",IF(VLOOKUP($B44,grondstoffen!$B$83:$AL$102,24,FALSE)="","",VLOOKUP($B44,grondstoffen!$B$83:$AL$102,24,FALSE)))</f>
        <v/>
      </c>
      <c r="Z44" s="32"/>
      <c r="AA44" s="32"/>
      <c r="AB44" s="57" t="str">
        <f>IF($B44="","",IF(VLOOKUP($B44,grondstoffen!$B$83:$AL$102,27,FALSE)="","",VLOOKUP($B44,grondstoffen!$B$83:$AL$102,27,FALSE)))</f>
        <v/>
      </c>
      <c r="AC44" s="57"/>
      <c r="AD44" s="57" t="str">
        <f>IF($B44="","",IF(VLOOKUP($B44,grondstoffen!$B$83:$AL$102,29,FALSE)="","",VLOOKUP($B44,grondstoffen!$B$83:$AL$102,29,FALSE)))</f>
        <v/>
      </c>
      <c r="AE44" s="57"/>
      <c r="AF44" s="57" t="str">
        <f>IF($B44="","",IF(VLOOKUP($B44,grondstoffen!$B$83:$AL$102,31,FALSE)="","",VLOOKUP($B44,grondstoffen!$B$83:$AL$102,31,FALSE)))</f>
        <v/>
      </c>
      <c r="AG44" s="57"/>
      <c r="AH44" s="57" t="str">
        <f>IF($B44="","",IF(VLOOKUP($B44,grondstoffen!$B$83:$AL$102,33,FALSE)="","",VLOOKUP($B44,grondstoffen!$B$83:$AL$102,33,FALSE)))</f>
        <v/>
      </c>
      <c r="AI44" s="57"/>
      <c r="AJ44" s="32"/>
      <c r="AK44" s="4"/>
      <c r="AL44" s="4"/>
      <c r="AM44" s="4"/>
      <c r="AN44" s="4"/>
      <c r="AO44" s="4"/>
      <c r="AP44" s="4"/>
      <c r="AQ44" s="4"/>
      <c r="AR44" s="4"/>
      <c r="AS44" s="4"/>
      <c r="AT44" s="4"/>
      <c r="AU44" s="4"/>
      <c r="AV44" s="4"/>
      <c r="AW44" s="4"/>
      <c r="AX44" s="4"/>
      <c r="AY44" s="4"/>
      <c r="AZ44" s="4"/>
      <c r="BA44" s="4"/>
      <c r="BB44" s="4"/>
      <c r="BC44" s="4"/>
      <c r="BD44" s="4"/>
      <c r="BE44" s="4"/>
      <c r="BF44" s="4"/>
      <c r="BG44" s="4"/>
      <c r="BH44" s="4"/>
    </row>
    <row r="45" spans="1:60" x14ac:dyDescent="0.3">
      <c r="A45" s="4"/>
      <c r="B45" s="1516"/>
      <c r="C45" s="2144"/>
      <c r="D45" s="2145"/>
      <c r="E45" s="45" t="str">
        <f>IF($B45="","",IF(VLOOKUP($B45,grondstoffen!$B$83:$AL$102,4,FALSE)="","",VLOOKUP($B45,grondstoffen!$B$83:$AL$102,4,FALSE)))</f>
        <v/>
      </c>
      <c r="F45" s="43"/>
      <c r="G45" s="43"/>
      <c r="H45" s="43" t="str">
        <f>IF($B45="","",IF(VLOOKUP($B45,grondstoffen!$B$83:$AL$102,7,FALSE)="","",VLOOKUP($B45,grondstoffen!$B$83:$AL$102,7,FALSE)))</f>
        <v/>
      </c>
      <c r="I45" s="43"/>
      <c r="J45" s="43"/>
      <c r="K45" s="43" t="str">
        <f>IF($B45="","",IF(VLOOKUP($B45,grondstoffen!$B$83:$AL$102,10,FALSE)="","",VLOOKUP($B45,grondstoffen!$B$83:$AL$102,10,FALSE)))</f>
        <v/>
      </c>
      <c r="L45" s="43"/>
      <c r="M45" s="43"/>
      <c r="N45" s="43" t="str">
        <f>IF($B45="","",IF(VLOOKUP($B45,grondstoffen!$B$83:$AL$102,13,FALSE)="","",VLOOKUP($B45,grondstoffen!$B$83:$AL$102,13,FALSE)))</f>
        <v/>
      </c>
      <c r="O45" s="43"/>
      <c r="P45" s="43"/>
      <c r="Q45" s="43" t="str">
        <f>IF($B45="","",IF(VLOOKUP($B45,grondstoffen!$B$83:$AL$102,16,FALSE)="","",VLOOKUP($B45,grondstoffen!$B$83:$AL$102,16,FALSE)))</f>
        <v/>
      </c>
      <c r="R45" s="43"/>
      <c r="S45" s="1277" t="str">
        <f>IF($B45="","",IF(VLOOKUP($B45,grondstoffen!$B$83:$AL$102,18,FALSE)="","",VLOOKUP($B45,grondstoffen!$B$83:$AL$102,18,FALSE)))</f>
        <v/>
      </c>
      <c r="T45" s="43"/>
      <c r="U45" s="1283" t="str">
        <f>IF($B45="","",IF(VLOOKUP($B45,grondstoffen!$B$83:$AL$102,20,FALSE)="","",VLOOKUP($B45,grondstoffen!$B$83:$AL$102,20,FALSE)))</f>
        <v/>
      </c>
      <c r="V45" s="43"/>
      <c r="W45" s="1284" t="str">
        <f>IF($B45="","",IF(VLOOKUP($B45,grondstoffen!$B$83:$AL$102,22,FALSE)="","",VLOOKUP($B45,grondstoffen!$B$83:$AL$102,22,FALSE)))</f>
        <v/>
      </c>
      <c r="X45" s="43"/>
      <c r="Y45" s="66" t="str">
        <f>IF($B45="","",IF(VLOOKUP($B45,grondstoffen!$B$83:$AL$102,24,FALSE)="","",VLOOKUP($B45,grondstoffen!$B$83:$AL$102,24,FALSE)))</f>
        <v/>
      </c>
      <c r="Z45" s="43"/>
      <c r="AA45" s="43"/>
      <c r="AB45" s="66" t="str">
        <f>IF($B45="","",IF(VLOOKUP($B45,grondstoffen!$B$83:$AL$102,27,FALSE)="","",VLOOKUP($B45,grondstoffen!$B$83:$AL$102,27,FALSE)))</f>
        <v/>
      </c>
      <c r="AC45" s="66"/>
      <c r="AD45" s="66" t="str">
        <f>IF($B45="","",IF(VLOOKUP($B45,grondstoffen!$B$83:$AL$102,29,FALSE)="","",VLOOKUP($B45,grondstoffen!$B$83:$AL$102,29,FALSE)))</f>
        <v/>
      </c>
      <c r="AE45" s="66"/>
      <c r="AF45" s="66" t="str">
        <f>IF($B45="","",IF(VLOOKUP($B45,grondstoffen!$B$83:$AL$102,31,FALSE)="","",VLOOKUP($B45,grondstoffen!$B$83:$AL$102,31,FALSE)))</f>
        <v/>
      </c>
      <c r="AG45" s="66"/>
      <c r="AH45" s="66" t="str">
        <f>IF($B45="","",IF(VLOOKUP($B45,grondstoffen!$B$83:$AL$102,33,FALSE)="","",VLOOKUP($B45,grondstoffen!$B$83:$AL$102,33,FALSE)))</f>
        <v/>
      </c>
      <c r="AI45" s="66"/>
      <c r="AJ45" s="43"/>
      <c r="AK45" s="4"/>
      <c r="AL45" s="4"/>
      <c r="AM45" s="4"/>
      <c r="AN45" s="4"/>
      <c r="AO45" s="4"/>
      <c r="AP45" s="4"/>
      <c r="AQ45" s="4"/>
      <c r="AR45" s="4"/>
      <c r="AS45" s="4"/>
      <c r="AT45" s="4"/>
      <c r="AU45" s="4"/>
      <c r="AV45" s="4"/>
      <c r="AW45" s="4"/>
      <c r="AX45" s="4"/>
      <c r="AY45" s="4"/>
      <c r="AZ45" s="4"/>
      <c r="BA45" s="4"/>
      <c r="BB45" s="4"/>
      <c r="BC45" s="4"/>
      <c r="BD45" s="4"/>
      <c r="BE45" s="4"/>
      <c r="BF45" s="4"/>
      <c r="BG45" s="4"/>
      <c r="BH45" s="4"/>
    </row>
    <row r="46" spans="1:60" ht="14.5" x14ac:dyDescent="0.35">
      <c r="A46" s="4"/>
      <c r="B46" s="4"/>
      <c r="C46" s="24"/>
      <c r="D46" s="4"/>
      <c r="E46" s="6"/>
      <c r="F46" s="4"/>
      <c r="G46" s="4"/>
      <c r="H46" s="6"/>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row>
    <row r="47" spans="1:60" ht="14.5" x14ac:dyDescent="0.35">
      <c r="A47" s="4"/>
      <c r="B47" s="4"/>
      <c r="C47" s="6" t="s">
        <v>1427</v>
      </c>
      <c r="D47" s="4"/>
      <c r="E47" s="6"/>
      <c r="F47" s="4"/>
      <c r="G47" s="4"/>
      <c r="H47" s="6"/>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row>
    <row r="48" spans="1:60" ht="14.5" x14ac:dyDescent="0.35">
      <c r="A48" s="4"/>
      <c r="B48" s="4"/>
      <c r="C48" s="6"/>
      <c r="D48" s="4"/>
      <c r="E48" s="6" t="s">
        <v>1432</v>
      </c>
      <c r="F48" s="4"/>
      <c r="G48" s="4"/>
      <c r="H48" s="6"/>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6" t="s">
        <v>386</v>
      </c>
      <c r="C49" s="6"/>
      <c r="D49" s="4"/>
      <c r="E49" s="6"/>
      <c r="F49" s="4"/>
      <c r="G49" s="4"/>
      <c r="H49" s="6"/>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6"/>
      <c r="C50" s="6"/>
      <c r="D50" s="4"/>
      <c r="E50" s="6"/>
      <c r="F50" s="4"/>
      <c r="G50" s="4"/>
      <c r="H50" s="6"/>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x14ac:dyDescent="0.3">
      <c r="A52" s="4"/>
      <c r="B52" s="5" t="s">
        <v>160</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x14ac:dyDescent="0.3">
      <c r="A53" s="4"/>
      <c r="B53" s="18" t="s">
        <v>114</v>
      </c>
      <c r="C53" s="2033" t="s">
        <v>150</v>
      </c>
      <c r="D53" s="2033"/>
      <c r="E53" s="2033" t="s">
        <v>131</v>
      </c>
      <c r="F53" s="2033"/>
      <c r="G53" s="2033"/>
      <c r="H53" s="2033" t="s">
        <v>256</v>
      </c>
      <c r="I53" s="2033"/>
      <c r="J53" s="2033"/>
      <c r="K53" s="2033" t="s">
        <v>257</v>
      </c>
      <c r="L53" s="2033"/>
      <c r="M53" s="2033"/>
      <c r="N53" s="2" t="s">
        <v>173</v>
      </c>
      <c r="O53" s="2"/>
      <c r="P53" s="2" t="s">
        <v>859</v>
      </c>
      <c r="Q53" s="18"/>
      <c r="R53" s="18"/>
      <c r="S53" s="60" t="s">
        <v>863</v>
      </c>
      <c r="T53" s="18"/>
      <c r="U53" s="2033" t="s">
        <v>121</v>
      </c>
      <c r="V53" s="2033"/>
      <c r="W53" s="2034" t="s">
        <v>122</v>
      </c>
      <c r="X53" s="2034"/>
      <c r="Y53" s="2034" t="s">
        <v>122</v>
      </c>
      <c r="Z53" s="2034"/>
      <c r="AA53" s="2034" t="s">
        <v>122</v>
      </c>
      <c r="AB53" s="2034"/>
      <c r="AC53" s="2033" t="s">
        <v>183</v>
      </c>
      <c r="AD53" s="2033"/>
      <c r="AE53" s="2033" t="s">
        <v>146</v>
      </c>
      <c r="AF53" s="2033"/>
      <c r="AG53" s="2033" t="s">
        <v>148</v>
      </c>
      <c r="AH53" s="2033"/>
      <c r="AI53" s="2033" t="s">
        <v>133</v>
      </c>
      <c r="AJ53" s="2033"/>
      <c r="AK53" s="2155" t="s">
        <v>127</v>
      </c>
      <c r="AL53" s="2155"/>
      <c r="AM53" s="2155"/>
      <c r="AN53" s="2155"/>
      <c r="AO53" s="2155"/>
      <c r="AP53" s="2155"/>
      <c r="AQ53" s="2155"/>
      <c r="AR53" s="2155"/>
      <c r="AS53" s="2155"/>
      <c r="AT53" s="2155"/>
      <c r="AU53" s="2155"/>
      <c r="AV53" s="2155"/>
      <c r="AW53" s="2155"/>
      <c r="AX53" s="2155"/>
      <c r="AY53" s="2155"/>
      <c r="AZ53" s="2155"/>
      <c r="BA53" s="2033" t="s">
        <v>199</v>
      </c>
      <c r="BB53" s="2033"/>
      <c r="BC53" s="2033"/>
      <c r="BD53" s="2033"/>
      <c r="BE53" s="2033" t="s">
        <v>179</v>
      </c>
      <c r="BF53" s="2033"/>
      <c r="BG53" s="2033"/>
      <c r="BH53" s="4"/>
    </row>
    <row r="54" spans="1:60" ht="16" x14ac:dyDescent="0.4">
      <c r="A54" s="4"/>
      <c r="B54" s="106" t="s">
        <v>391</v>
      </c>
      <c r="C54" s="2033" t="s">
        <v>132</v>
      </c>
      <c r="D54" s="2033"/>
      <c r="E54" s="2"/>
      <c r="F54" s="2"/>
      <c r="G54" s="2"/>
      <c r="H54" s="2033" t="s">
        <v>258</v>
      </c>
      <c r="I54" s="2033"/>
      <c r="J54" s="2033"/>
      <c r="K54" s="2033" t="s">
        <v>258</v>
      </c>
      <c r="L54" s="2033"/>
      <c r="M54" s="2033"/>
      <c r="N54" s="2"/>
      <c r="O54" s="2"/>
      <c r="P54" s="18" t="s">
        <v>861</v>
      </c>
      <c r="Q54" s="18" t="s">
        <v>860</v>
      </c>
      <c r="R54" s="2"/>
      <c r="S54" s="2" t="s">
        <v>864</v>
      </c>
      <c r="T54" s="2"/>
      <c r="U54" s="2"/>
      <c r="V54" s="2"/>
      <c r="W54" s="2034" t="s">
        <v>186</v>
      </c>
      <c r="X54" s="2034"/>
      <c r="Y54" s="2034" t="s">
        <v>174</v>
      </c>
      <c r="Z54" s="2034"/>
      <c r="AA54" s="2034" t="s">
        <v>175</v>
      </c>
      <c r="AB54" s="2034"/>
      <c r="AC54" s="2033" t="s">
        <v>184</v>
      </c>
      <c r="AD54" s="2033"/>
      <c r="AE54" s="2033" t="s">
        <v>103</v>
      </c>
      <c r="AF54" s="2033"/>
      <c r="AG54" s="2033" t="s">
        <v>149</v>
      </c>
      <c r="AH54" s="2033"/>
      <c r="AI54" s="2033" t="s">
        <v>178</v>
      </c>
      <c r="AJ54" s="2033"/>
      <c r="AK54" s="355"/>
      <c r="AL54" s="355"/>
      <c r="AM54" s="355"/>
      <c r="AN54" s="355"/>
      <c r="AO54" s="355"/>
      <c r="AP54" s="355"/>
      <c r="AQ54" s="355"/>
      <c r="AR54" s="355"/>
      <c r="AS54" s="355"/>
      <c r="AT54" s="355"/>
      <c r="AU54" s="355"/>
      <c r="AV54" s="355"/>
      <c r="AW54" s="355"/>
      <c r="AX54" s="355"/>
      <c r="AY54" s="355"/>
      <c r="AZ54" s="355"/>
      <c r="BA54" s="2"/>
      <c r="BB54" s="2"/>
      <c r="BC54" s="2"/>
      <c r="BD54" s="2"/>
      <c r="BE54" s="2033" t="s">
        <v>180</v>
      </c>
      <c r="BF54" s="2033"/>
      <c r="BG54" s="2033"/>
      <c r="BH54" s="4"/>
    </row>
    <row r="55" spans="1:60" ht="14.5" thickBot="1" x14ac:dyDescent="0.35">
      <c r="A55" s="4"/>
      <c r="B55" s="18"/>
      <c r="C55" s="2033"/>
      <c r="D55" s="2033"/>
      <c r="E55" s="2"/>
      <c r="F55" s="2"/>
      <c r="G55" s="2"/>
      <c r="H55" s="2"/>
      <c r="I55" s="2"/>
      <c r="J55" s="2"/>
      <c r="K55" s="2"/>
      <c r="L55" s="2"/>
      <c r="M55" s="2"/>
      <c r="N55" s="2"/>
      <c r="O55" s="2"/>
      <c r="P55" s="828" t="s">
        <v>869</v>
      </c>
      <c r="Q55" s="18"/>
      <c r="R55" s="2"/>
      <c r="S55" s="2"/>
      <c r="T55" s="2"/>
      <c r="U55" s="2"/>
      <c r="V55" s="2"/>
      <c r="W55" s="2033" t="s">
        <v>418</v>
      </c>
      <c r="X55" s="2033"/>
      <c r="Y55" s="2033" t="s">
        <v>418</v>
      </c>
      <c r="Z55" s="2033"/>
      <c r="AA55" s="2033" t="s">
        <v>418</v>
      </c>
      <c r="AB55" s="2033"/>
      <c r="AC55" s="2033" t="s">
        <v>185</v>
      </c>
      <c r="AD55" s="2033"/>
      <c r="AE55" s="2033" t="s">
        <v>147</v>
      </c>
      <c r="AF55" s="2033"/>
      <c r="AG55" s="2033"/>
      <c r="AH55" s="2033"/>
      <c r="AI55" s="2033" t="s">
        <v>132</v>
      </c>
      <c r="AJ55" s="2033"/>
      <c r="AK55" s="355">
        <f>berekeningen!D9</f>
        <v>40</v>
      </c>
      <c r="AL55" s="355">
        <f>berekeningen!E9</f>
        <v>31.5</v>
      </c>
      <c r="AM55" s="355">
        <f>berekeningen!F9</f>
        <v>20</v>
      </c>
      <c r="AN55" s="355">
        <f>berekeningen!G9</f>
        <v>16</v>
      </c>
      <c r="AO55" s="355">
        <f>berekeningen!H9</f>
        <v>14</v>
      </c>
      <c r="AP55" s="355">
        <f>berekeningen!I9</f>
        <v>12.5</v>
      </c>
      <c r="AQ55" s="355">
        <f>berekeningen!J9</f>
        <v>10</v>
      </c>
      <c r="AR55" s="355">
        <f>berekeningen!K9</f>
        <v>8</v>
      </c>
      <c r="AS55" s="355">
        <f>berekeningen!L9</f>
        <v>6.3</v>
      </c>
      <c r="AT55" s="355">
        <f>berekeningen!M9</f>
        <v>4</v>
      </c>
      <c r="AU55" s="355">
        <f>berekeningen!N9</f>
        <v>2</v>
      </c>
      <c r="AV55" s="355">
        <f>berekeningen!O9</f>
        <v>1</v>
      </c>
      <c r="AW55" s="355">
        <f>berekeningen!P9</f>
        <v>0.5</v>
      </c>
      <c r="AX55" s="355">
        <f>berekeningen!Q9</f>
        <v>0.25</v>
      </c>
      <c r="AY55" s="355">
        <f>berekeningen!R9</f>
        <v>0.125</v>
      </c>
      <c r="AZ55" s="355">
        <f>berekeningen!S9</f>
        <v>6.3E-2</v>
      </c>
      <c r="BA55" s="2"/>
      <c r="BB55" s="2"/>
      <c r="BC55" s="2"/>
      <c r="BD55" s="2"/>
      <c r="BE55" s="2"/>
      <c r="BF55" s="2"/>
      <c r="BG55" s="2"/>
      <c r="BH55" s="4"/>
    </row>
    <row r="56" spans="1:60" ht="14.5" thickTop="1" x14ac:dyDescent="0.3">
      <c r="A56" s="4"/>
      <c r="B56" s="1552">
        <v>71</v>
      </c>
      <c r="C56" s="2146">
        <v>30</v>
      </c>
      <c r="D56" s="2147"/>
      <c r="E56" s="108" t="str">
        <f>IF($B56="","",IF(VLOOKUP($B56,grondstoffen!$B$121:$AP$130,4,FALSE)="","",VLOOKUP($B56,grondstoffen!$B$121:$AP$130,4,FALSE)))</f>
        <v>Asfaltgranulaat</v>
      </c>
      <c r="F56" s="9"/>
      <c r="G56" s="9"/>
      <c r="H56" s="9" t="str">
        <f>IF($B56="","",IF(VLOOKUP($B56,grondstoffen!$B$121:$AP$130,7,FALSE)="","",VLOOKUP($B56,grondstoffen!$B$121:$AP$130,7,FALSE)))</f>
        <v>40 RA 0/14mm HE</v>
      </c>
      <c r="I56" s="9"/>
      <c r="J56" s="9"/>
      <c r="K56" s="9" t="str">
        <f>IF($B56="","",IF(VLOOKUP($B56,grondstoffen!$B$121:$AP$130,10,FALSE)="","",VLOOKUP($B56,grondstoffen!$B$121:$AP$130,10,FALSE)))</f>
        <v>onderlaag 14/2</v>
      </c>
      <c r="L56" s="9"/>
      <c r="M56" s="9"/>
      <c r="N56" s="9" t="str">
        <f>IF($B56="","",IF(VLOOKUP($B56,grondstoffen!$B$121:$AP$130,13,FALSE)="","",VLOOKUP($B56,grondstoffen!$B$121:$AP$130,13,FALSE)))</f>
        <v>ja</v>
      </c>
      <c r="O56" s="9"/>
      <c r="P56" s="85" t="str">
        <f>IF($B56="","",IF(VLOOKUP($B56,grondstoffen!$B$121:$AP$130,15,FALSE)="","",VLOOKUP($B56,grondstoffen!$B$121:$AP$130,15,FALSE)))</f>
        <v>X</v>
      </c>
      <c r="Q56" s="85" t="str">
        <f>IF($B56="","",IF(VLOOKUP($B56,grondstoffen!$B$121:$AP$130,16,FALSE)="","",VLOOKUP($B56,grondstoffen!$B$121:$AP$130,16,FALSE)))</f>
        <v>Z</v>
      </c>
      <c r="R56" s="9"/>
      <c r="S56" s="9" t="str">
        <f>IF($B56="","",IF(VLOOKUP($B56,grondstoffen!$B$121:$AP$130,18,FALSE)="","",VLOOKUP($B56,grondstoffen!$B$121:$AP$130,18,FALSE)))</f>
        <v>HE</v>
      </c>
      <c r="T56" s="9"/>
      <c r="U56" s="9" t="str">
        <f>IF($B56="","",IF(VLOOKUP($B56,grondstoffen!$B$121:$AP$130,20,FALSE)="","",VLOOKUP($B56,grondstoffen!$B$121:$AP$130,20,FALSE)))</f>
        <v>COPRO</v>
      </c>
      <c r="V56" s="9"/>
      <c r="W56" s="1278">
        <f>IF($B56="","",IF(VLOOKUP($B56,grondstoffen!$B$121:$AP$130,22,FALSE)="","",VLOOKUP($B56,grondstoffen!$B$121:$AP$130,22,FALSE)))</f>
        <v>2.4500000000000002</v>
      </c>
      <c r="X56" s="1235"/>
      <c r="Y56" s="1278">
        <f>IF($B56="","",IF(VLOOKUP($B56,grondstoffen!$B$121:$AP$130,24,FALSE)="","",VLOOKUP($B56,grondstoffen!$B$121:$AP$130,24,FALSE)))</f>
        <v>2.6416804407713501</v>
      </c>
      <c r="Z56" s="1235"/>
      <c r="AA56" s="1278">
        <f>IF($B56="","",IF(VLOOKUP($B56,grondstoffen!$B$121:$AP$130,26,FALSE)="","",VLOOKUP($B56,grondstoffen!$B$121:$AP$130,26,FALSE)))</f>
        <v>1.03</v>
      </c>
      <c r="AB56" s="109"/>
      <c r="AC56" s="1279">
        <f>IF($B56="",0,IF(VLOOKUP($B56,grondstoffen!$B$121:$AP$130,28,FALSE)="","",VLOOKUP($B56,grondstoffen!$B$121:$AP$130,28,FALSE)))</f>
        <v>5</v>
      </c>
      <c r="AD56" s="9"/>
      <c r="AE56" s="1281">
        <f>IF($B56="","",IF(VLOOKUP($B56,grondstoffen!$B$121:$AP$130,30,FALSE)="","",VLOOKUP($B56,grondstoffen!$B$121:$AP$130,30,FALSE)))</f>
        <v>25</v>
      </c>
      <c r="AF56" s="9"/>
      <c r="AG56" s="85">
        <f>IF($B56="","",IF(VLOOKUP($B56,grondstoffen!$B$121:$AP$130,32,FALSE)="","",VLOOKUP($B56,grondstoffen!$B$121:$AP$130,32,FALSE)))</f>
        <v>48</v>
      </c>
      <c r="AH56" s="9" t="str">
        <f>IF($B56="","",IF(VLOOKUP($B56,grondstoffen!$B$121:$AP$130,33,FALSE)="","",VLOOKUP($B56,grondstoffen!$B$121:$AP$130,33,FALSE)))</f>
        <v/>
      </c>
      <c r="AI56" s="85">
        <f>IF($B56="","",IF(VLOOKUP($B56,grondstoffen!$B$121:$AP$130,34,FALSE)="","",VLOOKUP($B56,grondstoffen!$B$121:$AP$130,34,FALSE)))</f>
        <v>29</v>
      </c>
      <c r="AJ56" s="878" t="str">
        <f>IF($B56="","",IF(VLOOKUP($B56,grondstoffen!$B$121:$AP$130,35,FALSE)="","",VLOOKUP($B56,grondstoffen!$B$121:$AP$130,35,FALSE)))</f>
        <v/>
      </c>
      <c r="AK56" s="358" t="str">
        <f>IF($B56="","",IF(VLOOKUP($B56,grondstoffen!$B$121:$AP$130,36,FALSE)="","",VLOOKUP($B56,grondstoffen!$B$121:$AP$130,36,FALSE)))</f>
        <v/>
      </c>
      <c r="AL56" s="358" t="str">
        <f>IF($B56="","",IF(VLOOKUP($B56,grondstoffen!$B$121:$AP$130,37,FALSE)="","",VLOOKUP($B56,grondstoffen!$B$121:$AP$130,37,FALSE)))</f>
        <v/>
      </c>
      <c r="AM56" s="358" t="str">
        <f>IF($B56="","",IF(VLOOKUP($B56,grondstoffen!$B$121:$BG$130,38,FALSE)="","",VLOOKUP($B56,grondstoffen!$B$121:$BG$130,38,FALSE)))</f>
        <v/>
      </c>
      <c r="AN56" s="358" t="str">
        <f>IF($B56="","",IF(VLOOKUP($B56,grondstoffen!$B$121:$BG$130,39,FALSE)="","",VLOOKUP($B56,grondstoffen!$B$121:$BG$130,39,FALSE)))</f>
        <v/>
      </c>
      <c r="AO56" s="358" t="str">
        <f>IF($B56="","",IF(VLOOKUP($B56,grondstoffen!$B$121:$BG$130,40,FALSE)="","",VLOOKUP($B56,grondstoffen!$B$121:$BG$130,40,FALSE)))</f>
        <v/>
      </c>
      <c r="AP56" s="358" t="str">
        <f>IF($B56="","",IF(VLOOKUP($B56,grondstoffen!$B$121:$BG$130,41,FALSE)="","",VLOOKUP($B56,grondstoffen!$B$121:$BG$130,41,FALSE)))</f>
        <v/>
      </c>
      <c r="AQ56" s="358">
        <f>IF($B56="","",IF(VLOOKUP($B56,grondstoffen!$B$121:$BG$130,42,FALSE)="","",VLOOKUP($B56,grondstoffen!$B$121:$BG$130,42,FALSE)))</f>
        <v>100</v>
      </c>
      <c r="AR56" s="358">
        <f>IF($B56="","",IF(VLOOKUP($B56,grondstoffen!$B$121:$BG$130,43,FALSE)="","",VLOOKUP($B56,grondstoffen!$B$121:$BG$130,43,FALSE)))</f>
        <v>90</v>
      </c>
      <c r="AS56" s="358">
        <f>IF($B56="","",IF(VLOOKUP($B56,grondstoffen!$B$121:$BG$130,44,FALSE)="","",VLOOKUP($B56,grondstoffen!$B$121:$BG$130,44,FALSE)))</f>
        <v>80</v>
      </c>
      <c r="AT56" s="358">
        <f>IF($B56="","",IF(VLOOKUP($B56,grondstoffen!$B$121:$BG$130,45,FALSE)="","",VLOOKUP($B56,grondstoffen!$B$121:$BG$130,45,FALSE)))</f>
        <v>70</v>
      </c>
      <c r="AU56" s="358">
        <f>IF($B56="","",IF(VLOOKUP($B56,grondstoffen!$B$121:$BG$130,46,FALSE)="","",VLOOKUP($B56,grondstoffen!$B$121:$BG$130,46,FALSE)))</f>
        <v>60</v>
      </c>
      <c r="AV56" s="358">
        <f>IF($B56="","",IF(VLOOKUP($B56,grondstoffen!$B$121:$BG$130,47,FALSE)="","",VLOOKUP($B56,grondstoffen!$B$121:$BG$130,47,FALSE)))</f>
        <v>50</v>
      </c>
      <c r="AW56" s="9">
        <f>IF($B56="","",IF(VLOOKUP($B56,grondstoffen!$B$121:$BG$130,48,FALSE)="","",VLOOKUP($B56,grondstoffen!$B$121:$BG$130,48,FALSE)))</f>
        <v>40</v>
      </c>
      <c r="AX56" s="358">
        <f>IF($B56="","",IF(VLOOKUP($B56,grondstoffen!$B$121:$BG$130,49,FALSE)="","",VLOOKUP($B56,grondstoffen!$B$121:$BG$130,49,FALSE)))</f>
        <v>30</v>
      </c>
      <c r="AY56" s="358">
        <f>IF($B56="","",IF(VLOOKUP($B56,grondstoffen!$B$121:$BG$130,50,FALSE)="","",VLOOKUP($B56,grondstoffen!$B$121:$BG$130,50,FALSE)))</f>
        <v>20</v>
      </c>
      <c r="AZ56" s="358">
        <f>IF($B56="","",IF(VLOOKUP($B56,grondstoffen!$B$121:$BG$130,51,FALSE)="","",VLOOKUP($B56,grondstoffen!$B$121:$BG$130,51,FALSE)))</f>
        <v>10</v>
      </c>
      <c r="BA56" s="9" t="str">
        <f>IF($B56="","",IF(VLOOKUP($B56,grondstoffen!$B$121:$BG$130,52,FALSE)="","",VLOOKUP($B56,grondstoffen!$B$121:$BG$130,52,FALSE)))</f>
        <v>kalksteen en zandsteen</v>
      </c>
      <c r="BB56" s="9"/>
      <c r="BC56" s="9"/>
      <c r="BD56" s="9"/>
      <c r="BE56" s="9" t="str">
        <f>IF($B56="","",IF(VLOOKUP($B56,grondstoffen!$B$121:$BG$130,56,FALSE)="","",VLOOKUP($B56,grondstoffen!$B$121:$BG$130,56,FALSE)))</f>
        <v>wegenbitumen</v>
      </c>
      <c r="BF56" s="9"/>
      <c r="BG56" s="9"/>
      <c r="BH56" s="4"/>
    </row>
    <row r="57" spans="1:60" x14ac:dyDescent="0.3">
      <c r="A57" s="4"/>
      <c r="B57" s="1553"/>
      <c r="C57" s="2148"/>
      <c r="D57" s="2149"/>
      <c r="E57" s="38" t="str">
        <f>IF($B57="","",IF(VLOOKUP($B57,grondstoffen!$B$121:$AP$130,4,FALSE)="","",VLOOKUP($B57,grondstoffen!$B$121:$AP$130,4,FALSE)))</f>
        <v/>
      </c>
      <c r="F57" s="32"/>
      <c r="G57" s="32"/>
      <c r="H57" s="32" t="str">
        <f>IF($B57="","",IF(VLOOKUP($B57,grondstoffen!$B$121:$AP$130,7,FALSE)="","",VLOOKUP($B57,grondstoffen!$B$121:$AP$130,7,FALSE)))</f>
        <v/>
      </c>
      <c r="I57" s="32"/>
      <c r="J57" s="32"/>
      <c r="K57" s="32" t="str">
        <f>IF($B57="","",IF(VLOOKUP($B57,grondstoffen!$B$121:$AP$130,10,FALSE)="","",VLOOKUP($B57,grondstoffen!$B$121:$AP$130,10,FALSE)))</f>
        <v/>
      </c>
      <c r="L57" s="32"/>
      <c r="M57" s="32"/>
      <c r="N57" s="32" t="str">
        <f>IF($B57="","",IF(VLOOKUP($B57,grondstoffen!$B$121:$AP$130,13,FALSE)="","",VLOOKUP($B57,grondstoffen!$B$121:$AP$130,13,FALSE)))</f>
        <v/>
      </c>
      <c r="O57" s="32"/>
      <c r="P57" s="57" t="str">
        <f>IF($B57="","",IF(VLOOKUP($B57,grondstoffen!$B$121:$AP$130,15,FALSE)="","",VLOOKUP($B57,grondstoffen!$B$121:$AP$130,15,FALSE)))</f>
        <v/>
      </c>
      <c r="Q57" s="57" t="str">
        <f>IF($B57="","",IF(VLOOKUP($B57,grondstoffen!$B$121:$AP$130,16,FALSE)="","",VLOOKUP($B57,grondstoffen!$B$121:$AP$130,16,FALSE)))</f>
        <v/>
      </c>
      <c r="R57" s="32"/>
      <c r="S57" s="32" t="str">
        <f>IF($B57="","",IF(VLOOKUP($B57,grondstoffen!$B$121:$AP$130,18,FALSE)="","",VLOOKUP($B57,grondstoffen!$B$121:$AP$130,18,FALSE)))</f>
        <v/>
      </c>
      <c r="T57" s="32"/>
      <c r="U57" s="32" t="str">
        <f>IF($B57="","",IF(VLOOKUP($B57,grondstoffen!$B$121:$AP$130,20,FALSE)="","",VLOOKUP($B57,grondstoffen!$B$121:$AP$130,20,FALSE)))</f>
        <v/>
      </c>
      <c r="V57" s="32"/>
      <c r="W57" s="1276" t="str">
        <f>IF($B57="","",IF(VLOOKUP($B57,grondstoffen!$B$121:$AP$130,22,FALSE)="","",VLOOKUP($B57,grondstoffen!$B$121:$AP$130,22,FALSE)))</f>
        <v/>
      </c>
      <c r="X57" s="711"/>
      <c r="Y57" s="1276" t="str">
        <f>IF($B57="","",IF(VLOOKUP($B57,grondstoffen!$B$121:$AP$130,24,FALSE)="","",VLOOKUP($B57,grondstoffen!$B$121:$AP$130,24,FALSE)))</f>
        <v/>
      </c>
      <c r="Z57" s="711"/>
      <c r="AA57" s="1276" t="str">
        <f>IF($B57="","",IF(VLOOKUP($B57,grondstoffen!$B$121:$AP$130,26,FALSE)="","",VLOOKUP($B57,grondstoffen!$B$121:$AP$130,26,FALSE)))</f>
        <v/>
      </c>
      <c r="AB57" s="39"/>
      <c r="AC57" s="1280">
        <f>IF($B57="",0,IF(VLOOKUP($B57,grondstoffen!$B$121:$AP$130,28,FALSE)="","",VLOOKUP($B57,grondstoffen!$B$121:$AP$130,28,FALSE)))</f>
        <v>0</v>
      </c>
      <c r="AD57" s="32"/>
      <c r="AE57" s="1282" t="str">
        <f>IF($B57="","",IF(VLOOKUP($B57,grondstoffen!$B$121:$AP$130,30,FALSE)="","",VLOOKUP($B57,grondstoffen!$B$121:$AP$130,30,FALSE)))</f>
        <v/>
      </c>
      <c r="AF57" s="32"/>
      <c r="AG57" s="57" t="str">
        <f>IF($B57="","",IF(VLOOKUP($B57,grondstoffen!$B$121:$AP$130,32,FALSE)="","",VLOOKUP($B57,grondstoffen!$B$121:$AP$130,32,FALSE)))</f>
        <v/>
      </c>
      <c r="AH57" s="32" t="str">
        <f>IF($B57="","",IF(VLOOKUP($B57,grondstoffen!$B$121:$AP$130,33,FALSE)="","",VLOOKUP($B57,grondstoffen!$B$121:$AP$130,33,FALSE)))</f>
        <v/>
      </c>
      <c r="AI57" s="57" t="str">
        <f>IF($B57="","",IF(VLOOKUP($B57,grondstoffen!$B$121:$AP$130,34,FALSE)="","",VLOOKUP($B57,grondstoffen!$B$121:$AP$130,34,FALSE)))</f>
        <v/>
      </c>
      <c r="AJ57" s="879" t="str">
        <f>IF($B57="","",IF(VLOOKUP($B57,grondstoffen!$B$121:$AP$130,35,FALSE)="","",VLOOKUP($B57,grondstoffen!$B$121:$AP$130,35,FALSE)))</f>
        <v/>
      </c>
      <c r="AK57" s="357" t="str">
        <f>IF($B57="","",IF(VLOOKUP($B57,grondstoffen!$B$121:$AP$130,36,FALSE)="","",VLOOKUP($B57,grondstoffen!$B$121:$AP$130,36,FALSE)))</f>
        <v/>
      </c>
      <c r="AL57" s="357" t="str">
        <f>IF($B57="","",IF(VLOOKUP($B57,grondstoffen!$B$121:$AP$130,37,FALSE)="","",VLOOKUP($B57,grondstoffen!$B$121:$AP$130,37,FALSE)))</f>
        <v/>
      </c>
      <c r="AM57" s="357" t="str">
        <f>IF($B57="","",IF(VLOOKUP($B57,grondstoffen!$B$121:$BG$130,38,FALSE)="","",VLOOKUP($B57,grondstoffen!$B$121:$BG$130,38,FALSE)))</f>
        <v/>
      </c>
      <c r="AN57" s="357" t="str">
        <f>IF($B57="","",IF(VLOOKUP($B57,grondstoffen!$B$121:$BG$130,39,FALSE)="","",VLOOKUP($B57,grondstoffen!$B$121:$BG$130,39,FALSE)))</f>
        <v/>
      </c>
      <c r="AO57" s="357" t="str">
        <f>IF($B57="","",IF(VLOOKUP($B57,grondstoffen!$B$121:$BG$130,40,FALSE)="","",VLOOKUP($B57,grondstoffen!$B$121:$BG$130,40,FALSE)))</f>
        <v/>
      </c>
      <c r="AP57" s="357" t="str">
        <f>IF($B57="","",IF(VLOOKUP($B57,grondstoffen!$B$121:$BG$130,41,FALSE)="","",VLOOKUP($B57,grondstoffen!$B$121:$BG$130,41,FALSE)))</f>
        <v/>
      </c>
      <c r="AQ57" s="357" t="str">
        <f>IF($B57="","",IF(VLOOKUP($B57,grondstoffen!$B$121:$BG$130,42,FALSE)="","",VLOOKUP($B57,grondstoffen!$B$121:$BG$130,42,FALSE)))</f>
        <v/>
      </c>
      <c r="AR57" s="357" t="str">
        <f>IF($B57="","",IF(VLOOKUP($B57,grondstoffen!$B$121:$BG$130,43,FALSE)="","",VLOOKUP($B57,grondstoffen!$B$121:$BG$130,43,FALSE)))</f>
        <v/>
      </c>
      <c r="AS57" s="357" t="str">
        <f>IF($B57="","",IF(VLOOKUP($B57,grondstoffen!$B$121:$BG$130,44,FALSE)="","",VLOOKUP($B57,grondstoffen!$B$121:$BG$130,44,FALSE)))</f>
        <v/>
      </c>
      <c r="AT57" s="357" t="str">
        <f>IF($B57="","",IF(VLOOKUP($B57,grondstoffen!$B$121:$BG$130,45,FALSE)="","",VLOOKUP($B57,grondstoffen!$B$121:$BG$130,45,FALSE)))</f>
        <v/>
      </c>
      <c r="AU57" s="357" t="str">
        <f>IF($B57="","",IF(VLOOKUP($B57,grondstoffen!$B$121:$BG$130,46,FALSE)="","",VLOOKUP($B57,grondstoffen!$B$121:$BG$130,46,FALSE)))</f>
        <v/>
      </c>
      <c r="AV57" s="357" t="str">
        <f>IF($B57="","",IF(VLOOKUP($B57,grondstoffen!$B$121:$BG$130,47,FALSE)="","",VLOOKUP($B57,grondstoffen!$B$121:$BG$130,47,FALSE)))</f>
        <v/>
      </c>
      <c r="AW57" s="32" t="str">
        <f>IF($B57="","",IF(VLOOKUP($B57,grondstoffen!$B$121:$BG$130,48,FALSE)="","",VLOOKUP($B57,grondstoffen!$B$121:$BG$130,48,FALSE)))</f>
        <v/>
      </c>
      <c r="AX57" s="357" t="str">
        <f>IF($B57="","",IF(VLOOKUP($B57,grondstoffen!$B$121:$BG$130,49,FALSE)="","",VLOOKUP($B57,grondstoffen!$B$121:$BG$130,49,FALSE)))</f>
        <v/>
      </c>
      <c r="AY57" s="357" t="str">
        <f>IF($B57="","",IF(VLOOKUP($B57,grondstoffen!$B$121:$BG$130,50,FALSE)="","",VLOOKUP($B57,grondstoffen!$B$121:$BG$130,50,FALSE)))</f>
        <v/>
      </c>
      <c r="AZ57" s="357" t="str">
        <f>IF($B57="","",IF(VLOOKUP($B57,grondstoffen!$B$121:$BG$130,51,FALSE)="","",VLOOKUP($B57,grondstoffen!$B$121:$BG$130,51,FALSE)))</f>
        <v/>
      </c>
      <c r="BA57" s="32" t="str">
        <f>IF($B57="","",IF(VLOOKUP($B57,grondstoffen!$B$121:$BG$130,52,FALSE)="","",VLOOKUP($B57,grondstoffen!$B$121:$BG$130,52,FALSE)))</f>
        <v/>
      </c>
      <c r="BB57" s="32"/>
      <c r="BC57" s="32"/>
      <c r="BD57" s="32"/>
      <c r="BE57" s="32" t="str">
        <f>IF($B57="","",IF(VLOOKUP($B57,grondstoffen!$B$121:$BG$130,56,FALSE)="","",VLOOKUP($B57,grondstoffen!$B$121:$BG$130,56,FALSE)))</f>
        <v/>
      </c>
      <c r="BF57" s="32"/>
      <c r="BG57" s="32"/>
      <c r="BH57" s="4"/>
    </row>
    <row r="58" spans="1:60" x14ac:dyDescent="0.3">
      <c r="A58" s="4"/>
      <c r="B58" s="1554"/>
      <c r="C58" s="2150"/>
      <c r="D58" s="2151"/>
      <c r="E58" s="45" t="str">
        <f>IF($B58="","",IF(VLOOKUP($B58,grondstoffen!$B$121:$AP$130,4,FALSE)="","",VLOOKUP($B58,grondstoffen!$B$121:$AP$130,4,FALSE)))</f>
        <v/>
      </c>
      <c r="F58" s="43"/>
      <c r="G58" s="43"/>
      <c r="H58" s="43" t="str">
        <f>IF($B58="","",IF(VLOOKUP($B58,grondstoffen!$B$121:$AP$130,7,FALSE)="","",VLOOKUP($B58,grondstoffen!$B$121:$AP$130,7,FALSE)))</f>
        <v/>
      </c>
      <c r="I58" s="43"/>
      <c r="J58" s="43"/>
      <c r="K58" s="43" t="str">
        <f>IF($B58="","",IF(VLOOKUP($B58,grondstoffen!$B$121:$AP$130,10,FALSE)="","",VLOOKUP($B58,grondstoffen!$B$121:$AP$130,10,FALSE)))</f>
        <v/>
      </c>
      <c r="L58" s="43"/>
      <c r="M58" s="43"/>
      <c r="N58" s="43" t="str">
        <f>IF($B58="","",IF(VLOOKUP($B58,grondstoffen!$B$121:$AP$130,13,FALSE)="","",VLOOKUP($B58,grondstoffen!$B$121:$AP$130,13,FALSE)))</f>
        <v/>
      </c>
      <c r="O58" s="43"/>
      <c r="P58" s="66" t="str">
        <f>IF($B58="","",IF(VLOOKUP($B58,grondstoffen!$B$121:$AP$130,15,FALSE)="","",VLOOKUP($B58,grondstoffen!$B$121:$AP$130,15,FALSE)))</f>
        <v/>
      </c>
      <c r="Q58" s="66" t="str">
        <f>IF($B58="","",IF(VLOOKUP($B58,grondstoffen!$B$121:$AP$130,16,FALSE)="","",VLOOKUP($B58,grondstoffen!$B$121:$AP$130,16,FALSE)))</f>
        <v/>
      </c>
      <c r="R58" s="43"/>
      <c r="S58" s="43" t="str">
        <f>IF($B58="","",IF(VLOOKUP($B58,grondstoffen!$B$121:$AP$130,18,FALSE)="","",VLOOKUP($B58,grondstoffen!$B$121:$AP$130,18,FALSE)))</f>
        <v/>
      </c>
      <c r="T58" s="43"/>
      <c r="U58" s="43" t="str">
        <f>IF($B58="","",IF(VLOOKUP($B58,grondstoffen!$B$121:$AP$130,20,FALSE)="","",VLOOKUP($B58,grondstoffen!$B$121:$AP$130,20,FALSE)))</f>
        <v/>
      </c>
      <c r="V58" s="43"/>
      <c r="W58" s="1277" t="str">
        <f>IF($B58="","",IF(VLOOKUP($B58,grondstoffen!$B$121:$AP$130,22,FALSE)="","",VLOOKUP($B58,grondstoffen!$B$121:$AP$130,22,FALSE)))</f>
        <v/>
      </c>
      <c r="X58" s="1236"/>
      <c r="Y58" s="1277" t="str">
        <f>IF($B58="","",IF(VLOOKUP($B58,grondstoffen!$B$121:$AP$130,24,FALSE)="","",VLOOKUP($B58,grondstoffen!$B$121:$AP$130,24,FALSE)))</f>
        <v/>
      </c>
      <c r="Z58" s="1236"/>
      <c r="AA58" s="1277" t="str">
        <f>IF($B58="","",IF(VLOOKUP($B58,grondstoffen!$B$121:$AP$130,26,FALSE)="","",VLOOKUP($B58,grondstoffen!$B$121:$AP$130,26,FALSE)))</f>
        <v/>
      </c>
      <c r="AB58" s="39"/>
      <c r="AC58" s="1280">
        <f>IF($B58="",0,IF(VLOOKUP($B58,grondstoffen!$B$121:$AP$130,28,FALSE)="","",VLOOKUP($B58,grondstoffen!$B$121:$AP$130,28,FALSE)))</f>
        <v>0</v>
      </c>
      <c r="AD58" s="32"/>
      <c r="AE58" s="1282" t="str">
        <f>IF($B58="","",IF(VLOOKUP($B58,grondstoffen!$B$121:$AP$130,30,FALSE)="","",VLOOKUP($B58,grondstoffen!$B$121:$AP$130,30,FALSE)))</f>
        <v/>
      </c>
      <c r="AF58" s="32"/>
      <c r="AG58" s="57" t="str">
        <f>IF($B58="","",IF(VLOOKUP($B58,grondstoffen!$B$121:$AP$130,32,FALSE)="","",VLOOKUP($B58,grondstoffen!$B$121:$AP$130,32,FALSE)))</f>
        <v/>
      </c>
      <c r="AH58" s="32" t="str">
        <f>IF($B58="","",IF(VLOOKUP($B58,grondstoffen!$B$121:$AP$130,33,FALSE)="","",VLOOKUP($B58,grondstoffen!$B$121:$AP$130,33,FALSE)))</f>
        <v/>
      </c>
      <c r="AI58" s="57" t="str">
        <f>IF($B58="","",IF(VLOOKUP($B58,grondstoffen!$B$121:$AP$130,34,FALSE)="","",VLOOKUP($B58,grondstoffen!$B$121:$AP$130,34,FALSE)))</f>
        <v/>
      </c>
      <c r="AJ58" s="879" t="str">
        <f>IF($B58="","",IF(VLOOKUP($B58,grondstoffen!$B$121:$AP$130,35,FALSE)="","",VLOOKUP($B58,grondstoffen!$B$121:$AP$130,35,FALSE)))</f>
        <v/>
      </c>
      <c r="AK58" s="357" t="str">
        <f>IF($B58="","",IF(VLOOKUP($B58,grondstoffen!$B$121:$AP$130,36,FALSE)="","",VLOOKUP($B58,grondstoffen!$B$121:$AP$130,36,FALSE)))</f>
        <v/>
      </c>
      <c r="AL58" s="357" t="str">
        <f>IF($B58="","",IF(VLOOKUP($B58,grondstoffen!$B$121:$AP$130,37,FALSE)="","",VLOOKUP($B58,grondstoffen!$B$121:$AP$130,37,FALSE)))</f>
        <v/>
      </c>
      <c r="AM58" s="357" t="str">
        <f>IF($B58="","",IF(VLOOKUP($B58,grondstoffen!$B$121:$BG$130,38,FALSE)="","",VLOOKUP($B58,grondstoffen!$B$121:$BG$130,38,FALSE)))</f>
        <v/>
      </c>
      <c r="AN58" s="357" t="str">
        <f>IF($B58="","",IF(VLOOKUP($B58,grondstoffen!$B$121:$BG$130,39,FALSE)="","",VLOOKUP($B58,grondstoffen!$B$121:$BG$130,39,FALSE)))</f>
        <v/>
      </c>
      <c r="AO58" s="357" t="str">
        <f>IF($B58="","",IF(VLOOKUP($B58,grondstoffen!$B$121:$BG$130,40,FALSE)="","",VLOOKUP($B58,grondstoffen!$B$121:$BG$130,40,FALSE)))</f>
        <v/>
      </c>
      <c r="AP58" s="357" t="str">
        <f>IF($B58="","",IF(VLOOKUP($B58,grondstoffen!$B$121:$BG$130,41,FALSE)="","",VLOOKUP($B58,grondstoffen!$B$121:$BG$130,41,FALSE)))</f>
        <v/>
      </c>
      <c r="AQ58" s="357" t="str">
        <f>IF($B58="","",IF(VLOOKUP($B58,grondstoffen!$B$121:$BG$130,42,FALSE)="","",VLOOKUP($B58,grondstoffen!$B$121:$BG$130,42,FALSE)))</f>
        <v/>
      </c>
      <c r="AR58" s="357" t="str">
        <f>IF($B58="","",IF(VLOOKUP($B58,grondstoffen!$B$121:$BG$130,43,FALSE)="","",VLOOKUP($B58,grondstoffen!$B$121:$BG$130,43,FALSE)))</f>
        <v/>
      </c>
      <c r="AS58" s="357" t="str">
        <f>IF($B58="","",IF(VLOOKUP($B58,grondstoffen!$B$121:$BG$130,44,FALSE)="","",VLOOKUP($B58,grondstoffen!$B$121:$BG$130,44,FALSE)))</f>
        <v/>
      </c>
      <c r="AT58" s="357" t="str">
        <f>IF($B58="","",IF(VLOOKUP($B58,grondstoffen!$B$121:$BG$130,45,FALSE)="","",VLOOKUP($B58,grondstoffen!$B$121:$BG$130,45,FALSE)))</f>
        <v/>
      </c>
      <c r="AU58" s="357" t="str">
        <f>IF($B58="","",IF(VLOOKUP($B58,grondstoffen!$B$121:$BG$130,46,FALSE)="","",VLOOKUP($B58,grondstoffen!$B$121:$BG$130,46,FALSE)))</f>
        <v/>
      </c>
      <c r="AV58" s="357" t="str">
        <f>IF($B58="","",IF(VLOOKUP($B58,grondstoffen!$B$121:$BG$130,47,FALSE)="","",VLOOKUP($B58,grondstoffen!$B$121:$BG$130,47,FALSE)))</f>
        <v/>
      </c>
      <c r="AW58" s="32" t="str">
        <f>IF($B58="","",IF(VLOOKUP($B58,grondstoffen!$B$121:$BG$130,48,FALSE)="","",VLOOKUP($B58,grondstoffen!$B$121:$BG$130,48,FALSE)))</f>
        <v/>
      </c>
      <c r="AX58" s="357" t="str">
        <f>IF($B58="","",IF(VLOOKUP($B58,grondstoffen!$B$121:$BG$130,49,FALSE)="","",VLOOKUP($B58,grondstoffen!$B$121:$BG$130,49,FALSE)))</f>
        <v/>
      </c>
      <c r="AY58" s="357" t="str">
        <f>IF($B58="","",IF(VLOOKUP($B58,grondstoffen!$B$121:$BG$130,50,FALSE)="","",VLOOKUP($B58,grondstoffen!$B$121:$BG$130,50,FALSE)))</f>
        <v/>
      </c>
      <c r="AZ58" s="357" t="str">
        <f>IF($B58="","",IF(VLOOKUP($B58,grondstoffen!$B$121:$BG$130,51,FALSE)="","",VLOOKUP($B58,grondstoffen!$B$121:$BG$130,51,FALSE)))</f>
        <v/>
      </c>
      <c r="BA58" s="32" t="str">
        <f>IF($B58="","",IF(VLOOKUP($B58,grondstoffen!$B$121:$BG$130,52,FALSE)="","",VLOOKUP($B58,grondstoffen!$B$121:$BG$130,52,FALSE)))</f>
        <v/>
      </c>
      <c r="BB58" s="32"/>
      <c r="BC58" s="32"/>
      <c r="BD58" s="32"/>
      <c r="BE58" s="32" t="str">
        <f>IF($B58="","",IF(VLOOKUP($B58,grondstoffen!$B$121:$BG$130,56,FALSE)="","",VLOOKUP($B58,grondstoffen!$B$121:$BG$130,56,FALSE)))</f>
        <v/>
      </c>
      <c r="BF58" s="32"/>
      <c r="BG58" s="32"/>
      <c r="BH58" s="4"/>
    </row>
    <row r="59" spans="1:60" ht="14.5" x14ac:dyDescent="0.35">
      <c r="A59" s="4"/>
      <c r="B59" s="4"/>
      <c r="C59" s="24"/>
      <c r="D59" s="4"/>
      <c r="E59" s="4"/>
      <c r="F59" s="4"/>
      <c r="G59" s="4"/>
      <c r="H59" s="24"/>
      <c r="I59" s="4"/>
      <c r="J59" s="4"/>
      <c r="K59" s="4"/>
      <c r="L59" s="4"/>
      <c r="M59" s="4"/>
      <c r="N59" s="6"/>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4.5" x14ac:dyDescent="0.35">
      <c r="A60" s="4"/>
      <c r="B60" s="4"/>
      <c r="C60" s="6" t="s">
        <v>206</v>
      </c>
      <c r="D60" s="4"/>
      <c r="E60" s="4"/>
      <c r="F60" s="4"/>
      <c r="G60" s="4"/>
      <c r="H60" s="4"/>
      <c r="I60" s="4"/>
      <c r="J60" s="4"/>
      <c r="K60" s="4"/>
      <c r="L60" s="4"/>
      <c r="M60" s="4"/>
      <c r="N60" s="6"/>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row>
    <row r="61" spans="1:60" ht="14.5" x14ac:dyDescent="0.35">
      <c r="A61" s="4"/>
      <c r="B61" s="6" t="s">
        <v>386</v>
      </c>
      <c r="C61" s="6"/>
      <c r="D61" s="4"/>
      <c r="E61" s="6"/>
      <c r="F61" s="4"/>
      <c r="G61" s="4"/>
      <c r="H61" s="6"/>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row>
    <row r="62" spans="1:60" ht="14.5" x14ac:dyDescent="0.35">
      <c r="A62" s="4"/>
      <c r="B62" s="6"/>
      <c r="C62" s="6"/>
      <c r="D62" s="4"/>
      <c r="E62" s="6"/>
      <c r="F62" s="4"/>
      <c r="G62" s="4"/>
      <c r="H62" s="6"/>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row>
    <row r="63" spans="1:60"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row>
    <row r="64" spans="1:60" x14ac:dyDescent="0.3">
      <c r="A64" s="4"/>
      <c r="B64" s="5" t="s">
        <v>161</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row>
    <row r="65" spans="1:60" ht="14.5" x14ac:dyDescent="0.35">
      <c r="A65" s="4"/>
      <c r="B65" s="18" t="s">
        <v>114</v>
      </c>
      <c r="C65" s="2033" t="s">
        <v>150</v>
      </c>
      <c r="D65" s="2033"/>
      <c r="E65" s="2033" t="s">
        <v>131</v>
      </c>
      <c r="F65" s="2033"/>
      <c r="G65" s="2033"/>
      <c r="H65" s="2033" t="s">
        <v>170</v>
      </c>
      <c r="I65" s="2033"/>
      <c r="J65" s="2033"/>
      <c r="K65" s="2033" t="s">
        <v>119</v>
      </c>
      <c r="L65" s="2033"/>
      <c r="M65" s="2033"/>
      <c r="N65" s="2033" t="s">
        <v>120</v>
      </c>
      <c r="O65" s="2033"/>
      <c r="P65" s="2033"/>
      <c r="Q65" s="2033" t="s">
        <v>121</v>
      </c>
      <c r="R65" s="2033"/>
      <c r="S65" s="2034" t="s">
        <v>122</v>
      </c>
      <c r="T65" s="2034"/>
      <c r="U65" s="2034" t="s">
        <v>122</v>
      </c>
      <c r="V65" s="2034"/>
      <c r="W65" s="2155" t="s">
        <v>127</v>
      </c>
      <c r="X65" s="2155"/>
      <c r="Y65" s="2155"/>
      <c r="Z65" s="2155"/>
      <c r="AA65" s="2155"/>
      <c r="AB65" s="2155"/>
      <c r="AC65" s="2155"/>
      <c r="AD65" s="2155"/>
      <c r="AE65" s="2155"/>
      <c r="AF65" s="2155"/>
      <c r="AG65" s="2155"/>
      <c r="AH65" s="2155"/>
      <c r="AI65" s="2155"/>
      <c r="AJ65" s="2155"/>
      <c r="AK65" s="2155"/>
      <c r="AL65" s="2155"/>
      <c r="AM65" s="2034" t="s">
        <v>277</v>
      </c>
      <c r="AN65" s="2034"/>
      <c r="AO65" s="2034" t="s">
        <v>146</v>
      </c>
      <c r="AP65" s="2034"/>
      <c r="AQ65" s="2034" t="s">
        <v>278</v>
      </c>
      <c r="AR65" s="2034"/>
      <c r="AS65" s="2033" t="s">
        <v>133</v>
      </c>
      <c r="AT65" s="2033"/>
      <c r="AU65" s="4"/>
      <c r="AV65" s="4"/>
      <c r="AW65" s="4"/>
      <c r="AX65" s="4"/>
      <c r="AY65" s="4"/>
      <c r="AZ65" s="4"/>
      <c r="BA65" s="4"/>
      <c r="BB65" s="4"/>
      <c r="BC65" s="4"/>
      <c r="BD65" s="4"/>
      <c r="BE65" s="4"/>
      <c r="BF65" s="4"/>
      <c r="BG65" s="4"/>
      <c r="BH65" s="4"/>
    </row>
    <row r="66" spans="1:60" x14ac:dyDescent="0.3">
      <c r="A66" s="4"/>
      <c r="B66" s="106"/>
      <c r="C66" s="18"/>
      <c r="D66" s="18"/>
      <c r="E66" s="18"/>
      <c r="F66" s="18"/>
      <c r="G66" s="18"/>
      <c r="H66" s="18"/>
      <c r="I66" s="18"/>
      <c r="J66" s="18"/>
      <c r="K66" s="18"/>
      <c r="L66" s="18"/>
      <c r="M66" s="18"/>
      <c r="N66" s="18"/>
      <c r="O66" s="18"/>
      <c r="P66" s="18"/>
      <c r="Q66" s="18"/>
      <c r="R66" s="18"/>
      <c r="S66" s="2034" t="s">
        <v>174</v>
      </c>
      <c r="T66" s="2034"/>
      <c r="U66" s="2034" t="s">
        <v>176</v>
      </c>
      <c r="V66" s="2034"/>
      <c r="W66" s="355"/>
      <c r="X66" s="355"/>
      <c r="Y66" s="355"/>
      <c r="Z66" s="355"/>
      <c r="AA66" s="355"/>
      <c r="AB66" s="355"/>
      <c r="AC66" s="355"/>
      <c r="AD66" s="355"/>
      <c r="AE66" s="355"/>
      <c r="AF66" s="355"/>
      <c r="AG66" s="355"/>
      <c r="AH66" s="355"/>
      <c r="AI66" s="355"/>
      <c r="AJ66" s="355"/>
      <c r="AK66" s="355"/>
      <c r="AL66" s="355"/>
      <c r="AM66" s="2034" t="s">
        <v>176</v>
      </c>
      <c r="AN66" s="2034"/>
      <c r="AO66" s="2034" t="s">
        <v>176</v>
      </c>
      <c r="AP66" s="2034"/>
      <c r="AQ66" s="2034" t="s">
        <v>176</v>
      </c>
      <c r="AR66" s="2034"/>
      <c r="AS66" s="2033" t="s">
        <v>178</v>
      </c>
      <c r="AT66" s="2033"/>
      <c r="AU66" s="4"/>
      <c r="AV66" s="4"/>
      <c r="AW66" s="4"/>
      <c r="AX66" s="4"/>
      <c r="AY66" s="4"/>
      <c r="AZ66" s="4"/>
      <c r="BA66" s="4"/>
      <c r="BB66" s="4"/>
      <c r="BC66" s="4"/>
      <c r="BD66" s="4"/>
      <c r="BE66" s="4"/>
      <c r="BF66" s="4"/>
      <c r="BG66" s="4"/>
      <c r="BH66" s="4"/>
    </row>
    <row r="67" spans="1:60" ht="14.5" thickBot="1" x14ac:dyDescent="0.35">
      <c r="A67" s="4"/>
      <c r="B67" s="18"/>
      <c r="C67" s="2033" t="s">
        <v>132</v>
      </c>
      <c r="D67" s="2033"/>
      <c r="E67" s="2"/>
      <c r="F67" s="2"/>
      <c r="G67" s="2"/>
      <c r="H67" s="2"/>
      <c r="I67" s="2"/>
      <c r="J67" s="2"/>
      <c r="K67" s="2033"/>
      <c r="L67" s="2033"/>
      <c r="M67" s="2033"/>
      <c r="N67" s="2033"/>
      <c r="O67" s="2033"/>
      <c r="P67" s="2033"/>
      <c r="Q67" s="2"/>
      <c r="R67" s="2"/>
      <c r="S67" s="2033" t="s">
        <v>418</v>
      </c>
      <c r="T67" s="2033"/>
      <c r="U67" s="2033" t="s">
        <v>418</v>
      </c>
      <c r="V67" s="2033"/>
      <c r="W67" s="355">
        <f>berekeningen!D9</f>
        <v>40</v>
      </c>
      <c r="X67" s="355">
        <f>berekeningen!E9</f>
        <v>31.5</v>
      </c>
      <c r="Y67" s="355">
        <f>berekeningen!F9</f>
        <v>20</v>
      </c>
      <c r="Z67" s="355">
        <f>berekeningen!G9</f>
        <v>16</v>
      </c>
      <c r="AA67" s="355">
        <f>berekeningen!H9</f>
        <v>14</v>
      </c>
      <c r="AB67" s="355">
        <f>berekeningen!I9</f>
        <v>12.5</v>
      </c>
      <c r="AC67" s="355">
        <f>berekeningen!J9</f>
        <v>10</v>
      </c>
      <c r="AD67" s="355">
        <f>berekeningen!K9</f>
        <v>8</v>
      </c>
      <c r="AE67" s="355">
        <f>berekeningen!L9</f>
        <v>6.3</v>
      </c>
      <c r="AF67" s="355">
        <f>berekeningen!M9</f>
        <v>4</v>
      </c>
      <c r="AG67" s="355">
        <f>berekeningen!N9</f>
        <v>2</v>
      </c>
      <c r="AH67" s="355">
        <f>berekeningen!O9</f>
        <v>1</v>
      </c>
      <c r="AI67" s="355">
        <f>berekeningen!P9</f>
        <v>0.5</v>
      </c>
      <c r="AJ67" s="355">
        <f>berekeningen!Q9</f>
        <v>0.25</v>
      </c>
      <c r="AK67" s="355">
        <f>berekeningen!R9</f>
        <v>0.125</v>
      </c>
      <c r="AL67" s="355">
        <f>berekeningen!S9</f>
        <v>6.3E-2</v>
      </c>
      <c r="AM67" s="2033" t="s">
        <v>132</v>
      </c>
      <c r="AN67" s="2033"/>
      <c r="AO67" s="2033" t="s">
        <v>147</v>
      </c>
      <c r="AP67" s="2033"/>
      <c r="AQ67" s="2033" t="s">
        <v>147</v>
      </c>
      <c r="AR67" s="2033"/>
      <c r="AS67" s="2033" t="s">
        <v>132</v>
      </c>
      <c r="AT67" s="2033"/>
      <c r="AU67" s="4"/>
      <c r="AV67" s="4"/>
      <c r="AW67" s="4"/>
      <c r="AX67" s="4"/>
      <c r="AY67" s="4"/>
      <c r="AZ67" s="4"/>
      <c r="BA67" s="4"/>
      <c r="BB67" s="4"/>
      <c r="BC67" s="4"/>
      <c r="BD67" s="4"/>
      <c r="BE67" s="4"/>
      <c r="BF67" s="4"/>
      <c r="BG67" s="4"/>
      <c r="BH67" s="4"/>
    </row>
    <row r="68" spans="1:60" ht="15" thickTop="1" x14ac:dyDescent="0.35">
      <c r="A68" s="110" t="s">
        <v>395</v>
      </c>
      <c r="B68" s="1552">
        <v>81</v>
      </c>
      <c r="C68" s="1556">
        <v>0.33</v>
      </c>
      <c r="D68" s="30"/>
      <c r="E68" s="108" t="str">
        <f>IF($B68="","",IF(VLOOKUP($B68,grondstoffen!$B$156:$AL$157,4,FALSE)="","",VLOOKUP($B68,grondstoffen!$B$156:$AL$157,4,FALSE)))</f>
        <v>Afdruipremmer</v>
      </c>
      <c r="F68" s="9"/>
      <c r="G68" s="9"/>
      <c r="H68" s="9" t="str">
        <f>IF($B68="","",IF(VLOOKUP($B68,grondstoffen!$B$156:$AL$157,7,FALSE)="","",VLOOKUP($B68,grondstoffen!$B$156:$AL$157,7,FALSE)))</f>
        <v>Cellulose Viatop Premium</v>
      </c>
      <c r="I68" s="9"/>
      <c r="J68" s="9"/>
      <c r="K68" s="9" t="str">
        <f>IF($B68="","",IF(VLOOKUP($B68,grondstoffen!$B$156:$AL$157,10,FALSE)="","",VLOOKUP($B68,grondstoffen!$B$156:$AL$157,10,FALSE)))</f>
        <v>JRS</v>
      </c>
      <c r="L68" s="9"/>
      <c r="M68" s="9"/>
      <c r="N68" s="9" t="str">
        <f>IF($B68="","",IF(VLOOKUP($B68,grondstoffen!$B$156:$AL$157,13,FALSE)="","",VLOOKUP($B68,grondstoffen!$B$156:$AL$157,13,FALSE)))</f>
        <v>Rosenberg, D.</v>
      </c>
      <c r="O68" s="9"/>
      <c r="P68" s="9"/>
      <c r="Q68" s="9" t="str">
        <f>IF($B68="","",IF(VLOOKUP($B68,grondstoffen!$B$156:$AL$157,16,FALSE)="","",VLOOKUP($B68,grondstoffen!$B$156:$AL$157,16,FALSE)))</f>
        <v>COPRO</v>
      </c>
      <c r="R68" s="9"/>
      <c r="S68" s="85"/>
      <c r="T68" s="9"/>
      <c r="U68" s="85"/>
      <c r="V68" s="9"/>
      <c r="W68" s="358"/>
      <c r="X68" s="358"/>
      <c r="Y68" s="358"/>
      <c r="Z68" s="358"/>
      <c r="AA68" s="358"/>
      <c r="AB68" s="358"/>
      <c r="AC68" s="358"/>
      <c r="AD68" s="358"/>
      <c r="AE68" s="358"/>
      <c r="AF68" s="358"/>
      <c r="AG68" s="358"/>
      <c r="AH68" s="358"/>
      <c r="AI68" s="358"/>
      <c r="AJ68" s="358"/>
      <c r="AK68" s="358"/>
      <c r="AL68" s="358"/>
      <c r="AM68" s="85"/>
      <c r="AN68" s="9"/>
      <c r="AO68" s="85"/>
      <c r="AP68" s="9"/>
      <c r="AQ68" s="85"/>
      <c r="AR68" s="9"/>
      <c r="AS68" s="85"/>
      <c r="AT68" s="9"/>
      <c r="AU68" s="4"/>
      <c r="AV68" s="4"/>
      <c r="AW68" s="4"/>
      <c r="AX68" s="4"/>
      <c r="AY68" s="4"/>
      <c r="AZ68" s="4"/>
      <c r="BA68" s="4"/>
      <c r="BB68" s="4"/>
      <c r="BC68" s="4"/>
      <c r="BD68" s="4"/>
      <c r="BE68" s="4"/>
      <c r="BF68" s="4"/>
      <c r="BG68" s="4"/>
      <c r="BH68" s="4"/>
    </row>
    <row r="69" spans="1:60" ht="14.5" thickBot="1" x14ac:dyDescent="0.35">
      <c r="A69" s="4"/>
      <c r="B69" s="1554"/>
      <c r="C69" s="1557"/>
      <c r="D69" s="43"/>
      <c r="E69" s="45" t="str">
        <f>IF($B69="","",IF(VLOOKUP($B69,grondstoffen!$B$156:$AL$157,4,FALSE)="","",VLOOKUP($B69,grondstoffen!$B$156:$AL$157,4,FALSE)))</f>
        <v/>
      </c>
      <c r="F69" s="43"/>
      <c r="G69" s="43"/>
      <c r="H69" s="43" t="str">
        <f>IF($B69="","",IF(VLOOKUP($B69,grondstoffen!$B$156:$AL$157,7,FALSE)="","",VLOOKUP($B69,grondstoffen!$B$156:$AL$157,7,FALSE)))</f>
        <v/>
      </c>
      <c r="I69" s="43"/>
      <c r="J69" s="43"/>
      <c r="K69" s="43" t="str">
        <f>IF($B69="","",IF(VLOOKUP($B69,grondstoffen!$B$156:$AL$157,10,FALSE)="","",VLOOKUP($B69,grondstoffen!$B$156:$AL$157,10,FALSE)))</f>
        <v/>
      </c>
      <c r="L69" s="43"/>
      <c r="M69" s="43"/>
      <c r="N69" s="43" t="str">
        <f>IF($B69="","",IF(VLOOKUP($B69,grondstoffen!$B$156:$AL$157,13,FALSE)="","",VLOOKUP($B69,grondstoffen!$B$156:$AL$157,13,FALSE)))</f>
        <v/>
      </c>
      <c r="O69" s="43"/>
      <c r="P69" s="43"/>
      <c r="Q69" s="43" t="str">
        <f>IF($B69="","",IF(VLOOKUP($B69,grondstoffen!$B$156:$AL$157,16,FALSE)="","",VLOOKUP($B69,grondstoffen!$B$156:$AL$157,16,FALSE)))</f>
        <v/>
      </c>
      <c r="R69" s="43"/>
      <c r="S69" s="66"/>
      <c r="T69" s="43"/>
      <c r="U69" s="66"/>
      <c r="V69" s="43"/>
      <c r="W69" s="359"/>
      <c r="X69" s="359"/>
      <c r="Y69" s="359"/>
      <c r="Z69" s="359"/>
      <c r="AA69" s="359"/>
      <c r="AB69" s="359"/>
      <c r="AC69" s="359"/>
      <c r="AD69" s="359"/>
      <c r="AE69" s="359"/>
      <c r="AF69" s="359"/>
      <c r="AG69" s="359"/>
      <c r="AH69" s="359"/>
      <c r="AI69" s="359"/>
      <c r="AJ69" s="359"/>
      <c r="AK69" s="359"/>
      <c r="AL69" s="359"/>
      <c r="AM69" s="66"/>
      <c r="AN69" s="46"/>
      <c r="AO69" s="1267"/>
      <c r="AP69" s="46"/>
      <c r="AQ69" s="1267"/>
      <c r="AR69" s="46"/>
      <c r="AS69" s="66"/>
      <c r="AT69" s="43"/>
      <c r="AU69" s="4"/>
      <c r="AV69" s="4"/>
      <c r="AW69" s="4"/>
      <c r="AX69" s="4"/>
      <c r="AY69" s="4"/>
      <c r="AZ69" s="4"/>
      <c r="BA69" s="4"/>
      <c r="BB69" s="4"/>
      <c r="BC69" s="4"/>
      <c r="BD69" s="4"/>
      <c r="BE69" s="4"/>
      <c r="BF69" s="4"/>
      <c r="BG69" s="4"/>
      <c r="BH69" s="4"/>
    </row>
    <row r="70" spans="1:60" ht="14.5" x14ac:dyDescent="0.35">
      <c r="A70" s="110" t="s">
        <v>396</v>
      </c>
      <c r="B70" s="1558">
        <v>83</v>
      </c>
      <c r="C70" s="1559">
        <v>2.82</v>
      </c>
      <c r="D70" s="113"/>
      <c r="E70" s="123" t="str">
        <f>IF($B70="","",IF(VLOOKUP($B70,grondstoffen!$B$158:$AL$170,4,FALSE)="","",VLOOKUP($B70,grondstoffen!$B$158:$AL$170,4,FALSE)))</f>
        <v>Rode kleurstof</v>
      </c>
      <c r="F70" s="124"/>
      <c r="G70" s="124"/>
      <c r="H70" s="124" t="str">
        <f>IF($B70="","",IF(VLOOKUP($B70,grondstoffen!$B$158:$AL$170,7,FALSE)="","",VLOOKUP($B70,grondstoffen!$B$158:$AL$170,7,FALSE)))</f>
        <v>Bayferrox 130</v>
      </c>
      <c r="I70" s="124"/>
      <c r="J70" s="124"/>
      <c r="K70" s="124" t="str">
        <f>IF($B70="","",IF(VLOOKUP($B70,grondstoffen!$B$158:$AL$170,10,FALSE)="","",VLOOKUP($B70,grondstoffen!$B$158:$AL$170,10,FALSE)))</f>
        <v>Catay</v>
      </c>
      <c r="L70" s="124"/>
      <c r="M70" s="124"/>
      <c r="N70" s="124" t="str">
        <f>IF($B70="","",IF(VLOOKUP($B70,grondstoffen!$B$158:$AL$170,13,FALSE)="","",VLOOKUP($B70,grondstoffen!$B$158:$AL$170,13,FALSE)))</f>
        <v>China</v>
      </c>
      <c r="O70" s="124"/>
      <c r="P70" s="124"/>
      <c r="Q70" s="124" t="str">
        <f>IF($B70="","",IF(VLOOKUP($B70,grondstoffen!$B$158:$AL$170,16,FALSE)="","",VLOOKUP($B70,grondstoffen!$B$158:$AL$170,16,FALSE)))</f>
        <v>bouwheer</v>
      </c>
      <c r="R70" s="124"/>
      <c r="S70" s="1273">
        <f>IF($B70="","",IF(VLOOKUP($B70,grondstoffen!$B$158:$AL$170,18,FALSE)="","",VLOOKUP($B70,grondstoffen!$B$158:$AL$170,18,FALSE)))</f>
        <v>5</v>
      </c>
      <c r="T70" s="124"/>
      <c r="U70" s="1266"/>
      <c r="V70" s="124"/>
      <c r="W70" s="360" t="str">
        <f>IF($B70="","",IF(VLOOKUP($B70,grondstoffen!$B$158:$AL$170,22,FALSE)="","",VLOOKUP($B70,grondstoffen!$B$158:$AL$170,22,FALSE)))</f>
        <v/>
      </c>
      <c r="X70" s="360" t="str">
        <f>IF($B70="","",IF(VLOOKUP($B70,grondstoffen!$B$158:$AL$170,23,FALSE)="","",VLOOKUP($B70,grondstoffen!$B$158:$AL$170,23,FALSE)))</f>
        <v/>
      </c>
      <c r="Y70" s="360" t="str">
        <f>IF($B70="","",IF(VLOOKUP($B70,grondstoffen!$B$158:$AL$170,24,FALSE)="","",VLOOKUP($B70,grondstoffen!$B$158:$AL$170,24,FALSE)))</f>
        <v/>
      </c>
      <c r="Z70" s="360" t="str">
        <f>IF($B70="","",IF(VLOOKUP($B70,grondstoffen!$B$158:$AL$170,25,FALSE)="","",VLOOKUP($B70,grondstoffen!$B$158:$AL$170,25,FALSE)))</f>
        <v/>
      </c>
      <c r="AA70" s="360" t="str">
        <f>IF($B70="","",IF(VLOOKUP($B70,grondstoffen!$B$158:$AL$170,26,FALSE)="","",VLOOKUP($B70,grondstoffen!$B$158:$AL$170,26,FALSE)))</f>
        <v/>
      </c>
      <c r="AB70" s="360" t="str">
        <f>IF($B70="","",IF(VLOOKUP($B70,grondstoffen!$B$158:$AL$170,27,FALSE)="","",VLOOKUP($B70,grondstoffen!$B$158:$AL$170,27,FALSE)))</f>
        <v/>
      </c>
      <c r="AC70" s="360" t="str">
        <f>IF($B70="","",IF(VLOOKUP($B70,grondstoffen!$B$158:$AL$170,28,FALSE)="","",VLOOKUP($B70,grondstoffen!$B$158:$AL$170,28,FALSE)))</f>
        <v/>
      </c>
      <c r="AD70" s="360" t="str">
        <f>IF($B70="","",IF(VLOOKUP($B70,grondstoffen!$B$158:$AL$170,29,FALSE)="","",VLOOKUP($B70,grondstoffen!$B$158:$AL$170,29,FALSE)))</f>
        <v/>
      </c>
      <c r="AE70" s="360" t="str">
        <f>IF($B70="","",IF(VLOOKUP($B70,grondstoffen!$B$158:$AL$170,30,FALSE)="","",VLOOKUP($B70,grondstoffen!$B$158:$AL$170,30,FALSE)))</f>
        <v/>
      </c>
      <c r="AF70" s="360" t="str">
        <f>IF($B70="","",IF(VLOOKUP($B70,grondstoffen!$B$158:$AL$170,31,FALSE)="","",VLOOKUP($B70,grondstoffen!$B$158:$AL$170,31,FALSE)))</f>
        <v/>
      </c>
      <c r="AG70" s="360" t="str">
        <f>IF($B70="","",IF(VLOOKUP($B70,grondstoffen!$B$158:$AL$170,32,FALSE)="","",VLOOKUP($B70,grondstoffen!$B$158:$AL$170,32,FALSE)))</f>
        <v/>
      </c>
      <c r="AH70" s="360" t="str">
        <f>IF($B70="","",IF(VLOOKUP($B70,grondstoffen!$B$158:$AL$170,33,FALSE)="","",VLOOKUP($B70,grondstoffen!$B$158:$AL$170,33,FALSE)))</f>
        <v/>
      </c>
      <c r="AI70" s="360" t="str">
        <f>IF($B70="","",IF(VLOOKUP($B70,grondstoffen!$B$158:$AL$170,34,FALSE)="","",VLOOKUP($B70,grondstoffen!$B$158:$AL$170,34,FALSE)))</f>
        <v/>
      </c>
      <c r="AJ70" s="360" t="str">
        <f>IF($B70="","",IF(VLOOKUP($B70,grondstoffen!$B$158:$AL$170,35,FALSE)="","",VLOOKUP($B70,grondstoffen!$B$158:$AL$170,35,FALSE)))</f>
        <v/>
      </c>
      <c r="AK70" s="360" t="str">
        <f>IF($B70="","",IF(VLOOKUP($B70,grondstoffen!$B$158:$AL$170,36,FALSE)="","",VLOOKUP($B70,grondstoffen!$B$158:$AL$170,36,FALSE)))</f>
        <v/>
      </c>
      <c r="AL70" s="360">
        <f>IF($B70="","",IF(VLOOKUP($B70,grondstoffen!$B$158:$AL$170,37,FALSE)="","",VLOOKUP($B70,grondstoffen!$B$158:$AL$170,37,FALSE)))</f>
        <v>100</v>
      </c>
      <c r="AM70" s="1266"/>
      <c r="AN70" s="125"/>
      <c r="AO70" s="1268"/>
      <c r="AP70" s="125"/>
      <c r="AQ70" s="1268"/>
      <c r="AR70" s="125"/>
      <c r="AS70" s="1266">
        <f>IF($B70="","",IF(VLOOKUP($B70,grondstoffen!$B$158:$AT$170,44,FALSE)="","",VLOOKUP($B70,grondstoffen!$B$158:$AT$170,44,FALSE)))</f>
        <v>40</v>
      </c>
      <c r="AT70" s="124"/>
      <c r="AU70" s="4"/>
      <c r="AV70" s="4"/>
      <c r="AW70" s="4"/>
      <c r="AX70" s="4"/>
      <c r="AY70" s="4"/>
      <c r="AZ70" s="4"/>
      <c r="BA70" s="4"/>
      <c r="BB70" s="4"/>
      <c r="BC70" s="4"/>
      <c r="BD70" s="4"/>
      <c r="BE70" s="4"/>
      <c r="BF70" s="4"/>
      <c r="BG70" s="4"/>
      <c r="BH70" s="4"/>
    </row>
    <row r="71" spans="1:60" x14ac:dyDescent="0.3">
      <c r="A71" s="4"/>
      <c r="B71" s="1553"/>
      <c r="C71" s="1560"/>
      <c r="D71" s="32"/>
      <c r="E71" s="38" t="str">
        <f>IF($B71="","",IF(VLOOKUP($B71,grondstoffen!$B$158:$AL$170,4,FALSE)="","",VLOOKUP($B71,grondstoffen!$B$158:$AL$170,4,FALSE)))</f>
        <v/>
      </c>
      <c r="F71" s="32"/>
      <c r="G71" s="32"/>
      <c r="H71" s="32" t="str">
        <f>IF($B71="","",IF(VLOOKUP($B71,grondstoffen!$B$158:$AL$170,7,FALSE)="","",VLOOKUP($B71,grondstoffen!$B$158:$AL$170,7,FALSE)))</f>
        <v/>
      </c>
      <c r="I71" s="32"/>
      <c r="J71" s="32"/>
      <c r="K71" s="32" t="str">
        <f>IF($B71="","",IF(VLOOKUP($B71,grondstoffen!$B$158:$AL$170,10,FALSE)="","",VLOOKUP($B71,grondstoffen!$B$158:$AL$170,10,FALSE)))</f>
        <v/>
      </c>
      <c r="L71" s="32"/>
      <c r="M71" s="32"/>
      <c r="N71" s="32" t="str">
        <f>IF($B71="","",IF(VLOOKUP($B71,grondstoffen!$B$158:$AL$170,13,FALSE)="","",VLOOKUP($B71,grondstoffen!$B$158:$AL$170,13,FALSE)))</f>
        <v/>
      </c>
      <c r="O71" s="32"/>
      <c r="P71" s="32"/>
      <c r="Q71" s="32" t="str">
        <f>IF($B71="","",IF(VLOOKUP($B71,grondstoffen!$B$158:$AL$170,16,FALSE)="","",VLOOKUP($B71,grondstoffen!$B$158:$AL$170,16,FALSE)))</f>
        <v/>
      </c>
      <c r="R71" s="32"/>
      <c r="S71" s="1276" t="str">
        <f>IF($B71="","",IF(VLOOKUP($B71,grondstoffen!$B$158:$AL$170,18,FALSE)="","",VLOOKUP($B71,grondstoffen!$B$158:$AL$170,18,FALSE)))</f>
        <v/>
      </c>
      <c r="T71" s="32"/>
      <c r="U71" s="57"/>
      <c r="V71" s="32"/>
      <c r="W71" s="357" t="str">
        <f>IF($B71="","",IF(VLOOKUP($B71,grondstoffen!$B$158:$AL$170,22,FALSE)="","",VLOOKUP($B71,grondstoffen!$B$158:$AL$170,22,FALSE)))</f>
        <v/>
      </c>
      <c r="X71" s="357" t="str">
        <f>IF($B71="","",IF(VLOOKUP($B71,grondstoffen!$B$158:$AL$170,23,FALSE)="","",VLOOKUP($B71,grondstoffen!$B$158:$AL$170,23,FALSE)))</f>
        <v/>
      </c>
      <c r="Y71" s="357" t="str">
        <f>IF($B71="","",IF(VLOOKUP($B71,grondstoffen!$B$158:$AL$170,24,FALSE)="","",VLOOKUP($B71,grondstoffen!$B$158:$AL$170,24,FALSE)))</f>
        <v/>
      </c>
      <c r="Z71" s="357" t="str">
        <f>IF($B71="","",IF(VLOOKUP($B71,grondstoffen!$B$158:$AL$170,25,FALSE)="","",VLOOKUP($B71,grondstoffen!$B$158:$AL$170,25,FALSE)))</f>
        <v/>
      </c>
      <c r="AA71" s="357" t="str">
        <f>IF($B71="","",IF(VLOOKUP($B71,grondstoffen!$B$158:$AL$170,26,FALSE)="","",VLOOKUP($B71,grondstoffen!$B$158:$AL$170,26,FALSE)))</f>
        <v/>
      </c>
      <c r="AB71" s="357" t="str">
        <f>IF($B71="","",IF(VLOOKUP($B71,grondstoffen!$B$158:$AL$170,27,FALSE)="","",VLOOKUP($B71,grondstoffen!$B$158:$AL$170,27,FALSE)))</f>
        <v/>
      </c>
      <c r="AC71" s="357" t="str">
        <f>IF($B71="","",IF(VLOOKUP($B71,grondstoffen!$B$158:$AL$170,28,FALSE)="","",VLOOKUP($B71,grondstoffen!$B$158:$AL$170,28,FALSE)))</f>
        <v/>
      </c>
      <c r="AD71" s="357" t="str">
        <f>IF($B71="","",IF(VLOOKUP($B71,grondstoffen!$B$158:$AL$170,29,FALSE)="","",VLOOKUP($B71,grondstoffen!$B$158:$AL$170,29,FALSE)))</f>
        <v/>
      </c>
      <c r="AE71" s="357" t="str">
        <f>IF($B71="","",IF(VLOOKUP($B71,grondstoffen!$B$158:$AL$170,30,FALSE)="","",VLOOKUP($B71,grondstoffen!$B$158:$AL$170,30,FALSE)))</f>
        <v/>
      </c>
      <c r="AF71" s="357" t="str">
        <f>IF($B71="","",IF(VLOOKUP($B71,grondstoffen!$B$158:$AL$170,31,FALSE)="","",VLOOKUP($B71,grondstoffen!$B$158:$AL$170,31,FALSE)))</f>
        <v/>
      </c>
      <c r="AG71" s="357" t="str">
        <f>IF($B71="","",IF(VLOOKUP($B71,grondstoffen!$B$158:$AL$170,32,FALSE)="","",VLOOKUP($B71,grondstoffen!$B$158:$AL$170,32,FALSE)))</f>
        <v/>
      </c>
      <c r="AH71" s="357" t="str">
        <f>IF($B71="","",IF(VLOOKUP($B71,grondstoffen!$B$158:$AL$170,33,FALSE)="","",VLOOKUP($B71,grondstoffen!$B$158:$AL$170,33,FALSE)))</f>
        <v/>
      </c>
      <c r="AI71" s="357" t="str">
        <f>IF($B71="","",IF(VLOOKUP($B71,grondstoffen!$B$158:$AL$170,34,FALSE)="","",VLOOKUP($B71,grondstoffen!$B$158:$AL$170,34,FALSE)))</f>
        <v/>
      </c>
      <c r="AJ71" s="357" t="str">
        <f>IF($B71="","",IF(VLOOKUP($B71,grondstoffen!$B$158:$AL$170,35,FALSE)="","",VLOOKUP($B71,grondstoffen!$B$158:$AL$170,35,FALSE)))</f>
        <v/>
      </c>
      <c r="AK71" s="357" t="str">
        <f>IF($B71="","",IF(VLOOKUP($B71,grondstoffen!$B$158:$AL$170,36,FALSE)="","",VLOOKUP($B71,grondstoffen!$B$158:$AL$170,36,FALSE)))</f>
        <v/>
      </c>
      <c r="AL71" s="357" t="str">
        <f>IF($B71="","",IF(VLOOKUP($B71,grondstoffen!$B$158:$AL$170,37,FALSE)="","",VLOOKUP($B71,grondstoffen!$B$158:$AL$170,37,FALSE)))</f>
        <v/>
      </c>
      <c r="AM71" s="57"/>
      <c r="AN71" s="39"/>
      <c r="AO71" s="1269"/>
      <c r="AP71" s="39"/>
      <c r="AQ71" s="1269"/>
      <c r="AR71" s="39"/>
      <c r="AS71" s="57" t="str">
        <f>IF($B71="","",IF(VLOOKUP($B71,grondstoffen!$B$158:$AT$170,44,FALSE)="","",VLOOKUP($B71,grondstoffen!$B$158:$AT$170,44,FALSE)))</f>
        <v/>
      </c>
      <c r="AT71" s="32"/>
      <c r="AU71" s="4"/>
      <c r="AV71" s="4"/>
      <c r="AW71" s="4"/>
      <c r="AX71" s="4"/>
      <c r="AY71" s="4"/>
      <c r="AZ71" s="4"/>
      <c r="BA71" s="4"/>
      <c r="BB71" s="4"/>
      <c r="BC71" s="4"/>
      <c r="BD71" s="4"/>
      <c r="BE71" s="4"/>
      <c r="BF71" s="4"/>
      <c r="BG71" s="4"/>
      <c r="BH71" s="4"/>
    </row>
    <row r="72" spans="1:60" ht="14.5" thickBot="1" x14ac:dyDescent="0.35">
      <c r="A72" s="4"/>
      <c r="B72" s="1561"/>
      <c r="C72" s="1562"/>
      <c r="D72" s="118"/>
      <c r="E72" s="126" t="str">
        <f>IF($B72="","",IF(VLOOKUP($B72,grondstoffen!$B$158:$AL$170,4,FALSE)="","",VLOOKUP($B72,grondstoffen!$B$158:$AL$170,4,FALSE)))</f>
        <v/>
      </c>
      <c r="F72" s="118"/>
      <c r="G72" s="118"/>
      <c r="H72" s="118" t="str">
        <f>IF($B72="","",IF(VLOOKUP($B72,grondstoffen!$B$158:$AL$170,7,FALSE)="","",VLOOKUP($B72,grondstoffen!$B$158:$AL$170,7,FALSE)))</f>
        <v/>
      </c>
      <c r="I72" s="118"/>
      <c r="J72" s="118"/>
      <c r="K72" s="118" t="str">
        <f>IF($B72="","",IF(VLOOKUP($B72,grondstoffen!$B$158:$AL$170,10,FALSE)="","",VLOOKUP($B72,grondstoffen!$B$158:$AL$170,10,FALSE)))</f>
        <v/>
      </c>
      <c r="L72" s="118"/>
      <c r="M72" s="118"/>
      <c r="N72" s="118" t="str">
        <f>IF($B72="","",IF(VLOOKUP($B72,grondstoffen!$B$158:$AL$170,13,FALSE)="","",VLOOKUP($B72,grondstoffen!$B$158:$AL$170,13,FALSE)))</f>
        <v/>
      </c>
      <c r="O72" s="118"/>
      <c r="P72" s="118"/>
      <c r="Q72" s="118" t="str">
        <f>IF($B72="","",IF(VLOOKUP($B72,grondstoffen!$B$158:$AL$170,16,FALSE)="","",VLOOKUP($B72,grondstoffen!$B$158:$AL$170,16,FALSE)))</f>
        <v/>
      </c>
      <c r="R72" s="118"/>
      <c r="S72" s="1274" t="str">
        <f>IF($B72="","",IF(VLOOKUP($B72,grondstoffen!$B$158:$AL$170,18,FALSE)="","",VLOOKUP($B72,grondstoffen!$B$158:$AL$170,18,FALSE)))</f>
        <v/>
      </c>
      <c r="T72" s="118"/>
      <c r="U72" s="119"/>
      <c r="V72" s="118"/>
      <c r="W72" s="361" t="str">
        <f>IF($B72="","",IF(VLOOKUP($B72,grondstoffen!$B$158:$AL$170,22,FALSE)="","",VLOOKUP($B72,grondstoffen!$B$158:$AL$170,22,FALSE)))</f>
        <v/>
      </c>
      <c r="X72" s="361" t="str">
        <f>IF($B72="","",IF(VLOOKUP($B72,grondstoffen!$B$158:$AL$170,23,FALSE)="","",VLOOKUP($B72,grondstoffen!$B$158:$AL$170,23,FALSE)))</f>
        <v/>
      </c>
      <c r="Y72" s="361" t="str">
        <f>IF($B72="","",IF(VLOOKUP($B72,grondstoffen!$B$158:$AL$170,24,FALSE)="","",VLOOKUP($B72,grondstoffen!$B$158:$AL$170,24,FALSE)))</f>
        <v/>
      </c>
      <c r="Z72" s="361" t="str">
        <f>IF($B72="","",IF(VLOOKUP($B72,grondstoffen!$B$158:$AL$170,25,FALSE)="","",VLOOKUP($B72,grondstoffen!$B$158:$AL$170,25,FALSE)))</f>
        <v/>
      </c>
      <c r="AA72" s="361" t="str">
        <f>IF($B72="","",IF(VLOOKUP($B72,grondstoffen!$B$158:$AL$170,26,FALSE)="","",VLOOKUP($B72,grondstoffen!$B$158:$AL$170,26,FALSE)))</f>
        <v/>
      </c>
      <c r="AB72" s="361" t="str">
        <f>IF($B72="","",IF(VLOOKUP($B72,grondstoffen!$B$158:$AL$170,27,FALSE)="","",VLOOKUP($B72,grondstoffen!$B$158:$AL$170,27,FALSE)))</f>
        <v/>
      </c>
      <c r="AC72" s="361" t="str">
        <f>IF($B72="","",IF(VLOOKUP($B72,grondstoffen!$B$158:$AL$170,28,FALSE)="","",VLOOKUP($B72,grondstoffen!$B$158:$AL$170,28,FALSE)))</f>
        <v/>
      </c>
      <c r="AD72" s="361" t="str">
        <f>IF($B72="","",IF(VLOOKUP($B72,grondstoffen!$B$158:$AL$170,29,FALSE)="","",VLOOKUP($B72,grondstoffen!$B$158:$AL$170,29,FALSE)))</f>
        <v/>
      </c>
      <c r="AE72" s="361" t="str">
        <f>IF($B72="","",IF(VLOOKUP($B72,grondstoffen!$B$158:$AL$170,30,FALSE)="","",VLOOKUP($B72,grondstoffen!$B$158:$AL$170,30,FALSE)))</f>
        <v/>
      </c>
      <c r="AF72" s="361" t="str">
        <f>IF($B72="","",IF(VLOOKUP($B72,grondstoffen!$B$158:$AL$170,31,FALSE)="","",VLOOKUP($B72,grondstoffen!$B$158:$AL$170,31,FALSE)))</f>
        <v/>
      </c>
      <c r="AG72" s="361" t="str">
        <f>IF($B72="","",IF(VLOOKUP($B72,grondstoffen!$B$158:$AL$170,32,FALSE)="","",VLOOKUP($B72,grondstoffen!$B$158:$AL$170,32,FALSE)))</f>
        <v/>
      </c>
      <c r="AH72" s="361" t="str">
        <f>IF($B72="","",IF(VLOOKUP($B72,grondstoffen!$B$158:$AL$170,33,FALSE)="","",VLOOKUP($B72,grondstoffen!$B$158:$AL$170,33,FALSE)))</f>
        <v/>
      </c>
      <c r="AI72" s="361" t="str">
        <f>IF($B72="","",IF(VLOOKUP($B72,grondstoffen!$B$158:$AL$170,34,FALSE)="","",VLOOKUP($B72,grondstoffen!$B$158:$AL$170,34,FALSE)))</f>
        <v/>
      </c>
      <c r="AJ72" s="361" t="str">
        <f>IF($B72="","",IF(VLOOKUP($B72,grondstoffen!$B$158:$AL$170,35,FALSE)="","",VLOOKUP($B72,grondstoffen!$B$158:$AL$170,35,FALSE)))</f>
        <v/>
      </c>
      <c r="AK72" s="361" t="str">
        <f>IF($B72="","",IF(VLOOKUP($B72,grondstoffen!$B$158:$AL$170,36,FALSE)="","",VLOOKUP($B72,grondstoffen!$B$158:$AL$170,36,FALSE)))</f>
        <v/>
      </c>
      <c r="AL72" s="361" t="str">
        <f>IF($B72="","",IF(VLOOKUP($B72,grondstoffen!$B$158:$AL$170,37,FALSE)="","",VLOOKUP($B72,grondstoffen!$B$158:$AL$170,37,FALSE)))</f>
        <v/>
      </c>
      <c r="AM72" s="119"/>
      <c r="AN72" s="127"/>
      <c r="AO72" s="1270"/>
      <c r="AP72" s="127"/>
      <c r="AQ72" s="1270"/>
      <c r="AR72" s="127"/>
      <c r="AS72" s="119" t="str">
        <f>IF($B72="","",IF(VLOOKUP($B72,grondstoffen!$B$158:$AT$170,44,FALSE)="","",VLOOKUP($B72,grondstoffen!$B$158:$AT$170,44,FALSE)))</f>
        <v/>
      </c>
      <c r="AT72" s="118"/>
      <c r="AU72" s="4"/>
      <c r="AV72" s="4"/>
      <c r="AW72" s="4"/>
      <c r="AX72" s="4"/>
      <c r="AY72" s="4"/>
      <c r="AZ72" s="4"/>
      <c r="BA72" s="4"/>
      <c r="BB72" s="4"/>
      <c r="BC72" s="4"/>
      <c r="BD72" s="4"/>
      <c r="BE72" s="4"/>
      <c r="BF72" s="4"/>
      <c r="BG72" s="4"/>
      <c r="BH72" s="4"/>
    </row>
    <row r="73" spans="1:60" ht="14.5" x14ac:dyDescent="0.35">
      <c r="A73" s="110" t="s">
        <v>397</v>
      </c>
      <c r="B73" s="1558">
        <v>96</v>
      </c>
      <c r="C73" s="1559"/>
      <c r="D73" s="1565">
        <v>5</v>
      </c>
      <c r="E73" s="123" t="str">
        <f>IF($B73="","",IF(VLOOKUP($B73,grondstoffen!$B$171:$AL$172,4,FALSE)="","",VLOOKUP($B73,grondstoffen!$B$171:$AL$172,4,FALSE)))</f>
        <v>Trinidad</v>
      </c>
      <c r="F73" s="124"/>
      <c r="G73" s="124"/>
      <c r="H73" s="124" t="str">
        <f>IF($B73="","",IF(VLOOKUP($B73,grondstoffen!$B$171:$AL$172,7,FALSE)="","",VLOOKUP($B73,grondstoffen!$B$171:$AL$172,7,FALSE)))</f>
        <v>Epurée Z0/8</v>
      </c>
      <c r="I73" s="124"/>
      <c r="J73" s="124"/>
      <c r="K73" s="124" t="str">
        <f>IF($B73="","",IF(VLOOKUP($B73,grondstoffen!$B$171:$AL$172,10,FALSE)="","",VLOOKUP($B73,grondstoffen!$B$171:$AL$172,10,FALSE)))</f>
        <v>Lumat</v>
      </c>
      <c r="L73" s="124"/>
      <c r="M73" s="124"/>
      <c r="N73" s="124" t="str">
        <f>IF($B73="","",IF(VLOOKUP($B73,grondstoffen!$B$171:$AL$172,13,FALSE)="","",VLOOKUP($B73,grondstoffen!$B$171:$AL$172,13,FALSE)))</f>
        <v>Trinidad Lake</v>
      </c>
      <c r="O73" s="124"/>
      <c r="P73" s="124"/>
      <c r="Q73" s="124" t="str">
        <f>IF($B73="","",IF(VLOOKUP($B73,grondstoffen!$B$171:$AL$172,16,FALSE)="","",VLOOKUP($B73,grondstoffen!$B$171:$AL$172,16,FALSE)))</f>
        <v>partijkeuring</v>
      </c>
      <c r="R73" s="124"/>
      <c r="S73" s="1273">
        <f>IF($B73="","",IF(VLOOKUP($B73,grondstoffen!$B$171:$AL$172,18,FALSE)="","",VLOOKUP($B73,grondstoffen!$B$171:$AL$172,18,FALSE)))</f>
        <v>1.8089999999999999</v>
      </c>
      <c r="T73" s="124"/>
      <c r="U73" s="1273">
        <f>IF($B73="","",IF(VLOOKUP($B73,grondstoffen!$B$171:$AL$172,20,FALSE)="","",VLOOKUP($B73,grondstoffen!$B$171:$AL$172,20,FALSE)))</f>
        <v>1.07</v>
      </c>
      <c r="V73" s="124"/>
      <c r="W73" s="360" t="str">
        <f>IF($B73="","",IF(VLOOKUP($B73,grondstoffen!$B$171:$AL$172,22,FALSE)="","",VLOOKUP($B73,grondstoffen!$B$171:$AL$172,22,FALSE)))</f>
        <v/>
      </c>
      <c r="X73" s="360" t="str">
        <f>IF($B73="","",IF(VLOOKUP($B73,grondstoffen!$B$171:$AL$172,23,FALSE)="","",VLOOKUP($B73,grondstoffen!$B$171:$AL$172,23,FALSE)))</f>
        <v/>
      </c>
      <c r="Y73" s="360" t="str">
        <f>IF($B73="","",IF(VLOOKUP($B73,grondstoffen!$B$171:$AL$172,24,FALSE)="","",VLOOKUP($B73,grondstoffen!$B$171:$AL$172,24,FALSE)))</f>
        <v/>
      </c>
      <c r="Z73" s="360" t="str">
        <f>IF($B73="","",IF(VLOOKUP($B73,grondstoffen!$B$171:$AL$172,25,FALSE)="","",VLOOKUP($B73,grondstoffen!$B$171:$AL$172,25,FALSE)))</f>
        <v/>
      </c>
      <c r="AA73" s="360" t="str">
        <f>IF($B73="","",IF(VLOOKUP($B73,grondstoffen!$B$171:$AL$172,26,FALSE)="","",VLOOKUP($B73,grondstoffen!$B$171:$AL$172,26,FALSE)))</f>
        <v/>
      </c>
      <c r="AB73" s="360" t="str">
        <f>IF($B73="","",IF(VLOOKUP($B73,grondstoffen!$B$171:$AL$172,27,FALSE)="","",VLOOKUP($B73,grondstoffen!$B$171:$AL$172,27,FALSE)))</f>
        <v/>
      </c>
      <c r="AC73" s="360" t="str">
        <f>IF($B73="","",IF(VLOOKUP($B73,grondstoffen!$B$171:$AL$172,28,FALSE)="","",VLOOKUP($B73,grondstoffen!$B$171:$AL$172,28,FALSE)))</f>
        <v/>
      </c>
      <c r="AD73" s="360" t="str">
        <f>IF($B73="","",IF(VLOOKUP($B73,grondstoffen!$B$171:$AL$172,29,FALSE)="","",VLOOKUP($B73,grondstoffen!$B$171:$AL$172,29,FALSE)))</f>
        <v/>
      </c>
      <c r="AE73" s="360" t="str">
        <f>IF($B73="","",IF(VLOOKUP($B73,grondstoffen!$B$171:$AL$172,30,FALSE)="","",VLOOKUP($B73,grondstoffen!$B$171:$AL$172,30,FALSE)))</f>
        <v/>
      </c>
      <c r="AF73" s="360" t="str">
        <f>IF($B73="","",IF(VLOOKUP($B73,grondstoffen!$B$171:$AL$172,31,FALSE)="","",VLOOKUP($B73,grondstoffen!$B$171:$AL$172,31,FALSE)))</f>
        <v/>
      </c>
      <c r="AG73" s="360" t="str">
        <f>IF($B73="","",IF(VLOOKUP($B73,grondstoffen!$B$171:$AL$172,32,FALSE)="","",VLOOKUP($B73,grondstoffen!$B$171:$AL$172,32,FALSE)))</f>
        <v/>
      </c>
      <c r="AH73" s="360" t="str">
        <f>IF($B73="","",IF(VLOOKUP($B73,grondstoffen!$B$171:$AL$172,33,FALSE)="","",VLOOKUP($B73,grondstoffen!$B$171:$AL$172,33,FALSE)))</f>
        <v/>
      </c>
      <c r="AI73" s="360" t="str">
        <f>IF($B73="","",IF(VLOOKUP($B73,grondstoffen!$B$171:$AL$172,34,FALSE)="","",VLOOKUP($B73,grondstoffen!$B$171:$AL$172,34,FALSE)))</f>
        <v/>
      </c>
      <c r="AJ73" s="360">
        <f>IF($B73="","",IF(VLOOKUP($B73,grondstoffen!$B$171:$AL$172,35,FALSE)="","",VLOOKUP($B73,grondstoffen!$B$171:$AL$172,35,FALSE)))</f>
        <v>100</v>
      </c>
      <c r="AK73" s="360">
        <f>IF($B73="","",IF(VLOOKUP($B73,grondstoffen!$B$171:$AL$172,36,FALSE)="","",VLOOKUP($B73,grondstoffen!$B$171:$AL$172,36,FALSE)))</f>
        <v>95</v>
      </c>
      <c r="AL73" s="360">
        <f>IF($B73="","",IF(VLOOKUP($B73,grondstoffen!$B$171:$AL$172,37,FALSE)="","",VLOOKUP($B73,grondstoffen!$B$171:$AL$172,37,FALSE)))</f>
        <v>90</v>
      </c>
      <c r="AM73" s="1266">
        <f>IF($B73="","",IF(VLOOKUP($B73,grondstoffen!$B$171:$AT$172,38,FALSE)="","",VLOOKUP($B73,grondstoffen!$B$171:$AT$172,38,FALSE)))</f>
        <v>54</v>
      </c>
      <c r="AN73" s="124"/>
      <c r="AO73" s="1272">
        <f>IF($B73="","",IF(VLOOKUP($B73,grondstoffen!$B$171:$AT$172,40,FALSE)="","",VLOOKUP($B73,grondstoffen!$B$171:$AT$172,40,FALSE)))</f>
        <v>7.5</v>
      </c>
      <c r="AP73" s="124"/>
      <c r="AQ73" s="1271">
        <f>IF($B73="","",IF(VLOOKUP($B73,grondstoffen!$B$171:$AT$172,42,FALSE)="","",VLOOKUP($B73,grondstoffen!$B$171:$AT$172,42,FALSE)))</f>
        <v>73</v>
      </c>
      <c r="AR73" s="124"/>
      <c r="AS73" s="1266" t="str">
        <f>IF($B73="","",IF(VLOOKUP($B73,grondstoffen!$B$171:$AT$172,44,FALSE)="","",VLOOKUP($B73,grondstoffen!$B$171:$AT$172,44,FALSE)))</f>
        <v>onb.</v>
      </c>
      <c r="AT73" s="124"/>
      <c r="AU73" s="4"/>
      <c r="AV73" s="4"/>
      <c r="AW73" s="4"/>
      <c r="AX73" s="4"/>
      <c r="AY73" s="4"/>
      <c r="AZ73" s="4"/>
      <c r="BA73" s="4"/>
      <c r="BB73" s="4"/>
      <c r="BC73" s="4"/>
      <c r="BD73" s="4"/>
      <c r="BE73" s="4"/>
      <c r="BF73" s="4"/>
      <c r="BG73" s="4"/>
      <c r="BH73" s="4"/>
    </row>
    <row r="74" spans="1:60" ht="14.5" thickBot="1" x14ac:dyDescent="0.35">
      <c r="A74" s="4"/>
      <c r="B74" s="1561"/>
      <c r="C74" s="1562"/>
      <c r="D74" s="1566"/>
      <c r="E74" s="126" t="str">
        <f>IF($B74="","",IF(VLOOKUP($B74,grondstoffen!$B$171:$AL$172,4,FALSE)="","",VLOOKUP($B74,grondstoffen!$B$171:$AL$172,4,FALSE)))</f>
        <v/>
      </c>
      <c r="F74" s="118"/>
      <c r="G74" s="118"/>
      <c r="H74" s="118" t="str">
        <f>IF($B74="","",IF(VLOOKUP($B74,grondstoffen!$B$171:$AL$172,7,FALSE)="","",VLOOKUP($B74,grondstoffen!$B$171:$AL$172,7,FALSE)))</f>
        <v/>
      </c>
      <c r="I74" s="118"/>
      <c r="J74" s="118"/>
      <c r="K74" s="118" t="str">
        <f>IF($B74="","",IF(VLOOKUP($B74,grondstoffen!$B$171:$AL$172,10,FALSE)="","",VLOOKUP($B74,grondstoffen!$B$171:$AL$172,10,FALSE)))</f>
        <v/>
      </c>
      <c r="L74" s="118"/>
      <c r="M74" s="118"/>
      <c r="N74" s="118" t="str">
        <f>IF($B74="","",IF(VLOOKUP($B74,grondstoffen!$B$171:$AL$172,13,FALSE)="","",VLOOKUP($B74,grondstoffen!$B$171:$AL$172,13,FALSE)))</f>
        <v/>
      </c>
      <c r="O74" s="118"/>
      <c r="P74" s="118"/>
      <c r="Q74" s="118" t="str">
        <f>IF($B74="","",IF(VLOOKUP($B74,grondstoffen!$B$171:$AL$172,16,FALSE)="","",VLOOKUP($B74,grondstoffen!$B$171:$AL$172,16,FALSE)))</f>
        <v/>
      </c>
      <c r="R74" s="118"/>
      <c r="S74" s="1274" t="str">
        <f>IF($B74="","",IF(VLOOKUP($B74,grondstoffen!$B$171:$AL$172,18,FALSE)="","",VLOOKUP($B74,grondstoffen!$B$171:$AL$172,18,FALSE)))</f>
        <v/>
      </c>
      <c r="T74" s="118"/>
      <c r="U74" s="1274" t="str">
        <f>IF($B74="","",IF(VLOOKUP($B74,grondstoffen!$B$171:$AL$172,20,FALSE)="","",VLOOKUP($B74,grondstoffen!$B$171:$AL$172,20,FALSE)))</f>
        <v/>
      </c>
      <c r="V74" s="118"/>
      <c r="W74" s="361" t="str">
        <f>IF($B74="","",IF(VLOOKUP($B74,grondstoffen!$B$171:$AL$172,22,FALSE)="","",VLOOKUP($B74,grondstoffen!$B$171:$AL$172,22,FALSE)))</f>
        <v/>
      </c>
      <c r="X74" s="361" t="str">
        <f>IF($B74="","",IF(VLOOKUP($B74,grondstoffen!$B$171:$AL$172,23,FALSE)="","",VLOOKUP($B74,grondstoffen!$B$171:$AL$172,23,FALSE)))</f>
        <v/>
      </c>
      <c r="Y74" s="361" t="str">
        <f>IF($B74="","",IF(VLOOKUP($B74,grondstoffen!$B$171:$AL$172,24,FALSE)="","",VLOOKUP($B74,grondstoffen!$B$171:$AL$172,24,FALSE)))</f>
        <v/>
      </c>
      <c r="Z74" s="361" t="str">
        <f>IF($B74="","",IF(VLOOKUP($B74,grondstoffen!$B$171:$AL$172,25,FALSE)="","",VLOOKUP($B74,grondstoffen!$B$171:$AL$172,25,FALSE)))</f>
        <v/>
      </c>
      <c r="AA74" s="361" t="str">
        <f>IF($B74="","",IF(VLOOKUP($B74,grondstoffen!$B$171:$AL$172,26,FALSE)="","",VLOOKUP($B74,grondstoffen!$B$171:$AL$172,26,FALSE)))</f>
        <v/>
      </c>
      <c r="AB74" s="361" t="str">
        <f>IF($B74="","",IF(VLOOKUP($B74,grondstoffen!$B$171:$AL$172,27,FALSE)="","",VLOOKUP($B74,grondstoffen!$B$171:$AL$172,27,FALSE)))</f>
        <v/>
      </c>
      <c r="AC74" s="361" t="str">
        <f>IF($B74="","",IF(VLOOKUP($B74,grondstoffen!$B$171:$AL$172,28,FALSE)="","",VLOOKUP($B74,grondstoffen!$B$171:$AL$172,28,FALSE)))</f>
        <v/>
      </c>
      <c r="AD74" s="361" t="str">
        <f>IF($B74="","",IF(VLOOKUP($B74,grondstoffen!$B$171:$AL$172,29,FALSE)="","",VLOOKUP($B74,grondstoffen!$B$171:$AL$172,29,FALSE)))</f>
        <v/>
      </c>
      <c r="AE74" s="361" t="str">
        <f>IF($B74="","",IF(VLOOKUP($B74,grondstoffen!$B$171:$AL$172,30,FALSE)="","",VLOOKUP($B74,grondstoffen!$B$171:$AL$172,30,FALSE)))</f>
        <v/>
      </c>
      <c r="AF74" s="361" t="str">
        <f>IF($B74="","",IF(VLOOKUP($B74,grondstoffen!$B$171:$AL$172,31,FALSE)="","",VLOOKUP($B74,grondstoffen!$B$171:$AL$172,31,FALSE)))</f>
        <v/>
      </c>
      <c r="AG74" s="361" t="str">
        <f>IF($B74="","",IF(VLOOKUP($B74,grondstoffen!$B$171:$AL$172,32,FALSE)="","",VLOOKUP($B74,grondstoffen!$B$171:$AL$172,32,FALSE)))</f>
        <v/>
      </c>
      <c r="AH74" s="361" t="str">
        <f>IF($B74="","",IF(VLOOKUP($B74,grondstoffen!$B$171:$AL$172,33,FALSE)="","",VLOOKUP($B74,grondstoffen!$B$171:$AL$172,33,FALSE)))</f>
        <v/>
      </c>
      <c r="AI74" s="361" t="str">
        <f>IF($B74="","",IF(VLOOKUP($B74,grondstoffen!$B$171:$AL$172,34,FALSE)="","",VLOOKUP($B74,grondstoffen!$B$171:$AL$172,34,FALSE)))</f>
        <v/>
      </c>
      <c r="AJ74" s="361" t="str">
        <f>IF($B74="","",IF(VLOOKUP($B74,grondstoffen!$B$171:$AL$172,35,FALSE)="","",VLOOKUP($B74,grondstoffen!$B$171:$AL$172,35,FALSE)))</f>
        <v/>
      </c>
      <c r="AK74" s="361" t="str">
        <f>IF($B74="","",IF(VLOOKUP($B74,grondstoffen!$B$171:$AL$172,36,FALSE)="","",VLOOKUP($B74,grondstoffen!$B$171:$AL$172,36,FALSE)))</f>
        <v/>
      </c>
      <c r="AL74" s="361" t="str">
        <f>IF($B74="","",IF(VLOOKUP($B74,grondstoffen!$B$171:$AL$172,37,FALSE)="","",VLOOKUP($B74,grondstoffen!$B$171:$AL$172,37,FALSE)))</f>
        <v/>
      </c>
      <c r="AM74" s="119" t="str">
        <f>IF($B74="","",IF(VLOOKUP($B74,grondstoffen!$B$171:$AT$172,38,FALSE)="","",VLOOKUP($B74,grondstoffen!$B$171:$AT$172,38,FALSE)))</f>
        <v/>
      </c>
      <c r="AN74" s="118"/>
      <c r="AO74" s="119" t="str">
        <f>IF($B74="","",IF(VLOOKUP($B74,grondstoffen!$B$171:$AT$172,40,FALSE)="","",VLOOKUP($B74,grondstoffen!$B$171:$AT$172,40,FALSE)))</f>
        <v/>
      </c>
      <c r="AP74" s="118"/>
      <c r="AQ74" s="119" t="str">
        <f>IF($B74="","",IF(VLOOKUP($B74,grondstoffen!$B$171:$AT$172,42,FALSE)="","",VLOOKUP($B74,grondstoffen!$B$171:$AT$172,42,FALSE)))</f>
        <v/>
      </c>
      <c r="AR74" s="118"/>
      <c r="AS74" s="119" t="str">
        <f>IF($B74="","",IF(VLOOKUP($B74,grondstoffen!$B$171:$AT$172,44,FALSE)="","",VLOOKUP($B74,grondstoffen!$B$171:$AT$172,44,FALSE)))</f>
        <v/>
      </c>
      <c r="AT74" s="118"/>
      <c r="AU74" s="4"/>
      <c r="AV74" s="4"/>
      <c r="AW74" s="4"/>
      <c r="AX74" s="4"/>
      <c r="AY74" s="4"/>
      <c r="AZ74" s="4"/>
      <c r="BA74" s="4"/>
      <c r="BB74" s="4"/>
      <c r="BC74" s="4"/>
      <c r="BD74" s="4"/>
      <c r="BE74" s="4"/>
      <c r="BF74" s="4"/>
      <c r="BG74" s="4"/>
      <c r="BH74" s="4"/>
    </row>
    <row r="75" spans="1:60" ht="14.5" x14ac:dyDescent="0.35">
      <c r="A75" s="110" t="s">
        <v>398</v>
      </c>
      <c r="B75" s="1563">
        <v>98</v>
      </c>
      <c r="C75" s="1564">
        <v>0.03</v>
      </c>
      <c r="D75" s="1567"/>
      <c r="E75" s="122" t="str">
        <f>IF($B75="","",IF(VLOOKUP($B75,grondstoffen!$B$173:$AL$175,4,FALSE)="","",VLOOKUP($B75,grondstoffen!$B$173:$AL$175,4,FALSE)))</f>
        <v>Uintah</v>
      </c>
      <c r="F75" s="2"/>
      <c r="G75" s="2"/>
      <c r="H75" s="2" t="str">
        <f>IF($B75="","",IF(VLOOKUP($B75,grondstoffen!$B$173:$AL$175,7,FALSE)="","",VLOOKUP($B75,grondstoffen!$B$173:$AL$175,7,FALSE)))</f>
        <v>Gilsonite</v>
      </c>
      <c r="I75" s="2"/>
      <c r="J75" s="2"/>
      <c r="K75" s="2" t="str">
        <f>IF($B75="","",IF(VLOOKUP($B75,grondstoffen!$B$173:$AL$175,10,FALSE)="","",VLOOKUP($B75,grondstoffen!$B$173:$AL$175,10,FALSE)))</f>
        <v>MCA</v>
      </c>
      <c r="L75" s="2"/>
      <c r="M75" s="2"/>
      <c r="N75" s="2" t="str">
        <f>IF($B75="","",IF(VLOOKUP($B75,grondstoffen!$B$173:$AL$175,13,FALSE)="","",VLOOKUP($B75,grondstoffen!$B$173:$AL$175,13,FALSE)))</f>
        <v>Uintah</v>
      </c>
      <c r="O75" s="2"/>
      <c r="P75" s="2"/>
      <c r="Q75" s="2" t="str">
        <f>IF($B75="","",IF(VLOOKUP($B75,grondstoffen!$B$173:$AL$175,16,FALSE)="","",VLOOKUP($B75,grondstoffen!$B$173:$AL$175,16,FALSE)))</f>
        <v>COPRO</v>
      </c>
      <c r="R75" s="2"/>
      <c r="S75" s="1275" t="str">
        <f>IF($B75="","",IF(VLOOKUP($B75,grondstoffen!$B$173:$AL$175,18,FALSE)="","",VLOOKUP($B75,grondstoffen!$B$173:$AL$175,18,FALSE)))</f>
        <v/>
      </c>
      <c r="T75" s="2"/>
      <c r="U75" s="1275">
        <f>IF($B75="","",IF(VLOOKUP($B75,grondstoffen!$B$173:$AL$175,20,FALSE)="","",VLOOKUP($B75,grondstoffen!$B$173:$AL$175,20,FALSE)))</f>
        <v>1.07</v>
      </c>
      <c r="V75" s="2"/>
      <c r="W75" s="362"/>
      <c r="X75" s="362"/>
      <c r="Y75" s="362"/>
      <c r="Z75" s="362"/>
      <c r="AA75" s="362"/>
      <c r="AB75" s="362"/>
      <c r="AC75" s="362"/>
      <c r="AD75" s="362"/>
      <c r="AE75" s="362"/>
      <c r="AF75" s="362"/>
      <c r="AG75" s="362"/>
      <c r="AH75" s="362"/>
      <c r="AI75" s="362"/>
      <c r="AJ75" s="362"/>
      <c r="AK75" s="362"/>
      <c r="AL75" s="362"/>
      <c r="AM75" s="60">
        <f>IF($B75="","",IF(VLOOKUP($B75,grondstoffen!$B$173:$AT$175,38,FALSE)="","",VLOOKUP($B75,grondstoffen!$B$173:$AT$175,38,FALSE)))</f>
        <v>100</v>
      </c>
      <c r="AN75" s="2"/>
      <c r="AO75" s="60" t="str">
        <f>IF($B75="","",IF(VLOOKUP($B75,grondstoffen!$B$173:$AT$175,40,FALSE)="","",VLOOKUP($B75,grondstoffen!$B$173:$AT$175,40,FALSE)))</f>
        <v/>
      </c>
      <c r="AP75" s="2"/>
      <c r="AQ75" s="60" t="str">
        <f>IF($B75="","",IF(VLOOKUP($B75,grondstoffen!$B$173:$AT$175,42,FALSE)="","",VLOOKUP($B75,grondstoffen!$B$173:$AT$175,42,FALSE)))</f>
        <v/>
      </c>
      <c r="AR75" s="2"/>
      <c r="AS75" s="60" t="str">
        <f>IF($B75="","",IF(VLOOKUP($B75,grondstoffen!$B$173:$AT$175,44,FALSE)="","",VLOOKUP($B75,grondstoffen!$B$173:$AT$175,44,FALSE)))</f>
        <v/>
      </c>
      <c r="AT75" s="2"/>
      <c r="AU75" s="4"/>
      <c r="AV75" s="4"/>
      <c r="AW75" s="4"/>
      <c r="AX75" s="4"/>
      <c r="AY75" s="4"/>
      <c r="AZ75" s="4"/>
      <c r="BA75" s="4"/>
      <c r="BB75" s="4"/>
      <c r="BC75" s="4"/>
      <c r="BD75" s="4"/>
      <c r="BE75" s="4"/>
      <c r="BF75" s="4"/>
      <c r="BG75" s="4"/>
      <c r="BH75" s="4"/>
    </row>
    <row r="76" spans="1:60" x14ac:dyDescent="0.3">
      <c r="A76" s="4"/>
      <c r="B76" s="1553"/>
      <c r="C76" s="1560"/>
      <c r="D76" s="1568"/>
      <c r="E76" s="38" t="str">
        <f>IF($B76="","",IF(VLOOKUP($B76,grondstoffen!$B$173:$AL$175,4,FALSE)="","",VLOOKUP($B76,grondstoffen!$B$173:$AL$175,4,FALSE)))</f>
        <v/>
      </c>
      <c r="F76" s="32"/>
      <c r="G76" s="32"/>
      <c r="H76" s="32" t="str">
        <f>IF($B76="","",IF(VLOOKUP($B76,grondstoffen!$B$173:$AL$175,7,FALSE)="","",VLOOKUP($B76,grondstoffen!$B$173:$AL$175,7,FALSE)))</f>
        <v/>
      </c>
      <c r="I76" s="32"/>
      <c r="J76" s="32"/>
      <c r="K76" s="32" t="str">
        <f>IF($B76="","",IF(VLOOKUP($B76,grondstoffen!$B$173:$AL$175,10,FALSE)="","",VLOOKUP($B76,grondstoffen!$B$173:$AL$175,10,FALSE)))</f>
        <v/>
      </c>
      <c r="L76" s="32"/>
      <c r="M76" s="32"/>
      <c r="N76" s="32" t="str">
        <f>IF($B76="","",IF(VLOOKUP($B76,grondstoffen!$B$173:$AL$175,13,FALSE)="","",VLOOKUP($B76,grondstoffen!$B$173:$AL$175,13,FALSE)))</f>
        <v/>
      </c>
      <c r="O76" s="32"/>
      <c r="P76" s="32"/>
      <c r="Q76" s="32" t="str">
        <f>IF($B76="","",IF(VLOOKUP($B76,grondstoffen!$B$173:$AL$175,16,FALSE)="","",VLOOKUP($B76,grondstoffen!$B$173:$AL$175,16,FALSE)))</f>
        <v/>
      </c>
      <c r="R76" s="32"/>
      <c r="S76" s="1276" t="str">
        <f>IF($B76="","",IF(VLOOKUP($B76,grondstoffen!$B$173:$AL$175,18,FALSE)="","",VLOOKUP($B76,grondstoffen!$B$173:$AL$175,18,FALSE)))</f>
        <v/>
      </c>
      <c r="T76" s="32"/>
      <c r="U76" s="1276" t="str">
        <f>IF($B76="","",IF(VLOOKUP($B76,grondstoffen!$B$173:$AL$175,20,FALSE)="","",VLOOKUP($B76,grondstoffen!$B$173:$AL$175,20,FALSE)))</f>
        <v/>
      </c>
      <c r="V76" s="32"/>
      <c r="W76" s="357"/>
      <c r="X76" s="357"/>
      <c r="Y76" s="357"/>
      <c r="Z76" s="357"/>
      <c r="AA76" s="357"/>
      <c r="AB76" s="357"/>
      <c r="AC76" s="357"/>
      <c r="AD76" s="357"/>
      <c r="AE76" s="357"/>
      <c r="AF76" s="357"/>
      <c r="AG76" s="357"/>
      <c r="AH76" s="357"/>
      <c r="AI76" s="357"/>
      <c r="AJ76" s="357"/>
      <c r="AK76" s="357"/>
      <c r="AL76" s="357"/>
      <c r="AM76" s="57" t="str">
        <f>IF($B76="","",IF(VLOOKUP($B76,grondstoffen!$B$173:$AT$175,38,FALSE)="","",VLOOKUP($B76,grondstoffen!$B$173:$AT$175,38,FALSE)))</f>
        <v/>
      </c>
      <c r="AN76" s="32"/>
      <c r="AO76" s="57" t="str">
        <f>IF($B76="","",IF(VLOOKUP($B76,grondstoffen!$B$173:$AT$175,40,FALSE)="","",VLOOKUP($B76,grondstoffen!$B$173:$AT$175,40,FALSE)))</f>
        <v/>
      </c>
      <c r="AP76" s="32"/>
      <c r="AQ76" s="57" t="str">
        <f>IF($B76="","",IF(VLOOKUP($B76,grondstoffen!$B$173:$AT$175,42,FALSE)="","",VLOOKUP($B76,grondstoffen!$B$173:$AT$175,42,FALSE)))</f>
        <v/>
      </c>
      <c r="AR76" s="32"/>
      <c r="AS76" s="57" t="str">
        <f>IF($B76="","",IF(VLOOKUP($B76,grondstoffen!$B$173:$AT$175,44,FALSE)="","",VLOOKUP($B76,grondstoffen!$B$173:$AT$175,44,FALSE)))</f>
        <v/>
      </c>
      <c r="AT76" s="32"/>
      <c r="AU76" s="4"/>
      <c r="AV76" s="4"/>
      <c r="AW76" s="4"/>
      <c r="AX76" s="4"/>
      <c r="AY76" s="4"/>
      <c r="AZ76" s="4"/>
      <c r="BA76" s="4"/>
      <c r="BB76" s="4"/>
      <c r="BC76" s="4"/>
      <c r="BD76" s="4"/>
      <c r="BE76" s="4"/>
      <c r="BF76" s="4"/>
      <c r="BG76" s="4"/>
      <c r="BH76" s="4"/>
    </row>
    <row r="77" spans="1:60" x14ac:dyDescent="0.3">
      <c r="A77" s="4"/>
      <c r="B77" s="1554"/>
      <c r="C77" s="1557"/>
      <c r="D77" s="1569"/>
      <c r="E77" s="45" t="str">
        <f>IF($B77="","",IF(VLOOKUP($B77,grondstoffen!$B$173:$AL$175,4,FALSE)="","",VLOOKUP($B77,grondstoffen!$B$173:$AL$175,4,FALSE)))</f>
        <v/>
      </c>
      <c r="F77" s="43"/>
      <c r="G77" s="43"/>
      <c r="H77" s="43" t="str">
        <f>IF($B77="","",IF(VLOOKUP($B77,grondstoffen!$B$173:$AL$175,7,FALSE)="","",VLOOKUP($B77,grondstoffen!$B$173:$AL$175,7,FALSE)))</f>
        <v/>
      </c>
      <c r="I77" s="43"/>
      <c r="J77" s="43"/>
      <c r="K77" s="43" t="str">
        <f>IF($B77="","",IF(VLOOKUP($B77,grondstoffen!$B$173:$AL$175,10,FALSE)="","",VLOOKUP($B77,grondstoffen!$B$173:$AL$175,10,FALSE)))</f>
        <v/>
      </c>
      <c r="L77" s="43"/>
      <c r="M77" s="43"/>
      <c r="N77" s="43" t="str">
        <f>IF($B77="","",IF(VLOOKUP($B77,grondstoffen!$B$173:$AL$175,13,FALSE)="","",VLOOKUP($B77,grondstoffen!$B$173:$AL$175,13,FALSE)))</f>
        <v/>
      </c>
      <c r="O77" s="43"/>
      <c r="P77" s="43"/>
      <c r="Q77" s="43" t="str">
        <f>IF($B77="","",IF(VLOOKUP($B77,grondstoffen!$B$173:$AL$175,16,FALSE)="","",VLOOKUP($B77,grondstoffen!$B$173:$AL$175,16,FALSE)))</f>
        <v/>
      </c>
      <c r="R77" s="43"/>
      <c r="S77" s="1277" t="str">
        <f>IF($B77="","",IF(VLOOKUP($B77,grondstoffen!$B$173:$AL$175,18,FALSE)="","",VLOOKUP($B77,grondstoffen!$B$173:$AL$175,18,FALSE)))</f>
        <v/>
      </c>
      <c r="T77" s="43"/>
      <c r="U77" s="1277" t="str">
        <f>IF($B77="","",IF(VLOOKUP($B77,grondstoffen!$B$173:$AL$175,20,FALSE)="","",VLOOKUP($B77,grondstoffen!$B$173:$AL$175,20,FALSE)))</f>
        <v/>
      </c>
      <c r="V77" s="43"/>
      <c r="W77" s="359"/>
      <c r="X77" s="359"/>
      <c r="Y77" s="359"/>
      <c r="Z77" s="359"/>
      <c r="AA77" s="359"/>
      <c r="AB77" s="359"/>
      <c r="AC77" s="359"/>
      <c r="AD77" s="359"/>
      <c r="AE77" s="359"/>
      <c r="AF77" s="359"/>
      <c r="AG77" s="359"/>
      <c r="AH77" s="359"/>
      <c r="AI77" s="359"/>
      <c r="AJ77" s="359"/>
      <c r="AK77" s="359"/>
      <c r="AL77" s="359"/>
      <c r="AM77" s="66" t="str">
        <f>IF($B77="","",IF(VLOOKUP($B77,grondstoffen!$B$173:$AT$175,38,FALSE)="","",VLOOKUP($B77,grondstoffen!$B$173:$AT$175,38,FALSE)))</f>
        <v/>
      </c>
      <c r="AN77" s="43"/>
      <c r="AO77" s="66" t="str">
        <f>IF($B77="","",IF(VLOOKUP($B77,grondstoffen!$B$173:$AT$175,40,FALSE)="","",VLOOKUP($B77,grondstoffen!$B$173:$AT$175,40,FALSE)))</f>
        <v/>
      </c>
      <c r="AP77" s="43"/>
      <c r="AQ77" s="66" t="str">
        <f>IF($B77="","",IF(VLOOKUP($B77,grondstoffen!$B$173:$AT$175,42,FALSE)="","",VLOOKUP($B77,grondstoffen!$B$173:$AT$175,42,FALSE)))</f>
        <v/>
      </c>
      <c r="AR77" s="43"/>
      <c r="AS77" s="66" t="str">
        <f>IF($B77="","",IF(VLOOKUP($B77,grondstoffen!$B$173:$AT$175,44,FALSE)="","",VLOOKUP($B77,grondstoffen!$B$173:$AT$175,44,FALSE)))</f>
        <v/>
      </c>
      <c r="AT77" s="43"/>
      <c r="AU77" s="4"/>
      <c r="AV77" s="4"/>
      <c r="AW77" s="4"/>
      <c r="AX77" s="4"/>
      <c r="AY77" s="4"/>
      <c r="AZ77" s="4"/>
      <c r="BA77" s="4"/>
      <c r="BB77" s="4"/>
      <c r="BC77" s="4"/>
      <c r="BD77" s="4"/>
      <c r="BE77" s="4"/>
      <c r="BF77" s="4"/>
      <c r="BG77" s="4"/>
      <c r="BH77" s="4"/>
    </row>
    <row r="78" spans="1:60" ht="14.5" x14ac:dyDescent="0.35">
      <c r="A78" s="4"/>
      <c r="B78" s="24"/>
      <c r="C78" s="24"/>
      <c r="D78" s="4"/>
      <c r="E78" s="6"/>
      <c r="F78" s="4"/>
      <c r="G78" s="4"/>
      <c r="H78" s="6"/>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ht="14.5" x14ac:dyDescent="0.35">
      <c r="A79" s="4"/>
      <c r="B79" s="24"/>
      <c r="C79" s="6" t="s">
        <v>1671</v>
      </c>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ht="14.5" x14ac:dyDescent="0.35">
      <c r="A80" s="4"/>
      <c r="B80" s="6" t="s">
        <v>386</v>
      </c>
      <c r="C80" s="6"/>
      <c r="D80" s="4"/>
      <c r="E80" s="6"/>
      <c r="F80" s="4"/>
      <c r="G80" s="4"/>
      <c r="H80" s="6"/>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x14ac:dyDescent="0.3">
      <c r="A83" s="13" t="s">
        <v>209</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row>
    <row r="84" spans="1:60"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5" t="s">
        <v>222</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18" t="s">
        <v>114</v>
      </c>
      <c r="C86" s="2033" t="s">
        <v>211</v>
      </c>
      <c r="D86" s="2033"/>
      <c r="E86" s="2033" t="s">
        <v>223</v>
      </c>
      <c r="F86" s="2033"/>
      <c r="G86" s="2033"/>
      <c r="H86" s="2033" t="s">
        <v>139</v>
      </c>
      <c r="I86" s="2033"/>
      <c r="J86" s="2033"/>
      <c r="K86" s="2155" t="s">
        <v>127</v>
      </c>
      <c r="L86" s="2155"/>
      <c r="M86" s="2155"/>
      <c r="N86" s="2155"/>
      <c r="O86" s="2155"/>
      <c r="P86" s="2155"/>
      <c r="Q86" s="2155"/>
      <c r="R86" s="2155"/>
      <c r="S86" s="2155"/>
      <c r="T86" s="2155"/>
      <c r="U86" s="2155"/>
      <c r="V86" s="2155"/>
      <c r="W86" s="2155"/>
      <c r="X86" s="2155"/>
      <c r="Y86" s="2155"/>
      <c r="Z86" s="2156"/>
      <c r="AA86" s="26"/>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ht="14.5" thickBot="1" x14ac:dyDescent="0.35">
      <c r="A87" s="4"/>
      <c r="B87" s="18"/>
      <c r="C87" s="2152" t="s">
        <v>132</v>
      </c>
      <c r="D87" s="2152"/>
      <c r="E87" s="18"/>
      <c r="F87" s="18"/>
      <c r="G87" s="18"/>
      <c r="H87" s="2152" t="s">
        <v>224</v>
      </c>
      <c r="I87" s="2152"/>
      <c r="J87" s="2152"/>
      <c r="K87" s="363">
        <f>berekeningen!D9</f>
        <v>40</v>
      </c>
      <c r="L87" s="363">
        <f>berekeningen!E9</f>
        <v>31.5</v>
      </c>
      <c r="M87" s="363">
        <f>berekeningen!F9</f>
        <v>20</v>
      </c>
      <c r="N87" s="363">
        <f>berekeningen!G9</f>
        <v>16</v>
      </c>
      <c r="O87" s="363">
        <f>berekeningen!H9</f>
        <v>14</v>
      </c>
      <c r="P87" s="363">
        <f>berekeningen!I9</f>
        <v>12.5</v>
      </c>
      <c r="Q87" s="363">
        <f>berekeningen!J9</f>
        <v>10</v>
      </c>
      <c r="R87" s="363">
        <f>berekeningen!K9</f>
        <v>8</v>
      </c>
      <c r="S87" s="363">
        <f>berekeningen!L9</f>
        <v>6.3</v>
      </c>
      <c r="T87" s="363">
        <f>berekeningen!M9</f>
        <v>4</v>
      </c>
      <c r="U87" s="363">
        <f>berekeningen!N9</f>
        <v>2</v>
      </c>
      <c r="V87" s="363">
        <f>berekeningen!O9</f>
        <v>1</v>
      </c>
      <c r="W87" s="363">
        <f>berekeningen!P9</f>
        <v>0.5</v>
      </c>
      <c r="X87" s="363">
        <f>berekeningen!Q9</f>
        <v>0.25</v>
      </c>
      <c r="Y87" s="363">
        <f>berekeningen!R9</f>
        <v>0.125</v>
      </c>
      <c r="Z87" s="379">
        <f>berekeningen!S9</f>
        <v>6.3E-2</v>
      </c>
      <c r="AA87" s="26"/>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ht="14.5" thickTop="1" x14ac:dyDescent="0.3">
      <c r="A88" s="4"/>
      <c r="B88" s="29">
        <f>B8</f>
        <v>1</v>
      </c>
      <c r="C88" s="1570">
        <v>5.0999999999999996</v>
      </c>
      <c r="D88" s="30"/>
      <c r="E88" s="58" t="str">
        <f>E8</f>
        <v>Kalksteen</v>
      </c>
      <c r="F88" s="30"/>
      <c r="G88" s="30"/>
      <c r="H88" s="30" t="str">
        <f>H8</f>
        <v>14/20</v>
      </c>
      <c r="I88" s="30"/>
      <c r="J88" s="30"/>
      <c r="K88" s="364">
        <f>berekeningen!D15*$C88/100</f>
        <v>5.0999999999999996</v>
      </c>
      <c r="L88" s="364">
        <f>berekeningen!E15*$C88/100</f>
        <v>5.0999999999999996</v>
      </c>
      <c r="M88" s="364">
        <f>berekeningen!F15*$C88/100</f>
        <v>5.0489999999999995</v>
      </c>
      <c r="N88" s="364">
        <f>berekeningen!G15*$C88/100</f>
        <v>2.8050000000000002</v>
      </c>
      <c r="O88" s="364">
        <f>berekeningen!H15*$C88/100</f>
        <v>1.2749999999999999</v>
      </c>
      <c r="P88" s="364">
        <f>berekeningen!I15*$C88/100</f>
        <v>0.51</v>
      </c>
      <c r="Q88" s="364">
        <f>berekeningen!J15*$C88/100</f>
        <v>0.10199999999999999</v>
      </c>
      <c r="R88" s="364">
        <f>berekeningen!K15*$C88/100</f>
        <v>5.0999999999999997E-2</v>
      </c>
      <c r="S88" s="364">
        <f>berekeningen!L15*$C88/100</f>
        <v>4.5899999999999996E-2</v>
      </c>
      <c r="T88" s="364">
        <f>berekeningen!M15*$C88/100</f>
        <v>4.0800000000000003E-2</v>
      </c>
      <c r="U88" s="364">
        <f>berekeningen!N15*$C88/100</f>
        <v>3.5699999999999996E-2</v>
      </c>
      <c r="V88" s="364">
        <f>berekeningen!O15*$C88/100</f>
        <v>3.0599999999999995E-2</v>
      </c>
      <c r="W88" s="364">
        <f>berekeningen!P15*$C88/100</f>
        <v>2.5499999999999998E-2</v>
      </c>
      <c r="X88" s="364">
        <f>berekeningen!Q15*$C88/100</f>
        <v>2.0400000000000001E-2</v>
      </c>
      <c r="Y88" s="364">
        <f>berekeningen!R15*$C88/100</f>
        <v>1.5299999999999998E-2</v>
      </c>
      <c r="Z88" s="380">
        <f>berekeningen!S15*$C88/100</f>
        <v>1.0200000000000001E-2</v>
      </c>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31">
        <f t="shared" ref="B89" si="1">B9</f>
        <v>2</v>
      </c>
      <c r="C89" s="1571">
        <v>10.199999999999999</v>
      </c>
      <c r="D89" s="32"/>
      <c r="E89" s="57" t="str">
        <f t="shared" ref="E89:E97" si="2">E9</f>
        <v>Porfier</v>
      </c>
      <c r="F89" s="32"/>
      <c r="G89" s="32"/>
      <c r="H89" s="32" t="str">
        <f t="shared" ref="H89:H97" si="3">H9</f>
        <v>6/14</v>
      </c>
      <c r="I89" s="32"/>
      <c r="J89" s="32"/>
      <c r="K89" s="365">
        <f>berekeningen!D16*$C89/100</f>
        <v>10.199999999999999</v>
      </c>
      <c r="L89" s="365">
        <f>berekeningen!E16*$C89/100</f>
        <v>10.199999999999999</v>
      </c>
      <c r="M89" s="365">
        <f>berekeningen!F16*$C89/100</f>
        <v>10.199999999999999</v>
      </c>
      <c r="N89" s="365">
        <f>berekeningen!G16*$C89/100</f>
        <v>9.9959999999999987</v>
      </c>
      <c r="O89" s="365">
        <f>berekeningen!H16*$C89/100</f>
        <v>9.8940000000000001</v>
      </c>
      <c r="P89" s="365">
        <f>berekeningen!I16*$C89/100</f>
        <v>7.3439999999999994</v>
      </c>
      <c r="Q89" s="365">
        <f>berekeningen!J16*$C89/100</f>
        <v>6.63</v>
      </c>
      <c r="R89" s="365">
        <f>berekeningen!K16*$C89/100</f>
        <v>4.4879999999999995</v>
      </c>
      <c r="S89" s="365">
        <f>berekeningen!L16*$C89/100</f>
        <v>2.1419999999999999</v>
      </c>
      <c r="T89" s="365">
        <f>berekeningen!M16*$C89/100</f>
        <v>1.02</v>
      </c>
      <c r="U89" s="365">
        <f>berekeningen!N16*$C89/100</f>
        <v>0.40799999999999997</v>
      </c>
      <c r="V89" s="365">
        <f>berekeningen!O16*$C89/100</f>
        <v>0.30599999999999999</v>
      </c>
      <c r="W89" s="365">
        <f>berekeningen!P16*$C89/100</f>
        <v>0.20399999999999999</v>
      </c>
      <c r="X89" s="365">
        <f>berekeningen!Q16*$C89/100</f>
        <v>0.10199999999999999</v>
      </c>
      <c r="Y89" s="365">
        <f>berekeningen!R16*$C89/100</f>
        <v>5.0999999999999997E-2</v>
      </c>
      <c r="Z89" s="381">
        <f>berekeningen!S16*$C89/100</f>
        <v>2.0400000000000001E-2</v>
      </c>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31">
        <f t="shared" ref="B90" si="4">B10</f>
        <v>3</v>
      </c>
      <c r="C90" s="1571">
        <v>15.3</v>
      </c>
      <c r="D90" s="32"/>
      <c r="E90" s="57" t="str">
        <f t="shared" si="2"/>
        <v>Rode zandsteen</v>
      </c>
      <c r="F90" s="32"/>
      <c r="G90" s="32"/>
      <c r="H90" s="32" t="str">
        <f t="shared" si="3"/>
        <v>0/2 (0/0,05)</v>
      </c>
      <c r="I90" s="32"/>
      <c r="J90" s="32"/>
      <c r="K90" s="365">
        <f>berekeningen!D17*$C90/100</f>
        <v>15.3</v>
      </c>
      <c r="L90" s="365">
        <f>berekeningen!E17*$C90/100</f>
        <v>15.3</v>
      </c>
      <c r="M90" s="365">
        <f>berekeningen!F17*$C90/100</f>
        <v>15.3</v>
      </c>
      <c r="N90" s="365">
        <f>berekeningen!G17*$C90/100</f>
        <v>15.3</v>
      </c>
      <c r="O90" s="365">
        <f>berekeningen!H17*$C90/100</f>
        <v>15.3</v>
      </c>
      <c r="P90" s="365">
        <f>berekeningen!I17*$C90/100</f>
        <v>15.3</v>
      </c>
      <c r="Q90" s="365">
        <f>berekeningen!J17*$C90/100</f>
        <v>15.3</v>
      </c>
      <c r="R90" s="365">
        <f>berekeningen!K17*$C90/100</f>
        <v>14.994000000000002</v>
      </c>
      <c r="S90" s="365">
        <f>berekeningen!L17*$C90/100</f>
        <v>13.005000000000001</v>
      </c>
      <c r="T90" s="365">
        <f>berekeningen!M17*$C90/100</f>
        <v>9.7919999999999998</v>
      </c>
      <c r="U90" s="365">
        <f>berekeningen!N17*$C90/100</f>
        <v>3.5190000000000001</v>
      </c>
      <c r="V90" s="365">
        <f>berekeningen!O17*$C90/100</f>
        <v>1.6830000000000001</v>
      </c>
      <c r="W90" s="365">
        <f>berekeningen!P17*$C90/100</f>
        <v>0.61199999999999999</v>
      </c>
      <c r="X90" s="365">
        <f>berekeningen!Q17*$C90/100</f>
        <v>0.45900000000000007</v>
      </c>
      <c r="Y90" s="365">
        <f>berekeningen!R17*$C90/100</f>
        <v>0.30599999999999999</v>
      </c>
      <c r="Z90" s="381">
        <f>berekeningen!S17*$C90/100</f>
        <v>0.153</v>
      </c>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31">
        <f t="shared" ref="B91" si="5">B11</f>
        <v>0</v>
      </c>
      <c r="C91" s="1571">
        <v>0</v>
      </c>
      <c r="D91" s="32"/>
      <c r="E91" s="57" t="str">
        <f t="shared" si="2"/>
        <v/>
      </c>
      <c r="F91" s="32"/>
      <c r="G91" s="32"/>
      <c r="H91" s="32" t="str">
        <f t="shared" si="3"/>
        <v/>
      </c>
      <c r="I91" s="32"/>
      <c r="J91" s="32"/>
      <c r="K91" s="365">
        <f>berekeningen!D18*$C91/100</f>
        <v>0</v>
      </c>
      <c r="L91" s="365">
        <f>berekeningen!E18*$C91/100</f>
        <v>0</v>
      </c>
      <c r="M91" s="365">
        <f>berekeningen!F18*$C91/100</f>
        <v>0</v>
      </c>
      <c r="N91" s="365">
        <f>berekeningen!G18*$C91/100</f>
        <v>0</v>
      </c>
      <c r="O91" s="365">
        <f>berekeningen!H18*$C91/100</f>
        <v>0</v>
      </c>
      <c r="P91" s="365">
        <f>berekeningen!I18*$C91/100</f>
        <v>0</v>
      </c>
      <c r="Q91" s="365">
        <f>berekeningen!J18*$C91/100</f>
        <v>0</v>
      </c>
      <c r="R91" s="365">
        <f>berekeningen!K18*$C91/100</f>
        <v>0</v>
      </c>
      <c r="S91" s="365">
        <f>berekeningen!L18*$C91/100</f>
        <v>0</v>
      </c>
      <c r="T91" s="365">
        <f>berekeningen!M18*$C91/100</f>
        <v>0</v>
      </c>
      <c r="U91" s="365">
        <f>berekeningen!N18*$C91/100</f>
        <v>0</v>
      </c>
      <c r="V91" s="365">
        <f>berekeningen!O18*$C91/100</f>
        <v>0</v>
      </c>
      <c r="W91" s="365">
        <f>berekeningen!P18*$C91/100</f>
        <v>0</v>
      </c>
      <c r="X91" s="365">
        <f>berekeningen!Q18*$C91/100</f>
        <v>0</v>
      </c>
      <c r="Y91" s="365">
        <f>berekeningen!R18*$C91/100</f>
        <v>0</v>
      </c>
      <c r="Z91" s="381">
        <f>berekeningen!S18*$C91/100</f>
        <v>0</v>
      </c>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31">
        <f t="shared" ref="B92" si="6">B12</f>
        <v>0</v>
      </c>
      <c r="C92" s="1571">
        <v>0</v>
      </c>
      <c r="D92" s="32"/>
      <c r="E92" s="57" t="str">
        <f t="shared" si="2"/>
        <v/>
      </c>
      <c r="F92" s="32"/>
      <c r="G92" s="32"/>
      <c r="H92" s="32" t="str">
        <f t="shared" si="3"/>
        <v/>
      </c>
      <c r="I92" s="32"/>
      <c r="J92" s="32"/>
      <c r="K92" s="365">
        <f>berekeningen!D19*$C92/100</f>
        <v>0</v>
      </c>
      <c r="L92" s="365">
        <f>berekeningen!E19*$C92/100</f>
        <v>0</v>
      </c>
      <c r="M92" s="365">
        <f>berekeningen!F19*$C92/100</f>
        <v>0</v>
      </c>
      <c r="N92" s="365">
        <f>berekeningen!G19*$C92/100</f>
        <v>0</v>
      </c>
      <c r="O92" s="365">
        <f>berekeningen!H19*$C92/100</f>
        <v>0</v>
      </c>
      <c r="P92" s="365">
        <f>berekeningen!I19*$C92/100</f>
        <v>0</v>
      </c>
      <c r="Q92" s="365">
        <f>berekeningen!J19*$C92/100</f>
        <v>0</v>
      </c>
      <c r="R92" s="365">
        <f>berekeningen!K19*$C92/100</f>
        <v>0</v>
      </c>
      <c r="S92" s="365">
        <f>berekeningen!L19*$C92/100</f>
        <v>0</v>
      </c>
      <c r="T92" s="365">
        <f>berekeningen!M19*$C92/100</f>
        <v>0</v>
      </c>
      <c r="U92" s="365">
        <f>berekeningen!N19*$C92/100</f>
        <v>0</v>
      </c>
      <c r="V92" s="365">
        <f>berekeningen!O19*$C92/100</f>
        <v>0</v>
      </c>
      <c r="W92" s="365">
        <f>berekeningen!P19*$C92/100</f>
        <v>0</v>
      </c>
      <c r="X92" s="365">
        <f>berekeningen!Q19*$C92/100</f>
        <v>0</v>
      </c>
      <c r="Y92" s="365">
        <f>berekeningen!R19*$C92/100</f>
        <v>0</v>
      </c>
      <c r="Z92" s="381">
        <f>berekeningen!S19*$C92/100</f>
        <v>0</v>
      </c>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31">
        <f t="shared" ref="B93" si="7">B13</f>
        <v>6</v>
      </c>
      <c r="C93" s="1571">
        <v>35.299999999999997</v>
      </c>
      <c r="D93" s="32"/>
      <c r="E93" s="57" t="str">
        <f t="shared" si="2"/>
        <v>Slakken</v>
      </c>
      <c r="F93" s="32"/>
      <c r="G93" s="32"/>
      <c r="H93" s="32" t="str">
        <f t="shared" si="3"/>
        <v>6/10</v>
      </c>
      <c r="I93" s="32"/>
      <c r="J93" s="32"/>
      <c r="K93" s="365">
        <f>berekeningen!D20*$C93/100</f>
        <v>35.299999999999997</v>
      </c>
      <c r="L93" s="365">
        <f>berekeningen!E20*$C93/100</f>
        <v>35.299999999999997</v>
      </c>
      <c r="M93" s="365">
        <f>berekeningen!F20*$C93/100</f>
        <v>35.299999999999997</v>
      </c>
      <c r="N93" s="365">
        <f>berekeningen!G20*$C93/100</f>
        <v>35.299999999999997</v>
      </c>
      <c r="O93" s="365">
        <f>berekeningen!H20*$C93/100</f>
        <v>35.299999999999997</v>
      </c>
      <c r="P93" s="365">
        <f>berekeningen!I20*$C93/100</f>
        <v>35.299999999999997</v>
      </c>
      <c r="Q93" s="365">
        <f>berekeningen!J20*$C93/100</f>
        <v>33.534999999999997</v>
      </c>
      <c r="R93" s="365">
        <f>berekeningen!K20*$C93/100</f>
        <v>17.649999999999999</v>
      </c>
      <c r="S93" s="365">
        <f>berekeningen!L20*$C93/100</f>
        <v>4.2359999999999998</v>
      </c>
      <c r="T93" s="365">
        <f>berekeningen!M20*$C93/100</f>
        <v>2.4709999999999996</v>
      </c>
      <c r="U93" s="365">
        <f>berekeningen!N20*$C93/100</f>
        <v>2.1179999999999999</v>
      </c>
      <c r="V93" s="365">
        <f>berekeningen!O20*$C93/100</f>
        <v>1.7649999999999999</v>
      </c>
      <c r="W93" s="365">
        <f>berekeningen!P20*$C93/100</f>
        <v>1.4119999999999999</v>
      </c>
      <c r="X93" s="365">
        <f>berekeningen!Q20*$C93/100</f>
        <v>1.0589999999999999</v>
      </c>
      <c r="Y93" s="365">
        <f>berekeningen!R20*$C93/100</f>
        <v>0.70599999999999996</v>
      </c>
      <c r="Z93" s="381">
        <f>berekeningen!S20*$C93/100</f>
        <v>0.35299999999999998</v>
      </c>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31">
        <f t="shared" ref="B94" si="8">B14</f>
        <v>11</v>
      </c>
      <c r="C94" s="1571">
        <v>0</v>
      </c>
      <c r="D94" s="32"/>
      <c r="E94" s="57" t="str">
        <f t="shared" si="2"/>
        <v>Kalksteen</v>
      </c>
      <c r="F94" s="32"/>
      <c r="G94" s="32"/>
      <c r="H94" s="32" t="str">
        <f t="shared" si="3"/>
        <v>14/20</v>
      </c>
      <c r="I94" s="32"/>
      <c r="J94" s="32"/>
      <c r="K94" s="365">
        <f>berekeningen!D21*$C94/100</f>
        <v>0</v>
      </c>
      <c r="L94" s="365">
        <f>berekeningen!E21*$C94/100</f>
        <v>0</v>
      </c>
      <c r="M94" s="365">
        <f>berekeningen!F21*$C94/100</f>
        <v>0</v>
      </c>
      <c r="N94" s="365">
        <f>berekeningen!G21*$C94/100</f>
        <v>0</v>
      </c>
      <c r="O94" s="365">
        <f>berekeningen!H21*$C94/100</f>
        <v>0</v>
      </c>
      <c r="P94" s="365">
        <f>berekeningen!I21*$C94/100</f>
        <v>0</v>
      </c>
      <c r="Q94" s="365">
        <f>berekeningen!J21*$C94/100</f>
        <v>0</v>
      </c>
      <c r="R94" s="365">
        <f>berekeningen!K21*$C94/100</f>
        <v>0</v>
      </c>
      <c r="S94" s="365">
        <f>berekeningen!L21*$C94/100</f>
        <v>0</v>
      </c>
      <c r="T94" s="365">
        <f>berekeningen!M21*$C94/100</f>
        <v>0</v>
      </c>
      <c r="U94" s="365">
        <f>berekeningen!N21*$C94/100</f>
        <v>0</v>
      </c>
      <c r="V94" s="365">
        <f>berekeningen!O21*$C94/100</f>
        <v>0</v>
      </c>
      <c r="W94" s="365">
        <f>berekeningen!P21*$C94/100</f>
        <v>0</v>
      </c>
      <c r="X94" s="365">
        <f>berekeningen!Q21*$C94/100</f>
        <v>0</v>
      </c>
      <c r="Y94" s="365">
        <f>berekeningen!R21*$C94/100</f>
        <v>0</v>
      </c>
      <c r="Z94" s="381">
        <f>berekeningen!S21*$C94/100</f>
        <v>0</v>
      </c>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31">
        <f t="shared" ref="B95" si="9">B15</f>
        <v>12</v>
      </c>
      <c r="C95" s="1571">
        <v>0</v>
      </c>
      <c r="D95" s="32"/>
      <c r="E95" s="57" t="str">
        <f t="shared" si="2"/>
        <v>Porfier</v>
      </c>
      <c r="F95" s="32"/>
      <c r="G95" s="32"/>
      <c r="H95" s="32" t="str">
        <f t="shared" si="3"/>
        <v>6/14</v>
      </c>
      <c r="I95" s="32"/>
      <c r="J95" s="32"/>
      <c r="K95" s="365">
        <f>berekeningen!D22*$C95/100</f>
        <v>0</v>
      </c>
      <c r="L95" s="365">
        <f>berekeningen!E22*$C95/100</f>
        <v>0</v>
      </c>
      <c r="M95" s="365">
        <f>berekeningen!F22*$C95/100</f>
        <v>0</v>
      </c>
      <c r="N95" s="365">
        <f>berekeningen!G22*$C95/100</f>
        <v>0</v>
      </c>
      <c r="O95" s="365">
        <f>berekeningen!H22*$C95/100</f>
        <v>0</v>
      </c>
      <c r="P95" s="365">
        <f>berekeningen!I22*$C95/100</f>
        <v>0</v>
      </c>
      <c r="Q95" s="365">
        <f>berekeningen!J22*$C95/100</f>
        <v>0</v>
      </c>
      <c r="R95" s="365">
        <f>berekeningen!K22*$C95/100</f>
        <v>0</v>
      </c>
      <c r="S95" s="365">
        <f>berekeningen!L22*$C95/100</f>
        <v>0</v>
      </c>
      <c r="T95" s="365">
        <f>berekeningen!M22*$C95/100</f>
        <v>0</v>
      </c>
      <c r="U95" s="365">
        <f>berekeningen!N22*$C95/100</f>
        <v>0</v>
      </c>
      <c r="V95" s="365">
        <f>berekeningen!O22*$C95/100</f>
        <v>0</v>
      </c>
      <c r="W95" s="365">
        <f>berekeningen!P22*$C95/100</f>
        <v>0</v>
      </c>
      <c r="X95" s="365">
        <f>berekeningen!Q22*$C95/100</f>
        <v>0</v>
      </c>
      <c r="Y95" s="365">
        <f>berekeningen!R22*$C95/100</f>
        <v>0</v>
      </c>
      <c r="Z95" s="381">
        <f>berekeningen!S22*$C95/100</f>
        <v>0</v>
      </c>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31">
        <f t="shared" ref="B96" si="10">B16</f>
        <v>16</v>
      </c>
      <c r="C96" s="1571">
        <v>0</v>
      </c>
      <c r="D96" s="32"/>
      <c r="E96" s="57" t="str">
        <f t="shared" si="2"/>
        <v>Slakken</v>
      </c>
      <c r="F96" s="32"/>
      <c r="G96" s="32"/>
      <c r="H96" s="32" t="str">
        <f t="shared" si="3"/>
        <v>6/10</v>
      </c>
      <c r="I96" s="32"/>
      <c r="J96" s="32"/>
      <c r="K96" s="365">
        <f>berekeningen!D23*$C96/100</f>
        <v>0</v>
      </c>
      <c r="L96" s="365">
        <f>berekeningen!E23*$C96/100</f>
        <v>0</v>
      </c>
      <c r="M96" s="365">
        <f>berekeningen!F23*$C96/100</f>
        <v>0</v>
      </c>
      <c r="N96" s="365">
        <f>berekeningen!G23*$C96/100</f>
        <v>0</v>
      </c>
      <c r="O96" s="365">
        <f>berekeningen!H23*$C96/100</f>
        <v>0</v>
      </c>
      <c r="P96" s="365">
        <f>berekeningen!I23*$C96/100</f>
        <v>0</v>
      </c>
      <c r="Q96" s="365">
        <f>berekeningen!J23*$C96/100</f>
        <v>0</v>
      </c>
      <c r="R96" s="365">
        <f>berekeningen!K23*$C96/100</f>
        <v>0</v>
      </c>
      <c r="S96" s="365">
        <f>berekeningen!L23*$C96/100</f>
        <v>0</v>
      </c>
      <c r="T96" s="365">
        <f>berekeningen!M23*$C96/100</f>
        <v>0</v>
      </c>
      <c r="U96" s="365">
        <f>berekeningen!N23*$C96/100</f>
        <v>0</v>
      </c>
      <c r="V96" s="365">
        <f>berekeningen!O23*$C96/100</f>
        <v>0</v>
      </c>
      <c r="W96" s="365">
        <f>berekeningen!P23*$C96/100</f>
        <v>0</v>
      </c>
      <c r="X96" s="365">
        <f>berekeningen!Q23*$C96/100</f>
        <v>0</v>
      </c>
      <c r="Y96" s="365">
        <f>berekeningen!R23*$C96/100</f>
        <v>0</v>
      </c>
      <c r="Z96" s="381">
        <f>berekeningen!S23*$C96/100</f>
        <v>0</v>
      </c>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ht="14.5" thickBot="1" x14ac:dyDescent="0.35">
      <c r="A97" s="4"/>
      <c r="B97" s="116">
        <f t="shared" ref="B97" si="11">B17</f>
        <v>0</v>
      </c>
      <c r="C97" s="1572">
        <v>0</v>
      </c>
      <c r="D97" s="118"/>
      <c r="E97" s="119" t="str">
        <f t="shared" si="2"/>
        <v/>
      </c>
      <c r="F97" s="118"/>
      <c r="G97" s="118"/>
      <c r="H97" s="118" t="str">
        <f t="shared" si="3"/>
        <v/>
      </c>
      <c r="I97" s="43"/>
      <c r="J97" s="43"/>
      <c r="K97" s="366">
        <f>berekeningen!D24*$C97/100</f>
        <v>0</v>
      </c>
      <c r="L97" s="366">
        <f>berekeningen!E24*$C97/100</f>
        <v>0</v>
      </c>
      <c r="M97" s="366">
        <f>berekeningen!F24*$C97/100</f>
        <v>0</v>
      </c>
      <c r="N97" s="366">
        <f>berekeningen!G24*$C97/100</f>
        <v>0</v>
      </c>
      <c r="O97" s="366">
        <f>berekeningen!H24*$C97/100</f>
        <v>0</v>
      </c>
      <c r="P97" s="366">
        <f>berekeningen!I24*$C97/100</f>
        <v>0</v>
      </c>
      <c r="Q97" s="366">
        <f>berekeningen!J24*$C97/100</f>
        <v>0</v>
      </c>
      <c r="R97" s="366">
        <f>berekeningen!K24*$C97/100</f>
        <v>0</v>
      </c>
      <c r="S97" s="366">
        <f>berekeningen!L24*$C97/100</f>
        <v>0</v>
      </c>
      <c r="T97" s="366">
        <f>berekeningen!M24*$C97/100</f>
        <v>0</v>
      </c>
      <c r="U97" s="366">
        <f>berekeningen!N24*$C97/100</f>
        <v>0</v>
      </c>
      <c r="V97" s="366">
        <f>berekeningen!O24*$C97/100</f>
        <v>0</v>
      </c>
      <c r="W97" s="366">
        <f>berekeningen!P24*$C97/100</f>
        <v>0</v>
      </c>
      <c r="X97" s="366">
        <f>berekeningen!Q24*$C97/100</f>
        <v>0</v>
      </c>
      <c r="Y97" s="366">
        <f>berekeningen!R24*$C97/100</f>
        <v>0</v>
      </c>
      <c r="Z97" s="382">
        <f>berekeningen!S24*$C97/100</f>
        <v>0</v>
      </c>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111">
        <f>B26</f>
        <v>41</v>
      </c>
      <c r="C98" s="1573">
        <v>0.55000000000000004</v>
      </c>
      <c r="D98" s="113"/>
      <c r="E98" s="114" t="str">
        <f>E26</f>
        <v>Aanvoervulstof</v>
      </c>
      <c r="F98" s="113"/>
      <c r="G98" s="113"/>
      <c r="H98" s="114" t="str">
        <f>H26</f>
        <v>IIa</v>
      </c>
      <c r="I98" s="113"/>
      <c r="J98" s="113"/>
      <c r="K98" s="367">
        <f>berekeningen!D25*$C98/100</f>
        <v>0.55000000000000004</v>
      </c>
      <c r="L98" s="367">
        <f>berekeningen!E25*$C98/100</f>
        <v>0.55000000000000004</v>
      </c>
      <c r="M98" s="367">
        <f>berekeningen!F25*$C98/100</f>
        <v>0.55000000000000004</v>
      </c>
      <c r="N98" s="367">
        <f>berekeningen!G25*$C98/100</f>
        <v>0.55000000000000004</v>
      </c>
      <c r="O98" s="367">
        <f>berekeningen!H25*$C98/100</f>
        <v>0.55000000000000004</v>
      </c>
      <c r="P98" s="367">
        <f>berekeningen!I25*$C98/100</f>
        <v>0.55000000000000004</v>
      </c>
      <c r="Q98" s="367">
        <f>berekeningen!J25*$C98/100</f>
        <v>0.55000000000000004</v>
      </c>
      <c r="R98" s="367">
        <f>berekeningen!K25*$C98/100</f>
        <v>0.55000000000000004</v>
      </c>
      <c r="S98" s="367">
        <f>berekeningen!L25*$C98/100</f>
        <v>0.55000000000000004</v>
      </c>
      <c r="T98" s="367">
        <f>berekeningen!M25*$C98/100</f>
        <v>0.55000000000000004</v>
      </c>
      <c r="U98" s="367">
        <f>berekeningen!N25*$C98/100</f>
        <v>0.55000000000000004</v>
      </c>
      <c r="V98" s="367">
        <f>berekeningen!O25*$C98/100</f>
        <v>0.54449999999999998</v>
      </c>
      <c r="W98" s="367">
        <f>berekeningen!P25*$C98/100</f>
        <v>0.53900000000000003</v>
      </c>
      <c r="X98" s="367">
        <f>berekeningen!Q25*$C98/100</f>
        <v>0.53349999999999997</v>
      </c>
      <c r="Y98" s="367">
        <f>berekeningen!R25*$C98/100</f>
        <v>0.49500000000000005</v>
      </c>
      <c r="Z98" s="383">
        <f>berekeningen!S25*$C98/100</f>
        <v>0.46750000000000008</v>
      </c>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7">
        <f>B27</f>
        <v>0</v>
      </c>
      <c r="C99" s="1574">
        <v>0</v>
      </c>
      <c r="D99" s="49"/>
      <c r="E99" s="71" t="str">
        <f>E27</f>
        <v/>
      </c>
      <c r="F99" s="49"/>
      <c r="G99" s="49"/>
      <c r="H99" s="71" t="str">
        <f>H27</f>
        <v/>
      </c>
      <c r="I99" s="32"/>
      <c r="J99" s="32"/>
      <c r="K99" s="365">
        <f>berekeningen!D26*$C99/100</f>
        <v>0</v>
      </c>
      <c r="L99" s="365">
        <f>berekeningen!E26*$C99/100</f>
        <v>0</v>
      </c>
      <c r="M99" s="365">
        <f>berekeningen!F26*$C99/100</f>
        <v>0</v>
      </c>
      <c r="N99" s="365">
        <f>berekeningen!G26*$C99/100</f>
        <v>0</v>
      </c>
      <c r="O99" s="365">
        <f>berekeningen!H26*$C99/100</f>
        <v>0</v>
      </c>
      <c r="P99" s="365">
        <f>berekeningen!I26*$C99/100</f>
        <v>0</v>
      </c>
      <c r="Q99" s="365">
        <f>berekeningen!J26*$C99/100</f>
        <v>0</v>
      </c>
      <c r="R99" s="365">
        <f>berekeningen!K26*$C99/100</f>
        <v>0</v>
      </c>
      <c r="S99" s="365">
        <f>berekeningen!L26*$C99/100</f>
        <v>0</v>
      </c>
      <c r="T99" s="365">
        <f>berekeningen!M26*$C99/100</f>
        <v>0</v>
      </c>
      <c r="U99" s="365">
        <f>berekeningen!N26*$C99/100</f>
        <v>0</v>
      </c>
      <c r="V99" s="365">
        <f>berekeningen!O26*$C99/100</f>
        <v>0</v>
      </c>
      <c r="W99" s="365">
        <f>berekeningen!P26*$C99/100</f>
        <v>0</v>
      </c>
      <c r="X99" s="365">
        <f>berekeningen!Q26*$C99/100</f>
        <v>0</v>
      </c>
      <c r="Y99" s="365">
        <f>berekeningen!R26*$C99/100</f>
        <v>0</v>
      </c>
      <c r="Z99" s="381">
        <f>berekeningen!S26*$C99/100</f>
        <v>0</v>
      </c>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ht="14.5" thickBot="1" x14ac:dyDescent="0.35">
      <c r="A100" s="4"/>
      <c r="B100" s="116">
        <f>B29</f>
        <v>0</v>
      </c>
      <c r="C100" s="1572">
        <v>1</v>
      </c>
      <c r="D100" s="118"/>
      <c r="E100" s="119" t="str">
        <f>E29</f>
        <v>Extra teruggew. stof</v>
      </c>
      <c r="F100" s="118"/>
      <c r="G100" s="118"/>
      <c r="H100" s="119"/>
      <c r="I100" s="118"/>
      <c r="J100" s="118"/>
      <c r="K100" s="368">
        <f>berekeningen!D27*$C100/100</f>
        <v>1</v>
      </c>
      <c r="L100" s="368">
        <f>berekeningen!E27*$C100/100</f>
        <v>1</v>
      </c>
      <c r="M100" s="368">
        <f>berekeningen!F27*$C100/100</f>
        <v>1</v>
      </c>
      <c r="N100" s="368">
        <f>berekeningen!G27*$C100/100</f>
        <v>1</v>
      </c>
      <c r="O100" s="368">
        <f>berekeningen!H27*$C100/100</f>
        <v>1</v>
      </c>
      <c r="P100" s="368">
        <f>berekeningen!I27*$C100/100</f>
        <v>1</v>
      </c>
      <c r="Q100" s="368">
        <f>berekeningen!J27*$C100/100</f>
        <v>1</v>
      </c>
      <c r="R100" s="368">
        <f>berekeningen!K27*$C100/100</f>
        <v>1</v>
      </c>
      <c r="S100" s="368">
        <f>berekeningen!L27*$C100/100</f>
        <v>1</v>
      </c>
      <c r="T100" s="368">
        <f>berekeningen!M27*$C100/100</f>
        <v>1</v>
      </c>
      <c r="U100" s="368">
        <f>berekeningen!N27*$C100/100</f>
        <v>1</v>
      </c>
      <c r="V100" s="368">
        <f>berekeningen!O27*$C100/100</f>
        <v>1</v>
      </c>
      <c r="W100" s="368">
        <f>berekeningen!P27*$C100/100</f>
        <v>1</v>
      </c>
      <c r="X100" s="368">
        <f>berekeningen!Q27*$C100/100</f>
        <v>1</v>
      </c>
      <c r="Y100" s="368">
        <f>berekeningen!R27*$C100/100</f>
        <v>1</v>
      </c>
      <c r="Z100" s="384">
        <f>berekeningen!S27*$C100/100</f>
        <v>1</v>
      </c>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7">
        <f>B56</f>
        <v>71</v>
      </c>
      <c r="C101" s="313">
        <f>berekeningen!J11</f>
        <v>29.641185647425896</v>
      </c>
      <c r="D101" s="49"/>
      <c r="E101" s="71" t="str">
        <f>samenstelling!E56</f>
        <v>Asfaltgranulaat</v>
      </c>
      <c r="F101" s="49"/>
      <c r="G101" s="49"/>
      <c r="H101" s="71" t="str">
        <f>samenstelling!H56</f>
        <v>40 RA 0/14mm HE</v>
      </c>
      <c r="I101" s="49"/>
      <c r="J101" s="49"/>
      <c r="K101" s="369">
        <f>berekeningen!D28*$C101/100</f>
        <v>29.641185647425896</v>
      </c>
      <c r="L101" s="369">
        <f>berekeningen!E28*$C101/100</f>
        <v>29.641185647425896</v>
      </c>
      <c r="M101" s="369">
        <f>berekeningen!F28*$C101/100</f>
        <v>29.641185647425896</v>
      </c>
      <c r="N101" s="369">
        <f>berekeningen!G28*$C101/100</f>
        <v>29.641185647425896</v>
      </c>
      <c r="O101" s="369">
        <f>berekeningen!H28*$C101/100</f>
        <v>29.641185647425896</v>
      </c>
      <c r="P101" s="369">
        <f>berekeningen!I28*$C101/100</f>
        <v>29.641185647425896</v>
      </c>
      <c r="Q101" s="369">
        <f>berekeningen!J28*$C101/100</f>
        <v>29.641185647425896</v>
      </c>
      <c r="R101" s="369">
        <f>berekeningen!K28*$C101/100</f>
        <v>26.677067082683308</v>
      </c>
      <c r="S101" s="369">
        <f>berekeningen!L28*$C101/100</f>
        <v>23.712948517940717</v>
      </c>
      <c r="T101" s="369">
        <f>berekeningen!M28*$C101/100</f>
        <v>20.748829953198129</v>
      </c>
      <c r="U101" s="369">
        <f>berekeningen!N28*$C101/100</f>
        <v>17.784711388455538</v>
      </c>
      <c r="V101" s="369">
        <f>berekeningen!O28*$C101/100</f>
        <v>14.820592823712948</v>
      </c>
      <c r="W101" s="369">
        <f>berekeningen!P28*$C101/100</f>
        <v>11.856474258970358</v>
      </c>
      <c r="X101" s="369">
        <f>berekeningen!Q28*$C101/100</f>
        <v>8.8923556942277688</v>
      </c>
      <c r="Y101" s="369">
        <f>berekeningen!R28*$C101/100</f>
        <v>5.9282371294851792</v>
      </c>
      <c r="Z101" s="385">
        <f>berekeningen!S28*$C101/100</f>
        <v>2.9641185647425896</v>
      </c>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7">
        <f t="shared" ref="B102:B103" si="12">B57</f>
        <v>0</v>
      </c>
      <c r="C102" s="313">
        <f>berekeningen!J12</f>
        <v>0</v>
      </c>
      <c r="D102" s="49"/>
      <c r="E102" s="71" t="str">
        <f>samenstelling!E57</f>
        <v/>
      </c>
      <c r="F102" s="49"/>
      <c r="G102" s="49"/>
      <c r="H102" s="71" t="str">
        <f>samenstelling!H57</f>
        <v/>
      </c>
      <c r="I102" s="32"/>
      <c r="J102" s="32"/>
      <c r="K102" s="365">
        <f>berekeningen!D29*$C102/100</f>
        <v>0</v>
      </c>
      <c r="L102" s="365">
        <f>berekeningen!E29*$C102/100</f>
        <v>0</v>
      </c>
      <c r="M102" s="365">
        <f>berekeningen!F29*$C102/100</f>
        <v>0</v>
      </c>
      <c r="N102" s="365">
        <f>berekeningen!G29*$C102/100</f>
        <v>0</v>
      </c>
      <c r="O102" s="365">
        <f>berekeningen!H29*$C102/100</f>
        <v>0</v>
      </c>
      <c r="P102" s="365">
        <f>berekeningen!I29*$C102/100</f>
        <v>0</v>
      </c>
      <c r="Q102" s="365">
        <f>berekeningen!J29*$C102/100</f>
        <v>0</v>
      </c>
      <c r="R102" s="365">
        <f>berekeningen!K29*$C102/100</f>
        <v>0</v>
      </c>
      <c r="S102" s="365">
        <f>berekeningen!L29*$C102/100</f>
        <v>0</v>
      </c>
      <c r="T102" s="365">
        <f>berekeningen!M29*$C102/100</f>
        <v>0</v>
      </c>
      <c r="U102" s="365">
        <f>berekeningen!N29*$C102/100</f>
        <v>0</v>
      </c>
      <c r="V102" s="365">
        <f>berekeningen!O29*$C102/100</f>
        <v>0</v>
      </c>
      <c r="W102" s="365">
        <f>berekeningen!P29*$C102/100</f>
        <v>0</v>
      </c>
      <c r="X102" s="365">
        <f>berekeningen!Q29*$C102/100</f>
        <v>0</v>
      </c>
      <c r="Y102" s="365">
        <f>berekeningen!R29*$C102/100</f>
        <v>0</v>
      </c>
      <c r="Z102" s="381">
        <f>berekeningen!S29*$C102/100</f>
        <v>0</v>
      </c>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ht="14.5" thickBot="1" x14ac:dyDescent="0.35">
      <c r="A103" s="4"/>
      <c r="B103" s="47">
        <f t="shared" si="12"/>
        <v>0</v>
      </c>
      <c r="C103" s="313">
        <f>berekeningen!J13</f>
        <v>0</v>
      </c>
      <c r="D103" s="49"/>
      <c r="E103" s="71" t="str">
        <f>samenstelling!E58</f>
        <v/>
      </c>
      <c r="F103" s="49"/>
      <c r="G103" s="49"/>
      <c r="H103" s="71" t="str">
        <f>samenstelling!H58</f>
        <v/>
      </c>
      <c r="I103" s="43"/>
      <c r="J103" s="43"/>
      <c r="K103" s="366">
        <f>berekeningen!D30*$C103/100</f>
        <v>0</v>
      </c>
      <c r="L103" s="366">
        <f>berekeningen!E30*$C103/100</f>
        <v>0</v>
      </c>
      <c r="M103" s="366">
        <f>berekeningen!F30*$C103/100</f>
        <v>0</v>
      </c>
      <c r="N103" s="366">
        <f>berekeningen!G30*$C103/100</f>
        <v>0</v>
      </c>
      <c r="O103" s="366">
        <f>berekeningen!H30*$C103/100</f>
        <v>0</v>
      </c>
      <c r="P103" s="366">
        <f>berekeningen!I30*$C103/100</f>
        <v>0</v>
      </c>
      <c r="Q103" s="366">
        <f>berekeningen!J30*$C103/100</f>
        <v>0</v>
      </c>
      <c r="R103" s="366">
        <f>berekeningen!K30*$C103/100</f>
        <v>0</v>
      </c>
      <c r="S103" s="366">
        <f>berekeningen!L30*$C103/100</f>
        <v>0</v>
      </c>
      <c r="T103" s="366">
        <f>berekeningen!M30*$C103/100</f>
        <v>0</v>
      </c>
      <c r="U103" s="366">
        <f>berekeningen!N30*$C103/100</f>
        <v>0</v>
      </c>
      <c r="V103" s="366">
        <f>berekeningen!O30*$C103/100</f>
        <v>0</v>
      </c>
      <c r="W103" s="366">
        <f>berekeningen!P30*$C103/100</f>
        <v>0</v>
      </c>
      <c r="X103" s="366">
        <f>berekeningen!Q30*$C103/100</f>
        <v>0</v>
      </c>
      <c r="Y103" s="366">
        <f>berekeningen!R30*$C103/100</f>
        <v>0</v>
      </c>
      <c r="Z103" s="382">
        <f>berekeningen!S30*$C103/100</f>
        <v>0</v>
      </c>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x14ac:dyDescent="0.3">
      <c r="A104" s="4"/>
      <c r="B104" s="111">
        <f>B70</f>
        <v>83</v>
      </c>
      <c r="C104" s="314">
        <f>C70</f>
        <v>2.82</v>
      </c>
      <c r="D104" s="113"/>
      <c r="E104" s="114" t="str">
        <f>E70</f>
        <v>Rode kleurstof</v>
      </c>
      <c r="F104" s="113"/>
      <c r="G104" s="113"/>
      <c r="H104" s="114" t="str">
        <f>H70</f>
        <v>Bayferrox 130</v>
      </c>
      <c r="I104" s="113"/>
      <c r="J104" s="113"/>
      <c r="K104" s="367">
        <f>berekeningen!D31*$C104/100</f>
        <v>2.82</v>
      </c>
      <c r="L104" s="367">
        <f>berekeningen!E31*$C104/100</f>
        <v>2.82</v>
      </c>
      <c r="M104" s="367">
        <f>berekeningen!F31*$C104/100</f>
        <v>2.82</v>
      </c>
      <c r="N104" s="367">
        <f>berekeningen!G31*$C104/100</f>
        <v>2.82</v>
      </c>
      <c r="O104" s="367">
        <f>berekeningen!H31*$C104/100</f>
        <v>2.82</v>
      </c>
      <c r="P104" s="367">
        <f>berekeningen!I31*$C104/100</f>
        <v>2.82</v>
      </c>
      <c r="Q104" s="367">
        <f>berekeningen!J31*$C104/100</f>
        <v>2.82</v>
      </c>
      <c r="R104" s="367">
        <f>berekeningen!K31*$C104/100</f>
        <v>2.82</v>
      </c>
      <c r="S104" s="367">
        <f>berekeningen!L31*$C104/100</f>
        <v>2.82</v>
      </c>
      <c r="T104" s="367">
        <f>berekeningen!M31*$C104/100</f>
        <v>2.82</v>
      </c>
      <c r="U104" s="367">
        <f>berekeningen!N31*$C104/100</f>
        <v>2.82</v>
      </c>
      <c r="V104" s="367">
        <f>berekeningen!O31*$C104/100</f>
        <v>2.82</v>
      </c>
      <c r="W104" s="367">
        <f>berekeningen!P31*$C104/100</f>
        <v>2.82</v>
      </c>
      <c r="X104" s="367">
        <f>berekeningen!Q31*$C104/100</f>
        <v>2.82</v>
      </c>
      <c r="Y104" s="367">
        <f>berekeningen!R31*$C104/100</f>
        <v>2.82</v>
      </c>
      <c r="Z104" s="383">
        <f>berekeningen!S31*$C104/100</f>
        <v>2.82</v>
      </c>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x14ac:dyDescent="0.3">
      <c r="A105" s="4"/>
      <c r="B105" s="31">
        <f t="shared" ref="B105:C105" si="13">B71</f>
        <v>0</v>
      </c>
      <c r="C105" s="158">
        <f t="shared" si="13"/>
        <v>0</v>
      </c>
      <c r="D105" s="32"/>
      <c r="E105" s="57" t="str">
        <f t="shared" ref="E105:E108" si="14">E71</f>
        <v/>
      </c>
      <c r="F105" s="32"/>
      <c r="G105" s="32"/>
      <c r="H105" s="57" t="str">
        <f t="shared" ref="H105:H108" si="15">H71</f>
        <v/>
      </c>
      <c r="I105" s="32"/>
      <c r="J105" s="32"/>
      <c r="K105" s="365">
        <f>berekeningen!D32*$C105/100</f>
        <v>0</v>
      </c>
      <c r="L105" s="365">
        <f>berekeningen!E32*$C105/100</f>
        <v>0</v>
      </c>
      <c r="M105" s="365">
        <f>berekeningen!F32*$C105/100</f>
        <v>0</v>
      </c>
      <c r="N105" s="365">
        <f>berekeningen!G32*$C105/100</f>
        <v>0</v>
      </c>
      <c r="O105" s="365">
        <f>berekeningen!H32*$C105/100</f>
        <v>0</v>
      </c>
      <c r="P105" s="365">
        <f>berekeningen!I32*$C105/100</f>
        <v>0</v>
      </c>
      <c r="Q105" s="365">
        <f>berekeningen!J32*$C105/100</f>
        <v>0</v>
      </c>
      <c r="R105" s="365">
        <f>berekeningen!K32*$C105/100</f>
        <v>0</v>
      </c>
      <c r="S105" s="365">
        <f>berekeningen!L32*$C105/100</f>
        <v>0</v>
      </c>
      <c r="T105" s="365">
        <f>berekeningen!M32*$C105/100</f>
        <v>0</v>
      </c>
      <c r="U105" s="365">
        <f>berekeningen!N32*$C105/100</f>
        <v>0</v>
      </c>
      <c r="V105" s="365">
        <f>berekeningen!O32*$C105/100</f>
        <v>0</v>
      </c>
      <c r="W105" s="365">
        <f>berekeningen!P32*$C105/100</f>
        <v>0</v>
      </c>
      <c r="X105" s="365">
        <f>berekeningen!Q32*$C105/100</f>
        <v>0</v>
      </c>
      <c r="Y105" s="365">
        <f>berekeningen!R32*$C105/100</f>
        <v>0</v>
      </c>
      <c r="Z105" s="381">
        <f>berekeningen!S32*$C105/100</f>
        <v>0</v>
      </c>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x14ac:dyDescent="0.3">
      <c r="A106" s="4"/>
      <c r="B106" s="31">
        <f t="shared" ref="B106:C106" si="16">B72</f>
        <v>0</v>
      </c>
      <c r="C106" s="158">
        <f t="shared" si="16"/>
        <v>0</v>
      </c>
      <c r="D106" s="32"/>
      <c r="E106" s="57" t="str">
        <f t="shared" si="14"/>
        <v/>
      </c>
      <c r="F106" s="32"/>
      <c r="G106" s="32"/>
      <c r="H106" s="57" t="str">
        <f t="shared" si="15"/>
        <v/>
      </c>
      <c r="I106" s="32"/>
      <c r="J106" s="32"/>
      <c r="K106" s="365">
        <f>berekeningen!D33*$C106/100</f>
        <v>0</v>
      </c>
      <c r="L106" s="365">
        <f>berekeningen!E33*$C106/100</f>
        <v>0</v>
      </c>
      <c r="M106" s="365">
        <f>berekeningen!F33*$C106/100</f>
        <v>0</v>
      </c>
      <c r="N106" s="365">
        <f>berekeningen!G33*$C106/100</f>
        <v>0</v>
      </c>
      <c r="O106" s="365">
        <f>berekeningen!H33*$C106/100</f>
        <v>0</v>
      </c>
      <c r="P106" s="365">
        <f>berekeningen!I33*$C106/100</f>
        <v>0</v>
      </c>
      <c r="Q106" s="365">
        <f>berekeningen!J33*$C106/100</f>
        <v>0</v>
      </c>
      <c r="R106" s="365">
        <f>berekeningen!K33*$C106/100</f>
        <v>0</v>
      </c>
      <c r="S106" s="365">
        <f>berekeningen!L33*$C106/100</f>
        <v>0</v>
      </c>
      <c r="T106" s="365">
        <f>berekeningen!M33*$C106/100</f>
        <v>0</v>
      </c>
      <c r="U106" s="365">
        <f>berekeningen!N33*$C106/100</f>
        <v>0</v>
      </c>
      <c r="V106" s="365">
        <f>berekeningen!O33*$C106/100</f>
        <v>0</v>
      </c>
      <c r="W106" s="365">
        <f>berekeningen!P33*$C106/100</f>
        <v>0</v>
      </c>
      <c r="X106" s="365">
        <f>berekeningen!Q33*$C106/100</f>
        <v>0</v>
      </c>
      <c r="Y106" s="365">
        <f>berekeningen!R33*$C106/100</f>
        <v>0</v>
      </c>
      <c r="Z106" s="381">
        <f>berekeningen!S33*$C106/100</f>
        <v>0</v>
      </c>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x14ac:dyDescent="0.3">
      <c r="A107" s="4"/>
      <c r="B107" s="31">
        <f t="shared" ref="B107:B108" si="17">B73</f>
        <v>96</v>
      </c>
      <c r="C107" s="158">
        <f>berekeningen!G54</f>
        <v>8.8550000000000004E-2</v>
      </c>
      <c r="D107" s="32"/>
      <c r="E107" s="57" t="str">
        <f t="shared" si="14"/>
        <v>Trinidad</v>
      </c>
      <c r="F107" s="32"/>
      <c r="G107" s="32"/>
      <c r="H107" s="57" t="str">
        <f t="shared" si="15"/>
        <v>Epurée Z0/8</v>
      </c>
      <c r="I107" s="32"/>
      <c r="J107" s="32"/>
      <c r="K107" s="365">
        <f>berekeningen!D34*$C107/100</f>
        <v>8.8550000000000004E-2</v>
      </c>
      <c r="L107" s="365">
        <f>berekeningen!E34*$C107/100</f>
        <v>8.8550000000000004E-2</v>
      </c>
      <c r="M107" s="365">
        <f>berekeningen!F34*$C107/100</f>
        <v>8.8550000000000004E-2</v>
      </c>
      <c r="N107" s="365">
        <f>berekeningen!G34*$C107/100</f>
        <v>8.8550000000000004E-2</v>
      </c>
      <c r="O107" s="365">
        <f>berekeningen!H34*$C107/100</f>
        <v>8.8550000000000004E-2</v>
      </c>
      <c r="P107" s="365">
        <f>berekeningen!I34*$C107/100</f>
        <v>8.8550000000000004E-2</v>
      </c>
      <c r="Q107" s="365">
        <f>berekeningen!J34*$C107/100</f>
        <v>8.8550000000000004E-2</v>
      </c>
      <c r="R107" s="365">
        <f>berekeningen!K34*$C107/100</f>
        <v>8.8550000000000004E-2</v>
      </c>
      <c r="S107" s="365">
        <f>berekeningen!L34*$C107/100</f>
        <v>8.8550000000000004E-2</v>
      </c>
      <c r="T107" s="365">
        <f>berekeningen!M34*$C107/100</f>
        <v>8.8550000000000004E-2</v>
      </c>
      <c r="U107" s="365">
        <f>berekeningen!N34*$C107/100</f>
        <v>8.8550000000000004E-2</v>
      </c>
      <c r="V107" s="365">
        <f>berekeningen!O34*$C107/100</f>
        <v>8.8550000000000004E-2</v>
      </c>
      <c r="W107" s="365">
        <f>berekeningen!P34*$C107/100</f>
        <v>8.8550000000000004E-2</v>
      </c>
      <c r="X107" s="365">
        <f>berekeningen!Q34*$C107/100</f>
        <v>8.8550000000000004E-2</v>
      </c>
      <c r="Y107" s="365">
        <f>berekeningen!R34*$C107/100</f>
        <v>8.4122500000000003E-2</v>
      </c>
      <c r="Z107" s="381">
        <f>berekeningen!S34*$C107/100</f>
        <v>7.9695000000000002E-2</v>
      </c>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thickBot="1" x14ac:dyDescent="0.35">
      <c r="A108" s="4"/>
      <c r="B108" s="33">
        <f t="shared" si="17"/>
        <v>0</v>
      </c>
      <c r="C108" s="315">
        <f>berekeningen!G55</f>
        <v>0</v>
      </c>
      <c r="D108" s="34"/>
      <c r="E108" s="59" t="str">
        <f t="shared" si="14"/>
        <v/>
      </c>
      <c r="F108" s="34"/>
      <c r="G108" s="34"/>
      <c r="H108" s="59" t="str">
        <f t="shared" si="15"/>
        <v/>
      </c>
      <c r="I108" s="34"/>
      <c r="J108" s="34"/>
      <c r="K108" s="370">
        <f>berekeningen!D35*$C108/100</f>
        <v>0</v>
      </c>
      <c r="L108" s="370">
        <f>berekeningen!E35*$C108/100</f>
        <v>0</v>
      </c>
      <c r="M108" s="370">
        <f>berekeningen!F35*$C108/100</f>
        <v>0</v>
      </c>
      <c r="N108" s="370">
        <f>berekeningen!G35*$C108/100</f>
        <v>0</v>
      </c>
      <c r="O108" s="370">
        <f>berekeningen!H35*$C108/100</f>
        <v>0</v>
      </c>
      <c r="P108" s="370">
        <f>berekeningen!I35*$C108/100</f>
        <v>0</v>
      </c>
      <c r="Q108" s="370">
        <f>berekeningen!J35*$C108/100</f>
        <v>0</v>
      </c>
      <c r="R108" s="370">
        <f>berekeningen!K35*$C108/100</f>
        <v>0</v>
      </c>
      <c r="S108" s="370">
        <f>berekeningen!L35*$C108/100</f>
        <v>0</v>
      </c>
      <c r="T108" s="370">
        <f>berekeningen!M35*$C108/100</f>
        <v>0</v>
      </c>
      <c r="U108" s="370">
        <f>berekeningen!N35*$C108/100</f>
        <v>0</v>
      </c>
      <c r="V108" s="370">
        <f>berekeningen!O35*$C108/100</f>
        <v>0</v>
      </c>
      <c r="W108" s="370">
        <f>berekeningen!P35*$C108/100</f>
        <v>0</v>
      </c>
      <c r="X108" s="370">
        <f>berekeningen!Q35*$C108/100</f>
        <v>0</v>
      </c>
      <c r="Y108" s="370">
        <f>berekeningen!R35*$C108/100</f>
        <v>0</v>
      </c>
      <c r="Z108" s="386">
        <f>berekeningen!S35*$C108/100</f>
        <v>0</v>
      </c>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thickTop="1" x14ac:dyDescent="0.3">
      <c r="A109" s="4"/>
      <c r="B109" s="2"/>
      <c r="C109" s="316">
        <f>SUM(C88:C108)</f>
        <v>99.999735647425894</v>
      </c>
      <c r="D109" s="2"/>
      <c r="E109" s="60" t="s">
        <v>399</v>
      </c>
      <c r="F109" s="2"/>
      <c r="G109" s="2"/>
      <c r="H109" s="60"/>
      <c r="I109" s="2"/>
      <c r="J109" s="2"/>
      <c r="K109" s="371">
        <f t="shared" ref="K109:Z109" si="18">SUM(K88:K108)</f>
        <v>99.999735647425894</v>
      </c>
      <c r="L109" s="371">
        <f t="shared" si="18"/>
        <v>99.999735647425894</v>
      </c>
      <c r="M109" s="371">
        <f t="shared" si="18"/>
        <v>99.948735647425877</v>
      </c>
      <c r="N109" s="371">
        <f t="shared" si="18"/>
        <v>97.500735647425884</v>
      </c>
      <c r="O109" s="371">
        <f t="shared" si="18"/>
        <v>95.868735647425879</v>
      </c>
      <c r="P109" s="371">
        <f t="shared" si="18"/>
        <v>92.553735647425881</v>
      </c>
      <c r="Q109" s="371">
        <f t="shared" si="18"/>
        <v>89.666735647425881</v>
      </c>
      <c r="R109" s="371">
        <f t="shared" si="18"/>
        <v>68.318617082683289</v>
      </c>
      <c r="S109" s="371">
        <f t="shared" si="18"/>
        <v>47.600398517940718</v>
      </c>
      <c r="T109" s="371">
        <f t="shared" si="18"/>
        <v>38.531179953198126</v>
      </c>
      <c r="U109" s="371">
        <f t="shared" si="18"/>
        <v>28.32396138845554</v>
      </c>
      <c r="V109" s="371">
        <f t="shared" si="18"/>
        <v>23.058242823712948</v>
      </c>
      <c r="W109" s="371">
        <f t="shared" si="18"/>
        <v>18.557524258970361</v>
      </c>
      <c r="X109" s="371">
        <f t="shared" si="18"/>
        <v>14.974805694227769</v>
      </c>
      <c r="Y109" s="371">
        <f t="shared" si="18"/>
        <v>11.405659629485179</v>
      </c>
      <c r="Z109" s="387">
        <f t="shared" si="18"/>
        <v>7.8679135647425893</v>
      </c>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6" t="s">
        <v>227</v>
      </c>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x14ac:dyDescent="0.3">
      <c r="A112" s="4"/>
      <c r="B112" s="2" t="s">
        <v>226</v>
      </c>
      <c r="C112" s="2"/>
      <c r="D112" s="2"/>
      <c r="E112" s="2"/>
      <c r="F112" s="2"/>
      <c r="G112" s="2178" t="s">
        <v>769</v>
      </c>
      <c r="H112" s="2178"/>
      <c r="I112" s="2178"/>
      <c r="J112" s="2178"/>
      <c r="K112" s="2178"/>
      <c r="L112" s="2178"/>
      <c r="M112" s="2178"/>
      <c r="N112" s="2178"/>
      <c r="O112" s="2178"/>
      <c r="P112" s="2178"/>
      <c r="Q112" s="2178"/>
      <c r="R112" s="2178"/>
      <c r="S112" s="2178"/>
      <c r="T112" s="2178"/>
      <c r="U112" s="2178"/>
      <c r="V112" s="2178"/>
      <c r="W112" s="2178"/>
      <c r="X112" s="2178"/>
      <c r="Y112" s="2178"/>
      <c r="Z112" s="2178"/>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x14ac:dyDescent="0.3">
      <c r="A115" s="4"/>
      <c r="B115" s="5" t="s">
        <v>216</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ht="14.5" x14ac:dyDescent="0.35">
      <c r="A116" s="4"/>
      <c r="B116" s="49" t="s">
        <v>260</v>
      </c>
      <c r="C116" s="49"/>
      <c r="D116" s="49"/>
      <c r="E116" s="49"/>
      <c r="F116" s="49"/>
      <c r="G116" s="49"/>
      <c r="H116" s="4"/>
      <c r="I116" s="49" t="s">
        <v>286</v>
      </c>
      <c r="J116" s="49"/>
      <c r="K116" s="49"/>
      <c r="L116" s="49"/>
      <c r="M116" s="49"/>
      <c r="N116" s="4"/>
      <c r="O116" s="4"/>
      <c r="P116" s="134" t="s">
        <v>1429</v>
      </c>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2">
        <f>berekeningen!O9</f>
        <v>1</v>
      </c>
      <c r="C117" s="2" t="s">
        <v>265</v>
      </c>
      <c r="D117" s="2"/>
      <c r="E117" s="1431">
        <f>(HLOOKUP(B117,K$87:Z$109,23,FALSE)-berekeningen!D$46)*100/berekeningen!D$45</f>
        <v>74.27276090904698</v>
      </c>
      <c r="F117" s="2"/>
      <c r="G117" s="2"/>
      <c r="H117" s="4"/>
      <c r="I117" s="2"/>
      <c r="J117" s="2"/>
      <c r="K117" s="2"/>
      <c r="L117" s="3" t="s">
        <v>1428</v>
      </c>
      <c r="M117" s="67">
        <f>berekeningen!AP37/berekeningen!D45*100</f>
        <v>40.371409821500478</v>
      </c>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2">
        <f>berekeningen!P9</f>
        <v>0.5</v>
      </c>
      <c r="C118" s="2" t="s">
        <v>265</v>
      </c>
      <c r="D118" s="2"/>
      <c r="E118" s="1431">
        <f>(HLOOKUP(B118,K$87:Z$109,23,FALSE)-berekeningen!D$46)*100/berekeningen!D$45</f>
        <v>52.266602373633262</v>
      </c>
      <c r="F118" s="2"/>
      <c r="G118" s="2"/>
      <c r="H118" s="4"/>
      <c r="I118" s="2"/>
      <c r="J118" s="2"/>
      <c r="K118" s="2"/>
      <c r="L118" s="3" t="s">
        <v>285</v>
      </c>
      <c r="M118" s="1695">
        <f>100-M117</f>
        <v>59.628590178499522</v>
      </c>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row>
    <row r="119" spans="1:60" x14ac:dyDescent="0.3">
      <c r="A119" s="4"/>
      <c r="B119" s="2">
        <f>berekeningen!Q9</f>
        <v>0.25</v>
      </c>
      <c r="C119" s="2" t="s">
        <v>265</v>
      </c>
      <c r="D119" s="2"/>
      <c r="E119" s="1431">
        <f>(HLOOKUP(B119,K$87:Z$109,23,FALSE)-berekeningen!D$46)*100/berekeningen!D$45</f>
        <v>34.748983444709054</v>
      </c>
      <c r="F119" s="2"/>
      <c r="G119" s="2"/>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row>
    <row r="120" spans="1:60" x14ac:dyDescent="0.3">
      <c r="A120" s="4"/>
      <c r="B120" s="2">
        <f>berekeningen!R9</f>
        <v>0.125</v>
      </c>
      <c r="C120" s="2" t="s">
        <v>265</v>
      </c>
      <c r="D120" s="2"/>
      <c r="E120" s="1431">
        <f>(HLOOKUP(B120,K$87:Z$109,23,FALSE)-berekeningen!D$46)*100/berekeningen!D$45</f>
        <v>17.297726938234824</v>
      </c>
      <c r="F120" s="2"/>
      <c r="G120" s="2"/>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row>
    <row r="121" spans="1:60"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row>
    <row r="122" spans="1:60"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row>
    <row r="123" spans="1:60" x14ac:dyDescent="0.3">
      <c r="A123" s="4"/>
      <c r="B123" s="5" t="s">
        <v>210</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row>
    <row r="124" spans="1:60" ht="14.5" x14ac:dyDescent="0.35">
      <c r="A124" s="4"/>
      <c r="B124" s="28" t="s">
        <v>114</v>
      </c>
      <c r="C124" s="2033" t="s">
        <v>266</v>
      </c>
      <c r="D124" s="2033"/>
      <c r="E124" s="2033"/>
      <c r="F124" s="2033"/>
      <c r="G124" s="2033" t="s">
        <v>131</v>
      </c>
      <c r="H124" s="2033"/>
      <c r="I124" s="2033"/>
      <c r="J124" s="2033" t="s">
        <v>139</v>
      </c>
      <c r="K124" s="2033"/>
      <c r="L124" s="2033"/>
      <c r="M124" s="2033" t="s">
        <v>122</v>
      </c>
      <c r="N124" s="2033"/>
      <c r="O124" s="2033" t="s">
        <v>133</v>
      </c>
      <c r="P124" s="2033"/>
      <c r="Q124" s="4"/>
      <c r="R124" s="4"/>
      <c r="S124" s="2" t="s">
        <v>1230</v>
      </c>
      <c r="T124" s="2"/>
      <c r="U124" s="2"/>
      <c r="V124" s="2"/>
      <c r="W124" s="2"/>
      <c r="X124" s="2"/>
      <c r="Y124" s="2"/>
      <c r="Z124" s="2"/>
      <c r="AA124" s="152">
        <f>berekeningen!W39</f>
        <v>3.05122851704447</v>
      </c>
      <c r="AB124" s="6" t="s">
        <v>1433</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row>
    <row r="125" spans="1:60" ht="15" thickBot="1" x14ac:dyDescent="0.4">
      <c r="A125" s="4"/>
      <c r="B125" s="28"/>
      <c r="C125" s="81" t="s">
        <v>268</v>
      </c>
      <c r="D125" s="79"/>
      <c r="E125" s="81" t="s">
        <v>267</v>
      </c>
      <c r="F125" s="80"/>
      <c r="G125" s="2"/>
      <c r="H125" s="2"/>
      <c r="I125" s="2"/>
      <c r="J125" s="2"/>
      <c r="K125" s="2"/>
      <c r="L125" s="2"/>
      <c r="M125" s="2033" t="s">
        <v>418</v>
      </c>
      <c r="N125" s="2033"/>
      <c r="O125" s="2033" t="s">
        <v>132</v>
      </c>
      <c r="P125" s="2033"/>
      <c r="Q125" s="4"/>
      <c r="R125" s="4"/>
      <c r="S125" s="2" t="s">
        <v>1231</v>
      </c>
      <c r="T125" s="2"/>
      <c r="U125" s="2"/>
      <c r="V125" s="2"/>
      <c r="W125" s="2"/>
      <c r="X125" s="2"/>
      <c r="Y125" s="2"/>
      <c r="Z125" s="2"/>
      <c r="AA125" s="152">
        <f>berekeningen!W47</f>
        <v>2.6999844065071712</v>
      </c>
      <c r="AB125" s="6"/>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row>
    <row r="126" spans="1:60" ht="14.5" thickTop="1" x14ac:dyDescent="0.3">
      <c r="A126" s="4"/>
      <c r="B126" s="29">
        <f>B98</f>
        <v>41</v>
      </c>
      <c r="C126" s="55">
        <f>Z98</f>
        <v>0.46750000000000008</v>
      </c>
      <c r="D126" s="30"/>
      <c r="E126" s="56">
        <f t="shared" ref="E126:E137" si="19">C126/C$138*100</f>
        <v>5.9418548024592468</v>
      </c>
      <c r="F126" s="30"/>
      <c r="G126" s="58" t="str">
        <f>E26</f>
        <v>Aanvoervulstof</v>
      </c>
      <c r="H126" s="30"/>
      <c r="I126" s="30"/>
      <c r="J126" s="58" t="str">
        <f>H26</f>
        <v>IIa</v>
      </c>
      <c r="K126" s="30"/>
      <c r="L126" s="30"/>
      <c r="M126" s="1261">
        <f>S26</f>
        <v>2.7</v>
      </c>
      <c r="N126" s="58"/>
      <c r="O126" s="1291">
        <f>U26</f>
        <v>45</v>
      </c>
      <c r="P126" s="1291"/>
      <c r="Q126" s="4"/>
      <c r="R126" s="4"/>
      <c r="S126" s="2" t="s">
        <v>269</v>
      </c>
      <c r="T126" s="2"/>
      <c r="U126" s="2"/>
      <c r="V126" s="2"/>
      <c r="W126" s="2"/>
      <c r="X126" s="2"/>
      <c r="Y126" s="2"/>
      <c r="Z126" s="2"/>
      <c r="AA126" s="1320">
        <f>IF(C138=0,0,(SUM(C126:C127)+0.7*SUM(C130:C132)+SUM(C133:C137))/C138)*100</f>
        <v>69.167994164382492</v>
      </c>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row>
    <row r="127" spans="1:60" x14ac:dyDescent="0.3">
      <c r="A127" s="4"/>
      <c r="B127" s="31">
        <f t="shared" ref="B127" si="20">B99</f>
        <v>0</v>
      </c>
      <c r="C127" s="61">
        <f>Z99</f>
        <v>0</v>
      </c>
      <c r="D127" s="32"/>
      <c r="E127" s="63">
        <f t="shared" si="19"/>
        <v>0</v>
      </c>
      <c r="F127" s="32"/>
      <c r="G127" s="57" t="str">
        <f>E27</f>
        <v/>
      </c>
      <c r="H127" s="32"/>
      <c r="I127" s="32"/>
      <c r="J127" s="57" t="str">
        <f>H27</f>
        <v/>
      </c>
      <c r="K127" s="32"/>
      <c r="L127" s="32"/>
      <c r="M127" s="1276" t="str">
        <f>S27</f>
        <v/>
      </c>
      <c r="N127" s="57"/>
      <c r="O127" s="1282" t="str">
        <f>U27</f>
        <v/>
      </c>
      <c r="P127" s="1282"/>
      <c r="Q127" s="4"/>
      <c r="R127" s="4"/>
      <c r="S127" s="2" t="s">
        <v>1404</v>
      </c>
      <c r="T127" s="2"/>
      <c r="U127" s="2"/>
      <c r="V127" s="2"/>
      <c r="W127" s="2"/>
      <c r="X127" s="2"/>
      <c r="Y127" s="2"/>
      <c r="Z127" s="2"/>
      <c r="AA127" s="18"/>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row>
    <row r="128" spans="1:60" ht="14.5" x14ac:dyDescent="0.35">
      <c r="A128" s="4"/>
      <c r="B128" s="31"/>
      <c r="C128" s="61">
        <f>SUM(Z88:Z97)</f>
        <v>0.53659999999999997</v>
      </c>
      <c r="D128" s="32"/>
      <c r="E128" s="63">
        <f t="shared" si="19"/>
        <v>6.8201054267371788</v>
      </c>
      <c r="F128" s="32"/>
      <c r="G128" s="57" t="str">
        <f>E28</f>
        <v>Teruggewonnen stof</v>
      </c>
      <c r="H128" s="32"/>
      <c r="I128" s="32"/>
      <c r="J128" s="57"/>
      <c r="K128" s="32"/>
      <c r="L128" s="32"/>
      <c r="M128" s="1276">
        <f>S28</f>
        <v>3.05122851704447</v>
      </c>
      <c r="N128" s="57"/>
      <c r="O128" s="1282">
        <f>U28</f>
        <v>38</v>
      </c>
      <c r="P128" s="1282"/>
      <c r="Q128" s="4"/>
      <c r="R128" s="4"/>
      <c r="S128" s="2" t="s">
        <v>582</v>
      </c>
      <c r="T128" s="2"/>
      <c r="U128" s="2"/>
      <c r="V128" s="2"/>
      <c r="W128" s="2"/>
      <c r="X128" s="2"/>
      <c r="Y128" s="2"/>
      <c r="Z128" s="2" t="s">
        <v>583</v>
      </c>
      <c r="AA128" s="1575">
        <v>63.8</v>
      </c>
      <c r="AB128" s="273">
        <f>IF(AA126-20&lt;0,0,ROUND(AA126-20,0))</f>
        <v>49</v>
      </c>
      <c r="AC128" s="134" t="s">
        <v>585</v>
      </c>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row>
    <row r="129" spans="1:60" ht="15" thickBot="1" x14ac:dyDescent="0.4">
      <c r="A129" s="4"/>
      <c r="B129" s="42">
        <f>B100</f>
        <v>0</v>
      </c>
      <c r="C129" s="68">
        <f t="shared" ref="C129:C138" si="21">Z100</f>
        <v>1</v>
      </c>
      <c r="D129" s="43"/>
      <c r="E129" s="65">
        <f t="shared" si="19"/>
        <v>12.709849844832613</v>
      </c>
      <c r="F129" s="43"/>
      <c r="G129" s="66" t="str">
        <f>E29</f>
        <v>Extra teruggew. stof</v>
      </c>
      <c r="H129" s="43"/>
      <c r="I129" s="43"/>
      <c r="J129" s="66"/>
      <c r="K129" s="43"/>
      <c r="L129" s="43"/>
      <c r="M129" s="1277">
        <f>S29</f>
        <v>3.05122851704447</v>
      </c>
      <c r="N129" s="66"/>
      <c r="O129" s="1283">
        <f>U29</f>
        <v>0</v>
      </c>
      <c r="P129" s="1283"/>
      <c r="Q129" s="4"/>
      <c r="R129" s="4"/>
      <c r="S129" s="2"/>
      <c r="T129" s="2"/>
      <c r="U129" s="2"/>
      <c r="V129" s="2"/>
      <c r="W129" s="2"/>
      <c r="X129" s="2"/>
      <c r="Y129" s="2"/>
      <c r="Z129" s="2" t="s">
        <v>584</v>
      </c>
      <c r="AA129" s="1575">
        <v>100</v>
      </c>
      <c r="AB129" s="273">
        <f>IF(AA126+20&gt;100,100,ROUND(AA126+20,0))</f>
        <v>89</v>
      </c>
      <c r="AC129" s="134" t="s">
        <v>585</v>
      </c>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row>
    <row r="130" spans="1:60" ht="14.5" x14ac:dyDescent="0.35">
      <c r="A130" s="4"/>
      <c r="B130" s="111">
        <f>B101</f>
        <v>71</v>
      </c>
      <c r="C130" s="115">
        <f t="shared" si="21"/>
        <v>2.9641185647425896</v>
      </c>
      <c r="D130" s="113"/>
      <c r="E130" s="112">
        <f t="shared" si="19"/>
        <v>37.673501880159066</v>
      </c>
      <c r="F130" s="113"/>
      <c r="G130" s="114" t="str">
        <f>E56</f>
        <v>Asfaltgranulaat</v>
      </c>
      <c r="H130" s="113"/>
      <c r="I130" s="113"/>
      <c r="J130" s="114" t="str">
        <f>H56</f>
        <v>40 RA 0/14mm HE</v>
      </c>
      <c r="K130" s="113"/>
      <c r="L130" s="113"/>
      <c r="M130" s="1288">
        <f>Y56</f>
        <v>2.6416804407713501</v>
      </c>
      <c r="N130" s="114"/>
      <c r="O130" s="1292">
        <f>AI56</f>
        <v>29</v>
      </c>
      <c r="P130" s="1292"/>
      <c r="Q130" s="4"/>
      <c r="R130" s="4"/>
      <c r="S130" s="4"/>
      <c r="T130" s="4"/>
      <c r="U130" s="4"/>
      <c r="V130" s="4"/>
      <c r="W130" s="4"/>
      <c r="X130" s="4"/>
      <c r="Y130" s="4"/>
      <c r="Z130" s="4"/>
      <c r="AA130" s="13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row>
    <row r="131" spans="1:60" x14ac:dyDescent="0.3">
      <c r="A131" s="4"/>
      <c r="B131" s="31">
        <f t="shared" ref="B131:B137" si="22">B102</f>
        <v>0</v>
      </c>
      <c r="C131" s="61">
        <f t="shared" si="21"/>
        <v>0</v>
      </c>
      <c r="D131" s="32"/>
      <c r="E131" s="63">
        <f t="shared" si="19"/>
        <v>0</v>
      </c>
      <c r="F131" s="32"/>
      <c r="G131" s="57" t="str">
        <f>E57</f>
        <v/>
      </c>
      <c r="H131" s="32"/>
      <c r="I131" s="32"/>
      <c r="J131" s="57" t="str">
        <f>H57</f>
        <v/>
      </c>
      <c r="K131" s="32"/>
      <c r="L131" s="32"/>
      <c r="M131" s="1276" t="str">
        <f t="shared" ref="M131:M132" si="23">Y57</f>
        <v/>
      </c>
      <c r="N131" s="57"/>
      <c r="O131" s="1282" t="str">
        <f t="shared" ref="O131:O132" si="24">AI57</f>
        <v/>
      </c>
      <c r="P131" s="1282"/>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row>
    <row r="132" spans="1:60" ht="14.5" thickBot="1" x14ac:dyDescent="0.35">
      <c r="A132" s="4"/>
      <c r="B132" s="116">
        <f t="shared" si="22"/>
        <v>0</v>
      </c>
      <c r="C132" s="120">
        <f t="shared" si="21"/>
        <v>0</v>
      </c>
      <c r="D132" s="118"/>
      <c r="E132" s="117">
        <f t="shared" si="19"/>
        <v>0</v>
      </c>
      <c r="F132" s="118"/>
      <c r="G132" s="119" t="str">
        <f>E58</f>
        <v/>
      </c>
      <c r="H132" s="118"/>
      <c r="I132" s="118"/>
      <c r="J132" s="119" t="str">
        <f>H58</f>
        <v/>
      </c>
      <c r="K132" s="118"/>
      <c r="L132" s="118"/>
      <c r="M132" s="1274" t="str">
        <f t="shared" si="23"/>
        <v/>
      </c>
      <c r="N132" s="119"/>
      <c r="O132" s="1293" t="str">
        <f t="shared" si="24"/>
        <v/>
      </c>
      <c r="P132" s="1293"/>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row>
    <row r="133" spans="1:60" x14ac:dyDescent="0.3">
      <c r="A133" s="4"/>
      <c r="B133" s="111">
        <f t="shared" si="22"/>
        <v>83</v>
      </c>
      <c r="C133" s="115">
        <f t="shared" si="21"/>
        <v>2.82</v>
      </c>
      <c r="D133" s="113"/>
      <c r="E133" s="112">
        <f t="shared" si="19"/>
        <v>35.84177656242796</v>
      </c>
      <c r="F133" s="113"/>
      <c r="G133" s="114" t="str">
        <f>E70</f>
        <v>Rode kleurstof</v>
      </c>
      <c r="H133" s="113"/>
      <c r="I133" s="113"/>
      <c r="J133" s="114" t="str">
        <f>H70</f>
        <v>Bayferrox 130</v>
      </c>
      <c r="K133" s="113"/>
      <c r="L133" s="113"/>
      <c r="M133" s="1288">
        <f>S70</f>
        <v>5</v>
      </c>
      <c r="N133" s="114"/>
      <c r="O133" s="1292">
        <f>AS70</f>
        <v>40</v>
      </c>
      <c r="P133" s="1292"/>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row>
    <row r="134" spans="1:60" x14ac:dyDescent="0.3">
      <c r="A134" s="4"/>
      <c r="B134" s="31">
        <f t="shared" si="22"/>
        <v>0</v>
      </c>
      <c r="C134" s="61">
        <f t="shared" si="21"/>
        <v>0</v>
      </c>
      <c r="D134" s="32"/>
      <c r="E134" s="63">
        <f t="shared" si="19"/>
        <v>0</v>
      </c>
      <c r="F134" s="32"/>
      <c r="G134" s="57" t="str">
        <f>E71</f>
        <v/>
      </c>
      <c r="H134" s="32"/>
      <c r="I134" s="32"/>
      <c r="J134" s="57" t="str">
        <f>H71</f>
        <v/>
      </c>
      <c r="K134" s="32"/>
      <c r="L134" s="32"/>
      <c r="M134" s="1276" t="str">
        <f>S71</f>
        <v/>
      </c>
      <c r="N134" s="57"/>
      <c r="O134" s="1282" t="str">
        <f>AS71</f>
        <v/>
      </c>
      <c r="P134" s="1282"/>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row>
    <row r="135" spans="1:60" ht="14.5" thickBot="1" x14ac:dyDescent="0.35">
      <c r="A135" s="4"/>
      <c r="B135" s="116">
        <f t="shared" si="22"/>
        <v>0</v>
      </c>
      <c r="C135" s="120">
        <f t="shared" si="21"/>
        <v>0</v>
      </c>
      <c r="D135" s="118"/>
      <c r="E135" s="117">
        <f t="shared" si="19"/>
        <v>0</v>
      </c>
      <c r="F135" s="118"/>
      <c r="G135" s="119" t="str">
        <f>E72</f>
        <v/>
      </c>
      <c r="H135" s="118"/>
      <c r="I135" s="118"/>
      <c r="J135" s="119" t="str">
        <f>H72</f>
        <v/>
      </c>
      <c r="K135" s="118"/>
      <c r="L135" s="118"/>
      <c r="M135" s="1274" t="str">
        <f>S72</f>
        <v/>
      </c>
      <c r="N135" s="119"/>
      <c r="O135" s="1293" t="str">
        <f>AS72</f>
        <v/>
      </c>
      <c r="P135" s="1293"/>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x14ac:dyDescent="0.3">
      <c r="A136" s="4"/>
      <c r="B136" s="47">
        <f t="shared" si="22"/>
        <v>96</v>
      </c>
      <c r="C136" s="72">
        <f t="shared" si="21"/>
        <v>7.9695000000000002E-2</v>
      </c>
      <c r="D136" s="49"/>
      <c r="E136" s="70">
        <f t="shared" si="19"/>
        <v>1.012911483383935</v>
      </c>
      <c r="F136" s="49"/>
      <c r="G136" s="71" t="str">
        <f>E73</f>
        <v>Trinidad</v>
      </c>
      <c r="H136" s="49"/>
      <c r="I136" s="49"/>
      <c r="J136" s="71" t="str">
        <f>H73</f>
        <v>Epurée Z0/8</v>
      </c>
      <c r="K136" s="49"/>
      <c r="L136" s="49"/>
      <c r="M136" s="1289">
        <f>S73</f>
        <v>1.8089999999999999</v>
      </c>
      <c r="N136" s="71"/>
      <c r="O136" s="1294" t="str">
        <f>AS73</f>
        <v>onb.</v>
      </c>
      <c r="P136" s="129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thickBot="1" x14ac:dyDescent="0.35">
      <c r="A137" s="4"/>
      <c r="B137" s="33">
        <f t="shared" si="22"/>
        <v>0</v>
      </c>
      <c r="C137" s="62">
        <f t="shared" si="21"/>
        <v>0</v>
      </c>
      <c r="D137" s="34"/>
      <c r="E137" s="64">
        <f t="shared" si="19"/>
        <v>0</v>
      </c>
      <c r="F137" s="34"/>
      <c r="G137" s="59" t="str">
        <f>E74</f>
        <v/>
      </c>
      <c r="H137" s="34"/>
      <c r="I137" s="34"/>
      <c r="J137" s="59" t="str">
        <f>H74</f>
        <v/>
      </c>
      <c r="K137" s="34"/>
      <c r="L137" s="34"/>
      <c r="M137" s="1290" t="str">
        <f>S74</f>
        <v/>
      </c>
      <c r="N137" s="59"/>
      <c r="O137" s="1295" t="str">
        <f>AS74</f>
        <v/>
      </c>
      <c r="P137" s="1295"/>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5" thickTop="1" x14ac:dyDescent="0.35">
      <c r="A138" s="4"/>
      <c r="B138" s="2"/>
      <c r="C138" s="69">
        <f t="shared" si="21"/>
        <v>7.8679135647425893</v>
      </c>
      <c r="D138" s="2"/>
      <c r="E138" s="67">
        <v>100</v>
      </c>
      <c r="F138" s="2"/>
      <c r="G138" s="2" t="s">
        <v>219</v>
      </c>
      <c r="H138" s="2"/>
      <c r="I138" s="2"/>
      <c r="J138" s="2" t="s">
        <v>213</v>
      </c>
      <c r="K138" s="2"/>
      <c r="L138" s="2"/>
      <c r="M138" s="1275">
        <f>berekeningen!W43</f>
        <v>3.2689436910151639</v>
      </c>
      <c r="N138" s="60"/>
      <c r="O138" s="169"/>
      <c r="P138" s="169"/>
      <c r="Q138" s="6" t="s">
        <v>275</v>
      </c>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x14ac:dyDescent="0.3">
      <c r="A139" s="4"/>
      <c r="B139" s="2"/>
      <c r="C139" s="2"/>
      <c r="D139" s="2"/>
      <c r="E139" s="2"/>
      <c r="F139" s="2"/>
      <c r="G139" s="2"/>
      <c r="H139" s="2"/>
      <c r="I139" s="2"/>
      <c r="J139" s="2" t="s">
        <v>212</v>
      </c>
      <c r="K139" s="2"/>
      <c r="L139" s="2"/>
      <c r="M139" s="2154">
        <v>3.39</v>
      </c>
      <c r="N139" s="2166"/>
      <c r="O139" s="2159">
        <v>41</v>
      </c>
      <c r="P139" s="2165"/>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x14ac:dyDescent="0.3">
      <c r="A142" s="4"/>
      <c r="B142" s="5" t="s">
        <v>214</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x14ac:dyDescent="0.3">
      <c r="A143" s="4"/>
      <c r="B143" s="28" t="s">
        <v>114</v>
      </c>
      <c r="C143" s="2033" t="s">
        <v>211</v>
      </c>
      <c r="D143" s="2033"/>
      <c r="E143" s="2033" t="s">
        <v>131</v>
      </c>
      <c r="F143" s="2033"/>
      <c r="G143" s="2033"/>
      <c r="H143" s="2033" t="s">
        <v>215</v>
      </c>
      <c r="I143" s="2033"/>
      <c r="J143" s="2033"/>
      <c r="K143" s="2033" t="s">
        <v>122</v>
      </c>
      <c r="L143" s="2033"/>
      <c r="M143" s="2033" t="s">
        <v>146</v>
      </c>
      <c r="N143" s="2033"/>
      <c r="O143" s="2033" t="s">
        <v>148</v>
      </c>
      <c r="P143" s="2033"/>
      <c r="Q143" s="2164" t="s">
        <v>181</v>
      </c>
      <c r="R143" s="2164"/>
      <c r="S143" s="4"/>
      <c r="T143" s="4"/>
      <c r="U143" s="2" t="s">
        <v>221</v>
      </c>
      <c r="V143" s="2"/>
      <c r="W143" s="2"/>
      <c r="X143" s="2"/>
      <c r="Y143" s="2"/>
      <c r="Z143" s="2"/>
      <c r="AA143" s="2"/>
      <c r="AB143" s="2"/>
      <c r="AC143" s="67">
        <f>SUM(C148:C150)/C158*100</f>
        <v>38.961038961038966</v>
      </c>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6.5" thickBot="1" x14ac:dyDescent="0.45">
      <c r="A144" s="4"/>
      <c r="B144" s="28"/>
      <c r="C144" s="2033" t="s">
        <v>132</v>
      </c>
      <c r="D144" s="2033"/>
      <c r="E144" s="2"/>
      <c r="F144" s="2"/>
      <c r="G144" s="2"/>
      <c r="H144" s="2"/>
      <c r="I144" s="2"/>
      <c r="J144" s="2"/>
      <c r="K144" s="2033" t="s">
        <v>418</v>
      </c>
      <c r="L144" s="2033"/>
      <c r="M144" s="2033" t="s">
        <v>147</v>
      </c>
      <c r="N144" s="2033"/>
      <c r="O144" s="2033" t="s">
        <v>149</v>
      </c>
      <c r="P144" s="2033"/>
      <c r="Q144" s="2163" t="s">
        <v>132</v>
      </c>
      <c r="R144" s="2033"/>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thickTop="1" x14ac:dyDescent="0.3">
      <c r="A145" s="4"/>
      <c r="B145" s="29">
        <f t="shared" ref="B145:C147" si="25">B43</f>
        <v>51</v>
      </c>
      <c r="C145" s="55">
        <f t="shared" si="25"/>
        <v>2.2160500000000001</v>
      </c>
      <c r="D145" s="30"/>
      <c r="E145" s="58" t="str">
        <f>E43</f>
        <v>synthetisch pigmenteerbaar bindmiddel</v>
      </c>
      <c r="F145" s="30"/>
      <c r="G145" s="30"/>
      <c r="H145" s="58" t="str">
        <f>H43</f>
        <v>Mexphalte CLT50/70</v>
      </c>
      <c r="I145" s="30"/>
      <c r="J145" s="30"/>
      <c r="K145" s="1261">
        <f>IF(S43="",0.0001,S43)</f>
        <v>1.0249999999999999</v>
      </c>
      <c r="L145" s="1261"/>
      <c r="M145" s="1291">
        <f>IF(U43="",0,U43)</f>
        <v>60</v>
      </c>
      <c r="N145" s="1291"/>
      <c r="O145" s="1296">
        <f>IF(W43="",0,W43)</f>
        <v>48</v>
      </c>
      <c r="P145" s="1296"/>
      <c r="Q145" s="58">
        <f>IF(Y43="",0,Y43)</f>
        <v>98</v>
      </c>
      <c r="R145" s="58"/>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x14ac:dyDescent="0.3">
      <c r="A146" s="4"/>
      <c r="B146" s="31">
        <f t="shared" si="25"/>
        <v>0</v>
      </c>
      <c r="C146" s="61">
        <f t="shared" si="25"/>
        <v>0</v>
      </c>
      <c r="D146" s="32"/>
      <c r="E146" s="57" t="str">
        <f>E44</f>
        <v/>
      </c>
      <c r="F146" s="32"/>
      <c r="G146" s="32"/>
      <c r="H146" s="57" t="str">
        <f>H44</f>
        <v/>
      </c>
      <c r="I146" s="32"/>
      <c r="J146" s="32"/>
      <c r="K146" s="1276">
        <f>IF(S44="",0.0001,S44)</f>
        <v>1E-4</v>
      </c>
      <c r="L146" s="1276"/>
      <c r="M146" s="1282">
        <f t="shared" ref="M146:M147" si="26">IF(U44="",0,U44)</f>
        <v>0</v>
      </c>
      <c r="N146" s="1282"/>
      <c r="O146" s="1280">
        <f t="shared" ref="O146:O147" si="27">IF(W44="",0,W44)</f>
        <v>0</v>
      </c>
      <c r="P146" s="1280"/>
      <c r="Q146" s="57">
        <f t="shared" ref="Q146:Q147" si="28">IF(Y44="",0,Y44)</f>
        <v>0</v>
      </c>
      <c r="R146" s="57"/>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row>
    <row r="147" spans="1:60" x14ac:dyDescent="0.3">
      <c r="A147" s="4"/>
      <c r="B147" s="31">
        <f t="shared" si="25"/>
        <v>0</v>
      </c>
      <c r="C147" s="61">
        <f t="shared" si="25"/>
        <v>0</v>
      </c>
      <c r="D147" s="32"/>
      <c r="E147" s="57" t="str">
        <f>E45</f>
        <v/>
      </c>
      <c r="F147" s="32"/>
      <c r="G147" s="32"/>
      <c r="H147" s="57" t="str">
        <f>H45</f>
        <v/>
      </c>
      <c r="I147" s="32"/>
      <c r="J147" s="32"/>
      <c r="K147" s="1276">
        <f>IF(S45="",0.0001,S45)</f>
        <v>1E-4</v>
      </c>
      <c r="L147" s="1276"/>
      <c r="M147" s="1282">
        <f t="shared" si="26"/>
        <v>0</v>
      </c>
      <c r="N147" s="1282"/>
      <c r="O147" s="1280">
        <f t="shared" si="27"/>
        <v>0</v>
      </c>
      <c r="P147" s="1280"/>
      <c r="Q147" s="57">
        <f t="shared" si="28"/>
        <v>0</v>
      </c>
      <c r="R147" s="57"/>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row>
    <row r="148" spans="1:60" x14ac:dyDescent="0.3">
      <c r="A148" s="4"/>
      <c r="B148" s="31">
        <f>B56</f>
        <v>71</v>
      </c>
      <c r="C148" s="61">
        <f>berekeningen!Q11</f>
        <v>1.5</v>
      </c>
      <c r="D148" s="32"/>
      <c r="E148" s="57" t="str">
        <f>E56</f>
        <v>Asfaltgranulaat</v>
      </c>
      <c r="F148" s="32"/>
      <c r="G148" s="32"/>
      <c r="H148" s="57" t="str">
        <f>H56</f>
        <v>40 RA 0/14mm HE</v>
      </c>
      <c r="I148" s="32"/>
      <c r="J148" s="32"/>
      <c r="K148" s="1276">
        <f>IF(AA56="",0.0001,AA56)</f>
        <v>1.03</v>
      </c>
      <c r="L148" s="1276"/>
      <c r="M148" s="1282">
        <f>IF(AE56="",0,AE56)</f>
        <v>25</v>
      </c>
      <c r="N148" s="1282"/>
      <c r="O148" s="1280">
        <f>IF(AG56="",0,AG56)</f>
        <v>48</v>
      </c>
      <c r="P148" s="1280"/>
      <c r="Q148" s="57">
        <v>100</v>
      </c>
      <c r="R148" s="57"/>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row>
    <row r="149" spans="1:60" x14ac:dyDescent="0.3">
      <c r="A149" s="4"/>
      <c r="B149" s="31">
        <f>B57</f>
        <v>0</v>
      </c>
      <c r="C149" s="61">
        <f>berekeningen!Q12</f>
        <v>0</v>
      </c>
      <c r="D149" s="32"/>
      <c r="E149" s="57" t="str">
        <f>E57</f>
        <v/>
      </c>
      <c r="F149" s="32"/>
      <c r="G149" s="32"/>
      <c r="H149" s="57" t="str">
        <f>H57</f>
        <v/>
      </c>
      <c r="I149" s="32"/>
      <c r="J149" s="32"/>
      <c r="K149" s="1276">
        <f>IF(AA57="",0.0001,AA57)</f>
        <v>1E-4</v>
      </c>
      <c r="L149" s="1276"/>
      <c r="M149" s="1282">
        <f t="shared" ref="M149:M150" si="29">IF(AE57="",0,AE57)</f>
        <v>0</v>
      </c>
      <c r="N149" s="1282"/>
      <c r="O149" s="1280">
        <f t="shared" ref="O149:O150" si="30">IF(AG57="",0,AG57)</f>
        <v>0</v>
      </c>
      <c r="P149" s="1280"/>
      <c r="Q149" s="57">
        <v>100</v>
      </c>
      <c r="R149" s="57"/>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row>
    <row r="150" spans="1:60" ht="14.5" thickBot="1" x14ac:dyDescent="0.35">
      <c r="A150" s="4"/>
      <c r="B150" s="42">
        <f>B58</f>
        <v>0</v>
      </c>
      <c r="C150" s="68">
        <f>berekeningen!Q13</f>
        <v>0</v>
      </c>
      <c r="D150" s="43"/>
      <c r="E150" s="66" t="str">
        <f>E58</f>
        <v/>
      </c>
      <c r="F150" s="43"/>
      <c r="G150" s="43"/>
      <c r="H150" s="66" t="str">
        <f>H58</f>
        <v/>
      </c>
      <c r="I150" s="43"/>
      <c r="J150" s="43"/>
      <c r="K150" s="1277">
        <f>IF(AA58="",0.0001,AA58)</f>
        <v>1E-4</v>
      </c>
      <c r="L150" s="1277"/>
      <c r="M150" s="1283">
        <f t="shared" si="29"/>
        <v>0</v>
      </c>
      <c r="N150" s="1283"/>
      <c r="O150" s="1284">
        <f t="shared" si="30"/>
        <v>0</v>
      </c>
      <c r="P150" s="1284"/>
      <c r="Q150" s="66">
        <v>100</v>
      </c>
      <c r="R150" s="66"/>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row>
    <row r="151" spans="1:60" ht="14.5" thickTop="1" x14ac:dyDescent="0.3">
      <c r="A151" s="4"/>
      <c r="B151" s="9"/>
      <c r="C151" s="128">
        <f>SUM(C145:C150)</f>
        <v>3.7160500000000001</v>
      </c>
      <c r="D151" s="9"/>
      <c r="E151" s="85" t="s">
        <v>217</v>
      </c>
      <c r="F151" s="9"/>
      <c r="G151" s="9"/>
      <c r="H151" s="85" t="s">
        <v>213</v>
      </c>
      <c r="I151" s="9"/>
      <c r="J151" s="9"/>
      <c r="K151" s="1278">
        <f>C151/(C145/K145+C146/K146+C147/K147+C148/K148+C149/K149+C150/K150)</f>
        <v>1.0270124179604279</v>
      </c>
      <c r="L151" s="1278"/>
      <c r="M151" s="1281">
        <f>ROUND(berekeningen!M60,0)</f>
        <v>42</v>
      </c>
      <c r="N151" s="1281"/>
      <c r="O151" s="1279">
        <f>(O145*C145+O146*C146+O147*C147+O148*C148+O149*C149+O150*C150)/C151</f>
        <v>48.000000000000007</v>
      </c>
      <c r="P151" s="1279"/>
      <c r="Q151" s="1281">
        <f>(Q145*C145+Q146*C146+Q147*C147+Q148*C148+Q149*C149+Q150*C150)/C151</f>
        <v>98.807308835995215</v>
      </c>
      <c r="R151" s="85"/>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ht="14.5" thickBot="1" x14ac:dyDescent="0.35">
      <c r="A152" s="4"/>
      <c r="B152" s="10"/>
      <c r="C152" s="129"/>
      <c r="D152" s="10"/>
      <c r="E152" s="86" t="s">
        <v>218</v>
      </c>
      <c r="F152" s="10"/>
      <c r="G152" s="10"/>
      <c r="H152" s="88" t="s">
        <v>212</v>
      </c>
      <c r="I152" s="10"/>
      <c r="J152" s="10"/>
      <c r="K152" s="2153"/>
      <c r="L152" s="2153"/>
      <c r="M152" s="2157"/>
      <c r="N152" s="2158"/>
      <c r="O152" s="2161"/>
      <c r="P152" s="2161"/>
      <c r="Q152" s="1299"/>
      <c r="R152" s="88"/>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thickTop="1" x14ac:dyDescent="0.3">
      <c r="A153" s="4"/>
      <c r="B153" s="47">
        <f>B73</f>
        <v>96</v>
      </c>
      <c r="C153" s="72">
        <f>berekeningen!F54</f>
        <v>0.10395</v>
      </c>
      <c r="D153" s="49"/>
      <c r="E153" s="71" t="str">
        <f>E73</f>
        <v>Trinidad</v>
      </c>
      <c r="F153" s="49"/>
      <c r="G153" s="49"/>
      <c r="H153" s="71" t="str">
        <f>H73</f>
        <v>Epurée Z0/8</v>
      </c>
      <c r="I153" s="49"/>
      <c r="J153" s="49"/>
      <c r="K153" s="1289">
        <f>IF(U73="",0.0001,U73)</f>
        <v>1.07</v>
      </c>
      <c r="L153" s="1289"/>
      <c r="M153" s="1294">
        <f>IF(AO73="",0,AO73)</f>
        <v>7.5</v>
      </c>
      <c r="N153" s="1294"/>
      <c r="O153" s="1297">
        <f>IF(AQ73="",0,AQ73)</f>
        <v>73</v>
      </c>
      <c r="P153" s="1297"/>
      <c r="Q153" s="71">
        <v>100</v>
      </c>
      <c r="R153" s="71"/>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row>
    <row r="154" spans="1:60" x14ac:dyDescent="0.3">
      <c r="A154" s="4"/>
      <c r="B154" s="31">
        <f>B74</f>
        <v>0</v>
      </c>
      <c r="C154" s="61">
        <f>berekeningen!F55</f>
        <v>0</v>
      </c>
      <c r="D154" s="32"/>
      <c r="E154" s="57" t="str">
        <f>E74</f>
        <v/>
      </c>
      <c r="F154" s="32"/>
      <c r="G154" s="32"/>
      <c r="H154" s="57" t="str">
        <f>H74</f>
        <v/>
      </c>
      <c r="I154" s="32"/>
      <c r="J154" s="32"/>
      <c r="K154" s="1276">
        <f>IF(U74="",0.0001,U74)</f>
        <v>1E-4</v>
      </c>
      <c r="L154" s="1276"/>
      <c r="M154" s="1282">
        <f t="shared" ref="M154:M157" si="31">IF(AO74="",0,AO74)</f>
        <v>0</v>
      </c>
      <c r="N154" s="1282"/>
      <c r="O154" s="1280">
        <f t="shared" ref="O154:O157" si="32">IF(AQ74="",0,AQ74)</f>
        <v>0</v>
      </c>
      <c r="P154" s="1280"/>
      <c r="Q154" s="57">
        <v>100</v>
      </c>
      <c r="R154" s="57"/>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row>
    <row r="155" spans="1:60" x14ac:dyDescent="0.3">
      <c r="A155" s="4"/>
      <c r="B155" s="31">
        <f>B75</f>
        <v>98</v>
      </c>
      <c r="C155" s="61">
        <f>berekeningen!F56</f>
        <v>0.03</v>
      </c>
      <c r="D155" s="32"/>
      <c r="E155" s="57" t="str">
        <f>E75</f>
        <v>Uintah</v>
      </c>
      <c r="F155" s="32"/>
      <c r="G155" s="32"/>
      <c r="H155" s="57" t="str">
        <f>H75</f>
        <v>Gilsonite</v>
      </c>
      <c r="I155" s="32"/>
      <c r="J155" s="32"/>
      <c r="K155" s="1276">
        <f>IF(U75="",0.0001,U75)</f>
        <v>1.07</v>
      </c>
      <c r="L155" s="1276"/>
      <c r="M155" s="1282">
        <f t="shared" si="31"/>
        <v>0</v>
      </c>
      <c r="N155" s="1282"/>
      <c r="O155" s="1280">
        <f t="shared" si="32"/>
        <v>0</v>
      </c>
      <c r="P155" s="1280"/>
      <c r="Q155" s="57">
        <f>IF(AM75="",0,AM75)</f>
        <v>100</v>
      </c>
      <c r="R155" s="57"/>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row>
    <row r="156" spans="1:60" x14ac:dyDescent="0.3">
      <c r="A156" s="4"/>
      <c r="B156" s="31">
        <f>B76</f>
        <v>0</v>
      </c>
      <c r="C156" s="61">
        <f>berekeningen!F57</f>
        <v>0</v>
      </c>
      <c r="D156" s="32"/>
      <c r="E156" s="57" t="str">
        <f>E76</f>
        <v/>
      </c>
      <c r="F156" s="32"/>
      <c r="G156" s="32"/>
      <c r="H156" s="57" t="str">
        <f>H76</f>
        <v/>
      </c>
      <c r="I156" s="32"/>
      <c r="J156" s="32"/>
      <c r="K156" s="1276">
        <f>IF(U76="",0.0001,U76)</f>
        <v>1E-4</v>
      </c>
      <c r="L156" s="1276"/>
      <c r="M156" s="1282">
        <f t="shared" si="31"/>
        <v>0</v>
      </c>
      <c r="N156" s="1282"/>
      <c r="O156" s="1280">
        <f t="shared" si="32"/>
        <v>0</v>
      </c>
      <c r="P156" s="1280"/>
      <c r="Q156" s="57">
        <f t="shared" ref="Q156:Q157" si="33">IF(AM76="",0,AM76)</f>
        <v>0</v>
      </c>
      <c r="R156" s="57"/>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row>
    <row r="157" spans="1:60" ht="14.5" thickBot="1" x14ac:dyDescent="0.35">
      <c r="A157" s="4"/>
      <c r="B157" s="33">
        <f>B77</f>
        <v>0</v>
      </c>
      <c r="C157" s="62">
        <f>berekeningen!F58</f>
        <v>0</v>
      </c>
      <c r="D157" s="34"/>
      <c r="E157" s="59" t="str">
        <f>E77</f>
        <v/>
      </c>
      <c r="F157" s="34"/>
      <c r="G157" s="34"/>
      <c r="H157" s="59" t="str">
        <f>H77</f>
        <v/>
      </c>
      <c r="I157" s="34"/>
      <c r="J157" s="34"/>
      <c r="K157" s="1290">
        <f>IF(U77="",0.0001,U77)</f>
        <v>1E-4</v>
      </c>
      <c r="L157" s="1290"/>
      <c r="M157" s="1295">
        <f t="shared" si="31"/>
        <v>0</v>
      </c>
      <c r="N157" s="1295"/>
      <c r="O157" s="1298">
        <f t="shared" si="32"/>
        <v>0</v>
      </c>
      <c r="P157" s="1298"/>
      <c r="Q157" s="57">
        <f t="shared" si="33"/>
        <v>0</v>
      </c>
      <c r="R157" s="59"/>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row>
    <row r="158" spans="1:60" ht="15" thickTop="1" x14ac:dyDescent="0.35">
      <c r="A158" s="4"/>
      <c r="B158" s="2"/>
      <c r="C158" s="1696">
        <v>3.85</v>
      </c>
      <c r="D158" s="2"/>
      <c r="E158" s="60" t="s">
        <v>220</v>
      </c>
      <c r="F158" s="2"/>
      <c r="G158" s="2"/>
      <c r="H158" s="60" t="s">
        <v>1434</v>
      </c>
      <c r="I158" s="2"/>
      <c r="J158" s="2"/>
      <c r="K158" s="1278">
        <f>C158/(C151/K151+C153/K153+C154/K154+C155/K155+C156/K156+C157/K157)</f>
        <v>1.0284499727283221</v>
      </c>
      <c r="L158" s="1275"/>
      <c r="M158" s="169">
        <f>ROUND(berekeningen!M61,0)</f>
        <v>39</v>
      </c>
      <c r="N158" s="169"/>
      <c r="O158" s="1279">
        <f>(O151*C151+O153*C153+O154*C154+O155*C155+O156*C156+O157*C157)/C158</f>
        <v>48.300974025974028</v>
      </c>
      <c r="P158" s="170"/>
      <c r="Q158" s="1281">
        <f>(Q151*C151+Q153*C153+Q154*C154+Q155*C155+Q156*C156+Q157*C157)/C158</f>
        <v>98.848805194805195</v>
      </c>
      <c r="R158" s="60"/>
      <c r="S158" s="6" t="s">
        <v>276</v>
      </c>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row>
    <row r="159" spans="1:60" x14ac:dyDescent="0.3">
      <c r="A159" s="4"/>
      <c r="B159" s="2"/>
      <c r="C159" s="2"/>
      <c r="D159" s="2"/>
      <c r="E159" s="87" t="s">
        <v>225</v>
      </c>
      <c r="F159" s="2"/>
      <c r="G159" s="2"/>
      <c r="H159" s="60" t="s">
        <v>212</v>
      </c>
      <c r="I159" s="2"/>
      <c r="J159" s="2"/>
      <c r="K159" s="2154"/>
      <c r="L159" s="2154"/>
      <c r="M159" s="2159"/>
      <c r="N159" s="2160"/>
      <c r="O159" s="2162"/>
      <c r="P159" s="2162"/>
      <c r="Q159" s="1300"/>
      <c r="R159" s="60"/>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row>
    <row r="160" spans="1:60" x14ac:dyDescent="0.3">
      <c r="A160" s="4"/>
      <c r="B160" s="4"/>
      <c r="C160" s="1432" t="str">
        <f>IF(samenstelling!C158-SUM(samenstelling!C146:C150)-SUM(samenstelling!C153:C157)&lt;-0.01,"De totale hoeveelheid bindmiddel is onmogelijk laag !","")</f>
        <v/>
      </c>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row>
    <row r="161" spans="1:60"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row>
    <row r="162" spans="1:60" x14ac:dyDescent="0.3">
      <c r="A162" s="13" t="s">
        <v>294</v>
      </c>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row>
    <row r="163" spans="1:60"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row>
    <row r="164" spans="1:60" ht="14.5" x14ac:dyDescent="0.35">
      <c r="A164" s="4"/>
      <c r="B164" s="134" t="s">
        <v>594</v>
      </c>
      <c r="C164" s="4"/>
      <c r="D164" s="4"/>
      <c r="E164" s="4"/>
      <c r="F164" s="4"/>
      <c r="G164" s="4"/>
      <c r="H164" s="4"/>
      <c r="I164" s="6" t="s">
        <v>347</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row>
    <row r="165" spans="1:60" x14ac:dyDescent="0.3">
      <c r="A165" s="4"/>
      <c r="B165" s="2" t="s">
        <v>295</v>
      </c>
      <c r="C165" s="2"/>
      <c r="D165" s="2"/>
      <c r="E165" s="2"/>
      <c r="F165" s="2"/>
      <c r="G165" s="2"/>
      <c r="H165" s="4"/>
      <c r="I165" s="2" t="s">
        <v>301</v>
      </c>
      <c r="J165" s="2"/>
      <c r="K165" s="2"/>
      <c r="L165" s="2"/>
      <c r="M165" s="2"/>
      <c r="N165" s="2"/>
      <c r="O165" s="4"/>
      <c r="P165" s="2" t="s">
        <v>317</v>
      </c>
      <c r="Q165" s="2"/>
      <c r="R165" s="2"/>
      <c r="S165" s="2"/>
      <c r="T165" s="2"/>
      <c r="U165" s="2"/>
      <c r="V165" s="2"/>
      <c r="W165" s="2"/>
      <c r="X165" s="2"/>
      <c r="Y165" s="2"/>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row>
    <row r="166" spans="1:60" x14ac:dyDescent="0.3">
      <c r="A166" s="4"/>
      <c r="B166" s="49"/>
      <c r="C166" s="49"/>
      <c r="D166" s="49"/>
      <c r="E166" s="49"/>
      <c r="F166" s="49"/>
      <c r="G166" s="49"/>
      <c r="H166" s="4"/>
      <c r="I166" s="49" t="s">
        <v>316</v>
      </c>
      <c r="J166" s="49"/>
      <c r="K166" s="49"/>
      <c r="L166" s="49"/>
      <c r="M166" s="49"/>
      <c r="N166" s="49"/>
      <c r="O166" s="4"/>
      <c r="P166" s="49"/>
      <c r="Q166" s="49"/>
      <c r="R166" s="49"/>
      <c r="S166" s="49"/>
      <c r="T166" s="49" t="s">
        <v>303</v>
      </c>
      <c r="U166" s="49"/>
      <c r="V166" s="2138" t="s">
        <v>304</v>
      </c>
      <c r="W166" s="2138"/>
      <c r="X166" s="49" t="s">
        <v>305</v>
      </c>
      <c r="Y166" s="49"/>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row>
    <row r="167" spans="1:60" x14ac:dyDescent="0.3">
      <c r="A167" s="4"/>
      <c r="B167" s="2"/>
      <c r="C167" s="2"/>
      <c r="D167" s="2"/>
      <c r="E167" s="3" t="s">
        <v>296</v>
      </c>
      <c r="F167" s="2"/>
      <c r="G167" s="69">
        <f>berekeningen!D44</f>
        <v>71.680000000000007</v>
      </c>
      <c r="H167" s="4"/>
      <c r="I167" s="2"/>
      <c r="J167" s="2"/>
      <c r="K167" s="2"/>
      <c r="L167" s="3" t="s">
        <v>296</v>
      </c>
      <c r="M167" s="2"/>
      <c r="N167" s="90">
        <f>IF(berekeningen!F38="N",G167,berekeningen!H38/berekeningen!H$42*100)</f>
        <v>71.182431554471393</v>
      </c>
      <c r="O167" s="4"/>
      <c r="P167" s="2"/>
      <c r="Q167" s="2"/>
      <c r="R167" s="3" t="s">
        <v>296</v>
      </c>
      <c r="S167" s="2"/>
      <c r="T167" s="298">
        <f>berekeningen!AF43</f>
        <v>2.9397048309231293</v>
      </c>
      <c r="U167" s="2"/>
      <c r="V167" s="2"/>
      <c r="W167" s="2"/>
      <c r="X167" s="298">
        <v>2.65</v>
      </c>
      <c r="Y167" s="2"/>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row>
    <row r="168" spans="1:60" x14ac:dyDescent="0.3">
      <c r="A168" s="4"/>
      <c r="B168" s="2"/>
      <c r="C168" s="2"/>
      <c r="D168" s="2"/>
      <c r="E168" s="3" t="s">
        <v>297</v>
      </c>
      <c r="F168" s="2"/>
      <c r="G168" s="69">
        <f>berekeningen!D45</f>
        <v>20.452086435257399</v>
      </c>
      <c r="H168" s="4"/>
      <c r="I168" s="2"/>
      <c r="J168" s="2"/>
      <c r="K168" s="2"/>
      <c r="L168" s="3" t="s">
        <v>297</v>
      </c>
      <c r="M168" s="2"/>
      <c r="N168" s="90">
        <f>IF(berekeningen!F39="N",G168,berekeningen!H39/berekeningen!H$42*100)</f>
        <v>22.04211398512707</v>
      </c>
      <c r="O168" s="4"/>
      <c r="P168" s="2"/>
      <c r="Q168" s="2"/>
      <c r="R168" s="3" t="s">
        <v>297</v>
      </c>
      <c r="S168" s="2"/>
      <c r="T168" s="298">
        <f>berekeningen!AK43</f>
        <v>2.7087125767186144</v>
      </c>
      <c r="U168" s="2"/>
      <c r="V168" s="2"/>
      <c r="W168" s="2"/>
      <c r="X168" s="298">
        <v>2.65</v>
      </c>
      <c r="Y168" s="2"/>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row>
    <row r="169" spans="1:60" x14ac:dyDescent="0.3">
      <c r="A169" s="4"/>
      <c r="B169" s="2"/>
      <c r="C169" s="2"/>
      <c r="D169" s="2"/>
      <c r="E169" s="3" t="s">
        <v>298</v>
      </c>
      <c r="F169" s="2"/>
      <c r="G169" s="69">
        <f>berekeningen!D46</f>
        <v>7.8679135647425893</v>
      </c>
      <c r="H169" s="4"/>
      <c r="I169" s="2"/>
      <c r="J169" s="2"/>
      <c r="K169" s="2"/>
      <c r="L169" s="3" t="s">
        <v>298</v>
      </c>
      <c r="M169" s="2"/>
      <c r="N169" s="90">
        <f>IF(berekeningen!F40="N",G169,berekeningen!H40/berekeningen!H$42*100)</f>
        <v>6.775454460401539</v>
      </c>
      <c r="O169" s="4"/>
      <c r="P169" s="2"/>
      <c r="Q169" s="2"/>
      <c r="R169" s="3" t="s">
        <v>298</v>
      </c>
      <c r="S169" s="2"/>
      <c r="T169" s="298">
        <f>IF(samenstelling!M139="",samenstelling!M138,samenstelling!M139)</f>
        <v>3.39</v>
      </c>
      <c r="U169" s="2"/>
      <c r="V169" s="2"/>
      <c r="W169" s="2"/>
      <c r="X169" s="298">
        <v>2.65</v>
      </c>
      <c r="Y169" s="2"/>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row>
    <row r="170" spans="1:60" x14ac:dyDescent="0.3">
      <c r="A170" s="4"/>
      <c r="B170" s="2"/>
      <c r="C170" s="2"/>
      <c r="D170" s="2"/>
      <c r="E170" s="3" t="s">
        <v>299</v>
      </c>
      <c r="F170" s="2"/>
      <c r="G170" s="69">
        <f>samenstelling!C158</f>
        <v>3.85</v>
      </c>
      <c r="H170" s="4"/>
      <c r="I170" s="2"/>
      <c r="J170" s="2"/>
      <c r="K170" s="2"/>
      <c r="L170" s="3" t="s">
        <v>299</v>
      </c>
      <c r="M170" s="2"/>
      <c r="N170" s="69">
        <f>IF(berekeningen!F42="N",G176,1.04*G176/T171)</f>
        <v>3.805679</v>
      </c>
      <c r="O170" s="4"/>
      <c r="P170" s="2"/>
      <c r="Q170" s="2"/>
      <c r="R170" s="3" t="s">
        <v>314</v>
      </c>
      <c r="S170" s="2"/>
      <c r="T170" s="298">
        <f>berekeningen!J42</f>
        <v>2.9192987990727475</v>
      </c>
      <c r="U170" s="2"/>
      <c r="V170" s="2"/>
      <c r="W170" s="2"/>
      <c r="X170" s="298">
        <v>2.65</v>
      </c>
      <c r="Y170" s="2"/>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row>
    <row r="171" spans="1:60" x14ac:dyDescent="0.3">
      <c r="A171" s="4"/>
      <c r="B171" s="2"/>
      <c r="C171" s="2"/>
      <c r="D171" s="2"/>
      <c r="E171" s="3" t="s">
        <v>300</v>
      </c>
      <c r="F171" s="2"/>
      <c r="G171" s="69">
        <f>G170/(100-G170)*100</f>
        <v>4.0041601664066562</v>
      </c>
      <c r="H171" s="4"/>
      <c r="I171" s="2"/>
      <c r="J171" s="2"/>
      <c r="K171" s="2"/>
      <c r="L171" s="3" t="s">
        <v>300</v>
      </c>
      <c r="M171" s="2"/>
      <c r="N171" s="69">
        <f>N170/(100-N170)*100</f>
        <v>3.9562408263165558</v>
      </c>
      <c r="O171" s="4"/>
      <c r="P171" s="2"/>
      <c r="Q171" s="2"/>
      <c r="R171" s="3" t="s">
        <v>302</v>
      </c>
      <c r="S171" s="2"/>
      <c r="T171" s="298">
        <f>IF(samenstelling!K159="",samenstelling!K158,samenstelling!K159)</f>
        <v>1.0284499727283221</v>
      </c>
      <c r="U171" s="2"/>
      <c r="V171" s="298">
        <v>1</v>
      </c>
      <c r="W171" s="298">
        <v>1.06</v>
      </c>
      <c r="X171" s="298"/>
      <c r="Y171" s="2"/>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row>
    <row r="172" spans="1:60"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row>
    <row r="173" spans="1:60" ht="14.5" x14ac:dyDescent="0.35">
      <c r="A173" s="4"/>
      <c r="B173" s="4"/>
      <c r="C173" s="4"/>
      <c r="D173" s="4"/>
      <c r="E173" s="4"/>
      <c r="F173" s="4"/>
      <c r="G173" s="4"/>
      <c r="H173" s="4"/>
      <c r="I173" s="6" t="s">
        <v>348</v>
      </c>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row>
    <row r="174" spans="1:60" ht="14.5" x14ac:dyDescent="0.35">
      <c r="A174" s="4"/>
      <c r="B174" s="2" t="s">
        <v>322</v>
      </c>
      <c r="C174" s="2"/>
      <c r="D174" s="2"/>
      <c r="E174" s="2"/>
      <c r="F174" s="2"/>
      <c r="G174" s="2"/>
      <c r="H174" s="4"/>
      <c r="I174" s="2" t="s">
        <v>319</v>
      </c>
      <c r="J174" s="2"/>
      <c r="K174" s="2"/>
      <c r="L174" s="2"/>
      <c r="M174" s="2"/>
      <c r="N174" s="2"/>
      <c r="O174" s="4"/>
      <c r="P174" s="6" t="s">
        <v>323</v>
      </c>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row>
    <row r="175" spans="1:60" x14ac:dyDescent="0.3">
      <c r="A175" s="4"/>
      <c r="B175" s="49" t="s">
        <v>325</v>
      </c>
      <c r="C175" s="49"/>
      <c r="D175" s="49"/>
      <c r="E175" s="49"/>
      <c r="F175" s="49"/>
      <c r="G175" s="49"/>
      <c r="H175" s="4"/>
      <c r="I175" s="2" t="s">
        <v>320</v>
      </c>
      <c r="J175" s="2"/>
      <c r="K175" s="2"/>
      <c r="L175" s="2"/>
      <c r="M175" s="2"/>
      <c r="N175" s="2"/>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row>
    <row r="176" spans="1:60" x14ac:dyDescent="0.3">
      <c r="A176" s="4"/>
      <c r="B176" s="2"/>
      <c r="C176" s="2"/>
      <c r="D176" s="2"/>
      <c r="E176" s="3" t="s">
        <v>299</v>
      </c>
      <c r="F176" s="2"/>
      <c r="G176" s="69">
        <f>G170*samenstelling!Q158/100</f>
        <v>3.805679</v>
      </c>
      <c r="H176" s="4"/>
      <c r="I176" s="49" t="s">
        <v>321</v>
      </c>
      <c r="J176" s="49"/>
      <c r="K176" s="49"/>
      <c r="L176" s="49"/>
      <c r="M176" s="49"/>
      <c r="N176" s="49"/>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row>
    <row r="177" spans="1:60" x14ac:dyDescent="0.3">
      <c r="A177" s="4"/>
      <c r="B177" s="2"/>
      <c r="C177" s="2"/>
      <c r="D177" s="2"/>
      <c r="E177" s="2"/>
      <c r="F177" s="2"/>
      <c r="G177" s="2"/>
      <c r="H177" s="4"/>
      <c r="I177" s="2"/>
      <c r="J177" s="2"/>
      <c r="K177" s="2"/>
      <c r="L177" s="3" t="s">
        <v>299</v>
      </c>
      <c r="M177" s="2"/>
      <c r="N177" s="90">
        <f>N170*T170/X170</f>
        <v>4.1924204280590098</v>
      </c>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row>
    <row r="178" spans="1:60" x14ac:dyDescent="0.3">
      <c r="A178" s="4"/>
      <c r="B178" s="2" t="s">
        <v>586</v>
      </c>
      <c r="C178" s="2"/>
      <c r="D178" s="2139" t="s">
        <v>324</v>
      </c>
      <c r="E178" s="2139"/>
      <c r="F178" s="2139"/>
      <c r="G178" s="2139"/>
      <c r="H178" s="4"/>
      <c r="I178" s="2"/>
      <c r="J178" s="2"/>
      <c r="K178" s="2"/>
      <c r="L178" s="3" t="s">
        <v>300</v>
      </c>
      <c r="M178" s="2"/>
      <c r="N178" s="69">
        <f>N177/(100-N177)*100</f>
        <v>4.3758755275838706</v>
      </c>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134" t="s">
        <v>587</v>
      </c>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49" t="s">
        <v>295</v>
      </c>
      <c r="C181" s="49"/>
      <c r="D181" s="49"/>
      <c r="E181" s="49"/>
      <c r="F181" s="2"/>
      <c r="G181" s="49"/>
      <c r="H181" s="4"/>
      <c r="I181" s="134" t="s">
        <v>1429</v>
      </c>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x14ac:dyDescent="0.3">
      <c r="A182" s="4"/>
      <c r="B182" s="2"/>
      <c r="C182" s="2"/>
      <c r="D182" s="2"/>
      <c r="E182" s="3" t="s">
        <v>588</v>
      </c>
      <c r="F182" s="43"/>
      <c r="G182" s="68">
        <f>berekeningen!D48</f>
        <v>68.920320000000018</v>
      </c>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customHeight="1" x14ac:dyDescent="0.3">
      <c r="A183" s="4"/>
      <c r="B183" s="2"/>
      <c r="C183" s="2"/>
      <c r="D183" s="2"/>
      <c r="E183" s="3" t="s">
        <v>589</v>
      </c>
      <c r="F183" s="2175">
        <f>100-G182</f>
        <v>31.079679999999982</v>
      </c>
      <c r="G183" s="2175"/>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x14ac:dyDescent="0.3">
      <c r="A184" s="4"/>
      <c r="B184" s="43" t="s">
        <v>593</v>
      </c>
      <c r="C184" s="43"/>
      <c r="D184" s="43"/>
      <c r="E184" s="203" t="s">
        <v>590</v>
      </c>
      <c r="F184" s="43"/>
      <c r="G184" s="68">
        <f>berekeningen!E49</f>
        <v>63.27</v>
      </c>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x14ac:dyDescent="0.3">
      <c r="A185" s="4"/>
      <c r="B185" s="2"/>
      <c r="C185" s="2"/>
      <c r="D185" s="2"/>
      <c r="E185" s="3" t="s">
        <v>591</v>
      </c>
      <c r="F185" s="2"/>
      <c r="G185" s="69">
        <f>berekeningen!E50</f>
        <v>24.34</v>
      </c>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x14ac:dyDescent="0.3">
      <c r="A186" s="4"/>
      <c r="B186" s="2"/>
      <c r="C186" s="2"/>
      <c r="D186" s="2"/>
      <c r="E186" s="3" t="s">
        <v>592</v>
      </c>
      <c r="F186" s="2"/>
      <c r="G186" s="69">
        <f>berekeningen!E51</f>
        <v>12.389999999999997</v>
      </c>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sheetData>
  <sheetProtection algorithmName="SHA-512" hashValue="D5AXrub4Hg4eRji+asSJHLz5ofMPaoOcM+jBH71OFKXQCUwRy9Bae17LMpjSZMUKXLap2oyLdrUt3yLzWx09oQ==" saltValue="YYxFA/lMlJ+PimiVOLZjGg==" spinCount="100000" sheet="1" objects="1" scenarios="1"/>
  <mergeCells count="167">
    <mergeCell ref="F183:G183"/>
    <mergeCell ref="U28:V28"/>
    <mergeCell ref="U29:V29"/>
    <mergeCell ref="G112:Z112"/>
    <mergeCell ref="BE53:BG53"/>
    <mergeCell ref="BE54:BG54"/>
    <mergeCell ref="AI55:AJ55"/>
    <mergeCell ref="E53:G53"/>
    <mergeCell ref="H53:J53"/>
    <mergeCell ref="K53:M53"/>
    <mergeCell ref="U53:V53"/>
    <mergeCell ref="AG53:AH53"/>
    <mergeCell ref="Y55:Z55"/>
    <mergeCell ref="AA55:AB55"/>
    <mergeCell ref="AG55:AH55"/>
    <mergeCell ref="Y53:Z53"/>
    <mergeCell ref="Y54:Z54"/>
    <mergeCell ref="AA53:AB53"/>
    <mergeCell ref="AA54:AB54"/>
    <mergeCell ref="AI54:AJ54"/>
    <mergeCell ref="AG54:AH54"/>
    <mergeCell ref="BA53:BD53"/>
    <mergeCell ref="AI53:AJ53"/>
    <mergeCell ref="AK53:AZ53"/>
    <mergeCell ref="AS67:AT67"/>
    <mergeCell ref="W65:AL65"/>
    <mergeCell ref="C53:D53"/>
    <mergeCell ref="C55:D55"/>
    <mergeCell ref="C54:D54"/>
    <mergeCell ref="S65:T65"/>
    <mergeCell ref="S67:T67"/>
    <mergeCell ref="S66:T66"/>
    <mergeCell ref="U66:V66"/>
    <mergeCell ref="U65:V65"/>
    <mergeCell ref="AQ65:AR65"/>
    <mergeCell ref="C67:D67"/>
    <mergeCell ref="K67:M67"/>
    <mergeCell ref="N67:P67"/>
    <mergeCell ref="U67:V67"/>
    <mergeCell ref="AQ67:AR67"/>
    <mergeCell ref="AS66:AT66"/>
    <mergeCell ref="AQ66:AR66"/>
    <mergeCell ref="AS65:AT65"/>
    <mergeCell ref="AM67:AN67"/>
    <mergeCell ref="AO65:AP65"/>
    <mergeCell ref="AO66:AP66"/>
    <mergeCell ref="AO67:AP67"/>
    <mergeCell ref="AE53:AF53"/>
    <mergeCell ref="S41:T41"/>
    <mergeCell ref="C42:D42"/>
    <mergeCell ref="S42:T42"/>
    <mergeCell ref="H41:J41"/>
    <mergeCell ref="K42:M42"/>
    <mergeCell ref="N42:P42"/>
    <mergeCell ref="C16:D16"/>
    <mergeCell ref="C17:D17"/>
    <mergeCell ref="C25:D25"/>
    <mergeCell ref="E24:G24"/>
    <mergeCell ref="H24:J24"/>
    <mergeCell ref="N25:P25"/>
    <mergeCell ref="K25:M25"/>
    <mergeCell ref="C41:D41"/>
    <mergeCell ref="Q28:R28"/>
    <mergeCell ref="Q29:R29"/>
    <mergeCell ref="S28:T28"/>
    <mergeCell ref="S29:T29"/>
    <mergeCell ref="W6:AL6"/>
    <mergeCell ref="W24:AL24"/>
    <mergeCell ref="C28:D28"/>
    <mergeCell ref="U6:V6"/>
    <mergeCell ref="S7:T7"/>
    <mergeCell ref="C6:D6"/>
    <mergeCell ref="S6:T6"/>
    <mergeCell ref="Q6:R6"/>
    <mergeCell ref="N6:P6"/>
    <mergeCell ref="K6:M6"/>
    <mergeCell ref="C13:D13"/>
    <mergeCell ref="I7:J7"/>
    <mergeCell ref="E6:G6"/>
    <mergeCell ref="C12:D12"/>
    <mergeCell ref="S25:T25"/>
    <mergeCell ref="C7:D7"/>
    <mergeCell ref="I6:J6"/>
    <mergeCell ref="C8:D8"/>
    <mergeCell ref="C9:D9"/>
    <mergeCell ref="U24:V24"/>
    <mergeCell ref="U25:V25"/>
    <mergeCell ref="C24:D24"/>
    <mergeCell ref="C14:D14"/>
    <mergeCell ref="C15:D15"/>
    <mergeCell ref="C10:D10"/>
    <mergeCell ref="C11:D11"/>
    <mergeCell ref="K24:M24"/>
    <mergeCell ref="N24:P24"/>
    <mergeCell ref="Q24:R24"/>
    <mergeCell ref="C26:D26"/>
    <mergeCell ref="C27:D27"/>
    <mergeCell ref="H65:J65"/>
    <mergeCell ref="K65:M65"/>
    <mergeCell ref="N65:P65"/>
    <mergeCell ref="C29:D29"/>
    <mergeCell ref="E41:G41"/>
    <mergeCell ref="K41:M41"/>
    <mergeCell ref="N41:P41"/>
    <mergeCell ref="Q41:R41"/>
    <mergeCell ref="Q65:R65"/>
    <mergeCell ref="C65:D65"/>
    <mergeCell ref="E65:G65"/>
    <mergeCell ref="K54:M54"/>
    <mergeCell ref="H54:J54"/>
    <mergeCell ref="W42:X42"/>
    <mergeCell ref="W53:X53"/>
    <mergeCell ref="W54:X54"/>
    <mergeCell ref="W55:X55"/>
    <mergeCell ref="Y41:AA41"/>
    <mergeCell ref="Y42:AA42"/>
    <mergeCell ref="AC53:AD53"/>
    <mergeCell ref="AC54:AD54"/>
    <mergeCell ref="AC55:AD55"/>
    <mergeCell ref="AE54:AF54"/>
    <mergeCell ref="AE55:AF55"/>
    <mergeCell ref="U41:V41"/>
    <mergeCell ref="AM65:AN65"/>
    <mergeCell ref="AM66:AN66"/>
    <mergeCell ref="C144:D144"/>
    <mergeCell ref="K144:L144"/>
    <mergeCell ref="M144:N144"/>
    <mergeCell ref="Q144:R144"/>
    <mergeCell ref="Q143:R143"/>
    <mergeCell ref="O124:P124"/>
    <mergeCell ref="J124:L124"/>
    <mergeCell ref="M124:N124"/>
    <mergeCell ref="M125:N125"/>
    <mergeCell ref="O125:P125"/>
    <mergeCell ref="C143:D143"/>
    <mergeCell ref="E143:G143"/>
    <mergeCell ref="H143:J143"/>
    <mergeCell ref="K143:L143"/>
    <mergeCell ref="M143:N143"/>
    <mergeCell ref="O139:P139"/>
    <mergeCell ref="M139:N139"/>
    <mergeCell ref="U42:V42"/>
    <mergeCell ref="W41:X41"/>
    <mergeCell ref="V166:W166"/>
    <mergeCell ref="D178:G178"/>
    <mergeCell ref="C43:D43"/>
    <mergeCell ref="C44:D44"/>
    <mergeCell ref="C45:D45"/>
    <mergeCell ref="C56:D56"/>
    <mergeCell ref="C57:D57"/>
    <mergeCell ref="C58:D58"/>
    <mergeCell ref="C87:D87"/>
    <mergeCell ref="E86:G86"/>
    <mergeCell ref="H86:J86"/>
    <mergeCell ref="H87:J87"/>
    <mergeCell ref="K152:L152"/>
    <mergeCell ref="K159:L159"/>
    <mergeCell ref="C124:F124"/>
    <mergeCell ref="G124:I124"/>
    <mergeCell ref="O143:P143"/>
    <mergeCell ref="O144:P144"/>
    <mergeCell ref="K86:Z86"/>
    <mergeCell ref="C86:D86"/>
    <mergeCell ref="M152:N152"/>
    <mergeCell ref="M159:N159"/>
    <mergeCell ref="O152:P152"/>
    <mergeCell ref="O159:P159"/>
  </mergeCells>
  <conditionalFormatting sqref="B145:G157 I145:R157 H148:H157">
    <cfRule type="cellIs" dxfId="12" priority="2" operator="equal">
      <formula>0</formula>
    </cfRule>
    <cfRule type="cellIs" dxfId="11" priority="3" operator="equal">
      <formula>0</formula>
    </cfRule>
  </conditionalFormatting>
  <conditionalFormatting sqref="B126:P137">
    <cfRule type="cellIs" dxfId="10" priority="4" operator="equal">
      <formula>0</formula>
    </cfRule>
  </conditionalFormatting>
  <conditionalFormatting sqref="B88:Z108">
    <cfRule type="cellIs" dxfId="9" priority="1" operator="equal">
      <formula>0</formula>
    </cfRule>
  </conditionalFormatting>
  <pageMargins left="0.7" right="0.7" top="0.75" bottom="0.75" header="0.3" footer="0.3"/>
  <pageSetup paperSize="9" orientation="portrait" r:id="rId1"/>
  <ignoredErrors>
    <ignoredError sqref="B7" twoDigitTextYea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BA744"/>
  <sheetViews>
    <sheetView topLeftCell="A511" workbookViewId="0">
      <selection activeCell="K526" sqref="K526"/>
    </sheetView>
  </sheetViews>
  <sheetFormatPr defaultColWidth="9.1796875" defaultRowHeight="14" x14ac:dyDescent="0.3"/>
  <cols>
    <col min="1" max="41" width="8.7265625" style="1" customWidth="1"/>
    <col min="42" max="42" width="9.1796875" style="1" customWidth="1"/>
    <col min="43" max="52" width="8.7265625" style="1" customWidth="1"/>
    <col min="53" max="16384" width="9.1796875" style="1"/>
  </cols>
  <sheetData>
    <row r="1" spans="1:29" x14ac:dyDescent="0.3">
      <c r="A1" s="13" t="s">
        <v>444</v>
      </c>
      <c r="B1" s="14"/>
      <c r="C1" s="14"/>
      <c r="D1" s="14"/>
      <c r="E1" s="14"/>
      <c r="F1" s="14"/>
      <c r="G1" s="14"/>
      <c r="H1" s="14"/>
      <c r="I1" s="14"/>
      <c r="J1" s="14"/>
      <c r="K1" s="14"/>
      <c r="L1" s="14"/>
      <c r="M1" s="14"/>
      <c r="N1" s="14"/>
      <c r="O1" s="14"/>
      <c r="P1" s="14"/>
      <c r="Q1" s="14"/>
      <c r="R1" s="14"/>
      <c r="S1" s="14"/>
      <c r="T1" s="14"/>
      <c r="U1" s="14"/>
      <c r="V1" s="14"/>
      <c r="W1" s="14"/>
      <c r="X1" s="14"/>
      <c r="Y1" s="14"/>
      <c r="Z1" s="14"/>
      <c r="AA1" s="91"/>
      <c r="AB1" s="14"/>
      <c r="AC1" s="91"/>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14.5" x14ac:dyDescent="0.35">
      <c r="A3" s="4"/>
      <c r="B3" s="5" t="s">
        <v>644</v>
      </c>
      <c r="C3" s="4"/>
      <c r="D3" s="4"/>
      <c r="E3" s="1471" t="s">
        <v>56</v>
      </c>
      <c r="F3" s="6" t="s">
        <v>645</v>
      </c>
      <c r="G3" s="4"/>
      <c r="H3" s="4"/>
      <c r="I3" s="4"/>
      <c r="J3" s="4"/>
      <c r="K3" s="4"/>
      <c r="L3" s="4"/>
      <c r="M3" s="4"/>
      <c r="N3" s="4"/>
      <c r="O3" s="4"/>
      <c r="P3" s="4"/>
      <c r="Q3" s="4"/>
      <c r="R3" s="4"/>
      <c r="S3" s="4"/>
      <c r="T3" s="4"/>
      <c r="U3" s="4"/>
      <c r="V3" s="4"/>
      <c r="W3" s="4"/>
      <c r="X3" s="4"/>
      <c r="Y3" s="4"/>
      <c r="Z3" s="4"/>
      <c r="AA3" s="4"/>
      <c r="AB3" s="4"/>
      <c r="AC3" s="4"/>
    </row>
    <row r="4" spans="1:29" x14ac:dyDescent="0.3">
      <c r="A4" s="4"/>
      <c r="B4" s="5" t="s">
        <v>331</v>
      </c>
      <c r="C4" s="4"/>
      <c r="D4" s="4"/>
      <c r="E4" s="2139" t="s">
        <v>941</v>
      </c>
      <c r="F4" s="2139"/>
      <c r="G4" s="2139"/>
      <c r="H4" s="4"/>
      <c r="I4" s="4"/>
      <c r="J4" s="4"/>
      <c r="K4" s="4"/>
      <c r="L4" s="4"/>
      <c r="M4" s="4"/>
      <c r="N4" s="4"/>
      <c r="O4" s="4"/>
      <c r="P4" s="4"/>
      <c r="Q4" s="4"/>
      <c r="R4" s="4"/>
      <c r="S4" s="4"/>
      <c r="T4" s="4"/>
      <c r="U4" s="4"/>
      <c r="V4" s="4"/>
      <c r="W4" s="4"/>
      <c r="X4" s="4"/>
      <c r="Y4" s="4"/>
      <c r="Z4" s="4"/>
      <c r="AA4" s="4"/>
      <c r="AB4" s="4"/>
      <c r="AC4" s="4"/>
    </row>
    <row r="5" spans="1:29"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
      <c r="A6" s="4"/>
      <c r="B6" s="5" t="s">
        <v>330</v>
      </c>
      <c r="C6" s="4"/>
      <c r="D6" s="4"/>
      <c r="E6" s="4"/>
      <c r="F6" s="4"/>
      <c r="G6" s="4"/>
      <c r="H6" s="4"/>
      <c r="I6" s="4"/>
      <c r="J6" s="4"/>
      <c r="K6" s="4"/>
      <c r="L6" s="4"/>
      <c r="M6" s="4"/>
      <c r="N6" s="4"/>
      <c r="O6" s="4"/>
      <c r="P6" s="4"/>
      <c r="Q6" s="4"/>
      <c r="R6" s="4"/>
      <c r="S6" s="4"/>
      <c r="T6" s="4"/>
      <c r="U6" s="5"/>
      <c r="V6" s="4"/>
      <c r="W6" s="4"/>
      <c r="X6" s="4"/>
      <c r="Y6" s="4"/>
      <c r="Z6" s="4"/>
      <c r="AA6" s="4"/>
      <c r="AB6" s="4"/>
      <c r="AC6" s="4"/>
    </row>
    <row r="7" spans="1:29" ht="14.5" x14ac:dyDescent="0.35">
      <c r="A7" s="4"/>
      <c r="B7" s="2" t="s">
        <v>780</v>
      </c>
      <c r="C7" s="2"/>
      <c r="D7" s="2"/>
      <c r="E7" s="2"/>
      <c r="F7" s="2"/>
      <c r="G7" s="2"/>
      <c r="H7" s="1491"/>
      <c r="I7" s="2139" t="s">
        <v>326</v>
      </c>
      <c r="J7" s="2139"/>
      <c r="K7" s="6"/>
      <c r="L7" s="134" t="s">
        <v>1015</v>
      </c>
      <c r="M7" s="4"/>
      <c r="N7" s="4"/>
      <c r="O7" s="4"/>
      <c r="P7" s="4"/>
      <c r="Q7" s="4"/>
      <c r="R7" s="4"/>
      <c r="S7" s="4"/>
      <c r="T7" s="4"/>
      <c r="U7" s="4"/>
      <c r="V7" s="4"/>
      <c r="W7" s="26"/>
      <c r="X7" s="6"/>
      <c r="Y7" s="4"/>
      <c r="Z7" s="4"/>
      <c r="AA7" s="4"/>
      <c r="AB7" s="4"/>
      <c r="AC7" s="4"/>
    </row>
    <row r="8" spans="1:29" ht="14.5" x14ac:dyDescent="0.35">
      <c r="A8" s="4"/>
      <c r="B8" s="2" t="s">
        <v>550</v>
      </c>
      <c r="C8" s="2"/>
      <c r="D8" s="2"/>
      <c r="E8" s="2"/>
      <c r="F8" s="2"/>
      <c r="G8" s="2"/>
      <c r="H8" s="1491"/>
      <c r="I8" s="1491"/>
      <c r="J8" s="1494" t="s">
        <v>551</v>
      </c>
      <c r="K8" s="4"/>
      <c r="L8" s="134" t="s">
        <v>939</v>
      </c>
      <c r="M8" s="4"/>
      <c r="N8" s="4"/>
      <c r="O8" s="4"/>
      <c r="P8" s="4"/>
      <c r="Q8" s="4"/>
      <c r="R8" s="4"/>
      <c r="S8" s="4"/>
      <c r="T8" s="4"/>
      <c r="U8" s="4"/>
      <c r="V8" s="4"/>
      <c r="W8" s="4"/>
      <c r="X8" s="26"/>
      <c r="Y8" s="4"/>
      <c r="Z8" s="4"/>
      <c r="AA8" s="4"/>
      <c r="AB8" s="4"/>
      <c r="AC8" s="4"/>
    </row>
    <row r="9" spans="1:29" x14ac:dyDescent="0.3">
      <c r="A9" s="4"/>
      <c r="B9" s="2" t="s">
        <v>552</v>
      </c>
      <c r="C9" s="2"/>
      <c r="D9" s="2"/>
      <c r="E9" s="2"/>
      <c r="F9" s="2"/>
      <c r="G9" s="2"/>
      <c r="H9" s="2009" t="s">
        <v>553</v>
      </c>
      <c r="I9" s="2009"/>
      <c r="J9" s="2009"/>
      <c r="K9" s="4"/>
      <c r="L9" s="913"/>
      <c r="M9" s="4"/>
      <c r="N9" s="4"/>
      <c r="O9" s="4"/>
      <c r="P9" s="4"/>
      <c r="Q9" s="4"/>
      <c r="R9" s="4"/>
      <c r="S9" s="4"/>
      <c r="T9" s="4"/>
      <c r="U9" s="4"/>
      <c r="V9" s="4"/>
      <c r="W9" s="4"/>
      <c r="X9" s="26"/>
      <c r="Y9" s="4"/>
      <c r="Z9" s="4"/>
      <c r="AA9" s="4"/>
      <c r="AB9" s="4"/>
      <c r="AC9" s="4"/>
    </row>
    <row r="10" spans="1:29" ht="14.5" x14ac:dyDescent="0.35">
      <c r="A10" s="4"/>
      <c r="B10" s="2" t="s">
        <v>781</v>
      </c>
      <c r="C10" s="2"/>
      <c r="D10" s="2"/>
      <c r="E10" s="2"/>
      <c r="F10" s="2"/>
      <c r="G10" s="2"/>
      <c r="H10" s="1491"/>
      <c r="I10" s="2139" t="s">
        <v>333</v>
      </c>
      <c r="J10" s="2139"/>
      <c r="K10" s="4"/>
      <c r="L10" s="134" t="s">
        <v>938</v>
      </c>
      <c r="M10" s="4"/>
      <c r="N10" s="4"/>
      <c r="O10" s="4"/>
      <c r="P10" s="4"/>
      <c r="Q10" s="4"/>
      <c r="R10" s="4"/>
      <c r="S10" s="4"/>
      <c r="T10" s="4"/>
      <c r="U10" s="4"/>
      <c r="V10" s="4"/>
      <c r="W10" s="4"/>
      <c r="X10" s="26"/>
      <c r="Y10" s="4"/>
      <c r="Z10" s="4"/>
      <c r="AA10" s="4"/>
      <c r="AB10" s="4"/>
      <c r="AC10" s="4"/>
    </row>
    <row r="11" spans="1:29" x14ac:dyDescent="0.3">
      <c r="A11" s="4"/>
      <c r="B11" s="2" t="s">
        <v>925</v>
      </c>
      <c r="C11" s="2"/>
      <c r="D11" s="2"/>
      <c r="E11" s="2"/>
      <c r="F11" s="2"/>
      <c r="G11" s="2"/>
      <c r="H11" s="2"/>
      <c r="I11" s="3" t="s">
        <v>519</v>
      </c>
      <c r="J11" s="1494">
        <v>165</v>
      </c>
      <c r="K11" s="4"/>
      <c r="L11" s="4"/>
      <c r="M11" s="4"/>
      <c r="N11" s="4"/>
      <c r="O11" s="4"/>
      <c r="P11" s="4"/>
      <c r="Q11" s="4"/>
      <c r="R11" s="4"/>
      <c r="S11" s="4"/>
      <c r="T11" s="4"/>
      <c r="U11" s="4"/>
      <c r="V11" s="4"/>
      <c r="W11" s="4"/>
      <c r="X11" s="26"/>
      <c r="Y11" s="4"/>
      <c r="Z11" s="4"/>
      <c r="AA11" s="4"/>
      <c r="AB11" s="4"/>
      <c r="AC11" s="4"/>
    </row>
    <row r="12" spans="1:29"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3">
      <c r="A13" s="4"/>
      <c r="B13" s="5" t="s">
        <v>334</v>
      </c>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3">
      <c r="A14" s="4"/>
      <c r="B14" s="2"/>
      <c r="C14" s="2"/>
      <c r="D14" s="2"/>
      <c r="E14" s="2033" t="s">
        <v>127</v>
      </c>
      <c r="F14" s="2033"/>
      <c r="G14" s="2033"/>
      <c r="H14" s="2033"/>
      <c r="I14" s="2033"/>
      <c r="J14" s="2033"/>
      <c r="K14" s="2033"/>
      <c r="L14" s="2033"/>
      <c r="M14" s="2033"/>
      <c r="N14" s="2033"/>
      <c r="O14" s="2033"/>
      <c r="P14" s="2033"/>
      <c r="Q14" s="2033"/>
      <c r="R14" s="2033"/>
      <c r="S14" s="2033"/>
      <c r="T14" s="2033"/>
      <c r="U14" s="2033" t="s">
        <v>452</v>
      </c>
      <c r="V14" s="2033"/>
      <c r="W14" s="4"/>
      <c r="X14" s="4"/>
      <c r="Y14" s="4"/>
      <c r="Z14" s="4"/>
      <c r="AA14" s="4"/>
      <c r="AB14" s="4"/>
      <c r="AC14" s="4"/>
    </row>
    <row r="15" spans="1:29" x14ac:dyDescent="0.3">
      <c r="A15" s="4"/>
      <c r="B15" s="2"/>
      <c r="C15" s="2"/>
      <c r="D15" s="2"/>
      <c r="E15" s="18"/>
      <c r="F15" s="18"/>
      <c r="G15" s="18"/>
      <c r="H15" s="18"/>
      <c r="I15" s="18"/>
      <c r="J15" s="18"/>
      <c r="K15" s="18"/>
      <c r="L15" s="18"/>
      <c r="M15" s="18"/>
      <c r="N15" s="18"/>
      <c r="O15" s="18"/>
      <c r="P15" s="18"/>
      <c r="Q15" s="18"/>
      <c r="R15" s="18"/>
      <c r="S15" s="18"/>
      <c r="T15" s="18"/>
      <c r="U15" s="2033" t="s">
        <v>184</v>
      </c>
      <c r="V15" s="2033"/>
      <c r="W15" s="4"/>
      <c r="X15" s="4"/>
      <c r="Y15" s="4"/>
      <c r="Z15" s="4"/>
      <c r="AA15" s="4"/>
      <c r="AB15" s="4"/>
      <c r="AC15" s="4"/>
    </row>
    <row r="16" spans="1:29" ht="14.5" thickBot="1" x14ac:dyDescent="0.35">
      <c r="A16" s="4"/>
      <c r="B16" s="2"/>
      <c r="C16" s="2"/>
      <c r="D16" s="2"/>
      <c r="E16" s="18">
        <f>berekeningen!D9</f>
        <v>40</v>
      </c>
      <c r="F16" s="18">
        <f>berekeningen!E9</f>
        <v>31.5</v>
      </c>
      <c r="G16" s="18">
        <f>berekeningen!F9</f>
        <v>20</v>
      </c>
      <c r="H16" s="18">
        <f>berekeningen!G9</f>
        <v>16</v>
      </c>
      <c r="I16" s="18">
        <f>berekeningen!H9</f>
        <v>14</v>
      </c>
      <c r="J16" s="18">
        <f>berekeningen!I9</f>
        <v>12.5</v>
      </c>
      <c r="K16" s="18">
        <f>berekeningen!J9</f>
        <v>10</v>
      </c>
      <c r="L16" s="18">
        <f>berekeningen!K9</f>
        <v>8</v>
      </c>
      <c r="M16" s="18">
        <f>berekeningen!L9</f>
        <v>6.3</v>
      </c>
      <c r="N16" s="18">
        <f>berekeningen!M9</f>
        <v>4</v>
      </c>
      <c r="O16" s="18">
        <f>berekeningen!N9</f>
        <v>2</v>
      </c>
      <c r="P16" s="18">
        <f>berekeningen!O9</f>
        <v>1</v>
      </c>
      <c r="Q16" s="18">
        <f>berekeningen!P9</f>
        <v>0.5</v>
      </c>
      <c r="R16" s="18">
        <f>berekeningen!Q9</f>
        <v>0.25</v>
      </c>
      <c r="S16" s="18">
        <f>berekeningen!R9</f>
        <v>0.125</v>
      </c>
      <c r="T16" s="18">
        <f>berekeningen!S9</f>
        <v>6.3E-2</v>
      </c>
      <c r="U16" s="2033" t="s">
        <v>185</v>
      </c>
      <c r="V16" s="2033"/>
      <c r="W16" s="4"/>
      <c r="X16" s="4"/>
      <c r="Y16" s="4"/>
      <c r="Z16" s="4"/>
      <c r="AA16" s="4"/>
      <c r="AB16" s="4"/>
      <c r="AC16" s="4"/>
    </row>
    <row r="17" spans="1:29" ht="14.5" thickTop="1" x14ac:dyDescent="0.3">
      <c r="A17" s="4"/>
      <c r="B17" s="30" t="s">
        <v>350</v>
      </c>
      <c r="C17" s="30"/>
      <c r="D17" s="36"/>
      <c r="E17" s="1517"/>
      <c r="F17" s="1518"/>
      <c r="G17" s="1518"/>
      <c r="H17" s="1518"/>
      <c r="I17" s="1518"/>
      <c r="J17" s="1518"/>
      <c r="K17" s="1518">
        <v>100</v>
      </c>
      <c r="L17" s="1518">
        <v>90.5</v>
      </c>
      <c r="M17" s="1518">
        <v>80</v>
      </c>
      <c r="N17" s="1518">
        <v>70</v>
      </c>
      <c r="O17" s="1518">
        <v>60</v>
      </c>
      <c r="P17" s="1518">
        <v>50</v>
      </c>
      <c r="Q17" s="1518">
        <v>40</v>
      </c>
      <c r="R17" s="1518">
        <v>30</v>
      </c>
      <c r="S17" s="1518">
        <v>20</v>
      </c>
      <c r="T17" s="1526">
        <v>9</v>
      </c>
      <c r="U17" s="2200">
        <v>4.05</v>
      </c>
      <c r="V17" s="2201"/>
      <c r="W17" s="24"/>
      <c r="X17" s="4"/>
      <c r="Y17" s="4"/>
      <c r="Z17" s="4"/>
      <c r="AA17" s="4"/>
      <c r="AB17" s="4"/>
      <c r="AC17" s="4"/>
    </row>
    <row r="18" spans="1:29" x14ac:dyDescent="0.3">
      <c r="A18" s="4"/>
      <c r="B18" s="2" t="s">
        <v>351</v>
      </c>
      <c r="C18" s="2"/>
      <c r="D18" s="2"/>
      <c r="E18" s="84">
        <f>IF(samenstelling!K109="","",samenstelling!K109)</f>
        <v>99.999735647425894</v>
      </c>
      <c r="F18" s="84">
        <f>IF(samenstelling!L109="","",samenstelling!L109)</f>
        <v>99.999735647425894</v>
      </c>
      <c r="G18" s="84">
        <f>IF(samenstelling!M109="","",samenstelling!M109)</f>
        <v>99.948735647425877</v>
      </c>
      <c r="H18" s="84">
        <f>IF(samenstelling!N109="","",samenstelling!N109)</f>
        <v>97.500735647425884</v>
      </c>
      <c r="I18" s="84">
        <f>IF(samenstelling!O109="","",samenstelling!O109)</f>
        <v>95.868735647425879</v>
      </c>
      <c r="J18" s="84">
        <f>IF(samenstelling!P109="","",samenstelling!P109)</f>
        <v>92.553735647425881</v>
      </c>
      <c r="K18" s="84">
        <f>IF(samenstelling!Q109="","",samenstelling!Q109)</f>
        <v>89.666735647425881</v>
      </c>
      <c r="L18" s="84">
        <f>IF(samenstelling!R109="","",samenstelling!R109)</f>
        <v>68.318617082683289</v>
      </c>
      <c r="M18" s="84">
        <f>IF(samenstelling!S109="","",samenstelling!S109)</f>
        <v>47.600398517940718</v>
      </c>
      <c r="N18" s="84">
        <f>IF(samenstelling!T109="","",samenstelling!T109)</f>
        <v>38.531179953198126</v>
      </c>
      <c r="O18" s="84">
        <f>IF(samenstelling!U109="","",samenstelling!U109)</f>
        <v>28.32396138845554</v>
      </c>
      <c r="P18" s="84">
        <f>IF(samenstelling!V109="","",samenstelling!V109)</f>
        <v>23.058242823712948</v>
      </c>
      <c r="Q18" s="84">
        <f>IF(samenstelling!W109="","",samenstelling!W109)</f>
        <v>18.557524258970361</v>
      </c>
      <c r="R18" s="84">
        <f>IF(samenstelling!X109="","",samenstelling!X109)</f>
        <v>14.974805694227769</v>
      </c>
      <c r="S18" s="84">
        <f>IF(samenstelling!Y109="","",samenstelling!Y109)</f>
        <v>11.405659629485179</v>
      </c>
      <c r="T18" s="67">
        <f>IF(samenstelling!Z109="","",samenstelling!Z109)</f>
        <v>7.8679135647425893</v>
      </c>
      <c r="U18" s="2170">
        <f>samenstelling!G176</f>
        <v>3.805679</v>
      </c>
      <c r="V18" s="2170"/>
      <c r="W18" s="24"/>
      <c r="X18" s="4"/>
      <c r="Y18" s="4"/>
      <c r="Z18" s="4"/>
      <c r="AA18" s="4"/>
      <c r="AB18" s="4"/>
      <c r="AC18" s="4"/>
    </row>
    <row r="19" spans="1:29" x14ac:dyDescent="0.3">
      <c r="A19" s="4"/>
      <c r="B19" s="2" t="s">
        <v>352</v>
      </c>
      <c r="C19" s="2"/>
      <c r="D19" s="2"/>
      <c r="E19" s="84" t="str">
        <f>IF(E17="","",E17-E18)</f>
        <v/>
      </c>
      <c r="F19" s="84" t="str">
        <f t="shared" ref="F19:U19" si="0">IF(F17="","",F17-F18)</f>
        <v/>
      </c>
      <c r="G19" s="84" t="str">
        <f t="shared" si="0"/>
        <v/>
      </c>
      <c r="H19" s="84" t="str">
        <f t="shared" si="0"/>
        <v/>
      </c>
      <c r="I19" s="84" t="str">
        <f t="shared" si="0"/>
        <v/>
      </c>
      <c r="J19" s="84" t="str">
        <f t="shared" si="0"/>
        <v/>
      </c>
      <c r="K19" s="84">
        <f t="shared" si="0"/>
        <v>10.333264352574119</v>
      </c>
      <c r="L19" s="84">
        <f t="shared" si="0"/>
        <v>22.181382917316711</v>
      </c>
      <c r="M19" s="84">
        <f t="shared" si="0"/>
        <v>32.399601482059282</v>
      </c>
      <c r="N19" s="84">
        <f t="shared" si="0"/>
        <v>31.468820046801874</v>
      </c>
      <c r="O19" s="84">
        <f t="shared" si="0"/>
        <v>31.67603861154446</v>
      </c>
      <c r="P19" s="84">
        <f t="shared" si="0"/>
        <v>26.941757176287052</v>
      </c>
      <c r="Q19" s="84">
        <f t="shared" si="0"/>
        <v>21.442475741029639</v>
      </c>
      <c r="R19" s="84">
        <f t="shared" si="0"/>
        <v>15.025194305772231</v>
      </c>
      <c r="S19" s="84">
        <f t="shared" si="0"/>
        <v>8.5943403705148214</v>
      </c>
      <c r="T19" s="67">
        <f t="shared" si="0"/>
        <v>1.1320864352574107</v>
      </c>
      <c r="U19" s="2203">
        <f t="shared" si="0"/>
        <v>0.24432099999999979</v>
      </c>
      <c r="V19" s="2203"/>
      <c r="W19" s="24"/>
      <c r="X19" s="4"/>
      <c r="Y19" s="4"/>
      <c r="Z19" s="4"/>
      <c r="AA19" s="4"/>
      <c r="AB19" s="4"/>
      <c r="AC19" s="4"/>
    </row>
    <row r="20" spans="1:29"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
      <c r="A22" s="13" t="s">
        <v>349</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row>
    <row r="23" spans="1:29"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
      <c r="A24" s="4"/>
      <c r="B24" s="5" t="s">
        <v>330</v>
      </c>
      <c r="C24" s="4"/>
      <c r="D24" s="4"/>
      <c r="E24" s="4"/>
      <c r="F24" s="4"/>
      <c r="G24" s="4"/>
      <c r="H24" s="4"/>
      <c r="I24" s="4"/>
      <c r="J24" s="4"/>
      <c r="K24" s="4"/>
      <c r="L24" s="4"/>
      <c r="M24" s="4"/>
      <c r="N24" s="4"/>
      <c r="O24" s="4"/>
      <c r="P24" s="4"/>
      <c r="Q24" s="4"/>
      <c r="R24" s="4"/>
      <c r="S24" s="4"/>
      <c r="T24" s="4"/>
      <c r="U24" s="5"/>
      <c r="V24" s="4"/>
      <c r="W24" s="4"/>
      <c r="X24" s="4"/>
      <c r="Y24" s="4"/>
      <c r="Z24" s="4"/>
      <c r="AA24" s="4"/>
      <c r="AB24" s="4"/>
      <c r="AC24" s="4"/>
    </row>
    <row r="25" spans="1:29" x14ac:dyDescent="0.3">
      <c r="A25" s="4"/>
      <c r="B25" s="2" t="s">
        <v>1361</v>
      </c>
      <c r="C25" s="2"/>
      <c r="D25" s="2"/>
      <c r="E25" s="2"/>
      <c r="F25" s="2"/>
      <c r="G25" s="2"/>
      <c r="H25" s="2" t="s">
        <v>1362</v>
      </c>
      <c r="I25" s="2"/>
      <c r="J25" s="4"/>
      <c r="K25" s="4"/>
      <c r="L25" s="4"/>
      <c r="M25" s="4"/>
      <c r="N25" s="4"/>
      <c r="O25" s="4"/>
      <c r="P25" s="4"/>
      <c r="Q25" s="4"/>
      <c r="R25" s="4"/>
      <c r="S25" s="4"/>
      <c r="T25" s="4"/>
      <c r="U25" s="5"/>
      <c r="V25" s="4"/>
      <c r="W25" s="4"/>
      <c r="X25" s="4"/>
      <c r="Y25" s="4"/>
      <c r="Z25" s="4"/>
      <c r="AA25" s="4"/>
      <c r="AB25" s="4"/>
      <c r="AC25" s="4"/>
    </row>
    <row r="26" spans="1:29" ht="14.5" x14ac:dyDescent="0.35">
      <c r="A26" s="4"/>
      <c r="B26" s="2" t="s">
        <v>1369</v>
      </c>
      <c r="C26" s="2"/>
      <c r="D26" s="1491"/>
      <c r="E26" s="1491"/>
      <c r="F26" s="1491"/>
      <c r="G26" s="1491"/>
      <c r="H26" s="1491"/>
      <c r="I26" s="1494" t="s">
        <v>684</v>
      </c>
      <c r="J26" s="134" t="s">
        <v>1371</v>
      </c>
      <c r="K26" s="4"/>
      <c r="L26" s="4"/>
      <c r="M26" s="4"/>
      <c r="N26" s="4"/>
      <c r="O26" s="4"/>
      <c r="P26" s="4"/>
      <c r="Q26" s="4"/>
      <c r="R26" s="4"/>
      <c r="S26" s="4"/>
      <c r="T26" s="4"/>
      <c r="U26" s="5"/>
      <c r="V26" s="4"/>
      <c r="W26" s="4"/>
      <c r="X26" s="4"/>
      <c r="Y26" s="4"/>
      <c r="Z26" s="4"/>
      <c r="AA26" s="4"/>
      <c r="AB26" s="4"/>
      <c r="AC26" s="4"/>
    </row>
    <row r="27" spans="1:29" ht="14.5" x14ac:dyDescent="0.35">
      <c r="A27" s="4"/>
      <c r="B27" s="301" t="s">
        <v>1363</v>
      </c>
      <c r="C27" s="301"/>
      <c r="D27" s="1589"/>
      <c r="E27" s="1589"/>
      <c r="F27" s="1589"/>
      <c r="G27" s="1589"/>
      <c r="H27" s="2139" t="s">
        <v>1450</v>
      </c>
      <c r="I27" s="2139"/>
      <c r="J27" s="134" t="s">
        <v>1452</v>
      </c>
      <c r="K27" s="4"/>
      <c r="L27" s="4"/>
      <c r="M27" s="4"/>
      <c r="N27" s="4"/>
      <c r="O27" s="4"/>
      <c r="P27" s="4"/>
      <c r="Q27" s="4"/>
      <c r="R27" s="4"/>
      <c r="S27" s="4"/>
      <c r="T27" s="4"/>
      <c r="U27" s="5"/>
      <c r="V27" s="4"/>
      <c r="W27" s="4"/>
      <c r="X27" s="4"/>
      <c r="Y27" s="4"/>
      <c r="Z27" s="4"/>
      <c r="AA27" s="4"/>
      <c r="AB27" s="4"/>
      <c r="AC27" s="4"/>
    </row>
    <row r="28" spans="1:29" ht="14.5" x14ac:dyDescent="0.35">
      <c r="A28" s="4"/>
      <c r="B28" s="301" t="s">
        <v>1364</v>
      </c>
      <c r="C28" s="301"/>
      <c r="D28" s="1589"/>
      <c r="E28" s="1589"/>
      <c r="F28" s="1589"/>
      <c r="G28" s="1589"/>
      <c r="H28" s="2139" t="s">
        <v>1365</v>
      </c>
      <c r="I28" s="2139"/>
      <c r="J28" s="134"/>
      <c r="K28" s="4"/>
      <c r="L28" s="4"/>
      <c r="M28" s="4"/>
      <c r="N28" s="4"/>
      <c r="O28" s="4"/>
      <c r="P28" s="4"/>
      <c r="Q28" s="4"/>
      <c r="R28" s="4"/>
      <c r="S28" s="4"/>
      <c r="T28" s="4"/>
      <c r="U28" s="5"/>
      <c r="V28" s="4"/>
      <c r="W28" s="4"/>
      <c r="X28" s="4"/>
      <c r="Y28" s="4"/>
      <c r="Z28" s="4"/>
      <c r="AA28" s="4"/>
      <c r="AB28" s="4"/>
      <c r="AC28" s="4"/>
    </row>
    <row r="29" spans="1:29" ht="14.5" x14ac:dyDescent="0.35">
      <c r="A29" s="4"/>
      <c r="B29" s="301" t="s">
        <v>1366</v>
      </c>
      <c r="C29" s="301"/>
      <c r="D29" s="2221" t="s">
        <v>1367</v>
      </c>
      <c r="E29" s="2221"/>
      <c r="F29" s="2221"/>
      <c r="G29" s="2221"/>
      <c r="H29" s="2221"/>
      <c r="I29" s="2221"/>
      <c r="J29" s="134" t="s">
        <v>1631</v>
      </c>
      <c r="K29" s="4"/>
      <c r="L29" s="4"/>
      <c r="M29" s="4"/>
      <c r="N29" s="4"/>
      <c r="O29" s="4"/>
      <c r="P29" s="4"/>
      <c r="Q29" s="4"/>
      <c r="R29" s="4"/>
      <c r="S29" s="4"/>
      <c r="T29" s="4"/>
      <c r="U29" s="5"/>
      <c r="V29" s="4"/>
      <c r="W29" s="4"/>
      <c r="X29" s="4"/>
      <c r="Y29" s="4"/>
      <c r="Z29" s="4"/>
      <c r="AA29" s="4"/>
      <c r="AB29" s="4"/>
      <c r="AC29" s="4"/>
    </row>
    <row r="30" spans="1:29" ht="14.5" x14ac:dyDescent="0.35">
      <c r="A30" s="4"/>
      <c r="B30" s="301" t="s">
        <v>1368</v>
      </c>
      <c r="C30" s="301"/>
      <c r="D30" s="28"/>
      <c r="E30" s="28"/>
      <c r="F30" s="28"/>
      <c r="G30" s="28"/>
      <c r="H30" s="73" t="s">
        <v>803</v>
      </c>
      <c r="I30" s="1590">
        <v>15</v>
      </c>
      <c r="J30" s="134"/>
      <c r="K30" s="4"/>
      <c r="L30" s="4"/>
      <c r="M30" s="4"/>
      <c r="N30" s="4"/>
      <c r="O30" s="4"/>
      <c r="P30" s="4"/>
      <c r="Q30" s="4"/>
      <c r="R30" s="4"/>
      <c r="S30" s="4"/>
      <c r="T30" s="4"/>
      <c r="U30" s="5"/>
      <c r="V30" s="4"/>
      <c r="W30" s="4"/>
      <c r="X30" s="4"/>
      <c r="Y30" s="4"/>
      <c r="Z30" s="4"/>
      <c r="AA30" s="4"/>
      <c r="AB30" s="4"/>
      <c r="AC30" s="4"/>
    </row>
    <row r="31" spans="1:29" ht="14.5" x14ac:dyDescent="0.35">
      <c r="A31" s="4"/>
      <c r="B31" s="43" t="s">
        <v>442</v>
      </c>
      <c r="C31" s="43"/>
      <c r="D31" s="43"/>
      <c r="E31" s="43"/>
      <c r="F31" s="43"/>
      <c r="G31" s="43"/>
      <c r="H31" s="43" t="s">
        <v>345</v>
      </c>
      <c r="I31" s="1540"/>
      <c r="J31" s="4"/>
      <c r="K31" s="4"/>
      <c r="L31" s="4"/>
      <c r="M31" s="4"/>
      <c r="N31" s="4"/>
      <c r="O31" s="4"/>
      <c r="P31" s="4"/>
      <c r="Q31" s="4"/>
      <c r="R31" s="4"/>
      <c r="S31" s="4"/>
      <c r="T31" s="4"/>
      <c r="U31" s="4"/>
      <c r="V31" s="4"/>
      <c r="W31" s="4"/>
      <c r="X31" s="26"/>
      <c r="Y31" s="6"/>
      <c r="Z31" s="4"/>
      <c r="AA31" s="4"/>
      <c r="AB31" s="4"/>
      <c r="AC31" s="4"/>
    </row>
    <row r="32" spans="1:29" ht="14.5" x14ac:dyDescent="0.35">
      <c r="A32" s="4"/>
      <c r="B32" s="2" t="s">
        <v>363</v>
      </c>
      <c r="C32" s="2"/>
      <c r="D32" s="2"/>
      <c r="E32" s="2"/>
      <c r="F32" s="2"/>
      <c r="G32" s="2"/>
      <c r="H32" s="3" t="s">
        <v>132</v>
      </c>
      <c r="I32" s="1494">
        <v>0.3</v>
      </c>
      <c r="J32" s="134" t="s">
        <v>1612</v>
      </c>
      <c r="K32" s="4"/>
      <c r="L32" s="4"/>
      <c r="M32" s="4"/>
      <c r="N32" s="4"/>
      <c r="O32" s="4"/>
      <c r="P32" s="4"/>
      <c r="Q32" s="4"/>
      <c r="R32" s="4"/>
      <c r="S32" s="4"/>
      <c r="T32" s="4"/>
      <c r="U32" s="4"/>
      <c r="V32" s="4"/>
      <c r="W32" s="4"/>
      <c r="X32" s="26"/>
      <c r="Y32" s="6"/>
      <c r="Z32" s="4"/>
      <c r="AA32" s="4"/>
      <c r="AB32" s="4"/>
      <c r="AC32" s="4"/>
    </row>
    <row r="33" spans="1:29" x14ac:dyDescent="0.3">
      <c r="A33" s="4"/>
      <c r="B33" s="4"/>
      <c r="C33" s="4"/>
      <c r="D33" s="4"/>
      <c r="E33" s="4"/>
      <c r="F33" s="4"/>
      <c r="G33" s="4"/>
      <c r="H33" s="4"/>
      <c r="I33" s="4"/>
      <c r="J33" s="4"/>
      <c r="K33" s="4"/>
      <c r="L33" s="4"/>
      <c r="M33" s="4"/>
      <c r="N33" s="4"/>
      <c r="O33" s="4"/>
      <c r="P33" s="4"/>
      <c r="Q33" s="4"/>
      <c r="R33" s="4"/>
      <c r="S33" s="4"/>
      <c r="T33" s="4"/>
      <c r="U33" s="4"/>
      <c r="V33" s="4"/>
      <c r="W33" s="4"/>
      <c r="X33" s="26"/>
      <c r="Y33" s="4"/>
      <c r="Z33" s="4"/>
      <c r="AA33" s="4"/>
      <c r="AB33" s="4"/>
      <c r="AC33" s="4"/>
    </row>
    <row r="34" spans="1:29" x14ac:dyDescent="0.3">
      <c r="A34" s="4"/>
      <c r="B34" s="4"/>
      <c r="C34" s="4"/>
      <c r="D34" s="4"/>
      <c r="E34" s="4"/>
      <c r="F34" s="4"/>
      <c r="G34" s="4"/>
      <c r="H34" s="4"/>
      <c r="I34" s="4"/>
      <c r="J34" s="4"/>
      <c r="K34" s="4"/>
      <c r="L34" s="4"/>
      <c r="M34" s="4"/>
      <c r="N34" s="4"/>
      <c r="O34" s="4"/>
      <c r="P34" s="4"/>
      <c r="Q34" s="4"/>
      <c r="R34" s="4"/>
      <c r="S34" s="4"/>
      <c r="T34" s="4"/>
      <c r="U34" s="4"/>
      <c r="V34" s="4"/>
      <c r="W34" s="4"/>
      <c r="X34" s="26"/>
      <c r="Y34" s="4"/>
      <c r="Z34" s="4"/>
      <c r="AA34" s="4"/>
      <c r="AB34" s="4"/>
      <c r="AC34" s="4"/>
    </row>
    <row r="35" spans="1:29" x14ac:dyDescent="0.3">
      <c r="A35" s="4"/>
      <c r="B35" s="5" t="s">
        <v>335</v>
      </c>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ht="15" customHeight="1" x14ac:dyDescent="0.3">
      <c r="A36" s="4"/>
      <c r="B36" s="2" t="s">
        <v>336</v>
      </c>
      <c r="C36" s="2"/>
      <c r="D36" s="2" t="s">
        <v>183</v>
      </c>
      <c r="E36" s="2"/>
      <c r="F36" s="2033" t="s">
        <v>374</v>
      </c>
      <c r="G36" s="2033"/>
      <c r="H36" s="2033"/>
      <c r="I36" s="2033"/>
      <c r="J36" s="2033"/>
      <c r="K36" s="2033" t="s">
        <v>346</v>
      </c>
      <c r="L36" s="2033"/>
      <c r="M36" s="2033"/>
      <c r="N36" s="2033"/>
      <c r="O36" s="2033"/>
      <c r="P36" s="2033"/>
      <c r="Q36" s="2033"/>
      <c r="R36" s="2" t="s">
        <v>369</v>
      </c>
      <c r="S36" s="2"/>
      <c r="T36" s="2" t="s">
        <v>370</v>
      </c>
      <c r="U36" s="2"/>
      <c r="V36" s="143" t="s">
        <v>928</v>
      </c>
      <c r="W36" s="143"/>
      <c r="X36" s="143"/>
      <c r="Y36" s="143"/>
      <c r="Z36" s="92"/>
      <c r="AA36" s="92"/>
      <c r="AB36" s="4"/>
      <c r="AC36" s="4"/>
    </row>
    <row r="37" spans="1:29" x14ac:dyDescent="0.3">
      <c r="A37" s="4"/>
      <c r="B37" s="47" t="s">
        <v>338</v>
      </c>
      <c r="C37" s="49"/>
      <c r="D37" s="49" t="s">
        <v>337</v>
      </c>
      <c r="E37" s="49"/>
      <c r="F37" s="47">
        <v>1</v>
      </c>
      <c r="G37" s="47">
        <v>2</v>
      </c>
      <c r="H37" s="47">
        <v>3</v>
      </c>
      <c r="I37" s="47">
        <v>4</v>
      </c>
      <c r="J37" s="47" t="s">
        <v>339</v>
      </c>
      <c r="K37" s="47">
        <v>1</v>
      </c>
      <c r="L37" s="47">
        <v>2</v>
      </c>
      <c r="M37" s="47">
        <v>3</v>
      </c>
      <c r="N37" s="47">
        <v>4</v>
      </c>
      <c r="O37" s="47">
        <v>5</v>
      </c>
      <c r="P37" s="47">
        <v>6</v>
      </c>
      <c r="Q37" s="47" t="s">
        <v>339</v>
      </c>
      <c r="R37" s="47" t="s">
        <v>371</v>
      </c>
      <c r="S37" s="49"/>
      <c r="T37" s="47" t="s">
        <v>371</v>
      </c>
      <c r="U37" s="49"/>
      <c r="V37" s="372" t="s">
        <v>926</v>
      </c>
      <c r="W37" s="372"/>
      <c r="X37" s="372" t="s">
        <v>927</v>
      </c>
      <c r="Y37" s="372"/>
      <c r="Z37" s="92"/>
      <c r="AA37" s="92"/>
      <c r="AB37" s="4"/>
      <c r="AC37" s="4"/>
    </row>
    <row r="38" spans="1:29" ht="14.5" x14ac:dyDescent="0.35">
      <c r="A38" s="4"/>
      <c r="B38" s="1494" t="s">
        <v>353</v>
      </c>
      <c r="C38" s="18"/>
      <c r="D38" s="135">
        <f>IF(I32="","",D68-I32)</f>
        <v>3.5500000000000003</v>
      </c>
      <c r="E38" s="18"/>
      <c r="F38" s="1593">
        <v>62</v>
      </c>
      <c r="G38" s="1593"/>
      <c r="H38" s="1593"/>
      <c r="I38" s="1593"/>
      <c r="J38" s="133">
        <f>IF(F38="","",AVERAGE(F38:I38))</f>
        <v>62</v>
      </c>
      <c r="K38" s="1593"/>
      <c r="L38" s="1593"/>
      <c r="M38" s="1593"/>
      <c r="N38" s="1593"/>
      <c r="O38" s="1593"/>
      <c r="P38" s="1593"/>
      <c r="Q38" s="133" t="str">
        <f>IF(K38="","",AVERAGE(K38:P38))</f>
        <v/>
      </c>
      <c r="R38" s="1593">
        <v>100</v>
      </c>
      <c r="S38" s="67"/>
      <c r="T38" s="67">
        <f>IF(Q38="",R38,Q38)</f>
        <v>100</v>
      </c>
      <c r="U38" s="2"/>
      <c r="V38" s="1593">
        <v>170</v>
      </c>
      <c r="W38" s="18"/>
      <c r="X38" s="1593">
        <v>140</v>
      </c>
      <c r="Y38" s="2"/>
      <c r="Z38" s="134" t="s">
        <v>434</v>
      </c>
      <c r="AA38" s="92"/>
      <c r="AB38" s="4"/>
      <c r="AC38" s="4"/>
    </row>
    <row r="39" spans="1:29" ht="14.5" x14ac:dyDescent="0.35">
      <c r="A39" s="4"/>
      <c r="B39" s="1494" t="s">
        <v>354</v>
      </c>
      <c r="C39" s="18"/>
      <c r="D39" s="136">
        <f>D$38</f>
        <v>3.5500000000000003</v>
      </c>
      <c r="E39" s="18"/>
      <c r="F39" s="1593">
        <v>64</v>
      </c>
      <c r="G39" s="1593"/>
      <c r="H39" s="1593"/>
      <c r="I39" s="1593"/>
      <c r="J39" s="133">
        <f t="shared" ref="J39:J121" si="1">IF(F39="","",AVERAGE(F39:I39))</f>
        <v>64</v>
      </c>
      <c r="K39" s="1593">
        <v>102</v>
      </c>
      <c r="L39" s="1593"/>
      <c r="M39" s="1593"/>
      <c r="N39" s="1593"/>
      <c r="O39" s="1593"/>
      <c r="P39" s="1593"/>
      <c r="Q39" s="133">
        <f t="shared" ref="Q39:Q121" si="2">IF(K39="","",AVERAGE(K39:P39))</f>
        <v>102</v>
      </c>
      <c r="R39" s="1593"/>
      <c r="S39" s="67"/>
      <c r="T39" s="67">
        <f t="shared" ref="T39:T121" si="3">IF(Q39="",R39,Q39)</f>
        <v>102</v>
      </c>
      <c r="U39" s="2"/>
      <c r="V39" s="1593">
        <v>171</v>
      </c>
      <c r="W39" s="18"/>
      <c r="X39" s="1593">
        <v>141</v>
      </c>
      <c r="Y39" s="2"/>
      <c r="Z39" s="134" t="s">
        <v>435</v>
      </c>
      <c r="AA39" s="92"/>
      <c r="AB39" s="4"/>
      <c r="AC39" s="4"/>
    </row>
    <row r="40" spans="1:29" ht="14.5" x14ac:dyDescent="0.35">
      <c r="A40" s="4"/>
      <c r="B40" s="1494" t="s">
        <v>355</v>
      </c>
      <c r="C40" s="18"/>
      <c r="D40" s="137">
        <f t="shared" ref="D40:D67" si="4">D$38</f>
        <v>3.5500000000000003</v>
      </c>
      <c r="E40" s="18"/>
      <c r="F40" s="1593">
        <v>63</v>
      </c>
      <c r="G40" s="1593"/>
      <c r="H40" s="1593"/>
      <c r="I40" s="1593"/>
      <c r="J40" s="133">
        <f t="shared" si="1"/>
        <v>63</v>
      </c>
      <c r="K40" s="1593">
        <v>103</v>
      </c>
      <c r="L40" s="1593"/>
      <c r="M40" s="1593"/>
      <c r="N40" s="1593"/>
      <c r="O40" s="1593"/>
      <c r="P40" s="1593"/>
      <c r="Q40" s="133">
        <f t="shared" si="2"/>
        <v>103</v>
      </c>
      <c r="R40" s="1593">
        <v>101.6</v>
      </c>
      <c r="S40" s="67"/>
      <c r="T40" s="67">
        <f t="shared" si="3"/>
        <v>103</v>
      </c>
      <c r="U40" s="2"/>
      <c r="V40" s="1593">
        <v>172</v>
      </c>
      <c r="W40" s="18"/>
      <c r="X40" s="1593">
        <v>142</v>
      </c>
      <c r="Y40" s="2"/>
      <c r="Z40" s="134" t="s">
        <v>1616</v>
      </c>
      <c r="AA40" s="92"/>
      <c r="AB40" s="4"/>
      <c r="AC40" s="4"/>
    </row>
    <row r="41" spans="1:29" ht="14.5" x14ac:dyDescent="0.35">
      <c r="A41" s="4"/>
      <c r="B41" s="1494" t="s">
        <v>356</v>
      </c>
      <c r="C41" s="18"/>
      <c r="D41" s="137">
        <f t="shared" si="4"/>
        <v>3.5500000000000003</v>
      </c>
      <c r="E41" s="18"/>
      <c r="F41" s="1593">
        <v>62</v>
      </c>
      <c r="G41" s="1593"/>
      <c r="H41" s="1593"/>
      <c r="I41" s="1593"/>
      <c r="J41" s="133">
        <f t="shared" si="1"/>
        <v>62</v>
      </c>
      <c r="K41" s="1593">
        <v>104</v>
      </c>
      <c r="L41" s="1593"/>
      <c r="M41" s="1593"/>
      <c r="N41" s="1593"/>
      <c r="O41" s="1593"/>
      <c r="P41" s="1593"/>
      <c r="Q41" s="133">
        <f t="shared" si="2"/>
        <v>104</v>
      </c>
      <c r="R41" s="1593">
        <v>101.6</v>
      </c>
      <c r="S41" s="67"/>
      <c r="T41" s="67">
        <f t="shared" si="3"/>
        <v>104</v>
      </c>
      <c r="U41" s="2"/>
      <c r="V41" s="1593">
        <v>173</v>
      </c>
      <c r="W41" s="18"/>
      <c r="X41" s="1593">
        <v>143</v>
      </c>
      <c r="Y41" s="2"/>
      <c r="Z41" s="134"/>
      <c r="AA41" s="92"/>
      <c r="AB41" s="4"/>
      <c r="AC41" s="4"/>
    </row>
    <row r="42" spans="1:29" ht="14.5" x14ac:dyDescent="0.35">
      <c r="A42" s="4"/>
      <c r="B42" s="1494" t="s">
        <v>357</v>
      </c>
      <c r="C42" s="18"/>
      <c r="D42" s="137">
        <f t="shared" si="4"/>
        <v>3.5500000000000003</v>
      </c>
      <c r="E42" s="18"/>
      <c r="F42" s="1593">
        <v>61</v>
      </c>
      <c r="G42" s="1593"/>
      <c r="H42" s="1593"/>
      <c r="I42" s="1593"/>
      <c r="J42" s="133">
        <f t="shared" si="1"/>
        <v>61</v>
      </c>
      <c r="K42" s="1593">
        <v>105</v>
      </c>
      <c r="L42" s="1593"/>
      <c r="M42" s="1593"/>
      <c r="N42" s="1593"/>
      <c r="O42" s="1593"/>
      <c r="P42" s="1593"/>
      <c r="Q42" s="133">
        <f t="shared" si="2"/>
        <v>105</v>
      </c>
      <c r="R42" s="1593">
        <v>101.6</v>
      </c>
      <c r="S42" s="67"/>
      <c r="T42" s="67">
        <f t="shared" si="3"/>
        <v>105</v>
      </c>
      <c r="U42" s="2"/>
      <c r="V42" s="1593">
        <v>174</v>
      </c>
      <c r="W42" s="18"/>
      <c r="X42" s="1593">
        <v>144</v>
      </c>
      <c r="Y42" s="2"/>
      <c r="Z42" s="134" t="s">
        <v>1011</v>
      </c>
      <c r="AA42" s="92"/>
      <c r="AB42" s="4"/>
      <c r="AC42" s="4"/>
    </row>
    <row r="43" spans="1:29" ht="14.5" x14ac:dyDescent="0.35">
      <c r="A43" s="4"/>
      <c r="B43" s="1494" t="s">
        <v>1512</v>
      </c>
      <c r="C43" s="18"/>
      <c r="D43" s="137">
        <f t="shared" si="4"/>
        <v>3.5500000000000003</v>
      </c>
      <c r="E43" s="18"/>
      <c r="F43" s="1593">
        <v>60</v>
      </c>
      <c r="G43" s="1593"/>
      <c r="H43" s="1593"/>
      <c r="I43" s="1593"/>
      <c r="J43" s="133">
        <f t="shared" si="1"/>
        <v>60</v>
      </c>
      <c r="K43" s="1593">
        <v>106</v>
      </c>
      <c r="L43" s="1593"/>
      <c r="M43" s="1593"/>
      <c r="N43" s="1593"/>
      <c r="O43" s="1593"/>
      <c r="P43" s="1593"/>
      <c r="Q43" s="133">
        <f t="shared" si="2"/>
        <v>106</v>
      </c>
      <c r="R43" s="1593">
        <v>101.6</v>
      </c>
      <c r="S43" s="67"/>
      <c r="T43" s="67">
        <f t="shared" si="3"/>
        <v>106</v>
      </c>
      <c r="U43" s="2"/>
      <c r="V43" s="1593">
        <v>175</v>
      </c>
      <c r="W43" s="18"/>
      <c r="X43" s="1593">
        <v>145</v>
      </c>
      <c r="Y43" s="2"/>
      <c r="Z43" s="134" t="s">
        <v>1012</v>
      </c>
      <c r="AA43" s="92"/>
      <c r="AB43" s="4"/>
      <c r="AC43" s="4"/>
    </row>
    <row r="44" spans="1:29" ht="14.5" x14ac:dyDescent="0.35">
      <c r="A44" s="4"/>
      <c r="B44" s="1494" t="s">
        <v>1513</v>
      </c>
      <c r="C44" s="18"/>
      <c r="D44" s="137">
        <f t="shared" si="4"/>
        <v>3.5500000000000003</v>
      </c>
      <c r="E44" s="18"/>
      <c r="F44" s="1593">
        <v>59</v>
      </c>
      <c r="G44" s="1593"/>
      <c r="H44" s="1593"/>
      <c r="I44" s="1593"/>
      <c r="J44" s="133">
        <f t="shared" si="1"/>
        <v>59</v>
      </c>
      <c r="K44" s="1593">
        <v>107</v>
      </c>
      <c r="L44" s="1593"/>
      <c r="M44" s="1593"/>
      <c r="N44" s="1593"/>
      <c r="O44" s="1593"/>
      <c r="P44" s="1593"/>
      <c r="Q44" s="133">
        <f t="shared" si="2"/>
        <v>107</v>
      </c>
      <c r="R44" s="1593">
        <v>101.6</v>
      </c>
      <c r="S44" s="67"/>
      <c r="T44" s="67">
        <f t="shared" si="3"/>
        <v>107</v>
      </c>
      <c r="U44" s="2"/>
      <c r="V44" s="1593">
        <v>176</v>
      </c>
      <c r="W44" s="18"/>
      <c r="X44" s="1593">
        <v>146</v>
      </c>
      <c r="Y44" s="2"/>
      <c r="Z44" s="134" t="s">
        <v>1013</v>
      </c>
      <c r="AA44" s="92"/>
      <c r="AB44" s="4"/>
      <c r="AC44" s="4"/>
    </row>
    <row r="45" spans="1:29" ht="14.5" x14ac:dyDescent="0.35">
      <c r="A45" s="4"/>
      <c r="B45" s="1494" t="s">
        <v>1514</v>
      </c>
      <c r="C45" s="18"/>
      <c r="D45" s="137">
        <f t="shared" si="4"/>
        <v>3.5500000000000003</v>
      </c>
      <c r="E45" s="18"/>
      <c r="F45" s="1593">
        <v>65</v>
      </c>
      <c r="G45" s="1593"/>
      <c r="H45" s="1593"/>
      <c r="I45" s="1593"/>
      <c r="J45" s="133">
        <f>IF(F45="","",AVERAGE(F45:I45))</f>
        <v>65</v>
      </c>
      <c r="K45" s="1593"/>
      <c r="L45" s="1593"/>
      <c r="M45" s="1593"/>
      <c r="N45" s="1593"/>
      <c r="O45" s="1593"/>
      <c r="P45" s="1593"/>
      <c r="Q45" s="133" t="str">
        <f>IF(K45="","",AVERAGE(K45:P45))</f>
        <v/>
      </c>
      <c r="R45" s="1593">
        <v>101.6</v>
      </c>
      <c r="S45" s="67"/>
      <c r="T45" s="67">
        <f>IF(Q45="",R45,Q45)</f>
        <v>101.6</v>
      </c>
      <c r="U45" s="2"/>
      <c r="V45" s="1593">
        <v>170</v>
      </c>
      <c r="W45" s="18"/>
      <c r="X45" s="1593">
        <v>140</v>
      </c>
      <c r="Y45" s="2"/>
      <c r="Z45" s="134" t="s">
        <v>1014</v>
      </c>
      <c r="AA45" s="92"/>
      <c r="AB45" s="4"/>
      <c r="AC45" s="4"/>
    </row>
    <row r="46" spans="1:29" ht="14.5" x14ac:dyDescent="0.35">
      <c r="A46" s="4"/>
      <c r="B46" s="1494" t="s">
        <v>1515</v>
      </c>
      <c r="C46" s="18"/>
      <c r="D46" s="137">
        <f t="shared" si="4"/>
        <v>3.5500000000000003</v>
      </c>
      <c r="E46" s="18"/>
      <c r="F46" s="1593">
        <v>64</v>
      </c>
      <c r="G46" s="1593"/>
      <c r="H46" s="1593"/>
      <c r="I46" s="1593"/>
      <c r="J46" s="133">
        <f t="shared" ref="J46:J51" si="5">IF(F46="","",AVERAGE(F46:I46))</f>
        <v>64</v>
      </c>
      <c r="K46" s="1593">
        <v>102</v>
      </c>
      <c r="L46" s="1593"/>
      <c r="M46" s="1593"/>
      <c r="N46" s="1593"/>
      <c r="O46" s="1593"/>
      <c r="P46" s="1593"/>
      <c r="Q46" s="133">
        <f t="shared" ref="Q46:Q51" si="6">IF(K46="","",AVERAGE(K46:P46))</f>
        <v>102</v>
      </c>
      <c r="R46" s="1593">
        <v>101.6</v>
      </c>
      <c r="S46" s="67"/>
      <c r="T46" s="67">
        <f t="shared" ref="T46:T51" si="7">IF(Q46="",R46,Q46)</f>
        <v>102</v>
      </c>
      <c r="U46" s="2"/>
      <c r="V46" s="1593">
        <v>171</v>
      </c>
      <c r="W46" s="18"/>
      <c r="X46" s="1593">
        <v>141</v>
      </c>
      <c r="Y46" s="2"/>
      <c r="Z46" s="134"/>
      <c r="AA46" s="92"/>
      <c r="AB46" s="4"/>
      <c r="AC46" s="4"/>
    </row>
    <row r="47" spans="1:29" ht="14.5" x14ac:dyDescent="0.35">
      <c r="A47" s="4"/>
      <c r="B47" s="1494" t="s">
        <v>1516</v>
      </c>
      <c r="C47" s="18"/>
      <c r="D47" s="137">
        <f t="shared" si="4"/>
        <v>3.5500000000000003</v>
      </c>
      <c r="E47" s="18"/>
      <c r="F47" s="1593">
        <v>63</v>
      </c>
      <c r="G47" s="1593"/>
      <c r="H47" s="1593"/>
      <c r="I47" s="1593"/>
      <c r="J47" s="133">
        <f t="shared" si="5"/>
        <v>63</v>
      </c>
      <c r="K47" s="1593">
        <v>103</v>
      </c>
      <c r="L47" s="1593"/>
      <c r="M47" s="1593"/>
      <c r="N47" s="1593"/>
      <c r="O47" s="1593"/>
      <c r="P47" s="1593"/>
      <c r="Q47" s="133">
        <f t="shared" si="6"/>
        <v>103</v>
      </c>
      <c r="R47" s="1593">
        <v>101.6</v>
      </c>
      <c r="S47" s="67"/>
      <c r="T47" s="67">
        <f t="shared" si="7"/>
        <v>103</v>
      </c>
      <c r="U47" s="2"/>
      <c r="V47" s="1593">
        <v>172</v>
      </c>
      <c r="W47" s="18"/>
      <c r="X47" s="1593">
        <v>142</v>
      </c>
      <c r="Y47" s="2"/>
      <c r="Z47" s="134" t="s">
        <v>1033</v>
      </c>
      <c r="AA47" s="92"/>
      <c r="AB47" s="4"/>
      <c r="AC47" s="4"/>
    </row>
    <row r="48" spans="1:29" ht="14.5" x14ac:dyDescent="0.35">
      <c r="A48" s="4"/>
      <c r="B48" s="1494" t="s">
        <v>1517</v>
      </c>
      <c r="C48" s="18"/>
      <c r="D48" s="137">
        <f t="shared" si="4"/>
        <v>3.5500000000000003</v>
      </c>
      <c r="E48" s="18"/>
      <c r="F48" s="1593">
        <v>62</v>
      </c>
      <c r="G48" s="1593"/>
      <c r="H48" s="1593"/>
      <c r="I48" s="1593"/>
      <c r="J48" s="133">
        <f t="shared" si="5"/>
        <v>62</v>
      </c>
      <c r="K48" s="1593">
        <v>104</v>
      </c>
      <c r="L48" s="1593"/>
      <c r="M48" s="1593"/>
      <c r="N48" s="1593"/>
      <c r="O48" s="1593"/>
      <c r="P48" s="1593"/>
      <c r="Q48" s="133">
        <f t="shared" si="6"/>
        <v>104</v>
      </c>
      <c r="R48" s="1593">
        <v>101.6</v>
      </c>
      <c r="S48" s="67"/>
      <c r="T48" s="67">
        <f t="shared" si="7"/>
        <v>104</v>
      </c>
      <c r="U48" s="2"/>
      <c r="V48" s="1593">
        <v>173</v>
      </c>
      <c r="W48" s="18"/>
      <c r="X48" s="1593">
        <v>143</v>
      </c>
      <c r="Y48" s="2"/>
      <c r="Z48" s="134" t="s">
        <v>457</v>
      </c>
      <c r="AA48" s="92"/>
      <c r="AB48" s="4"/>
      <c r="AC48" s="4"/>
    </row>
    <row r="49" spans="1:29" x14ac:dyDescent="0.3">
      <c r="A49" s="4"/>
      <c r="B49" s="1494" t="s">
        <v>1518</v>
      </c>
      <c r="C49" s="18"/>
      <c r="D49" s="137">
        <f t="shared" si="4"/>
        <v>3.5500000000000003</v>
      </c>
      <c r="E49" s="18"/>
      <c r="F49" s="1593">
        <v>61</v>
      </c>
      <c r="G49" s="1593"/>
      <c r="H49" s="1593"/>
      <c r="I49" s="1593"/>
      <c r="J49" s="133">
        <f t="shared" si="5"/>
        <v>61</v>
      </c>
      <c r="K49" s="1593">
        <v>105</v>
      </c>
      <c r="L49" s="1593"/>
      <c r="M49" s="1593"/>
      <c r="N49" s="1593"/>
      <c r="O49" s="1593"/>
      <c r="P49" s="1593"/>
      <c r="Q49" s="133">
        <f t="shared" si="6"/>
        <v>105</v>
      </c>
      <c r="R49" s="1593">
        <v>101.6</v>
      </c>
      <c r="S49" s="67"/>
      <c r="T49" s="67">
        <f t="shared" si="7"/>
        <v>105</v>
      </c>
      <c r="U49" s="2"/>
      <c r="V49" s="1593">
        <v>174</v>
      </c>
      <c r="W49" s="18"/>
      <c r="X49" s="1593">
        <v>144</v>
      </c>
      <c r="Y49" s="2"/>
      <c r="Z49" s="92"/>
      <c r="AA49" s="92"/>
      <c r="AB49" s="4"/>
      <c r="AC49" s="4"/>
    </row>
    <row r="50" spans="1:29" ht="14.5" x14ac:dyDescent="0.35">
      <c r="A50" s="4"/>
      <c r="B50" s="1494" t="s">
        <v>1519</v>
      </c>
      <c r="C50" s="18"/>
      <c r="D50" s="137">
        <f t="shared" si="4"/>
        <v>3.5500000000000003</v>
      </c>
      <c r="E50" s="18"/>
      <c r="F50" s="1593">
        <v>60</v>
      </c>
      <c r="G50" s="1593"/>
      <c r="H50" s="1593"/>
      <c r="I50" s="1593"/>
      <c r="J50" s="133">
        <f t="shared" si="5"/>
        <v>60</v>
      </c>
      <c r="K50" s="1593">
        <v>106</v>
      </c>
      <c r="L50" s="1593"/>
      <c r="M50" s="1593"/>
      <c r="N50" s="1593"/>
      <c r="O50" s="1593"/>
      <c r="P50" s="1593"/>
      <c r="Q50" s="133">
        <f t="shared" si="6"/>
        <v>106</v>
      </c>
      <c r="R50" s="1593">
        <v>101.6</v>
      </c>
      <c r="S50" s="67"/>
      <c r="T50" s="67">
        <f t="shared" si="7"/>
        <v>106</v>
      </c>
      <c r="U50" s="2"/>
      <c r="V50" s="1593">
        <v>175</v>
      </c>
      <c r="W50" s="18"/>
      <c r="X50" s="1593">
        <v>145</v>
      </c>
      <c r="Y50" s="2"/>
      <c r="Z50" s="134" t="s">
        <v>1027</v>
      </c>
      <c r="AA50" s="92"/>
      <c r="AB50" s="4"/>
      <c r="AC50" s="4"/>
    </row>
    <row r="51" spans="1:29" ht="14.5" x14ac:dyDescent="0.35">
      <c r="A51" s="4"/>
      <c r="B51" s="1494" t="s">
        <v>1520</v>
      </c>
      <c r="C51" s="18"/>
      <c r="D51" s="137">
        <f t="shared" si="4"/>
        <v>3.5500000000000003</v>
      </c>
      <c r="E51" s="18"/>
      <c r="F51" s="1593">
        <v>59</v>
      </c>
      <c r="G51" s="1593"/>
      <c r="H51" s="1593"/>
      <c r="I51" s="1593"/>
      <c r="J51" s="133">
        <f t="shared" si="5"/>
        <v>59</v>
      </c>
      <c r="K51" s="1593">
        <v>107</v>
      </c>
      <c r="L51" s="1593"/>
      <c r="M51" s="1593"/>
      <c r="N51" s="1593"/>
      <c r="O51" s="1593"/>
      <c r="P51" s="1593"/>
      <c r="Q51" s="133">
        <f t="shared" si="6"/>
        <v>107</v>
      </c>
      <c r="R51" s="1593">
        <v>101.6</v>
      </c>
      <c r="S51" s="67"/>
      <c r="T51" s="67">
        <f t="shared" si="7"/>
        <v>107</v>
      </c>
      <c r="U51" s="2"/>
      <c r="V51" s="1593">
        <v>176</v>
      </c>
      <c r="W51" s="18"/>
      <c r="X51" s="1593">
        <v>146</v>
      </c>
      <c r="Y51" s="2"/>
      <c r="Z51" s="134" t="s">
        <v>1028</v>
      </c>
      <c r="AA51" s="92"/>
      <c r="AB51" s="4"/>
      <c r="AC51" s="4"/>
    </row>
    <row r="52" spans="1:29" ht="14.5" x14ac:dyDescent="0.35">
      <c r="A52" s="4"/>
      <c r="B52" s="1494" t="s">
        <v>1521</v>
      </c>
      <c r="C52" s="18"/>
      <c r="D52" s="137">
        <f t="shared" si="4"/>
        <v>3.5500000000000003</v>
      </c>
      <c r="E52" s="18"/>
      <c r="F52" s="1593">
        <v>65</v>
      </c>
      <c r="G52" s="1593"/>
      <c r="H52" s="1593"/>
      <c r="I52" s="1593"/>
      <c r="J52" s="133">
        <f>IF(F52="","",AVERAGE(F52:I52))</f>
        <v>65</v>
      </c>
      <c r="K52" s="1593"/>
      <c r="L52" s="1593"/>
      <c r="M52" s="1593"/>
      <c r="N52" s="1593"/>
      <c r="O52" s="1593"/>
      <c r="P52" s="1593"/>
      <c r="Q52" s="133" t="str">
        <f>IF(K52="","",AVERAGE(K52:P52))</f>
        <v/>
      </c>
      <c r="R52" s="1593">
        <v>101.6</v>
      </c>
      <c r="S52" s="67"/>
      <c r="T52" s="67">
        <f>IF(Q52="",R52,Q52)</f>
        <v>101.6</v>
      </c>
      <c r="U52" s="2"/>
      <c r="V52" s="1593">
        <v>170</v>
      </c>
      <c r="W52" s="18"/>
      <c r="X52" s="1593">
        <v>140</v>
      </c>
      <c r="Y52" s="2"/>
      <c r="Z52" s="6"/>
      <c r="AA52" s="92"/>
      <c r="AB52" s="4"/>
      <c r="AC52" s="4"/>
    </row>
    <row r="53" spans="1:29" ht="14.5" x14ac:dyDescent="0.35">
      <c r="A53" s="4"/>
      <c r="B53" s="1494" t="s">
        <v>1522</v>
      </c>
      <c r="C53" s="18"/>
      <c r="D53" s="137">
        <f t="shared" si="4"/>
        <v>3.5500000000000003</v>
      </c>
      <c r="E53" s="18"/>
      <c r="F53" s="1593">
        <v>64</v>
      </c>
      <c r="G53" s="1593"/>
      <c r="H53" s="1593"/>
      <c r="I53" s="1593"/>
      <c r="J53" s="133">
        <f t="shared" ref="J53:J55" si="8">IF(F53="","",AVERAGE(F53:I53))</f>
        <v>64</v>
      </c>
      <c r="K53" s="1593">
        <v>102</v>
      </c>
      <c r="L53" s="1593"/>
      <c r="M53" s="1593"/>
      <c r="N53" s="1593"/>
      <c r="O53" s="1593"/>
      <c r="P53" s="1593"/>
      <c r="Q53" s="133">
        <f t="shared" ref="Q53:Q55" si="9">IF(K53="","",AVERAGE(K53:P53))</f>
        <v>102</v>
      </c>
      <c r="R53" s="1593">
        <v>101.6</v>
      </c>
      <c r="S53" s="67"/>
      <c r="T53" s="67">
        <f t="shared" ref="T53:T55" si="10">IF(Q53="",R53,Q53)</f>
        <v>102</v>
      </c>
      <c r="U53" s="2"/>
      <c r="V53" s="1593">
        <v>171</v>
      </c>
      <c r="W53" s="18"/>
      <c r="X53" s="1593">
        <v>141</v>
      </c>
      <c r="Y53" s="2"/>
      <c r="Z53" s="6"/>
      <c r="AA53" s="92"/>
      <c r="AB53" s="4"/>
      <c r="AC53" s="4"/>
    </row>
    <row r="54" spans="1:29" ht="14.5" x14ac:dyDescent="0.35">
      <c r="A54" s="4"/>
      <c r="B54" s="1494" t="s">
        <v>1523</v>
      </c>
      <c r="C54" s="18"/>
      <c r="D54" s="137">
        <f t="shared" si="4"/>
        <v>3.5500000000000003</v>
      </c>
      <c r="E54" s="18"/>
      <c r="F54" s="1593">
        <v>63</v>
      </c>
      <c r="G54" s="1593"/>
      <c r="H54" s="1593"/>
      <c r="I54" s="1593"/>
      <c r="J54" s="133">
        <f t="shared" si="8"/>
        <v>63</v>
      </c>
      <c r="K54" s="1593">
        <v>103</v>
      </c>
      <c r="L54" s="1593"/>
      <c r="M54" s="1593"/>
      <c r="N54" s="1593"/>
      <c r="O54" s="1593"/>
      <c r="P54" s="1593"/>
      <c r="Q54" s="133">
        <f t="shared" si="9"/>
        <v>103</v>
      </c>
      <c r="R54" s="1593">
        <v>101.6</v>
      </c>
      <c r="S54" s="67"/>
      <c r="T54" s="67">
        <f t="shared" si="10"/>
        <v>103</v>
      </c>
      <c r="U54" s="2"/>
      <c r="V54" s="1593">
        <v>172</v>
      </c>
      <c r="W54" s="18"/>
      <c r="X54" s="1593">
        <v>142</v>
      </c>
      <c r="Y54" s="2"/>
      <c r="Z54" s="6"/>
      <c r="AA54" s="92"/>
      <c r="AB54" s="4"/>
      <c r="AC54" s="4"/>
    </row>
    <row r="55" spans="1:29" x14ac:dyDescent="0.3">
      <c r="A55" s="4"/>
      <c r="B55" s="1494" t="s">
        <v>1524</v>
      </c>
      <c r="C55" s="18"/>
      <c r="D55" s="137">
        <f t="shared" si="4"/>
        <v>3.5500000000000003</v>
      </c>
      <c r="E55" s="18"/>
      <c r="F55" s="1593">
        <v>62</v>
      </c>
      <c r="G55" s="1593"/>
      <c r="H55" s="1593"/>
      <c r="I55" s="1593"/>
      <c r="J55" s="133">
        <f t="shared" si="8"/>
        <v>62</v>
      </c>
      <c r="K55" s="1593">
        <v>104</v>
      </c>
      <c r="L55" s="1593"/>
      <c r="M55" s="1593"/>
      <c r="N55" s="1593"/>
      <c r="O55" s="1593"/>
      <c r="P55" s="1593"/>
      <c r="Q55" s="133">
        <f t="shared" si="9"/>
        <v>104</v>
      </c>
      <c r="R55" s="1593">
        <v>101.6</v>
      </c>
      <c r="S55" s="67"/>
      <c r="T55" s="67">
        <f t="shared" si="10"/>
        <v>104</v>
      </c>
      <c r="U55" s="2"/>
      <c r="V55" s="1593">
        <v>173</v>
      </c>
      <c r="W55" s="18"/>
      <c r="X55" s="1593">
        <v>143</v>
      </c>
      <c r="Y55" s="2"/>
      <c r="Z55" s="92"/>
      <c r="AA55" s="92"/>
      <c r="AB55" s="4"/>
      <c r="AC55" s="4"/>
    </row>
    <row r="56" spans="1:29" ht="14.5" x14ac:dyDescent="0.35">
      <c r="A56" s="4"/>
      <c r="B56" s="1494" t="s">
        <v>1525</v>
      </c>
      <c r="C56" s="18"/>
      <c r="D56" s="137">
        <f t="shared" si="4"/>
        <v>3.5500000000000003</v>
      </c>
      <c r="E56" s="18"/>
      <c r="F56" s="1593">
        <v>65</v>
      </c>
      <c r="G56" s="1593"/>
      <c r="H56" s="1593"/>
      <c r="I56" s="1593"/>
      <c r="J56" s="133">
        <f>IF(F56="","",AVERAGE(F56:I56))</f>
        <v>65</v>
      </c>
      <c r="K56" s="1593"/>
      <c r="L56" s="1593"/>
      <c r="M56" s="1593"/>
      <c r="N56" s="1593"/>
      <c r="O56" s="1593"/>
      <c r="P56" s="1593"/>
      <c r="Q56" s="133" t="str">
        <f>IF(K56="","",AVERAGE(K56:P56))</f>
        <v/>
      </c>
      <c r="R56" s="1593">
        <v>101.6</v>
      </c>
      <c r="S56" s="67"/>
      <c r="T56" s="67">
        <f>IF(Q56="",R56,Q56)</f>
        <v>101.6</v>
      </c>
      <c r="U56" s="2"/>
      <c r="V56" s="1593">
        <v>170</v>
      </c>
      <c r="W56" s="18"/>
      <c r="X56" s="1593">
        <v>140</v>
      </c>
      <c r="Y56" s="2"/>
      <c r="Z56" s="6"/>
      <c r="AA56" s="92"/>
      <c r="AB56" s="4"/>
      <c r="AC56" s="4"/>
    </row>
    <row r="57" spans="1:29" ht="14.5" x14ac:dyDescent="0.35">
      <c r="A57" s="4"/>
      <c r="B57" s="1494" t="s">
        <v>1526</v>
      </c>
      <c r="C57" s="18"/>
      <c r="D57" s="137">
        <f t="shared" si="4"/>
        <v>3.5500000000000003</v>
      </c>
      <c r="E57" s="18"/>
      <c r="F57" s="1593">
        <v>64</v>
      </c>
      <c r="G57" s="1593"/>
      <c r="H57" s="1593"/>
      <c r="I57" s="1593"/>
      <c r="J57" s="133">
        <f t="shared" ref="J57:J58" si="11">IF(F57="","",AVERAGE(F57:I57))</f>
        <v>64</v>
      </c>
      <c r="K57" s="1593">
        <v>102</v>
      </c>
      <c r="L57" s="1593"/>
      <c r="M57" s="1593"/>
      <c r="N57" s="1593"/>
      <c r="O57" s="1593"/>
      <c r="P57" s="1593"/>
      <c r="Q57" s="133">
        <f t="shared" ref="Q57:Q58" si="12">IF(K57="","",AVERAGE(K57:P57))</f>
        <v>102</v>
      </c>
      <c r="R57" s="1593">
        <v>101.6</v>
      </c>
      <c r="S57" s="67"/>
      <c r="T57" s="67">
        <f t="shared" ref="T57:T58" si="13">IF(Q57="",R57,Q57)</f>
        <v>102</v>
      </c>
      <c r="U57" s="2"/>
      <c r="V57" s="1593">
        <v>171</v>
      </c>
      <c r="W57" s="18"/>
      <c r="X57" s="1593">
        <v>141</v>
      </c>
      <c r="Y57" s="2"/>
      <c r="Z57" s="6"/>
      <c r="AA57" s="92"/>
      <c r="AB57" s="4"/>
      <c r="AC57" s="4"/>
    </row>
    <row r="58" spans="1:29" ht="14.5" x14ac:dyDescent="0.35">
      <c r="A58" s="4"/>
      <c r="B58" s="1494" t="s">
        <v>994</v>
      </c>
      <c r="C58" s="18"/>
      <c r="D58" s="137">
        <f t="shared" si="4"/>
        <v>3.5500000000000003</v>
      </c>
      <c r="E58" s="18"/>
      <c r="F58" s="1593">
        <v>63</v>
      </c>
      <c r="G58" s="1593"/>
      <c r="H58" s="1593"/>
      <c r="I58" s="1593"/>
      <c r="J58" s="133">
        <f t="shared" si="11"/>
        <v>63</v>
      </c>
      <c r="K58" s="1593">
        <v>103</v>
      </c>
      <c r="L58" s="1593"/>
      <c r="M58" s="1593"/>
      <c r="N58" s="1593"/>
      <c r="O58" s="1593"/>
      <c r="P58" s="1593"/>
      <c r="Q58" s="133">
        <f t="shared" si="12"/>
        <v>103</v>
      </c>
      <c r="R58" s="1593">
        <v>101.6</v>
      </c>
      <c r="S58" s="67"/>
      <c r="T58" s="67">
        <f t="shared" si="13"/>
        <v>103</v>
      </c>
      <c r="U58" s="2"/>
      <c r="V58" s="1593">
        <v>172</v>
      </c>
      <c r="W58" s="18"/>
      <c r="X58" s="1593">
        <v>142</v>
      </c>
      <c r="Y58" s="2"/>
      <c r="Z58" s="6"/>
      <c r="AA58" s="92"/>
      <c r="AB58" s="4"/>
      <c r="AC58" s="4"/>
    </row>
    <row r="59" spans="1:29" ht="14.5" x14ac:dyDescent="0.35">
      <c r="A59" s="4"/>
      <c r="B59" s="1494" t="s">
        <v>995</v>
      </c>
      <c r="C59" s="18"/>
      <c r="D59" s="137">
        <f t="shared" si="4"/>
        <v>3.5500000000000003</v>
      </c>
      <c r="E59" s="18"/>
      <c r="F59" s="1593">
        <v>65</v>
      </c>
      <c r="G59" s="1593"/>
      <c r="H59" s="1593"/>
      <c r="I59" s="1593"/>
      <c r="J59" s="133">
        <f>IF(F59="","",AVERAGE(F59:I59))</f>
        <v>65</v>
      </c>
      <c r="K59" s="1593"/>
      <c r="L59" s="1593"/>
      <c r="M59" s="1593"/>
      <c r="N59" s="1593"/>
      <c r="O59" s="1593"/>
      <c r="P59" s="1593"/>
      <c r="Q59" s="133" t="str">
        <f>IF(K59="","",AVERAGE(K59:P59))</f>
        <v/>
      </c>
      <c r="R59" s="1593">
        <v>101.6</v>
      </c>
      <c r="S59" s="67"/>
      <c r="T59" s="67">
        <f>IF(Q59="",R59,Q59)</f>
        <v>101.6</v>
      </c>
      <c r="U59" s="2"/>
      <c r="V59" s="1593">
        <v>170</v>
      </c>
      <c r="W59" s="18"/>
      <c r="X59" s="1593">
        <v>140</v>
      </c>
      <c r="Y59" s="2"/>
      <c r="Z59" s="6"/>
      <c r="AA59" s="92"/>
      <c r="AB59" s="4"/>
      <c r="AC59" s="4"/>
    </row>
    <row r="60" spans="1:29" ht="14.5" x14ac:dyDescent="0.35">
      <c r="A60" s="4"/>
      <c r="B60" s="1494" t="s">
        <v>1485</v>
      </c>
      <c r="C60" s="18"/>
      <c r="D60" s="137">
        <f t="shared" si="4"/>
        <v>3.5500000000000003</v>
      </c>
      <c r="E60" s="18"/>
      <c r="F60" s="1593">
        <v>64</v>
      </c>
      <c r="G60" s="1593"/>
      <c r="H60" s="1593"/>
      <c r="I60" s="1593"/>
      <c r="J60" s="133">
        <f t="shared" ref="J60:J62" si="14">IF(F60="","",AVERAGE(F60:I60))</f>
        <v>64</v>
      </c>
      <c r="K60" s="1593">
        <v>102</v>
      </c>
      <c r="L60" s="1593"/>
      <c r="M60" s="1593"/>
      <c r="N60" s="1593"/>
      <c r="O60" s="1593"/>
      <c r="P60" s="1593"/>
      <c r="Q60" s="133">
        <f t="shared" ref="Q60:Q62" si="15">IF(K60="","",AVERAGE(K60:P60))</f>
        <v>102</v>
      </c>
      <c r="R60" s="1593">
        <v>101.6</v>
      </c>
      <c r="S60" s="67"/>
      <c r="T60" s="67">
        <f t="shared" ref="T60:T62" si="16">IF(Q60="",R60,Q60)</f>
        <v>102</v>
      </c>
      <c r="U60" s="2"/>
      <c r="V60" s="1593">
        <v>171</v>
      </c>
      <c r="W60" s="18"/>
      <c r="X60" s="1593">
        <v>141</v>
      </c>
      <c r="Y60" s="2"/>
      <c r="Z60" s="6"/>
      <c r="AA60" s="92"/>
      <c r="AB60" s="4"/>
      <c r="AC60" s="4"/>
    </row>
    <row r="61" spans="1:29" ht="14.5" x14ac:dyDescent="0.35">
      <c r="A61" s="4"/>
      <c r="B61" s="1494" t="s">
        <v>1486</v>
      </c>
      <c r="C61" s="18"/>
      <c r="D61" s="137">
        <f t="shared" si="4"/>
        <v>3.5500000000000003</v>
      </c>
      <c r="E61" s="18"/>
      <c r="F61" s="1593">
        <v>63</v>
      </c>
      <c r="G61" s="1593"/>
      <c r="H61" s="1593"/>
      <c r="I61" s="1593"/>
      <c r="J61" s="133">
        <f t="shared" si="14"/>
        <v>63</v>
      </c>
      <c r="K61" s="1593">
        <v>103</v>
      </c>
      <c r="L61" s="1593"/>
      <c r="M61" s="1593"/>
      <c r="N61" s="1593"/>
      <c r="O61" s="1593"/>
      <c r="P61" s="1593"/>
      <c r="Q61" s="133">
        <f t="shared" si="15"/>
        <v>103</v>
      </c>
      <c r="R61" s="1593">
        <v>101.6</v>
      </c>
      <c r="S61" s="67"/>
      <c r="T61" s="67">
        <f t="shared" si="16"/>
        <v>103</v>
      </c>
      <c r="U61" s="2"/>
      <c r="V61" s="1593">
        <v>172</v>
      </c>
      <c r="W61" s="18"/>
      <c r="X61" s="1593">
        <v>142</v>
      </c>
      <c r="Y61" s="2"/>
      <c r="Z61" s="6"/>
      <c r="AA61" s="92"/>
      <c r="AB61" s="4"/>
      <c r="AC61" s="4"/>
    </row>
    <row r="62" spans="1:29" x14ac:dyDescent="0.3">
      <c r="A62" s="4"/>
      <c r="B62" s="1494" t="s">
        <v>1487</v>
      </c>
      <c r="C62" s="18"/>
      <c r="D62" s="137">
        <f t="shared" si="4"/>
        <v>3.5500000000000003</v>
      </c>
      <c r="E62" s="18"/>
      <c r="F62" s="1593">
        <v>62</v>
      </c>
      <c r="G62" s="1593"/>
      <c r="H62" s="1593"/>
      <c r="I62" s="1593"/>
      <c r="J62" s="133">
        <f t="shared" si="14"/>
        <v>62</v>
      </c>
      <c r="K62" s="1593">
        <v>104</v>
      </c>
      <c r="L62" s="1593"/>
      <c r="M62" s="1593"/>
      <c r="N62" s="1593"/>
      <c r="O62" s="1593"/>
      <c r="P62" s="1593"/>
      <c r="Q62" s="133">
        <f t="shared" si="15"/>
        <v>104</v>
      </c>
      <c r="R62" s="1593">
        <v>101.6</v>
      </c>
      <c r="S62" s="67"/>
      <c r="T62" s="67">
        <f t="shared" si="16"/>
        <v>104</v>
      </c>
      <c r="U62" s="2"/>
      <c r="V62" s="1593">
        <v>173</v>
      </c>
      <c r="W62" s="18"/>
      <c r="X62" s="1593">
        <v>143</v>
      </c>
      <c r="Y62" s="2"/>
      <c r="Z62" s="92"/>
      <c r="AA62" s="92"/>
      <c r="AB62" s="4"/>
      <c r="AC62" s="4"/>
    </row>
    <row r="63" spans="1:29" ht="14.5" x14ac:dyDescent="0.35">
      <c r="A63" s="4"/>
      <c r="B63" s="1494" t="s">
        <v>1488</v>
      </c>
      <c r="C63" s="18"/>
      <c r="D63" s="137">
        <f t="shared" si="4"/>
        <v>3.5500000000000003</v>
      </c>
      <c r="E63" s="18"/>
      <c r="F63" s="1593">
        <v>65</v>
      </c>
      <c r="G63" s="1593"/>
      <c r="H63" s="1593"/>
      <c r="I63" s="1593"/>
      <c r="J63" s="133">
        <f>IF(F63="","",AVERAGE(F63:I63))</f>
        <v>65</v>
      </c>
      <c r="K63" s="1593"/>
      <c r="L63" s="1593"/>
      <c r="M63" s="1593"/>
      <c r="N63" s="1593"/>
      <c r="O63" s="1593"/>
      <c r="P63" s="1593"/>
      <c r="Q63" s="133" t="str">
        <f>IF(K63="","",AVERAGE(K63:P63))</f>
        <v/>
      </c>
      <c r="R63" s="1593">
        <v>101.6</v>
      </c>
      <c r="S63" s="67"/>
      <c r="T63" s="67">
        <f>IF(Q63="",R63,Q63)</f>
        <v>101.6</v>
      </c>
      <c r="U63" s="2"/>
      <c r="V63" s="1593">
        <v>170</v>
      </c>
      <c r="W63" s="18"/>
      <c r="X63" s="1593">
        <v>140</v>
      </c>
      <c r="Y63" s="2"/>
      <c r="Z63" s="6"/>
      <c r="AA63" s="92"/>
      <c r="AB63" s="4"/>
      <c r="AC63" s="4"/>
    </row>
    <row r="64" spans="1:29" ht="14.5" x14ac:dyDescent="0.35">
      <c r="A64" s="4"/>
      <c r="B64" s="1494" t="s">
        <v>1489</v>
      </c>
      <c r="C64" s="18"/>
      <c r="D64" s="137">
        <f t="shared" si="4"/>
        <v>3.5500000000000003</v>
      </c>
      <c r="E64" s="18"/>
      <c r="F64" s="1593">
        <v>64</v>
      </c>
      <c r="G64" s="1593"/>
      <c r="H64" s="1593"/>
      <c r="I64" s="1593"/>
      <c r="J64" s="133">
        <f t="shared" ref="J64:J67" si="17">IF(F64="","",AVERAGE(F64:I64))</f>
        <v>64</v>
      </c>
      <c r="K64" s="1593">
        <v>102</v>
      </c>
      <c r="L64" s="1593"/>
      <c r="M64" s="1593"/>
      <c r="N64" s="1593"/>
      <c r="O64" s="1593"/>
      <c r="P64" s="1593"/>
      <c r="Q64" s="133">
        <f t="shared" ref="Q64:Q67" si="18">IF(K64="","",AVERAGE(K64:P64))</f>
        <v>102</v>
      </c>
      <c r="R64" s="1593">
        <v>101.6</v>
      </c>
      <c r="S64" s="67"/>
      <c r="T64" s="67">
        <f t="shared" ref="T64:T67" si="19">IF(Q64="",R64,Q64)</f>
        <v>102</v>
      </c>
      <c r="U64" s="2"/>
      <c r="V64" s="1593">
        <v>171</v>
      </c>
      <c r="W64" s="18"/>
      <c r="X64" s="1593">
        <v>141</v>
      </c>
      <c r="Y64" s="2"/>
      <c r="Z64" s="6"/>
      <c r="AA64" s="92"/>
      <c r="AB64" s="4"/>
      <c r="AC64" s="4"/>
    </row>
    <row r="65" spans="1:29" ht="14.5" x14ac:dyDescent="0.35">
      <c r="A65" s="4"/>
      <c r="B65" s="1494" t="s">
        <v>1490</v>
      </c>
      <c r="C65" s="18"/>
      <c r="D65" s="137">
        <f t="shared" si="4"/>
        <v>3.5500000000000003</v>
      </c>
      <c r="E65" s="18"/>
      <c r="F65" s="1593">
        <v>63</v>
      </c>
      <c r="G65" s="1593"/>
      <c r="H65" s="1593"/>
      <c r="I65" s="1593"/>
      <c r="J65" s="133">
        <f t="shared" ref="J65" si="20">IF(F65="","",AVERAGE(F65:I65))</f>
        <v>63</v>
      </c>
      <c r="K65" s="1593">
        <v>103</v>
      </c>
      <c r="L65" s="1593"/>
      <c r="M65" s="1593"/>
      <c r="N65" s="1593"/>
      <c r="O65" s="1593"/>
      <c r="P65" s="1593"/>
      <c r="Q65" s="133">
        <f t="shared" ref="Q65" si="21">IF(K65="","",AVERAGE(K65:P65))</f>
        <v>103</v>
      </c>
      <c r="R65" s="1593">
        <v>101.6</v>
      </c>
      <c r="S65" s="67"/>
      <c r="T65" s="67">
        <f t="shared" ref="T65" si="22">IF(Q65="",R65,Q65)</f>
        <v>103</v>
      </c>
      <c r="U65" s="2"/>
      <c r="V65" s="1593">
        <v>172</v>
      </c>
      <c r="W65" s="18"/>
      <c r="X65" s="1593">
        <v>142</v>
      </c>
      <c r="Y65" s="2"/>
      <c r="Z65" s="6"/>
      <c r="AA65" s="92"/>
      <c r="AB65" s="4"/>
      <c r="AC65" s="4"/>
    </row>
    <row r="66" spans="1:29" ht="14.5" x14ac:dyDescent="0.35">
      <c r="A66" s="4"/>
      <c r="B66" s="1494" t="s">
        <v>1491</v>
      </c>
      <c r="C66" s="18"/>
      <c r="D66" s="137">
        <f t="shared" si="4"/>
        <v>3.5500000000000003</v>
      </c>
      <c r="E66" s="18"/>
      <c r="F66" s="1593">
        <v>63</v>
      </c>
      <c r="G66" s="1593"/>
      <c r="H66" s="1593"/>
      <c r="I66" s="1593"/>
      <c r="J66" s="133">
        <f t="shared" si="17"/>
        <v>63</v>
      </c>
      <c r="K66" s="1593">
        <v>103</v>
      </c>
      <c r="L66" s="1593"/>
      <c r="M66" s="1593"/>
      <c r="N66" s="1593"/>
      <c r="O66" s="1593"/>
      <c r="P66" s="1593"/>
      <c r="Q66" s="133">
        <f t="shared" si="18"/>
        <v>103</v>
      </c>
      <c r="R66" s="1593">
        <v>101.6</v>
      </c>
      <c r="S66" s="67"/>
      <c r="T66" s="67">
        <f t="shared" si="19"/>
        <v>103</v>
      </c>
      <c r="U66" s="2"/>
      <c r="V66" s="1593">
        <v>172</v>
      </c>
      <c r="W66" s="18"/>
      <c r="X66" s="1593">
        <v>142</v>
      </c>
      <c r="Y66" s="2"/>
      <c r="Z66" s="6"/>
      <c r="AA66" s="92"/>
      <c r="AB66" s="4"/>
      <c r="AC66" s="4"/>
    </row>
    <row r="67" spans="1:29" ht="14.5" thickBot="1" x14ac:dyDescent="0.35">
      <c r="A67" s="4"/>
      <c r="B67" s="1494" t="s">
        <v>1492</v>
      </c>
      <c r="C67" s="18"/>
      <c r="D67" s="137">
        <f t="shared" si="4"/>
        <v>3.5500000000000003</v>
      </c>
      <c r="E67" s="18"/>
      <c r="F67" s="1593">
        <v>62</v>
      </c>
      <c r="G67" s="1593"/>
      <c r="H67" s="1593"/>
      <c r="I67" s="1593"/>
      <c r="J67" s="133">
        <f t="shared" si="17"/>
        <v>62</v>
      </c>
      <c r="K67" s="1593">
        <v>104</v>
      </c>
      <c r="L67" s="1593"/>
      <c r="M67" s="1593"/>
      <c r="N67" s="1593"/>
      <c r="O67" s="1593"/>
      <c r="P67" s="1593"/>
      <c r="Q67" s="133">
        <f t="shared" si="18"/>
        <v>104</v>
      </c>
      <c r="R67" s="1593">
        <v>101.6</v>
      </c>
      <c r="S67" s="67"/>
      <c r="T67" s="67">
        <f t="shared" si="19"/>
        <v>104</v>
      </c>
      <c r="U67" s="2"/>
      <c r="V67" s="1593">
        <v>173</v>
      </c>
      <c r="W67" s="18"/>
      <c r="X67" s="1593">
        <v>143</v>
      </c>
      <c r="Y67" s="2"/>
      <c r="Z67" s="92"/>
      <c r="AA67" s="92"/>
      <c r="AB67" s="4"/>
      <c r="AC67" s="4"/>
    </row>
    <row r="68" spans="1:29" ht="14.5" thickTop="1" x14ac:dyDescent="0.3">
      <c r="A68" s="4"/>
      <c r="B68" s="1591" t="s">
        <v>358</v>
      </c>
      <c r="C68" s="877"/>
      <c r="D68" s="949">
        <f>samenstelling!C158</f>
        <v>3.85</v>
      </c>
      <c r="E68" s="877"/>
      <c r="F68" s="1594">
        <v>75</v>
      </c>
      <c r="G68" s="1594"/>
      <c r="H68" s="1594"/>
      <c r="I68" s="1594"/>
      <c r="J68" s="950">
        <f t="shared" si="1"/>
        <v>75</v>
      </c>
      <c r="K68" s="1594">
        <v>101.1</v>
      </c>
      <c r="L68" s="1594"/>
      <c r="M68" s="1594"/>
      <c r="N68" s="1594"/>
      <c r="O68" s="1594"/>
      <c r="P68" s="1594"/>
      <c r="Q68" s="950">
        <f t="shared" si="2"/>
        <v>101.1</v>
      </c>
      <c r="R68" s="1594">
        <v>101.6</v>
      </c>
      <c r="S68" s="951"/>
      <c r="T68" s="951">
        <f t="shared" si="3"/>
        <v>101.1</v>
      </c>
      <c r="U68" s="9"/>
      <c r="V68" s="1594">
        <v>180</v>
      </c>
      <c r="W68" s="877"/>
      <c r="X68" s="1594">
        <v>150</v>
      </c>
      <c r="Y68" s="9"/>
      <c r="Z68" s="92"/>
      <c r="AA68" s="92"/>
      <c r="AB68" s="4"/>
      <c r="AC68" s="4"/>
    </row>
    <row r="69" spans="1:29" x14ac:dyDescent="0.3">
      <c r="A69" s="4"/>
      <c r="B69" s="1494" t="s">
        <v>359</v>
      </c>
      <c r="C69" s="18"/>
      <c r="D69" s="136">
        <f>D$68</f>
        <v>3.85</v>
      </c>
      <c r="E69" s="18"/>
      <c r="F69" s="1593">
        <v>74</v>
      </c>
      <c r="G69" s="1593"/>
      <c r="H69" s="1593"/>
      <c r="I69" s="1593"/>
      <c r="J69" s="133">
        <f t="shared" si="1"/>
        <v>74</v>
      </c>
      <c r="K69" s="1593">
        <v>101.2</v>
      </c>
      <c r="L69" s="1593"/>
      <c r="M69" s="1593"/>
      <c r="N69" s="1593"/>
      <c r="O69" s="1593"/>
      <c r="P69" s="1593"/>
      <c r="Q69" s="133">
        <f t="shared" si="2"/>
        <v>101.2</v>
      </c>
      <c r="R69" s="1593">
        <v>101.6</v>
      </c>
      <c r="S69" s="67"/>
      <c r="T69" s="67">
        <f t="shared" si="3"/>
        <v>101.2</v>
      </c>
      <c r="U69" s="2"/>
      <c r="V69" s="1593">
        <v>181</v>
      </c>
      <c r="W69" s="18"/>
      <c r="X69" s="1593">
        <v>151</v>
      </c>
      <c r="Y69" s="2"/>
      <c r="Z69" s="92"/>
      <c r="AA69" s="92"/>
      <c r="AB69" s="4"/>
      <c r="AC69" s="4"/>
    </row>
    <row r="70" spans="1:29" x14ac:dyDescent="0.3">
      <c r="A70" s="4"/>
      <c r="B70" s="1494" t="s">
        <v>360</v>
      </c>
      <c r="C70" s="18"/>
      <c r="D70" s="137">
        <f t="shared" ref="D70:D97" si="23">D$68</f>
        <v>3.85</v>
      </c>
      <c r="E70" s="18"/>
      <c r="F70" s="1593">
        <v>73</v>
      </c>
      <c r="G70" s="1593"/>
      <c r="H70" s="1593"/>
      <c r="I70" s="1593"/>
      <c r="J70" s="133">
        <f t="shared" si="1"/>
        <v>73</v>
      </c>
      <c r="K70" s="1593">
        <v>101.3</v>
      </c>
      <c r="L70" s="1593"/>
      <c r="M70" s="1593"/>
      <c r="N70" s="1593"/>
      <c r="O70" s="1593"/>
      <c r="P70" s="1593"/>
      <c r="Q70" s="133">
        <f t="shared" si="2"/>
        <v>101.3</v>
      </c>
      <c r="R70" s="1593">
        <v>101.6</v>
      </c>
      <c r="S70" s="67"/>
      <c r="T70" s="67">
        <f t="shared" si="3"/>
        <v>101.3</v>
      </c>
      <c r="U70" s="2"/>
      <c r="V70" s="1593">
        <v>182</v>
      </c>
      <c r="W70" s="18"/>
      <c r="X70" s="1593">
        <v>152</v>
      </c>
      <c r="Y70" s="2"/>
      <c r="Z70" s="92"/>
      <c r="AA70" s="92"/>
      <c r="AB70" s="4"/>
      <c r="AC70" s="4"/>
    </row>
    <row r="71" spans="1:29" x14ac:dyDescent="0.3">
      <c r="A71" s="4"/>
      <c r="B71" s="1494" t="s">
        <v>361</v>
      </c>
      <c r="C71" s="18"/>
      <c r="D71" s="137">
        <f t="shared" si="23"/>
        <v>3.85</v>
      </c>
      <c r="E71" s="18"/>
      <c r="F71" s="1593">
        <v>72</v>
      </c>
      <c r="G71" s="1593"/>
      <c r="H71" s="1593"/>
      <c r="I71" s="1593"/>
      <c r="J71" s="133">
        <f t="shared" si="1"/>
        <v>72</v>
      </c>
      <c r="K71" s="1593">
        <v>101.4</v>
      </c>
      <c r="L71" s="1593"/>
      <c r="M71" s="1593"/>
      <c r="N71" s="1593"/>
      <c r="O71" s="1593"/>
      <c r="P71" s="1593"/>
      <c r="Q71" s="133">
        <f t="shared" si="2"/>
        <v>101.4</v>
      </c>
      <c r="R71" s="1593">
        <v>101.6</v>
      </c>
      <c r="S71" s="67"/>
      <c r="T71" s="67">
        <f t="shared" si="3"/>
        <v>101.4</v>
      </c>
      <c r="U71" s="2"/>
      <c r="V71" s="1593">
        <v>183</v>
      </c>
      <c r="W71" s="18"/>
      <c r="X71" s="1593">
        <v>153</v>
      </c>
      <c r="Y71" s="2"/>
      <c r="Z71" s="92"/>
      <c r="AA71" s="92"/>
      <c r="AB71" s="4"/>
      <c r="AC71" s="4"/>
    </row>
    <row r="72" spans="1:29" x14ac:dyDescent="0.3">
      <c r="A72" s="4"/>
      <c r="B72" s="1494" t="s">
        <v>362</v>
      </c>
      <c r="C72" s="18"/>
      <c r="D72" s="137">
        <f t="shared" si="23"/>
        <v>3.85</v>
      </c>
      <c r="E72" s="18"/>
      <c r="F72" s="1593">
        <v>71</v>
      </c>
      <c r="G72" s="1593"/>
      <c r="H72" s="1593"/>
      <c r="I72" s="1593"/>
      <c r="J72" s="133">
        <f t="shared" si="1"/>
        <v>71</v>
      </c>
      <c r="K72" s="1593">
        <v>101.5</v>
      </c>
      <c r="L72" s="1593"/>
      <c r="M72" s="1593"/>
      <c r="N72" s="1593"/>
      <c r="O72" s="1593"/>
      <c r="P72" s="1593"/>
      <c r="Q72" s="133">
        <f t="shared" si="2"/>
        <v>101.5</v>
      </c>
      <c r="R72" s="1593">
        <v>101.6</v>
      </c>
      <c r="S72" s="67"/>
      <c r="T72" s="67">
        <f t="shared" si="3"/>
        <v>101.5</v>
      </c>
      <c r="U72" s="2"/>
      <c r="V72" s="1593">
        <v>184</v>
      </c>
      <c r="W72" s="18"/>
      <c r="X72" s="1593">
        <v>154</v>
      </c>
      <c r="Y72" s="2"/>
      <c r="Z72" s="92"/>
      <c r="AA72" s="92"/>
      <c r="AB72" s="4"/>
      <c r="AC72" s="4"/>
    </row>
    <row r="73" spans="1:29" x14ac:dyDescent="0.3">
      <c r="A73" s="4"/>
      <c r="B73" s="1494" t="s">
        <v>1527</v>
      </c>
      <c r="C73" s="18"/>
      <c r="D73" s="137">
        <f t="shared" si="23"/>
        <v>3.85</v>
      </c>
      <c r="E73" s="18"/>
      <c r="F73" s="1593">
        <v>70</v>
      </c>
      <c r="G73" s="1593"/>
      <c r="H73" s="1593"/>
      <c r="I73" s="1593"/>
      <c r="J73" s="133">
        <f t="shared" si="1"/>
        <v>70</v>
      </c>
      <c r="K73" s="1593">
        <v>101.6</v>
      </c>
      <c r="L73" s="1593"/>
      <c r="M73" s="1593"/>
      <c r="N73" s="1593"/>
      <c r="O73" s="1593"/>
      <c r="P73" s="1593"/>
      <c r="Q73" s="133">
        <f t="shared" si="2"/>
        <v>101.6</v>
      </c>
      <c r="R73" s="1593">
        <v>101.6</v>
      </c>
      <c r="S73" s="67"/>
      <c r="T73" s="67">
        <f t="shared" si="3"/>
        <v>101.6</v>
      </c>
      <c r="U73" s="2"/>
      <c r="V73" s="1593">
        <v>185</v>
      </c>
      <c r="W73" s="18"/>
      <c r="X73" s="1593">
        <v>155</v>
      </c>
      <c r="Y73" s="2"/>
      <c r="Z73" s="92"/>
      <c r="AA73" s="92"/>
      <c r="AB73" s="4"/>
      <c r="AC73" s="4"/>
    </row>
    <row r="74" spans="1:29" x14ac:dyDescent="0.3">
      <c r="A74" s="4"/>
      <c r="B74" s="1494" t="s">
        <v>1528</v>
      </c>
      <c r="C74" s="18"/>
      <c r="D74" s="137">
        <f t="shared" si="23"/>
        <v>3.85</v>
      </c>
      <c r="E74" s="18"/>
      <c r="F74" s="1593">
        <v>69</v>
      </c>
      <c r="G74" s="1593"/>
      <c r="H74" s="1593"/>
      <c r="I74" s="1593"/>
      <c r="J74" s="133">
        <f t="shared" si="1"/>
        <v>69</v>
      </c>
      <c r="K74" s="1593">
        <v>101.7</v>
      </c>
      <c r="L74" s="1593"/>
      <c r="M74" s="1593"/>
      <c r="N74" s="1593"/>
      <c r="O74" s="1593"/>
      <c r="P74" s="1593"/>
      <c r="Q74" s="133">
        <f t="shared" si="2"/>
        <v>101.7</v>
      </c>
      <c r="R74" s="1593">
        <v>101.6</v>
      </c>
      <c r="S74" s="67"/>
      <c r="T74" s="67">
        <f t="shared" si="3"/>
        <v>101.7</v>
      </c>
      <c r="U74" s="2"/>
      <c r="V74" s="1593">
        <v>186</v>
      </c>
      <c r="W74" s="18"/>
      <c r="X74" s="1593">
        <v>156</v>
      </c>
      <c r="Y74" s="2"/>
      <c r="Z74" s="92"/>
      <c r="AA74" s="92"/>
      <c r="AB74" s="4"/>
      <c r="AC74" s="4"/>
    </row>
    <row r="75" spans="1:29" x14ac:dyDescent="0.3">
      <c r="A75" s="4"/>
      <c r="B75" s="1494" t="s">
        <v>1529</v>
      </c>
      <c r="C75" s="18"/>
      <c r="D75" s="137">
        <f t="shared" si="23"/>
        <v>3.85</v>
      </c>
      <c r="E75" s="18"/>
      <c r="F75" s="1593">
        <v>75</v>
      </c>
      <c r="G75" s="1593"/>
      <c r="H75" s="1593"/>
      <c r="I75" s="1593"/>
      <c r="J75" s="133">
        <f t="shared" ref="J75:J91" si="24">IF(F75="","",AVERAGE(F75:I75))</f>
        <v>75</v>
      </c>
      <c r="K75" s="1593">
        <v>101.1</v>
      </c>
      <c r="L75" s="1593"/>
      <c r="M75" s="1593"/>
      <c r="N75" s="1593"/>
      <c r="O75" s="1593"/>
      <c r="P75" s="1593"/>
      <c r="Q75" s="133">
        <f t="shared" ref="Q75:Q91" si="25">IF(K75="","",AVERAGE(K75:P75))</f>
        <v>101.1</v>
      </c>
      <c r="R75" s="1593">
        <v>101.6</v>
      </c>
      <c r="S75" s="67"/>
      <c r="T75" s="67">
        <f t="shared" ref="T75:T91" si="26">IF(Q75="",R75,Q75)</f>
        <v>101.1</v>
      </c>
      <c r="U75" s="2"/>
      <c r="V75" s="1593">
        <v>180</v>
      </c>
      <c r="W75" s="18"/>
      <c r="X75" s="1593">
        <v>150</v>
      </c>
      <c r="Y75" s="2"/>
      <c r="Z75" s="92"/>
      <c r="AA75" s="92"/>
      <c r="AB75" s="4"/>
      <c r="AC75" s="4"/>
    </row>
    <row r="76" spans="1:29" x14ac:dyDescent="0.3">
      <c r="A76" s="4"/>
      <c r="B76" s="1494" t="s">
        <v>1530</v>
      </c>
      <c r="C76" s="18"/>
      <c r="D76" s="137">
        <f t="shared" si="23"/>
        <v>3.85</v>
      </c>
      <c r="E76" s="18"/>
      <c r="F76" s="1593">
        <v>74</v>
      </c>
      <c r="G76" s="1593"/>
      <c r="H76" s="1593"/>
      <c r="I76" s="1593"/>
      <c r="J76" s="133">
        <f t="shared" si="24"/>
        <v>74</v>
      </c>
      <c r="K76" s="1593">
        <v>101.2</v>
      </c>
      <c r="L76" s="1593"/>
      <c r="M76" s="1593"/>
      <c r="N76" s="1593"/>
      <c r="O76" s="1593"/>
      <c r="P76" s="1593"/>
      <c r="Q76" s="133">
        <f t="shared" si="25"/>
        <v>101.2</v>
      </c>
      <c r="R76" s="1593">
        <v>101.6</v>
      </c>
      <c r="S76" s="67"/>
      <c r="T76" s="67">
        <f t="shared" si="26"/>
        <v>101.2</v>
      </c>
      <c r="U76" s="2"/>
      <c r="V76" s="1593">
        <v>181</v>
      </c>
      <c r="W76" s="18"/>
      <c r="X76" s="1593">
        <v>151</v>
      </c>
      <c r="Y76" s="2"/>
      <c r="Z76" s="92"/>
      <c r="AA76" s="92"/>
      <c r="AB76" s="4"/>
      <c r="AC76" s="4"/>
    </row>
    <row r="77" spans="1:29" x14ac:dyDescent="0.3">
      <c r="A77" s="4"/>
      <c r="B77" s="1494" t="s">
        <v>1531</v>
      </c>
      <c r="C77" s="18"/>
      <c r="D77" s="137">
        <f t="shared" si="23"/>
        <v>3.85</v>
      </c>
      <c r="E77" s="18"/>
      <c r="F77" s="1593">
        <v>73</v>
      </c>
      <c r="G77" s="1593"/>
      <c r="H77" s="1593"/>
      <c r="I77" s="1593"/>
      <c r="J77" s="133">
        <f t="shared" si="24"/>
        <v>73</v>
      </c>
      <c r="K77" s="1593">
        <v>101.3</v>
      </c>
      <c r="L77" s="1593"/>
      <c r="M77" s="1593"/>
      <c r="N77" s="1593"/>
      <c r="O77" s="1593"/>
      <c r="P77" s="1593"/>
      <c r="Q77" s="133">
        <f t="shared" si="25"/>
        <v>101.3</v>
      </c>
      <c r="R77" s="1593">
        <v>101.6</v>
      </c>
      <c r="S77" s="67"/>
      <c r="T77" s="67">
        <f t="shared" si="26"/>
        <v>101.3</v>
      </c>
      <c r="U77" s="2"/>
      <c r="V77" s="1593">
        <v>182</v>
      </c>
      <c r="W77" s="18"/>
      <c r="X77" s="1593">
        <v>152</v>
      </c>
      <c r="Y77" s="2"/>
      <c r="Z77" s="92"/>
      <c r="AA77" s="92"/>
      <c r="AB77" s="4"/>
      <c r="AC77" s="4"/>
    </row>
    <row r="78" spans="1:29" x14ac:dyDescent="0.3">
      <c r="A78" s="4"/>
      <c r="B78" s="1494" t="s">
        <v>1532</v>
      </c>
      <c r="C78" s="18"/>
      <c r="D78" s="137">
        <f t="shared" si="23"/>
        <v>3.85</v>
      </c>
      <c r="E78" s="18"/>
      <c r="F78" s="1593">
        <v>72</v>
      </c>
      <c r="G78" s="1593"/>
      <c r="H78" s="1593"/>
      <c r="I78" s="1593"/>
      <c r="J78" s="133">
        <f t="shared" si="24"/>
        <v>72</v>
      </c>
      <c r="K78" s="1593">
        <v>101.4</v>
      </c>
      <c r="L78" s="1593"/>
      <c r="M78" s="1593"/>
      <c r="N78" s="1593"/>
      <c r="O78" s="1593"/>
      <c r="P78" s="1593"/>
      <c r="Q78" s="133">
        <f t="shared" si="25"/>
        <v>101.4</v>
      </c>
      <c r="R78" s="1593">
        <v>101.6</v>
      </c>
      <c r="S78" s="67"/>
      <c r="T78" s="67">
        <f t="shared" si="26"/>
        <v>101.4</v>
      </c>
      <c r="U78" s="2"/>
      <c r="V78" s="1593">
        <v>183</v>
      </c>
      <c r="W78" s="18"/>
      <c r="X78" s="1593">
        <v>153</v>
      </c>
      <c r="Y78" s="2"/>
      <c r="Z78" s="92"/>
      <c r="AA78" s="92"/>
      <c r="AB78" s="4"/>
      <c r="AC78" s="4"/>
    </row>
    <row r="79" spans="1:29" x14ac:dyDescent="0.3">
      <c r="A79" s="4"/>
      <c r="B79" s="1494" t="s">
        <v>1533</v>
      </c>
      <c r="C79" s="18"/>
      <c r="D79" s="137">
        <f t="shared" si="23"/>
        <v>3.85</v>
      </c>
      <c r="E79" s="18"/>
      <c r="F79" s="1593">
        <v>71</v>
      </c>
      <c r="G79" s="1593"/>
      <c r="H79" s="1593"/>
      <c r="I79" s="1593"/>
      <c r="J79" s="133">
        <f t="shared" ref="J79:J88" si="27">IF(F79="","",AVERAGE(F79:I79))</f>
        <v>71</v>
      </c>
      <c r="K79" s="1593">
        <v>101.5</v>
      </c>
      <c r="L79" s="1593"/>
      <c r="M79" s="1593"/>
      <c r="N79" s="1593"/>
      <c r="O79" s="1593"/>
      <c r="P79" s="1593"/>
      <c r="Q79" s="133">
        <f t="shared" ref="Q79:Q88" si="28">IF(K79="","",AVERAGE(K79:P79))</f>
        <v>101.5</v>
      </c>
      <c r="R79" s="1593">
        <v>101.6</v>
      </c>
      <c r="S79" s="67"/>
      <c r="T79" s="67">
        <f t="shared" ref="T79:T88" si="29">IF(Q79="",R79,Q79)</f>
        <v>101.5</v>
      </c>
      <c r="U79" s="2"/>
      <c r="V79" s="1593">
        <v>184</v>
      </c>
      <c r="W79" s="18"/>
      <c r="X79" s="1593">
        <v>154</v>
      </c>
      <c r="Y79" s="2"/>
      <c r="Z79" s="92"/>
      <c r="AA79" s="92"/>
      <c r="AB79" s="4"/>
      <c r="AC79" s="4"/>
    </row>
    <row r="80" spans="1:29" x14ac:dyDescent="0.3">
      <c r="A80" s="4"/>
      <c r="B80" s="1494" t="s">
        <v>1534</v>
      </c>
      <c r="C80" s="18"/>
      <c r="D80" s="137">
        <f t="shared" si="23"/>
        <v>3.85</v>
      </c>
      <c r="E80" s="18"/>
      <c r="F80" s="1593">
        <v>70</v>
      </c>
      <c r="G80" s="1593"/>
      <c r="H80" s="1593"/>
      <c r="I80" s="1593"/>
      <c r="J80" s="133">
        <f t="shared" si="27"/>
        <v>70</v>
      </c>
      <c r="K80" s="1593">
        <v>101.6</v>
      </c>
      <c r="L80" s="1593"/>
      <c r="M80" s="1593"/>
      <c r="N80" s="1593"/>
      <c r="O80" s="1593"/>
      <c r="P80" s="1593"/>
      <c r="Q80" s="133">
        <f t="shared" si="28"/>
        <v>101.6</v>
      </c>
      <c r="R80" s="1593">
        <v>101.6</v>
      </c>
      <c r="S80" s="67"/>
      <c r="T80" s="67">
        <f t="shared" si="29"/>
        <v>101.6</v>
      </c>
      <c r="U80" s="2"/>
      <c r="V80" s="1593">
        <v>185</v>
      </c>
      <c r="W80" s="18"/>
      <c r="X80" s="1593">
        <v>155</v>
      </c>
      <c r="Y80" s="2"/>
      <c r="Z80" s="92"/>
      <c r="AA80" s="92"/>
      <c r="AB80" s="4"/>
      <c r="AC80" s="4"/>
    </row>
    <row r="81" spans="1:29" x14ac:dyDescent="0.3">
      <c r="A81" s="4"/>
      <c r="B81" s="1494" t="s">
        <v>1535</v>
      </c>
      <c r="C81" s="18"/>
      <c r="D81" s="137">
        <f t="shared" si="23"/>
        <v>3.85</v>
      </c>
      <c r="E81" s="18"/>
      <c r="F81" s="1593">
        <v>69</v>
      </c>
      <c r="G81" s="1593"/>
      <c r="H81" s="1593"/>
      <c r="I81" s="1593"/>
      <c r="J81" s="133">
        <f t="shared" si="27"/>
        <v>69</v>
      </c>
      <c r="K81" s="1593">
        <v>101.7</v>
      </c>
      <c r="L81" s="1593"/>
      <c r="M81" s="1593"/>
      <c r="N81" s="1593"/>
      <c r="O81" s="1593"/>
      <c r="P81" s="1593"/>
      <c r="Q81" s="133">
        <f t="shared" si="28"/>
        <v>101.7</v>
      </c>
      <c r="R81" s="1593">
        <v>101.6</v>
      </c>
      <c r="S81" s="67"/>
      <c r="T81" s="67">
        <f t="shared" si="29"/>
        <v>101.7</v>
      </c>
      <c r="U81" s="2"/>
      <c r="V81" s="1593">
        <v>186</v>
      </c>
      <c r="W81" s="18"/>
      <c r="X81" s="1593">
        <v>156</v>
      </c>
      <c r="Y81" s="2"/>
      <c r="Z81" s="92"/>
      <c r="AA81" s="92"/>
      <c r="AB81" s="4"/>
      <c r="AC81" s="4"/>
    </row>
    <row r="82" spans="1:29" x14ac:dyDescent="0.3">
      <c r="A82" s="4"/>
      <c r="B82" s="1494" t="s">
        <v>1536</v>
      </c>
      <c r="C82" s="18"/>
      <c r="D82" s="137">
        <f t="shared" si="23"/>
        <v>3.85</v>
      </c>
      <c r="E82" s="18"/>
      <c r="F82" s="1593">
        <v>75</v>
      </c>
      <c r="G82" s="1593"/>
      <c r="H82" s="1593"/>
      <c r="I82" s="1593"/>
      <c r="J82" s="133">
        <f t="shared" si="27"/>
        <v>75</v>
      </c>
      <c r="K82" s="1593">
        <v>101.1</v>
      </c>
      <c r="L82" s="1593"/>
      <c r="M82" s="1593"/>
      <c r="N82" s="1593"/>
      <c r="O82" s="1593"/>
      <c r="P82" s="1593"/>
      <c r="Q82" s="133">
        <f t="shared" si="28"/>
        <v>101.1</v>
      </c>
      <c r="R82" s="1593">
        <v>101.6</v>
      </c>
      <c r="S82" s="67"/>
      <c r="T82" s="67">
        <f t="shared" si="29"/>
        <v>101.1</v>
      </c>
      <c r="U82" s="2"/>
      <c r="V82" s="1593">
        <v>180</v>
      </c>
      <c r="W82" s="18"/>
      <c r="X82" s="1593">
        <v>150</v>
      </c>
      <c r="Y82" s="2"/>
      <c r="Z82" s="92"/>
      <c r="AA82" s="92"/>
      <c r="AB82" s="4"/>
      <c r="AC82" s="4"/>
    </row>
    <row r="83" spans="1:29" x14ac:dyDescent="0.3">
      <c r="A83" s="4"/>
      <c r="B83" s="1494" t="s">
        <v>1537</v>
      </c>
      <c r="C83" s="18"/>
      <c r="D83" s="137">
        <f t="shared" si="23"/>
        <v>3.85</v>
      </c>
      <c r="E83" s="18"/>
      <c r="F83" s="1593">
        <v>74</v>
      </c>
      <c r="G83" s="1593"/>
      <c r="H83" s="1593"/>
      <c r="I83" s="1593"/>
      <c r="J83" s="133">
        <f t="shared" si="27"/>
        <v>74</v>
      </c>
      <c r="K83" s="1593">
        <v>101.2</v>
      </c>
      <c r="L83" s="1593"/>
      <c r="M83" s="1593"/>
      <c r="N83" s="1593"/>
      <c r="O83" s="1593"/>
      <c r="P83" s="1593"/>
      <c r="Q83" s="133">
        <f t="shared" si="28"/>
        <v>101.2</v>
      </c>
      <c r="R83" s="1593">
        <v>101.6</v>
      </c>
      <c r="S83" s="67"/>
      <c r="T83" s="67">
        <f t="shared" si="29"/>
        <v>101.2</v>
      </c>
      <c r="U83" s="2"/>
      <c r="V83" s="1593">
        <v>181</v>
      </c>
      <c r="W83" s="18"/>
      <c r="X83" s="1593">
        <v>151</v>
      </c>
      <c r="Y83" s="2"/>
      <c r="Z83" s="92"/>
      <c r="AA83" s="92"/>
      <c r="AB83" s="4"/>
      <c r="AC83" s="4"/>
    </row>
    <row r="84" spans="1:29" x14ac:dyDescent="0.3">
      <c r="A84" s="4"/>
      <c r="B84" s="1494" t="s">
        <v>1538</v>
      </c>
      <c r="C84" s="18"/>
      <c r="D84" s="137">
        <f t="shared" si="23"/>
        <v>3.85</v>
      </c>
      <c r="E84" s="18"/>
      <c r="F84" s="1593">
        <v>73</v>
      </c>
      <c r="G84" s="1593"/>
      <c r="H84" s="1593"/>
      <c r="I84" s="1593"/>
      <c r="J84" s="133">
        <f t="shared" si="27"/>
        <v>73</v>
      </c>
      <c r="K84" s="1593">
        <v>101.3</v>
      </c>
      <c r="L84" s="1593"/>
      <c r="M84" s="1593"/>
      <c r="N84" s="1593"/>
      <c r="O84" s="1593"/>
      <c r="P84" s="1593"/>
      <c r="Q84" s="133">
        <f t="shared" si="28"/>
        <v>101.3</v>
      </c>
      <c r="R84" s="1593">
        <v>101.6</v>
      </c>
      <c r="S84" s="67"/>
      <c r="T84" s="67">
        <f t="shared" si="29"/>
        <v>101.3</v>
      </c>
      <c r="U84" s="2"/>
      <c r="V84" s="1593">
        <v>182</v>
      </c>
      <c r="W84" s="18"/>
      <c r="X84" s="1593">
        <v>152</v>
      </c>
      <c r="Y84" s="2"/>
      <c r="Z84" s="92"/>
      <c r="AA84" s="92"/>
      <c r="AB84" s="4"/>
      <c r="AC84" s="4"/>
    </row>
    <row r="85" spans="1:29" x14ac:dyDescent="0.3">
      <c r="A85" s="4"/>
      <c r="B85" s="1494" t="s">
        <v>1539</v>
      </c>
      <c r="C85" s="18"/>
      <c r="D85" s="137">
        <f t="shared" si="23"/>
        <v>3.85</v>
      </c>
      <c r="E85" s="18"/>
      <c r="F85" s="1593">
        <v>72</v>
      </c>
      <c r="G85" s="1593"/>
      <c r="H85" s="1593"/>
      <c r="I85" s="1593"/>
      <c r="J85" s="133">
        <f t="shared" si="27"/>
        <v>72</v>
      </c>
      <c r="K85" s="1593">
        <v>101.4</v>
      </c>
      <c r="L85" s="1593"/>
      <c r="M85" s="1593"/>
      <c r="N85" s="1593"/>
      <c r="O85" s="1593"/>
      <c r="P85" s="1593"/>
      <c r="Q85" s="133">
        <f t="shared" si="28"/>
        <v>101.4</v>
      </c>
      <c r="R85" s="1593">
        <v>101.6</v>
      </c>
      <c r="S85" s="67"/>
      <c r="T85" s="67">
        <f t="shared" si="29"/>
        <v>101.4</v>
      </c>
      <c r="U85" s="2"/>
      <c r="V85" s="1593">
        <v>183</v>
      </c>
      <c r="W85" s="18"/>
      <c r="X85" s="1593">
        <v>153</v>
      </c>
      <c r="Y85" s="2"/>
      <c r="Z85" s="92"/>
      <c r="AA85" s="92"/>
      <c r="AB85" s="4"/>
      <c r="AC85" s="4"/>
    </row>
    <row r="86" spans="1:29" x14ac:dyDescent="0.3">
      <c r="A86" s="4"/>
      <c r="B86" s="1494" t="s">
        <v>1540</v>
      </c>
      <c r="C86" s="18"/>
      <c r="D86" s="137">
        <f t="shared" si="23"/>
        <v>3.85</v>
      </c>
      <c r="E86" s="18"/>
      <c r="F86" s="1593">
        <v>75</v>
      </c>
      <c r="G86" s="1593"/>
      <c r="H86" s="1593"/>
      <c r="I86" s="1593"/>
      <c r="J86" s="133">
        <f t="shared" si="27"/>
        <v>75</v>
      </c>
      <c r="K86" s="1593">
        <v>101.1</v>
      </c>
      <c r="L86" s="1593"/>
      <c r="M86" s="1593"/>
      <c r="N86" s="1593"/>
      <c r="O86" s="1593"/>
      <c r="P86" s="1593"/>
      <c r="Q86" s="133">
        <f t="shared" si="28"/>
        <v>101.1</v>
      </c>
      <c r="R86" s="1593">
        <v>101.6</v>
      </c>
      <c r="S86" s="67"/>
      <c r="T86" s="67">
        <f t="shared" si="29"/>
        <v>101.1</v>
      </c>
      <c r="U86" s="2"/>
      <c r="V86" s="1593">
        <v>180</v>
      </c>
      <c r="W86" s="18"/>
      <c r="X86" s="1593">
        <v>150</v>
      </c>
      <c r="Y86" s="2"/>
      <c r="Z86" s="92"/>
      <c r="AA86" s="92"/>
      <c r="AB86" s="4"/>
      <c r="AC86" s="4"/>
    </row>
    <row r="87" spans="1:29" x14ac:dyDescent="0.3">
      <c r="A87" s="4"/>
      <c r="B87" s="1494" t="s">
        <v>1541</v>
      </c>
      <c r="C87" s="18"/>
      <c r="D87" s="137">
        <f t="shared" si="23"/>
        <v>3.85</v>
      </c>
      <c r="E87" s="18"/>
      <c r="F87" s="1593">
        <v>74</v>
      </c>
      <c r="G87" s="1593"/>
      <c r="H87" s="1593"/>
      <c r="I87" s="1593"/>
      <c r="J87" s="133">
        <f t="shared" si="27"/>
        <v>74</v>
      </c>
      <c r="K87" s="1593">
        <v>101.2</v>
      </c>
      <c r="L87" s="1593"/>
      <c r="M87" s="1593"/>
      <c r="N87" s="1593"/>
      <c r="O87" s="1593"/>
      <c r="P87" s="1593"/>
      <c r="Q87" s="133">
        <f t="shared" si="28"/>
        <v>101.2</v>
      </c>
      <c r="R87" s="1593">
        <v>101.6</v>
      </c>
      <c r="S87" s="67"/>
      <c r="T87" s="67">
        <f t="shared" si="29"/>
        <v>101.2</v>
      </c>
      <c r="U87" s="2"/>
      <c r="V87" s="1593">
        <v>181</v>
      </c>
      <c r="W87" s="18"/>
      <c r="X87" s="1593">
        <v>151</v>
      </c>
      <c r="Y87" s="2"/>
      <c r="Z87" s="92"/>
      <c r="AA87" s="92"/>
      <c r="AB87" s="4"/>
      <c r="AC87" s="4"/>
    </row>
    <row r="88" spans="1:29" x14ac:dyDescent="0.3">
      <c r="A88" s="4"/>
      <c r="B88" s="1494" t="s">
        <v>996</v>
      </c>
      <c r="C88" s="18"/>
      <c r="D88" s="137">
        <f t="shared" si="23"/>
        <v>3.85</v>
      </c>
      <c r="E88" s="18"/>
      <c r="F88" s="1593">
        <v>73</v>
      </c>
      <c r="G88" s="1593"/>
      <c r="H88" s="1593"/>
      <c r="I88" s="1593"/>
      <c r="J88" s="133">
        <f t="shared" si="27"/>
        <v>73</v>
      </c>
      <c r="K88" s="1593">
        <v>101.3</v>
      </c>
      <c r="L88" s="1593"/>
      <c r="M88" s="1593"/>
      <c r="N88" s="1593"/>
      <c r="O88" s="1593"/>
      <c r="P88" s="1593"/>
      <c r="Q88" s="133">
        <f t="shared" si="28"/>
        <v>101.3</v>
      </c>
      <c r="R88" s="1593">
        <v>101.6</v>
      </c>
      <c r="S88" s="67"/>
      <c r="T88" s="67">
        <f t="shared" si="29"/>
        <v>101.3</v>
      </c>
      <c r="U88" s="2"/>
      <c r="V88" s="1593">
        <v>182</v>
      </c>
      <c r="W88" s="18"/>
      <c r="X88" s="1593">
        <v>152</v>
      </c>
      <c r="Y88" s="2"/>
      <c r="Z88" s="92"/>
      <c r="AA88" s="92"/>
      <c r="AB88" s="4"/>
      <c r="AC88" s="4"/>
    </row>
    <row r="89" spans="1:29" x14ac:dyDescent="0.3">
      <c r="A89" s="4"/>
      <c r="B89" s="1494" t="s">
        <v>997</v>
      </c>
      <c r="C89" s="18"/>
      <c r="D89" s="137">
        <f t="shared" si="23"/>
        <v>3.85</v>
      </c>
      <c r="E89" s="18"/>
      <c r="F89" s="1593">
        <v>71</v>
      </c>
      <c r="G89" s="1593"/>
      <c r="H89" s="1593"/>
      <c r="I89" s="1593"/>
      <c r="J89" s="133">
        <f t="shared" si="24"/>
        <v>71</v>
      </c>
      <c r="K89" s="1593">
        <v>101.5</v>
      </c>
      <c r="L89" s="1593"/>
      <c r="M89" s="1593"/>
      <c r="N89" s="1593"/>
      <c r="O89" s="1593"/>
      <c r="P89" s="1593"/>
      <c r="Q89" s="133">
        <f t="shared" si="25"/>
        <v>101.5</v>
      </c>
      <c r="R89" s="1593">
        <v>101.6</v>
      </c>
      <c r="S89" s="67"/>
      <c r="T89" s="67">
        <f t="shared" si="26"/>
        <v>101.5</v>
      </c>
      <c r="U89" s="2"/>
      <c r="V89" s="1593">
        <v>184</v>
      </c>
      <c r="W89" s="18"/>
      <c r="X89" s="1593">
        <v>154</v>
      </c>
      <c r="Y89" s="2"/>
      <c r="Z89" s="92"/>
      <c r="AA89" s="92"/>
      <c r="AB89" s="4"/>
      <c r="AC89" s="4"/>
    </row>
    <row r="90" spans="1:29" x14ac:dyDescent="0.3">
      <c r="A90" s="4"/>
      <c r="B90" s="1494" t="s">
        <v>1493</v>
      </c>
      <c r="C90" s="18"/>
      <c r="D90" s="137">
        <f t="shared" si="23"/>
        <v>3.85</v>
      </c>
      <c r="E90" s="18"/>
      <c r="F90" s="1593">
        <v>70</v>
      </c>
      <c r="G90" s="1593"/>
      <c r="H90" s="1593"/>
      <c r="I90" s="1593"/>
      <c r="J90" s="133">
        <f t="shared" si="24"/>
        <v>70</v>
      </c>
      <c r="K90" s="1593">
        <v>101.6</v>
      </c>
      <c r="L90" s="1593"/>
      <c r="M90" s="1593"/>
      <c r="N90" s="1593"/>
      <c r="O90" s="1593"/>
      <c r="P90" s="1593"/>
      <c r="Q90" s="133">
        <f t="shared" si="25"/>
        <v>101.6</v>
      </c>
      <c r="R90" s="1593">
        <v>101.6</v>
      </c>
      <c r="S90" s="67"/>
      <c r="T90" s="67">
        <f t="shared" si="26"/>
        <v>101.6</v>
      </c>
      <c r="U90" s="2"/>
      <c r="V90" s="1593">
        <v>185</v>
      </c>
      <c r="W90" s="18"/>
      <c r="X90" s="1593">
        <v>155</v>
      </c>
      <c r="Y90" s="2"/>
      <c r="Z90" s="92"/>
      <c r="AA90" s="92"/>
      <c r="AB90" s="4"/>
      <c r="AC90" s="4"/>
    </row>
    <row r="91" spans="1:29" x14ac:dyDescent="0.3">
      <c r="A91" s="4"/>
      <c r="B91" s="1494" t="s">
        <v>1494</v>
      </c>
      <c r="C91" s="18"/>
      <c r="D91" s="137">
        <f t="shared" si="23"/>
        <v>3.85</v>
      </c>
      <c r="E91" s="18"/>
      <c r="F91" s="1593">
        <v>69</v>
      </c>
      <c r="G91" s="1593"/>
      <c r="H91" s="1593"/>
      <c r="I91" s="1593"/>
      <c r="J91" s="133">
        <f t="shared" si="24"/>
        <v>69</v>
      </c>
      <c r="K91" s="1593">
        <v>101.7</v>
      </c>
      <c r="L91" s="1593"/>
      <c r="M91" s="1593"/>
      <c r="N91" s="1593"/>
      <c r="O91" s="1593"/>
      <c r="P91" s="1593"/>
      <c r="Q91" s="133">
        <f t="shared" si="25"/>
        <v>101.7</v>
      </c>
      <c r="R91" s="1593">
        <v>101.6</v>
      </c>
      <c r="S91" s="67"/>
      <c r="T91" s="67">
        <f t="shared" si="26"/>
        <v>101.7</v>
      </c>
      <c r="U91" s="2"/>
      <c r="V91" s="1593">
        <v>186</v>
      </c>
      <c r="W91" s="18"/>
      <c r="X91" s="1593">
        <v>156</v>
      </c>
      <c r="Y91" s="2"/>
      <c r="Z91" s="92"/>
      <c r="AA91" s="92"/>
      <c r="AB91" s="4"/>
      <c r="AC91" s="4"/>
    </row>
    <row r="92" spans="1:29" x14ac:dyDescent="0.3">
      <c r="A92" s="4"/>
      <c r="B92" s="1494" t="s">
        <v>1495</v>
      </c>
      <c r="C92" s="18"/>
      <c r="D92" s="137">
        <f t="shared" si="23"/>
        <v>3.85</v>
      </c>
      <c r="E92" s="18"/>
      <c r="F92" s="1593">
        <v>75</v>
      </c>
      <c r="G92" s="1593"/>
      <c r="H92" s="1593"/>
      <c r="I92" s="1593"/>
      <c r="J92" s="133">
        <f t="shared" ref="J92:J95" si="30">IF(F92="","",AVERAGE(F92:I92))</f>
        <v>75</v>
      </c>
      <c r="K92" s="1593">
        <v>101.1</v>
      </c>
      <c r="L92" s="1593"/>
      <c r="M92" s="1593"/>
      <c r="N92" s="1593"/>
      <c r="O92" s="1593"/>
      <c r="P92" s="1593"/>
      <c r="Q92" s="133">
        <f t="shared" ref="Q92:Q95" si="31">IF(K92="","",AVERAGE(K92:P92))</f>
        <v>101.1</v>
      </c>
      <c r="R92" s="1593">
        <v>101.6</v>
      </c>
      <c r="S92" s="67"/>
      <c r="T92" s="67">
        <f t="shared" ref="T92:T95" si="32">IF(Q92="",R92,Q92)</f>
        <v>101.1</v>
      </c>
      <c r="U92" s="2"/>
      <c r="V92" s="1593">
        <v>180</v>
      </c>
      <c r="W92" s="18"/>
      <c r="X92" s="1593">
        <v>150</v>
      </c>
      <c r="Y92" s="2"/>
      <c r="Z92" s="92"/>
      <c r="AA92" s="92"/>
      <c r="AB92" s="4"/>
      <c r="AC92" s="4"/>
    </row>
    <row r="93" spans="1:29" x14ac:dyDescent="0.3">
      <c r="A93" s="4"/>
      <c r="B93" s="1494" t="s">
        <v>1496</v>
      </c>
      <c r="C93" s="18"/>
      <c r="D93" s="137">
        <f t="shared" si="23"/>
        <v>3.85</v>
      </c>
      <c r="E93" s="18"/>
      <c r="F93" s="1593">
        <v>74</v>
      </c>
      <c r="G93" s="1593"/>
      <c r="H93" s="1593"/>
      <c r="I93" s="1593"/>
      <c r="J93" s="133">
        <f t="shared" si="30"/>
        <v>74</v>
      </c>
      <c r="K93" s="1593">
        <v>101.2</v>
      </c>
      <c r="L93" s="1593"/>
      <c r="M93" s="1593"/>
      <c r="N93" s="1593"/>
      <c r="O93" s="1593"/>
      <c r="P93" s="1593"/>
      <c r="Q93" s="133">
        <f t="shared" si="31"/>
        <v>101.2</v>
      </c>
      <c r="R93" s="1593">
        <v>101.6</v>
      </c>
      <c r="S93" s="67"/>
      <c r="T93" s="67">
        <f t="shared" si="32"/>
        <v>101.2</v>
      </c>
      <c r="U93" s="2"/>
      <c r="V93" s="1593">
        <v>181</v>
      </c>
      <c r="W93" s="18"/>
      <c r="X93" s="1593">
        <v>151</v>
      </c>
      <c r="Y93" s="2"/>
      <c r="Z93" s="92"/>
      <c r="AA93" s="92"/>
      <c r="AB93" s="4"/>
      <c r="AC93" s="4"/>
    </row>
    <row r="94" spans="1:29" x14ac:dyDescent="0.3">
      <c r="A94" s="4"/>
      <c r="B94" s="1494" t="s">
        <v>1497</v>
      </c>
      <c r="C94" s="18"/>
      <c r="D94" s="137">
        <f t="shared" si="23"/>
        <v>3.85</v>
      </c>
      <c r="E94" s="18"/>
      <c r="F94" s="1593">
        <v>73</v>
      </c>
      <c r="G94" s="1593"/>
      <c r="H94" s="1593"/>
      <c r="I94" s="1593"/>
      <c r="J94" s="133">
        <f t="shared" si="30"/>
        <v>73</v>
      </c>
      <c r="K94" s="1593">
        <v>101.3</v>
      </c>
      <c r="L94" s="1593"/>
      <c r="M94" s="1593"/>
      <c r="N94" s="1593"/>
      <c r="O94" s="1593"/>
      <c r="P94" s="1593"/>
      <c r="Q94" s="133">
        <f t="shared" si="31"/>
        <v>101.3</v>
      </c>
      <c r="R94" s="1593">
        <v>101.6</v>
      </c>
      <c r="S94" s="67"/>
      <c r="T94" s="67">
        <f t="shared" si="32"/>
        <v>101.3</v>
      </c>
      <c r="U94" s="2"/>
      <c r="V94" s="1593">
        <v>182</v>
      </c>
      <c r="W94" s="18"/>
      <c r="X94" s="1593">
        <v>152</v>
      </c>
      <c r="Y94" s="2"/>
      <c r="Z94" s="92"/>
      <c r="AA94" s="92"/>
      <c r="AB94" s="4"/>
      <c r="AC94" s="4"/>
    </row>
    <row r="95" spans="1:29" x14ac:dyDescent="0.3">
      <c r="A95" s="4"/>
      <c r="B95" s="1494" t="s">
        <v>1498</v>
      </c>
      <c r="C95" s="18"/>
      <c r="D95" s="137">
        <f t="shared" si="23"/>
        <v>3.85</v>
      </c>
      <c r="E95" s="18"/>
      <c r="F95" s="1593">
        <v>72</v>
      </c>
      <c r="G95" s="1593"/>
      <c r="H95" s="1593"/>
      <c r="I95" s="1593"/>
      <c r="J95" s="133">
        <f t="shared" si="30"/>
        <v>72</v>
      </c>
      <c r="K95" s="1593">
        <v>101.4</v>
      </c>
      <c r="L95" s="1593"/>
      <c r="M95" s="1593"/>
      <c r="N95" s="1593"/>
      <c r="O95" s="1593"/>
      <c r="P95" s="1593"/>
      <c r="Q95" s="133">
        <f t="shared" si="31"/>
        <v>101.4</v>
      </c>
      <c r="R95" s="1593">
        <v>101.6</v>
      </c>
      <c r="S95" s="67"/>
      <c r="T95" s="67">
        <f t="shared" si="32"/>
        <v>101.4</v>
      </c>
      <c r="U95" s="2"/>
      <c r="V95" s="1593">
        <v>183</v>
      </c>
      <c r="W95" s="18"/>
      <c r="X95" s="1593">
        <v>153</v>
      </c>
      <c r="Y95" s="2"/>
      <c r="Z95" s="92"/>
      <c r="AA95" s="92"/>
      <c r="AB95" s="4"/>
      <c r="AC95" s="4"/>
    </row>
    <row r="96" spans="1:29" x14ac:dyDescent="0.3">
      <c r="A96" s="4"/>
      <c r="B96" s="1494" t="s">
        <v>1499</v>
      </c>
      <c r="C96" s="18"/>
      <c r="D96" s="137">
        <f t="shared" si="23"/>
        <v>3.85</v>
      </c>
      <c r="E96" s="18"/>
      <c r="F96" s="1593">
        <v>75</v>
      </c>
      <c r="G96" s="1593"/>
      <c r="H96" s="1593"/>
      <c r="I96" s="1593"/>
      <c r="J96" s="133">
        <f t="shared" ref="J96:J97" si="33">IF(F96="","",AVERAGE(F96:I96))</f>
        <v>75</v>
      </c>
      <c r="K96" s="1593">
        <v>101.1</v>
      </c>
      <c r="L96" s="1593"/>
      <c r="M96" s="1593"/>
      <c r="N96" s="1593"/>
      <c r="O96" s="1593"/>
      <c r="P96" s="1593"/>
      <c r="Q96" s="133">
        <f t="shared" ref="Q96:Q97" si="34">IF(K96="","",AVERAGE(K96:P96))</f>
        <v>101.1</v>
      </c>
      <c r="R96" s="1593">
        <v>101.6</v>
      </c>
      <c r="S96" s="67"/>
      <c r="T96" s="67">
        <f t="shared" ref="T96:T97" si="35">IF(Q96="",R96,Q96)</f>
        <v>101.1</v>
      </c>
      <c r="U96" s="2"/>
      <c r="V96" s="1593">
        <v>180</v>
      </c>
      <c r="W96" s="18"/>
      <c r="X96" s="1593">
        <v>150</v>
      </c>
      <c r="Y96" s="2"/>
      <c r="Z96" s="92"/>
      <c r="AA96" s="92"/>
      <c r="AB96" s="4"/>
      <c r="AC96" s="4"/>
    </row>
    <row r="97" spans="1:29" ht="14.5" thickBot="1" x14ac:dyDescent="0.35">
      <c r="A97" s="4"/>
      <c r="B97" s="1592" t="s">
        <v>1500</v>
      </c>
      <c r="C97" s="912"/>
      <c r="D97" s="952">
        <f t="shared" si="23"/>
        <v>3.85</v>
      </c>
      <c r="E97" s="912"/>
      <c r="F97" s="1595">
        <v>72</v>
      </c>
      <c r="G97" s="1595"/>
      <c r="H97" s="1595"/>
      <c r="I97" s="1595"/>
      <c r="J97" s="953">
        <f t="shared" si="33"/>
        <v>72</v>
      </c>
      <c r="K97" s="1595">
        <v>101.4</v>
      </c>
      <c r="L97" s="1595"/>
      <c r="M97" s="1595"/>
      <c r="N97" s="1595"/>
      <c r="O97" s="1595"/>
      <c r="P97" s="1595"/>
      <c r="Q97" s="953">
        <f t="shared" si="34"/>
        <v>101.4</v>
      </c>
      <c r="R97" s="1595">
        <v>101.6</v>
      </c>
      <c r="S97" s="954"/>
      <c r="T97" s="954">
        <f t="shared" si="35"/>
        <v>101.4</v>
      </c>
      <c r="U97" s="10"/>
      <c r="V97" s="1595">
        <v>183</v>
      </c>
      <c r="W97" s="912"/>
      <c r="X97" s="1595">
        <v>153</v>
      </c>
      <c r="Y97" s="10"/>
      <c r="Z97" s="92"/>
      <c r="AA97" s="92"/>
      <c r="AB97" s="4"/>
      <c r="AC97" s="4"/>
    </row>
    <row r="98" spans="1:29" ht="14.5" thickTop="1" x14ac:dyDescent="0.3">
      <c r="A98" s="4"/>
      <c r="B98" s="1494" t="s">
        <v>364</v>
      </c>
      <c r="C98" s="18"/>
      <c r="D98" s="135">
        <f>IF(I32="","",D68+I32)</f>
        <v>4.1500000000000004</v>
      </c>
      <c r="E98" s="18"/>
      <c r="F98" s="1593">
        <v>85</v>
      </c>
      <c r="G98" s="1593"/>
      <c r="H98" s="1593"/>
      <c r="I98" s="1593"/>
      <c r="J98" s="133">
        <f t="shared" si="1"/>
        <v>85</v>
      </c>
      <c r="K98" s="1593">
        <v>102.1</v>
      </c>
      <c r="L98" s="1593"/>
      <c r="M98" s="1593"/>
      <c r="N98" s="1593"/>
      <c r="O98" s="1593"/>
      <c r="P98" s="1593"/>
      <c r="Q98" s="133">
        <f t="shared" si="2"/>
        <v>102.1</v>
      </c>
      <c r="R98" s="1593">
        <v>101.6</v>
      </c>
      <c r="S98" s="67"/>
      <c r="T98" s="67">
        <f t="shared" si="3"/>
        <v>102.1</v>
      </c>
      <c r="U98" s="2"/>
      <c r="V98" s="1593">
        <v>190</v>
      </c>
      <c r="W98" s="18"/>
      <c r="X98" s="1593">
        <v>160</v>
      </c>
      <c r="Y98" s="2"/>
      <c r="Z98" s="92"/>
      <c r="AA98" s="92"/>
      <c r="AB98" s="4"/>
      <c r="AC98" s="4"/>
    </row>
    <row r="99" spans="1:29" x14ac:dyDescent="0.3">
      <c r="A99" s="4"/>
      <c r="B99" s="1494" t="s">
        <v>365</v>
      </c>
      <c r="C99" s="18"/>
      <c r="D99" s="136">
        <f t="shared" ref="D99:D127" si="36">D$98</f>
        <v>4.1500000000000004</v>
      </c>
      <c r="E99" s="18"/>
      <c r="F99" s="1593">
        <v>84</v>
      </c>
      <c r="G99" s="1593"/>
      <c r="H99" s="1593"/>
      <c r="I99" s="1593"/>
      <c r="J99" s="133">
        <f t="shared" si="1"/>
        <v>84</v>
      </c>
      <c r="K99" s="1593">
        <v>102.2</v>
      </c>
      <c r="L99" s="1593"/>
      <c r="M99" s="1593"/>
      <c r="N99" s="1593"/>
      <c r="O99" s="1593"/>
      <c r="P99" s="1593"/>
      <c r="Q99" s="133">
        <f t="shared" si="2"/>
        <v>102.2</v>
      </c>
      <c r="R99" s="1593">
        <v>101.6</v>
      </c>
      <c r="S99" s="67"/>
      <c r="T99" s="67">
        <f t="shared" si="3"/>
        <v>102.2</v>
      </c>
      <c r="U99" s="2"/>
      <c r="V99" s="1593">
        <v>191</v>
      </c>
      <c r="W99" s="18"/>
      <c r="X99" s="1593">
        <v>161</v>
      </c>
      <c r="Y99" s="2"/>
      <c r="Z99" s="92"/>
      <c r="AA99" s="92"/>
      <c r="AB99" s="4"/>
      <c r="AC99" s="4"/>
    </row>
    <row r="100" spans="1:29" x14ac:dyDescent="0.3">
      <c r="A100" s="4"/>
      <c r="B100" s="1494" t="s">
        <v>366</v>
      </c>
      <c r="C100" s="18"/>
      <c r="D100" s="136">
        <f t="shared" si="36"/>
        <v>4.1500000000000004</v>
      </c>
      <c r="E100" s="18"/>
      <c r="F100" s="1593">
        <v>83</v>
      </c>
      <c r="G100" s="1593"/>
      <c r="H100" s="1593"/>
      <c r="I100" s="1593"/>
      <c r="J100" s="133">
        <f t="shared" si="1"/>
        <v>83</v>
      </c>
      <c r="K100" s="1593">
        <v>102.3</v>
      </c>
      <c r="L100" s="1593"/>
      <c r="M100" s="1593"/>
      <c r="N100" s="1593"/>
      <c r="O100" s="1593"/>
      <c r="P100" s="1593"/>
      <c r="Q100" s="133">
        <f t="shared" si="2"/>
        <v>102.3</v>
      </c>
      <c r="R100" s="1593">
        <v>101.6</v>
      </c>
      <c r="S100" s="67"/>
      <c r="T100" s="67">
        <f t="shared" si="3"/>
        <v>102.3</v>
      </c>
      <c r="U100" s="2"/>
      <c r="V100" s="1593">
        <v>192</v>
      </c>
      <c r="W100" s="18"/>
      <c r="X100" s="1593">
        <v>162</v>
      </c>
      <c r="Y100" s="2"/>
      <c r="Z100" s="92"/>
      <c r="AA100" s="92"/>
      <c r="AB100" s="4"/>
      <c r="AC100" s="4"/>
    </row>
    <row r="101" spans="1:29" x14ac:dyDescent="0.3">
      <c r="A101" s="4"/>
      <c r="B101" s="1494" t="s">
        <v>367</v>
      </c>
      <c r="C101" s="18"/>
      <c r="D101" s="136">
        <f t="shared" si="36"/>
        <v>4.1500000000000004</v>
      </c>
      <c r="E101" s="18"/>
      <c r="F101" s="1593">
        <v>82</v>
      </c>
      <c r="G101" s="1593"/>
      <c r="H101" s="1593"/>
      <c r="I101" s="1593"/>
      <c r="J101" s="133">
        <f t="shared" si="1"/>
        <v>82</v>
      </c>
      <c r="K101" s="1593">
        <v>102.4</v>
      </c>
      <c r="L101" s="1593"/>
      <c r="M101" s="1593"/>
      <c r="N101" s="1593"/>
      <c r="O101" s="1593"/>
      <c r="P101" s="1593"/>
      <c r="Q101" s="133">
        <f t="shared" si="2"/>
        <v>102.4</v>
      </c>
      <c r="R101" s="1593">
        <v>101.6</v>
      </c>
      <c r="S101" s="67"/>
      <c r="T101" s="67">
        <f t="shared" si="3"/>
        <v>102.4</v>
      </c>
      <c r="U101" s="2"/>
      <c r="V101" s="1593">
        <v>193</v>
      </c>
      <c r="W101" s="18"/>
      <c r="X101" s="1593">
        <v>163</v>
      </c>
      <c r="Y101" s="2"/>
      <c r="Z101" s="92"/>
      <c r="AA101" s="92"/>
      <c r="AB101" s="4"/>
      <c r="AC101" s="4"/>
    </row>
    <row r="102" spans="1:29" x14ac:dyDescent="0.3">
      <c r="A102" s="4"/>
      <c r="B102" s="1494" t="s">
        <v>368</v>
      </c>
      <c r="C102" s="18"/>
      <c r="D102" s="136">
        <f t="shared" si="36"/>
        <v>4.1500000000000004</v>
      </c>
      <c r="E102" s="18"/>
      <c r="F102" s="1593">
        <v>81</v>
      </c>
      <c r="G102" s="1593"/>
      <c r="H102" s="1593"/>
      <c r="I102" s="1593"/>
      <c r="J102" s="133">
        <f t="shared" si="1"/>
        <v>81</v>
      </c>
      <c r="K102" s="1593">
        <v>102.5</v>
      </c>
      <c r="L102" s="1593"/>
      <c r="M102" s="1593"/>
      <c r="N102" s="1593"/>
      <c r="O102" s="1593"/>
      <c r="P102" s="1593"/>
      <c r="Q102" s="133">
        <f t="shared" si="2"/>
        <v>102.5</v>
      </c>
      <c r="R102" s="1593">
        <v>101.6</v>
      </c>
      <c r="S102" s="67"/>
      <c r="T102" s="67">
        <f t="shared" si="3"/>
        <v>102.5</v>
      </c>
      <c r="U102" s="2"/>
      <c r="V102" s="1593">
        <v>194</v>
      </c>
      <c r="W102" s="18"/>
      <c r="X102" s="1593">
        <v>164</v>
      </c>
      <c r="Y102" s="2"/>
      <c r="Z102" s="92"/>
      <c r="AA102" s="92"/>
      <c r="AB102" s="4"/>
      <c r="AC102" s="4"/>
    </row>
    <row r="103" spans="1:29" x14ac:dyDescent="0.3">
      <c r="A103" s="4"/>
      <c r="B103" s="1494" t="s">
        <v>1542</v>
      </c>
      <c r="C103" s="18"/>
      <c r="D103" s="136">
        <f t="shared" si="36"/>
        <v>4.1500000000000004</v>
      </c>
      <c r="E103" s="18"/>
      <c r="F103" s="1593">
        <v>80</v>
      </c>
      <c r="G103" s="1593"/>
      <c r="H103" s="1593"/>
      <c r="I103" s="1593"/>
      <c r="J103" s="133">
        <f t="shared" si="1"/>
        <v>80</v>
      </c>
      <c r="K103" s="1593">
        <v>102.6</v>
      </c>
      <c r="L103" s="1593"/>
      <c r="M103" s="1593"/>
      <c r="N103" s="1593"/>
      <c r="O103" s="1593"/>
      <c r="P103" s="1593"/>
      <c r="Q103" s="133">
        <f t="shared" si="2"/>
        <v>102.6</v>
      </c>
      <c r="R103" s="1593">
        <v>101.6</v>
      </c>
      <c r="S103" s="67"/>
      <c r="T103" s="67">
        <f t="shared" si="3"/>
        <v>102.6</v>
      </c>
      <c r="U103" s="2"/>
      <c r="V103" s="1593">
        <v>195</v>
      </c>
      <c r="W103" s="18"/>
      <c r="X103" s="1593">
        <v>165</v>
      </c>
      <c r="Y103" s="2"/>
      <c r="Z103" s="92"/>
      <c r="AA103" s="92"/>
      <c r="AB103" s="4"/>
      <c r="AC103" s="4"/>
    </row>
    <row r="104" spans="1:29" x14ac:dyDescent="0.3">
      <c r="A104" s="4"/>
      <c r="B104" s="1494" t="s">
        <v>1543</v>
      </c>
      <c r="C104" s="18"/>
      <c r="D104" s="136">
        <f t="shared" si="36"/>
        <v>4.1500000000000004</v>
      </c>
      <c r="E104" s="18"/>
      <c r="F104" s="1593">
        <v>79</v>
      </c>
      <c r="G104" s="1593"/>
      <c r="H104" s="1593"/>
      <c r="I104" s="1593"/>
      <c r="J104" s="133">
        <f t="shared" si="1"/>
        <v>79</v>
      </c>
      <c r="K104" s="1593">
        <v>102.7</v>
      </c>
      <c r="L104" s="1593"/>
      <c r="M104" s="1593"/>
      <c r="N104" s="1593"/>
      <c r="O104" s="1593"/>
      <c r="P104" s="1593"/>
      <c r="Q104" s="133">
        <f t="shared" si="2"/>
        <v>102.7</v>
      </c>
      <c r="R104" s="1593">
        <v>101.6</v>
      </c>
      <c r="S104" s="67"/>
      <c r="T104" s="67">
        <f t="shared" si="3"/>
        <v>102.7</v>
      </c>
      <c r="U104" s="2"/>
      <c r="V104" s="1593">
        <v>196</v>
      </c>
      <c r="W104" s="18"/>
      <c r="X104" s="1593">
        <v>166</v>
      </c>
      <c r="Y104" s="2"/>
      <c r="Z104" s="92"/>
      <c r="AA104" s="92"/>
      <c r="AB104" s="4"/>
      <c r="AC104" s="4"/>
    </row>
    <row r="105" spans="1:29" x14ac:dyDescent="0.3">
      <c r="A105" s="4"/>
      <c r="B105" s="1494" t="s">
        <v>1544</v>
      </c>
      <c r="C105" s="18"/>
      <c r="D105" s="136">
        <f t="shared" si="36"/>
        <v>4.1500000000000004</v>
      </c>
      <c r="E105" s="18"/>
      <c r="F105" s="1593">
        <v>85</v>
      </c>
      <c r="G105" s="1593"/>
      <c r="H105" s="1593"/>
      <c r="I105" s="1593"/>
      <c r="J105" s="133">
        <f t="shared" si="1"/>
        <v>85</v>
      </c>
      <c r="K105" s="1593">
        <v>102.1</v>
      </c>
      <c r="L105" s="1593"/>
      <c r="M105" s="1593"/>
      <c r="N105" s="1593"/>
      <c r="O105" s="1593"/>
      <c r="P105" s="1593"/>
      <c r="Q105" s="133">
        <f t="shared" si="2"/>
        <v>102.1</v>
      </c>
      <c r="R105" s="1593">
        <v>101.6</v>
      </c>
      <c r="S105" s="67"/>
      <c r="T105" s="67">
        <f t="shared" si="3"/>
        <v>102.1</v>
      </c>
      <c r="U105" s="2"/>
      <c r="V105" s="1593">
        <v>190</v>
      </c>
      <c r="W105" s="18"/>
      <c r="X105" s="1593">
        <v>160</v>
      </c>
      <c r="Y105" s="2"/>
      <c r="Z105" s="92"/>
      <c r="AA105" s="92"/>
      <c r="AB105" s="4"/>
      <c r="AC105" s="4"/>
    </row>
    <row r="106" spans="1:29" x14ac:dyDescent="0.3">
      <c r="A106" s="4"/>
      <c r="B106" s="1494" t="s">
        <v>1545</v>
      </c>
      <c r="C106" s="18"/>
      <c r="D106" s="136">
        <f t="shared" si="36"/>
        <v>4.1500000000000004</v>
      </c>
      <c r="E106" s="18"/>
      <c r="F106" s="1593">
        <v>84</v>
      </c>
      <c r="G106" s="1593"/>
      <c r="H106" s="1593"/>
      <c r="I106" s="1593"/>
      <c r="J106" s="133">
        <f t="shared" si="1"/>
        <v>84</v>
      </c>
      <c r="K106" s="1593">
        <v>102.2</v>
      </c>
      <c r="L106" s="1593"/>
      <c r="M106" s="1593"/>
      <c r="N106" s="1593"/>
      <c r="O106" s="1593"/>
      <c r="P106" s="1593"/>
      <c r="Q106" s="133">
        <f t="shared" si="2"/>
        <v>102.2</v>
      </c>
      <c r="R106" s="1593">
        <v>101.6</v>
      </c>
      <c r="S106" s="67"/>
      <c r="T106" s="67">
        <f t="shared" si="3"/>
        <v>102.2</v>
      </c>
      <c r="U106" s="2"/>
      <c r="V106" s="1593">
        <v>191</v>
      </c>
      <c r="W106" s="18"/>
      <c r="X106" s="1593">
        <v>161</v>
      </c>
      <c r="Y106" s="2"/>
      <c r="Z106" s="92"/>
      <c r="AA106" s="92"/>
      <c r="AB106" s="4"/>
      <c r="AC106" s="4"/>
    </row>
    <row r="107" spans="1:29" x14ac:dyDescent="0.3">
      <c r="A107" s="4"/>
      <c r="B107" s="1494" t="s">
        <v>1546</v>
      </c>
      <c r="C107" s="18"/>
      <c r="D107" s="136">
        <f t="shared" si="36"/>
        <v>4.1500000000000004</v>
      </c>
      <c r="E107" s="18"/>
      <c r="F107" s="1593">
        <v>83</v>
      </c>
      <c r="G107" s="1593"/>
      <c r="H107" s="1593"/>
      <c r="I107" s="1593"/>
      <c r="J107" s="133">
        <f t="shared" si="1"/>
        <v>83</v>
      </c>
      <c r="K107" s="1593">
        <v>102.3</v>
      </c>
      <c r="L107" s="1593"/>
      <c r="M107" s="1593"/>
      <c r="N107" s="1593"/>
      <c r="O107" s="1593"/>
      <c r="P107" s="1593"/>
      <c r="Q107" s="133">
        <f t="shared" si="2"/>
        <v>102.3</v>
      </c>
      <c r="R107" s="1593">
        <v>101.6</v>
      </c>
      <c r="S107" s="67"/>
      <c r="T107" s="67">
        <f t="shared" si="3"/>
        <v>102.3</v>
      </c>
      <c r="U107" s="2"/>
      <c r="V107" s="1593">
        <v>192</v>
      </c>
      <c r="W107" s="18"/>
      <c r="X107" s="1593">
        <v>162</v>
      </c>
      <c r="Y107" s="2"/>
      <c r="Z107" s="92"/>
      <c r="AA107" s="92"/>
      <c r="AB107" s="4"/>
      <c r="AC107" s="4"/>
    </row>
    <row r="108" spans="1:29" x14ac:dyDescent="0.3">
      <c r="A108" s="4"/>
      <c r="B108" s="1494" t="s">
        <v>1547</v>
      </c>
      <c r="C108" s="18"/>
      <c r="D108" s="136">
        <f t="shared" si="36"/>
        <v>4.1500000000000004</v>
      </c>
      <c r="E108" s="18"/>
      <c r="F108" s="1593">
        <v>82</v>
      </c>
      <c r="G108" s="1593"/>
      <c r="H108" s="1593"/>
      <c r="I108" s="1593"/>
      <c r="J108" s="133">
        <f t="shared" si="1"/>
        <v>82</v>
      </c>
      <c r="K108" s="1593">
        <v>102.4</v>
      </c>
      <c r="L108" s="1593"/>
      <c r="M108" s="1593"/>
      <c r="N108" s="1593"/>
      <c r="O108" s="1593"/>
      <c r="P108" s="1593"/>
      <c r="Q108" s="133">
        <f t="shared" si="2"/>
        <v>102.4</v>
      </c>
      <c r="R108" s="1593">
        <v>101.6</v>
      </c>
      <c r="S108" s="67"/>
      <c r="T108" s="67">
        <f t="shared" si="3"/>
        <v>102.4</v>
      </c>
      <c r="U108" s="2"/>
      <c r="V108" s="1593">
        <v>193</v>
      </c>
      <c r="W108" s="18"/>
      <c r="X108" s="1593">
        <v>163</v>
      </c>
      <c r="Y108" s="2"/>
      <c r="Z108" s="92"/>
      <c r="AA108" s="92"/>
      <c r="AB108" s="4"/>
      <c r="AC108" s="4"/>
    </row>
    <row r="109" spans="1:29" x14ac:dyDescent="0.3">
      <c r="A109" s="4"/>
      <c r="B109" s="1494" t="s">
        <v>1548</v>
      </c>
      <c r="C109" s="18"/>
      <c r="D109" s="136">
        <f t="shared" si="36"/>
        <v>4.1500000000000004</v>
      </c>
      <c r="E109" s="18"/>
      <c r="F109" s="1593">
        <v>81</v>
      </c>
      <c r="G109" s="1593"/>
      <c r="H109" s="1593"/>
      <c r="I109" s="1593"/>
      <c r="J109" s="133">
        <f t="shared" ref="J109:J118" si="37">IF(F109="","",AVERAGE(F109:I109))</f>
        <v>81</v>
      </c>
      <c r="K109" s="1593">
        <v>102.5</v>
      </c>
      <c r="L109" s="1593"/>
      <c r="M109" s="1593"/>
      <c r="N109" s="1593"/>
      <c r="O109" s="1593"/>
      <c r="P109" s="1593"/>
      <c r="Q109" s="133">
        <f t="shared" ref="Q109:Q118" si="38">IF(K109="","",AVERAGE(K109:P109))</f>
        <v>102.5</v>
      </c>
      <c r="R109" s="1593">
        <v>101.6</v>
      </c>
      <c r="S109" s="67"/>
      <c r="T109" s="67">
        <f t="shared" ref="T109:T118" si="39">IF(Q109="",R109,Q109)</f>
        <v>102.5</v>
      </c>
      <c r="U109" s="2"/>
      <c r="V109" s="1593">
        <v>194</v>
      </c>
      <c r="W109" s="18"/>
      <c r="X109" s="1593">
        <v>164</v>
      </c>
      <c r="Y109" s="2"/>
      <c r="Z109" s="92"/>
      <c r="AA109" s="92"/>
      <c r="AB109" s="4"/>
      <c r="AC109" s="4"/>
    </row>
    <row r="110" spans="1:29" x14ac:dyDescent="0.3">
      <c r="A110" s="4"/>
      <c r="B110" s="1494" t="s">
        <v>1549</v>
      </c>
      <c r="C110" s="18"/>
      <c r="D110" s="136">
        <f t="shared" si="36"/>
        <v>4.1500000000000004</v>
      </c>
      <c r="E110" s="18"/>
      <c r="F110" s="1593">
        <v>80</v>
      </c>
      <c r="G110" s="1593"/>
      <c r="H110" s="1593"/>
      <c r="I110" s="1593"/>
      <c r="J110" s="133">
        <f t="shared" si="37"/>
        <v>80</v>
      </c>
      <c r="K110" s="1593">
        <v>102.6</v>
      </c>
      <c r="L110" s="1593"/>
      <c r="M110" s="1593"/>
      <c r="N110" s="1593"/>
      <c r="O110" s="1593"/>
      <c r="P110" s="1593"/>
      <c r="Q110" s="133">
        <f t="shared" si="38"/>
        <v>102.6</v>
      </c>
      <c r="R110" s="1593">
        <v>101.6</v>
      </c>
      <c r="S110" s="67"/>
      <c r="T110" s="67">
        <f t="shared" si="39"/>
        <v>102.6</v>
      </c>
      <c r="U110" s="2"/>
      <c r="V110" s="1593">
        <v>195</v>
      </c>
      <c r="W110" s="18"/>
      <c r="X110" s="1593">
        <v>165</v>
      </c>
      <c r="Y110" s="2"/>
      <c r="Z110" s="92"/>
      <c r="AA110" s="92"/>
      <c r="AB110" s="4"/>
      <c r="AC110" s="4"/>
    </row>
    <row r="111" spans="1:29" x14ac:dyDescent="0.3">
      <c r="A111" s="4"/>
      <c r="B111" s="1494" t="s">
        <v>1550</v>
      </c>
      <c r="C111" s="18"/>
      <c r="D111" s="136">
        <f t="shared" si="36"/>
        <v>4.1500000000000004</v>
      </c>
      <c r="E111" s="18"/>
      <c r="F111" s="1593">
        <v>79</v>
      </c>
      <c r="G111" s="1593"/>
      <c r="H111" s="1593"/>
      <c r="I111" s="1593"/>
      <c r="J111" s="133">
        <f t="shared" si="37"/>
        <v>79</v>
      </c>
      <c r="K111" s="1593">
        <v>102.7</v>
      </c>
      <c r="L111" s="1593"/>
      <c r="M111" s="1593"/>
      <c r="N111" s="1593"/>
      <c r="O111" s="1593"/>
      <c r="P111" s="1593"/>
      <c r="Q111" s="133">
        <f t="shared" si="38"/>
        <v>102.7</v>
      </c>
      <c r="R111" s="1593">
        <v>101.6</v>
      </c>
      <c r="S111" s="67"/>
      <c r="T111" s="67">
        <f t="shared" si="39"/>
        <v>102.7</v>
      </c>
      <c r="U111" s="2"/>
      <c r="V111" s="1593">
        <v>196</v>
      </c>
      <c r="W111" s="18"/>
      <c r="X111" s="1593">
        <v>166</v>
      </c>
      <c r="Y111" s="2"/>
      <c r="Z111" s="92"/>
      <c r="AA111" s="92"/>
      <c r="AB111" s="4"/>
      <c r="AC111" s="4"/>
    </row>
    <row r="112" spans="1:29" x14ac:dyDescent="0.3">
      <c r="A112" s="4"/>
      <c r="B112" s="1494" t="s">
        <v>1551</v>
      </c>
      <c r="C112" s="18"/>
      <c r="D112" s="136">
        <f t="shared" si="36"/>
        <v>4.1500000000000004</v>
      </c>
      <c r="E112" s="18"/>
      <c r="F112" s="1593">
        <v>85</v>
      </c>
      <c r="G112" s="1593"/>
      <c r="H112" s="1593"/>
      <c r="I112" s="1593"/>
      <c r="J112" s="133">
        <f t="shared" si="37"/>
        <v>85</v>
      </c>
      <c r="K112" s="1593">
        <v>102.1</v>
      </c>
      <c r="L112" s="1593"/>
      <c r="M112" s="1593"/>
      <c r="N112" s="1593"/>
      <c r="O112" s="1593"/>
      <c r="P112" s="1593"/>
      <c r="Q112" s="133">
        <f t="shared" si="38"/>
        <v>102.1</v>
      </c>
      <c r="R112" s="1593">
        <v>101.6</v>
      </c>
      <c r="S112" s="67"/>
      <c r="T112" s="67">
        <f t="shared" si="39"/>
        <v>102.1</v>
      </c>
      <c r="U112" s="2"/>
      <c r="V112" s="1593">
        <v>190</v>
      </c>
      <c r="W112" s="18"/>
      <c r="X112" s="1593">
        <v>160</v>
      </c>
      <c r="Y112" s="2"/>
      <c r="Z112" s="92"/>
      <c r="AA112" s="92"/>
      <c r="AB112" s="4"/>
      <c r="AC112" s="4"/>
    </row>
    <row r="113" spans="1:29" x14ac:dyDescent="0.3">
      <c r="A113" s="4"/>
      <c r="B113" s="1494" t="s">
        <v>1552</v>
      </c>
      <c r="C113" s="18"/>
      <c r="D113" s="136">
        <f t="shared" si="36"/>
        <v>4.1500000000000004</v>
      </c>
      <c r="E113" s="18"/>
      <c r="F113" s="1593">
        <v>84</v>
      </c>
      <c r="G113" s="1593"/>
      <c r="H113" s="1593"/>
      <c r="I113" s="1593"/>
      <c r="J113" s="133">
        <f t="shared" si="37"/>
        <v>84</v>
      </c>
      <c r="K113" s="1593">
        <v>102.2</v>
      </c>
      <c r="L113" s="1593"/>
      <c r="M113" s="1593"/>
      <c r="N113" s="1593"/>
      <c r="O113" s="1593"/>
      <c r="P113" s="1593"/>
      <c r="Q113" s="133">
        <f t="shared" si="38"/>
        <v>102.2</v>
      </c>
      <c r="R113" s="1593">
        <v>101.6</v>
      </c>
      <c r="S113" s="67"/>
      <c r="T113" s="67">
        <f t="shared" si="39"/>
        <v>102.2</v>
      </c>
      <c r="U113" s="2"/>
      <c r="V113" s="1593">
        <v>191</v>
      </c>
      <c r="W113" s="18"/>
      <c r="X113" s="1593">
        <v>161</v>
      </c>
      <c r="Y113" s="2"/>
      <c r="Z113" s="92"/>
      <c r="AA113" s="92"/>
      <c r="AB113" s="4"/>
      <c r="AC113" s="4"/>
    </row>
    <row r="114" spans="1:29" x14ac:dyDescent="0.3">
      <c r="A114" s="4"/>
      <c r="B114" s="1494" t="s">
        <v>1553</v>
      </c>
      <c r="C114" s="18"/>
      <c r="D114" s="136">
        <f t="shared" si="36"/>
        <v>4.1500000000000004</v>
      </c>
      <c r="E114" s="18"/>
      <c r="F114" s="1593">
        <v>83</v>
      </c>
      <c r="G114" s="1593"/>
      <c r="H114" s="1593"/>
      <c r="I114" s="1593"/>
      <c r="J114" s="133">
        <f t="shared" si="37"/>
        <v>83</v>
      </c>
      <c r="K114" s="1593">
        <v>102.3</v>
      </c>
      <c r="L114" s="1593"/>
      <c r="M114" s="1593"/>
      <c r="N114" s="1593"/>
      <c r="O114" s="1593"/>
      <c r="P114" s="1593"/>
      <c r="Q114" s="133">
        <f t="shared" si="38"/>
        <v>102.3</v>
      </c>
      <c r="R114" s="1593">
        <v>101.6</v>
      </c>
      <c r="S114" s="67"/>
      <c r="T114" s="67">
        <f t="shared" si="39"/>
        <v>102.3</v>
      </c>
      <c r="U114" s="2"/>
      <c r="V114" s="1593">
        <v>192</v>
      </c>
      <c r="W114" s="18"/>
      <c r="X114" s="1593">
        <v>162</v>
      </c>
      <c r="Y114" s="2"/>
      <c r="Z114" s="92"/>
      <c r="AA114" s="92"/>
      <c r="AB114" s="4"/>
      <c r="AC114" s="4"/>
    </row>
    <row r="115" spans="1:29" x14ac:dyDescent="0.3">
      <c r="A115" s="4"/>
      <c r="B115" s="1494" t="s">
        <v>1554</v>
      </c>
      <c r="C115" s="18"/>
      <c r="D115" s="136">
        <f t="shared" si="36"/>
        <v>4.1500000000000004</v>
      </c>
      <c r="E115" s="18"/>
      <c r="F115" s="1593">
        <v>82</v>
      </c>
      <c r="G115" s="1593"/>
      <c r="H115" s="1593"/>
      <c r="I115" s="1593"/>
      <c r="J115" s="133">
        <f t="shared" si="37"/>
        <v>82</v>
      </c>
      <c r="K115" s="1593">
        <v>102.4</v>
      </c>
      <c r="L115" s="1593"/>
      <c r="M115" s="1593"/>
      <c r="N115" s="1593"/>
      <c r="O115" s="1593"/>
      <c r="P115" s="1593"/>
      <c r="Q115" s="133">
        <f t="shared" si="38"/>
        <v>102.4</v>
      </c>
      <c r="R115" s="1593">
        <v>101.6</v>
      </c>
      <c r="S115" s="67"/>
      <c r="T115" s="67">
        <f t="shared" si="39"/>
        <v>102.4</v>
      </c>
      <c r="U115" s="2"/>
      <c r="V115" s="1593">
        <v>193</v>
      </c>
      <c r="W115" s="18"/>
      <c r="X115" s="1593">
        <v>163</v>
      </c>
      <c r="Y115" s="2"/>
      <c r="Z115" s="92"/>
      <c r="AA115" s="92"/>
      <c r="AB115" s="4"/>
      <c r="AC115" s="4"/>
    </row>
    <row r="116" spans="1:29" x14ac:dyDescent="0.3">
      <c r="A116" s="4"/>
      <c r="B116" s="1494" t="s">
        <v>1555</v>
      </c>
      <c r="C116" s="18"/>
      <c r="D116" s="136">
        <f t="shared" si="36"/>
        <v>4.1500000000000004</v>
      </c>
      <c r="E116" s="18"/>
      <c r="F116" s="1593">
        <v>85</v>
      </c>
      <c r="G116" s="1593"/>
      <c r="H116" s="1593"/>
      <c r="I116" s="1593"/>
      <c r="J116" s="133">
        <f t="shared" si="37"/>
        <v>85</v>
      </c>
      <c r="K116" s="1593">
        <v>102.1</v>
      </c>
      <c r="L116" s="1593"/>
      <c r="M116" s="1593"/>
      <c r="N116" s="1593"/>
      <c r="O116" s="1593"/>
      <c r="P116" s="1593"/>
      <c r="Q116" s="133">
        <f t="shared" si="38"/>
        <v>102.1</v>
      </c>
      <c r="R116" s="1593">
        <v>101.6</v>
      </c>
      <c r="S116" s="67"/>
      <c r="T116" s="67">
        <f t="shared" si="39"/>
        <v>102.1</v>
      </c>
      <c r="U116" s="2"/>
      <c r="V116" s="1593">
        <v>190</v>
      </c>
      <c r="W116" s="18"/>
      <c r="X116" s="1593">
        <v>160</v>
      </c>
      <c r="Y116" s="2"/>
      <c r="Z116" s="92"/>
      <c r="AA116" s="92"/>
      <c r="AB116" s="4"/>
      <c r="AC116" s="4"/>
    </row>
    <row r="117" spans="1:29" x14ac:dyDescent="0.3">
      <c r="A117" s="4"/>
      <c r="B117" s="1494" t="s">
        <v>1556</v>
      </c>
      <c r="C117" s="18"/>
      <c r="D117" s="136">
        <f t="shared" si="36"/>
        <v>4.1500000000000004</v>
      </c>
      <c r="E117" s="18"/>
      <c r="F117" s="1593">
        <v>84</v>
      </c>
      <c r="G117" s="1593"/>
      <c r="H117" s="1593"/>
      <c r="I117" s="1593"/>
      <c r="J117" s="133">
        <f t="shared" si="37"/>
        <v>84</v>
      </c>
      <c r="K117" s="1593">
        <v>102.2</v>
      </c>
      <c r="L117" s="1593"/>
      <c r="M117" s="1593"/>
      <c r="N117" s="1593"/>
      <c r="O117" s="1593"/>
      <c r="P117" s="1593"/>
      <c r="Q117" s="133">
        <f t="shared" si="38"/>
        <v>102.2</v>
      </c>
      <c r="R117" s="1593">
        <v>101.6</v>
      </c>
      <c r="S117" s="67"/>
      <c r="T117" s="67">
        <f t="shared" si="39"/>
        <v>102.2</v>
      </c>
      <c r="U117" s="2"/>
      <c r="V117" s="1593">
        <v>191</v>
      </c>
      <c r="W117" s="18"/>
      <c r="X117" s="1593">
        <v>161</v>
      </c>
      <c r="Y117" s="2"/>
      <c r="Z117" s="92"/>
      <c r="AA117" s="92"/>
      <c r="AB117" s="4"/>
      <c r="AC117" s="4"/>
    </row>
    <row r="118" spans="1:29" x14ac:dyDescent="0.3">
      <c r="A118" s="4"/>
      <c r="B118" s="1494" t="s">
        <v>998</v>
      </c>
      <c r="C118" s="18"/>
      <c r="D118" s="136">
        <f t="shared" si="36"/>
        <v>4.1500000000000004</v>
      </c>
      <c r="E118" s="18"/>
      <c r="F118" s="1593">
        <v>83</v>
      </c>
      <c r="G118" s="1593"/>
      <c r="H118" s="1593"/>
      <c r="I118" s="1593"/>
      <c r="J118" s="133">
        <f t="shared" si="37"/>
        <v>83</v>
      </c>
      <c r="K118" s="1593">
        <v>102.3</v>
      </c>
      <c r="L118" s="1593"/>
      <c r="M118" s="1593"/>
      <c r="N118" s="1593"/>
      <c r="O118" s="1593"/>
      <c r="P118" s="1593"/>
      <c r="Q118" s="133">
        <f t="shared" si="38"/>
        <v>102.3</v>
      </c>
      <c r="R118" s="1593">
        <v>101.6</v>
      </c>
      <c r="S118" s="67"/>
      <c r="T118" s="67">
        <f t="shared" si="39"/>
        <v>102.3</v>
      </c>
      <c r="U118" s="2"/>
      <c r="V118" s="1593">
        <v>192</v>
      </c>
      <c r="W118" s="18"/>
      <c r="X118" s="1593">
        <v>162</v>
      </c>
      <c r="Y118" s="2"/>
      <c r="Z118" s="92"/>
      <c r="AA118" s="92"/>
      <c r="AB118" s="4"/>
      <c r="AC118" s="4"/>
    </row>
    <row r="119" spans="1:29" x14ac:dyDescent="0.3">
      <c r="A119" s="4"/>
      <c r="B119" s="1494" t="s">
        <v>999</v>
      </c>
      <c r="C119" s="18"/>
      <c r="D119" s="136">
        <f t="shared" si="36"/>
        <v>4.1500000000000004</v>
      </c>
      <c r="E119" s="18"/>
      <c r="F119" s="1593">
        <v>81</v>
      </c>
      <c r="G119" s="1593"/>
      <c r="H119" s="1593"/>
      <c r="I119" s="1593"/>
      <c r="J119" s="133">
        <f t="shared" si="1"/>
        <v>81</v>
      </c>
      <c r="K119" s="1593">
        <v>102.5</v>
      </c>
      <c r="L119" s="1593"/>
      <c r="M119" s="1593"/>
      <c r="N119" s="1593"/>
      <c r="O119" s="1593"/>
      <c r="P119" s="1593"/>
      <c r="Q119" s="133">
        <f t="shared" si="2"/>
        <v>102.5</v>
      </c>
      <c r="R119" s="1593">
        <v>101.6</v>
      </c>
      <c r="S119" s="67"/>
      <c r="T119" s="67">
        <f t="shared" si="3"/>
        <v>102.5</v>
      </c>
      <c r="U119" s="2"/>
      <c r="V119" s="1593">
        <v>194</v>
      </c>
      <c r="W119" s="18"/>
      <c r="X119" s="1593">
        <v>164</v>
      </c>
      <c r="Y119" s="2"/>
      <c r="Z119" s="92"/>
      <c r="AA119" s="92"/>
      <c r="AB119" s="4"/>
      <c r="AC119" s="4"/>
    </row>
    <row r="120" spans="1:29" x14ac:dyDescent="0.3">
      <c r="A120" s="4"/>
      <c r="B120" s="1494" t="s">
        <v>1501</v>
      </c>
      <c r="C120" s="18"/>
      <c r="D120" s="136">
        <f t="shared" si="36"/>
        <v>4.1500000000000004</v>
      </c>
      <c r="E120" s="18"/>
      <c r="F120" s="1593">
        <v>80</v>
      </c>
      <c r="G120" s="1593"/>
      <c r="H120" s="1593"/>
      <c r="I120" s="1593"/>
      <c r="J120" s="133">
        <f t="shared" si="1"/>
        <v>80</v>
      </c>
      <c r="K120" s="1593">
        <v>102.6</v>
      </c>
      <c r="L120" s="1593"/>
      <c r="M120" s="1593"/>
      <c r="N120" s="1593"/>
      <c r="O120" s="1593"/>
      <c r="P120" s="1593"/>
      <c r="Q120" s="133">
        <f t="shared" si="2"/>
        <v>102.6</v>
      </c>
      <c r="R120" s="1593">
        <v>101.6</v>
      </c>
      <c r="S120" s="67"/>
      <c r="T120" s="67">
        <f t="shared" si="3"/>
        <v>102.6</v>
      </c>
      <c r="U120" s="2"/>
      <c r="V120" s="1593">
        <v>195</v>
      </c>
      <c r="W120" s="18"/>
      <c r="X120" s="1593">
        <v>165</v>
      </c>
      <c r="Y120" s="2"/>
      <c r="Z120" s="92"/>
      <c r="AA120" s="92"/>
      <c r="AB120" s="4"/>
      <c r="AC120" s="4"/>
    </row>
    <row r="121" spans="1:29" x14ac:dyDescent="0.3">
      <c r="A121" s="4"/>
      <c r="B121" s="1494" t="s">
        <v>1502</v>
      </c>
      <c r="C121" s="18"/>
      <c r="D121" s="136">
        <f t="shared" si="36"/>
        <v>4.1500000000000004</v>
      </c>
      <c r="E121" s="18"/>
      <c r="F121" s="1593">
        <v>79</v>
      </c>
      <c r="G121" s="1593"/>
      <c r="H121" s="1593"/>
      <c r="I121" s="1593"/>
      <c r="J121" s="133">
        <f t="shared" si="1"/>
        <v>79</v>
      </c>
      <c r="K121" s="1593">
        <v>102.7</v>
      </c>
      <c r="L121" s="1593"/>
      <c r="M121" s="1593"/>
      <c r="N121" s="1593"/>
      <c r="O121" s="1593"/>
      <c r="P121" s="1593"/>
      <c r="Q121" s="133">
        <f t="shared" si="2"/>
        <v>102.7</v>
      </c>
      <c r="R121" s="1593">
        <v>101.6</v>
      </c>
      <c r="S121" s="67"/>
      <c r="T121" s="67">
        <f t="shared" si="3"/>
        <v>102.7</v>
      </c>
      <c r="U121" s="2"/>
      <c r="V121" s="1593">
        <v>196</v>
      </c>
      <c r="W121" s="18"/>
      <c r="X121" s="1593">
        <v>166</v>
      </c>
      <c r="Y121" s="2"/>
      <c r="Z121" s="92"/>
      <c r="AA121" s="92"/>
      <c r="AB121" s="4"/>
      <c r="AC121" s="4"/>
    </row>
    <row r="122" spans="1:29" x14ac:dyDescent="0.3">
      <c r="A122" s="4"/>
      <c r="B122" s="1494" t="s">
        <v>1503</v>
      </c>
      <c r="C122" s="18"/>
      <c r="D122" s="136">
        <f t="shared" si="36"/>
        <v>4.1500000000000004</v>
      </c>
      <c r="E122" s="18"/>
      <c r="F122" s="1593">
        <v>85</v>
      </c>
      <c r="G122" s="1593"/>
      <c r="H122" s="1593"/>
      <c r="I122" s="1593"/>
      <c r="J122" s="133">
        <f t="shared" ref="J122:J125" si="40">IF(F122="","",AVERAGE(F122:I122))</f>
        <v>85</v>
      </c>
      <c r="K122" s="1593">
        <v>102.1</v>
      </c>
      <c r="L122" s="1593"/>
      <c r="M122" s="1593"/>
      <c r="N122" s="1593"/>
      <c r="O122" s="1593"/>
      <c r="P122" s="1593"/>
      <c r="Q122" s="133">
        <f t="shared" ref="Q122:Q125" si="41">IF(K122="","",AVERAGE(K122:P122))</f>
        <v>102.1</v>
      </c>
      <c r="R122" s="1593">
        <v>101.6</v>
      </c>
      <c r="S122" s="67"/>
      <c r="T122" s="67">
        <f t="shared" ref="T122:T125" si="42">IF(Q122="",R122,Q122)</f>
        <v>102.1</v>
      </c>
      <c r="U122" s="2"/>
      <c r="V122" s="1593">
        <v>190</v>
      </c>
      <c r="W122" s="18"/>
      <c r="X122" s="1593">
        <v>160</v>
      </c>
      <c r="Y122" s="2"/>
      <c r="Z122" s="92"/>
      <c r="AA122" s="92"/>
      <c r="AB122" s="4"/>
      <c r="AC122" s="4"/>
    </row>
    <row r="123" spans="1:29" x14ac:dyDescent="0.3">
      <c r="A123" s="4"/>
      <c r="B123" s="1494" t="s">
        <v>1504</v>
      </c>
      <c r="C123" s="18"/>
      <c r="D123" s="136">
        <f t="shared" si="36"/>
        <v>4.1500000000000004</v>
      </c>
      <c r="E123" s="18"/>
      <c r="F123" s="1593">
        <v>84</v>
      </c>
      <c r="G123" s="1593"/>
      <c r="H123" s="1593"/>
      <c r="I123" s="1593"/>
      <c r="J123" s="133">
        <f t="shared" si="40"/>
        <v>84</v>
      </c>
      <c r="K123" s="1593">
        <v>102.2</v>
      </c>
      <c r="L123" s="1593"/>
      <c r="M123" s="1593"/>
      <c r="N123" s="1593"/>
      <c r="O123" s="1593"/>
      <c r="P123" s="1593"/>
      <c r="Q123" s="133">
        <f t="shared" si="41"/>
        <v>102.2</v>
      </c>
      <c r="R123" s="1593">
        <v>101.6</v>
      </c>
      <c r="S123" s="67"/>
      <c r="T123" s="67">
        <f t="shared" si="42"/>
        <v>102.2</v>
      </c>
      <c r="U123" s="2"/>
      <c r="V123" s="1593">
        <v>191</v>
      </c>
      <c r="W123" s="18"/>
      <c r="X123" s="1593">
        <v>161</v>
      </c>
      <c r="Y123" s="2"/>
      <c r="Z123" s="92"/>
      <c r="AA123" s="92"/>
      <c r="AB123" s="4"/>
      <c r="AC123" s="4"/>
    </row>
    <row r="124" spans="1:29" x14ac:dyDescent="0.3">
      <c r="A124" s="4"/>
      <c r="B124" s="1494" t="s">
        <v>1504</v>
      </c>
      <c r="C124" s="18"/>
      <c r="D124" s="136">
        <f t="shared" si="36"/>
        <v>4.1500000000000004</v>
      </c>
      <c r="E124" s="18"/>
      <c r="F124" s="1593">
        <v>83</v>
      </c>
      <c r="G124" s="1593"/>
      <c r="H124" s="1593"/>
      <c r="I124" s="1593"/>
      <c r="J124" s="133">
        <f t="shared" si="40"/>
        <v>83</v>
      </c>
      <c r="K124" s="1593">
        <v>102.3</v>
      </c>
      <c r="L124" s="1593"/>
      <c r="M124" s="1593"/>
      <c r="N124" s="1593"/>
      <c r="O124" s="1593"/>
      <c r="P124" s="1593"/>
      <c r="Q124" s="133">
        <f t="shared" si="41"/>
        <v>102.3</v>
      </c>
      <c r="R124" s="1593">
        <v>101.6</v>
      </c>
      <c r="S124" s="67"/>
      <c r="T124" s="67">
        <f t="shared" si="42"/>
        <v>102.3</v>
      </c>
      <c r="U124" s="2"/>
      <c r="V124" s="1593">
        <v>192</v>
      </c>
      <c r="W124" s="18"/>
      <c r="X124" s="1593">
        <v>162</v>
      </c>
      <c r="Y124" s="2"/>
      <c r="Z124" s="92"/>
      <c r="AA124" s="92"/>
      <c r="AB124" s="4"/>
      <c r="AC124" s="4"/>
    </row>
    <row r="125" spans="1:29" x14ac:dyDescent="0.3">
      <c r="A125" s="4"/>
      <c r="B125" s="1494" t="s">
        <v>1505</v>
      </c>
      <c r="C125" s="18"/>
      <c r="D125" s="136">
        <f t="shared" si="36"/>
        <v>4.1500000000000004</v>
      </c>
      <c r="E125" s="18"/>
      <c r="F125" s="1593">
        <v>82</v>
      </c>
      <c r="G125" s="1593"/>
      <c r="H125" s="1593"/>
      <c r="I125" s="1593"/>
      <c r="J125" s="133">
        <f t="shared" si="40"/>
        <v>82</v>
      </c>
      <c r="K125" s="1593">
        <v>102.4</v>
      </c>
      <c r="L125" s="1593"/>
      <c r="M125" s="1593"/>
      <c r="N125" s="1593"/>
      <c r="O125" s="1593"/>
      <c r="P125" s="1593"/>
      <c r="Q125" s="133">
        <f t="shared" si="41"/>
        <v>102.4</v>
      </c>
      <c r="R125" s="1593">
        <v>101.6</v>
      </c>
      <c r="S125" s="67"/>
      <c r="T125" s="67">
        <f t="shared" si="42"/>
        <v>102.4</v>
      </c>
      <c r="U125" s="2"/>
      <c r="V125" s="1593">
        <v>193</v>
      </c>
      <c r="W125" s="18"/>
      <c r="X125" s="1593">
        <v>163</v>
      </c>
      <c r="Y125" s="2"/>
      <c r="Z125" s="92"/>
      <c r="AA125" s="92"/>
      <c r="AB125" s="4"/>
      <c r="AC125" s="4"/>
    </row>
    <row r="126" spans="1:29" x14ac:dyDescent="0.3">
      <c r="A126" s="4"/>
      <c r="B126" s="1494" t="s">
        <v>1506</v>
      </c>
      <c r="C126" s="18"/>
      <c r="D126" s="136">
        <f t="shared" si="36"/>
        <v>4.1500000000000004</v>
      </c>
      <c r="E126" s="18"/>
      <c r="F126" s="1593">
        <v>85</v>
      </c>
      <c r="G126" s="1593"/>
      <c r="H126" s="1593"/>
      <c r="I126" s="1593"/>
      <c r="J126" s="133">
        <f t="shared" ref="J126:J127" si="43">IF(F126="","",AVERAGE(F126:I126))</f>
        <v>85</v>
      </c>
      <c r="K126" s="1593">
        <v>102.1</v>
      </c>
      <c r="L126" s="1593"/>
      <c r="M126" s="1593"/>
      <c r="N126" s="1593"/>
      <c r="O126" s="1593"/>
      <c r="P126" s="1593"/>
      <c r="Q126" s="133">
        <f t="shared" ref="Q126:Q127" si="44">IF(K126="","",AVERAGE(K126:P126))</f>
        <v>102.1</v>
      </c>
      <c r="R126" s="1593">
        <v>101.6</v>
      </c>
      <c r="S126" s="67"/>
      <c r="T126" s="67">
        <f t="shared" ref="T126:T127" si="45">IF(Q126="",R126,Q126)</f>
        <v>102.1</v>
      </c>
      <c r="U126" s="2"/>
      <c r="V126" s="1593">
        <v>190</v>
      </c>
      <c r="W126" s="18"/>
      <c r="X126" s="1593">
        <v>160</v>
      </c>
      <c r="Y126" s="2"/>
      <c r="Z126" s="92"/>
      <c r="AA126" s="92"/>
      <c r="AB126" s="4"/>
      <c r="AC126" s="4"/>
    </row>
    <row r="127" spans="1:29" x14ac:dyDescent="0.3">
      <c r="A127" s="4"/>
      <c r="B127" s="1494" t="s">
        <v>1507</v>
      </c>
      <c r="C127" s="18"/>
      <c r="D127" s="136">
        <f t="shared" si="36"/>
        <v>4.1500000000000004</v>
      </c>
      <c r="E127" s="18"/>
      <c r="F127" s="1593">
        <v>82</v>
      </c>
      <c r="G127" s="1593"/>
      <c r="H127" s="1593"/>
      <c r="I127" s="1593"/>
      <c r="J127" s="133">
        <f t="shared" si="43"/>
        <v>82</v>
      </c>
      <c r="K127" s="1593">
        <v>102.4</v>
      </c>
      <c r="L127" s="1593"/>
      <c r="M127" s="1593"/>
      <c r="N127" s="1593"/>
      <c r="O127" s="1593"/>
      <c r="P127" s="1593"/>
      <c r="Q127" s="133">
        <f t="shared" si="44"/>
        <v>102.4</v>
      </c>
      <c r="R127" s="1593">
        <v>101.6</v>
      </c>
      <c r="S127" s="67"/>
      <c r="T127" s="67">
        <f t="shared" si="45"/>
        <v>102.4</v>
      </c>
      <c r="U127" s="2"/>
      <c r="V127" s="1593">
        <v>193</v>
      </c>
      <c r="W127" s="18"/>
      <c r="X127" s="1593">
        <v>163</v>
      </c>
      <c r="Y127" s="2"/>
      <c r="Z127" s="92"/>
      <c r="AA127" s="92"/>
      <c r="AB127" s="4"/>
      <c r="AC127" s="4"/>
    </row>
    <row r="128" spans="1:29" ht="14.5" x14ac:dyDescent="0.35">
      <c r="A128" s="4"/>
      <c r="B128" s="4"/>
      <c r="C128" s="4"/>
      <c r="D128" s="4"/>
      <c r="E128" s="4"/>
      <c r="F128" s="4"/>
      <c r="G128" s="4"/>
      <c r="H128" s="4"/>
      <c r="I128" s="4"/>
      <c r="J128" s="4"/>
      <c r="K128" s="4"/>
      <c r="L128" s="4"/>
      <c r="M128" s="4"/>
      <c r="N128" s="4"/>
      <c r="O128" s="4"/>
      <c r="P128" s="4"/>
      <c r="Q128" s="4"/>
      <c r="R128" s="6" t="s">
        <v>1632</v>
      </c>
      <c r="S128" s="4"/>
      <c r="T128" s="4"/>
      <c r="U128" s="4"/>
      <c r="V128" s="4"/>
      <c r="W128" s="4"/>
      <c r="X128" s="4"/>
      <c r="Y128" s="4"/>
      <c r="Z128" s="4"/>
      <c r="AA128" s="4"/>
      <c r="AB128" s="4"/>
      <c r="AC128" s="4"/>
    </row>
    <row r="129" spans="1:29"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x14ac:dyDescent="0.3">
      <c r="A130" s="13" t="s">
        <v>1001</v>
      </c>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x14ac:dyDescent="0.3">
      <c r="A132" s="4"/>
      <c r="B132" s="5" t="s">
        <v>330</v>
      </c>
      <c r="C132" s="4"/>
      <c r="D132" s="4"/>
      <c r="E132" s="4"/>
      <c r="F132" s="4"/>
      <c r="G132" s="4"/>
      <c r="H132" s="4"/>
      <c r="I132" s="4"/>
      <c r="J132" s="4"/>
      <c r="K132" s="4"/>
      <c r="L132" s="4"/>
      <c r="M132" s="4"/>
      <c r="N132" s="4"/>
      <c r="O132" s="4"/>
      <c r="P132" s="4"/>
      <c r="Q132" s="4"/>
      <c r="R132" s="4"/>
      <c r="S132" s="4"/>
      <c r="T132" s="4"/>
      <c r="U132" s="5"/>
      <c r="V132" s="4"/>
      <c r="W132" s="4"/>
      <c r="X132" s="4"/>
      <c r="Y132" s="4"/>
      <c r="Z132" s="4"/>
      <c r="AA132" s="4"/>
      <c r="AB132" s="4"/>
      <c r="AC132" s="4"/>
    </row>
    <row r="133" spans="1:29" ht="14.5" x14ac:dyDescent="0.35">
      <c r="A133" s="4"/>
      <c r="B133" s="2" t="s">
        <v>812</v>
      </c>
      <c r="C133" s="2"/>
      <c r="D133" s="2"/>
      <c r="E133" s="2"/>
      <c r="F133" s="2"/>
      <c r="G133" s="2"/>
      <c r="H133" s="2"/>
      <c r="I133" s="2" t="s">
        <v>332</v>
      </c>
      <c r="J133" s="2"/>
      <c r="K133" s="4"/>
      <c r="L133" s="4"/>
      <c r="M133" s="4"/>
      <c r="N133" s="4"/>
      <c r="O133" s="4"/>
      <c r="P133" s="4"/>
      <c r="Q133" s="4"/>
      <c r="R133" s="4"/>
      <c r="S133" s="4"/>
      <c r="T133" s="4"/>
      <c r="U133" s="4"/>
      <c r="V133" s="4"/>
      <c r="W133" s="4"/>
      <c r="X133" s="26"/>
      <c r="Y133" s="6"/>
      <c r="Z133" s="4"/>
      <c r="AA133" s="4"/>
      <c r="AB133" s="4"/>
      <c r="AC133" s="4"/>
    </row>
    <row r="134" spans="1:29" ht="14.5" x14ac:dyDescent="0.35">
      <c r="A134" s="4"/>
      <c r="B134" s="2" t="s">
        <v>943</v>
      </c>
      <c r="C134" s="2"/>
      <c r="D134" s="2"/>
      <c r="E134" s="2"/>
      <c r="F134" s="2"/>
      <c r="G134" s="2"/>
      <c r="H134" s="2"/>
      <c r="I134" s="1491"/>
      <c r="J134" s="1494" t="s">
        <v>828</v>
      </c>
      <c r="K134" s="6" t="s">
        <v>431</v>
      </c>
      <c r="L134" s="4"/>
      <c r="M134" s="4"/>
      <c r="N134" s="4"/>
      <c r="O134" s="4"/>
      <c r="P134" s="4"/>
      <c r="Q134" s="4"/>
      <c r="R134" s="4"/>
      <c r="S134" s="4"/>
      <c r="T134" s="4"/>
      <c r="U134" s="4"/>
      <c r="V134" s="4"/>
      <c r="W134" s="4"/>
      <c r="X134" s="4"/>
      <c r="Y134" s="26"/>
      <c r="Z134" s="4"/>
      <c r="AA134" s="4"/>
      <c r="AB134" s="4"/>
      <c r="AC134" s="4"/>
    </row>
    <row r="135" spans="1:29" ht="14.5" x14ac:dyDescent="0.35">
      <c r="A135" s="4"/>
      <c r="B135" s="2" t="s">
        <v>814</v>
      </c>
      <c r="C135" s="2"/>
      <c r="D135" s="2"/>
      <c r="E135" s="2"/>
      <c r="F135" s="2"/>
      <c r="G135" s="2"/>
      <c r="H135" s="2"/>
      <c r="I135" s="1957" t="s">
        <v>568</v>
      </c>
      <c r="J135" s="1957"/>
      <c r="K135" s="6" t="s">
        <v>815</v>
      </c>
      <c r="L135" s="4"/>
      <c r="M135" s="4"/>
      <c r="N135" s="4"/>
      <c r="O135" s="4"/>
      <c r="P135" s="4"/>
      <c r="Q135" s="4"/>
      <c r="R135" s="4"/>
      <c r="S135" s="4"/>
      <c r="T135" s="4"/>
      <c r="U135" s="4"/>
      <c r="V135" s="4"/>
      <c r="W135" s="4"/>
      <c r="X135" s="4"/>
      <c r="Y135" s="4"/>
      <c r="Z135" s="26"/>
      <c r="AA135" s="4"/>
      <c r="AB135" s="4"/>
      <c r="AC135" s="4"/>
    </row>
    <row r="136" spans="1:29" ht="14.5" x14ac:dyDescent="0.35">
      <c r="A136" s="4"/>
      <c r="B136" s="2" t="s">
        <v>944</v>
      </c>
      <c r="C136" s="2"/>
      <c r="D136" s="2"/>
      <c r="E136" s="2"/>
      <c r="F136" s="2"/>
      <c r="G136" s="2"/>
      <c r="H136" s="2" t="s">
        <v>945</v>
      </c>
      <c r="I136" s="143"/>
      <c r="J136" s="143"/>
      <c r="K136" s="6"/>
      <c r="L136" s="4"/>
      <c r="M136" s="4"/>
      <c r="N136" s="4"/>
      <c r="O136" s="4"/>
      <c r="P136" s="4"/>
      <c r="Q136" s="4"/>
      <c r="R136" s="4"/>
      <c r="S136" s="4"/>
      <c r="T136" s="4"/>
      <c r="U136" s="4"/>
      <c r="V136" s="4"/>
      <c r="W136" s="4"/>
      <c r="X136" s="4"/>
      <c r="Y136" s="4"/>
      <c r="Z136" s="26"/>
      <c r="AA136" s="4"/>
      <c r="AB136" s="4"/>
      <c r="AC136" s="4"/>
    </row>
    <row r="137" spans="1:29" x14ac:dyDescent="0.3">
      <c r="A137" s="4"/>
      <c r="B137" s="2" t="s">
        <v>946</v>
      </c>
      <c r="C137" s="2"/>
      <c r="D137" s="2"/>
      <c r="E137" s="2"/>
      <c r="F137" s="2"/>
      <c r="G137" s="2"/>
      <c r="H137" s="2"/>
      <c r="I137" s="3" t="s">
        <v>488</v>
      </c>
      <c r="J137" s="1575">
        <v>24</v>
      </c>
      <c r="K137" s="4"/>
      <c r="L137" s="4"/>
      <c r="M137" s="4"/>
      <c r="N137" s="4"/>
      <c r="O137" s="4"/>
      <c r="P137" s="4"/>
      <c r="Q137" s="4"/>
      <c r="R137" s="4"/>
      <c r="S137" s="4"/>
      <c r="T137" s="4"/>
      <c r="U137" s="4"/>
      <c r="V137" s="4"/>
      <c r="W137" s="4"/>
      <c r="X137" s="4"/>
      <c r="Y137" s="26"/>
      <c r="Z137" s="4"/>
      <c r="AA137" s="4"/>
      <c r="AB137" s="4"/>
      <c r="AC137" s="4"/>
    </row>
    <row r="138" spans="1:29" ht="14.5" x14ac:dyDescent="0.35">
      <c r="A138" s="4"/>
      <c r="B138" s="2" t="s">
        <v>948</v>
      </c>
      <c r="C138" s="2"/>
      <c r="D138" s="2"/>
      <c r="E138" s="2"/>
      <c r="F138" s="2"/>
      <c r="G138" s="84"/>
      <c r="H138" s="2"/>
      <c r="I138" s="3" t="s">
        <v>418</v>
      </c>
      <c r="J138" s="946">
        <f>ROUND(berekeningen!J42,3)</f>
        <v>2.919</v>
      </c>
      <c r="K138" s="6"/>
      <c r="L138" s="4"/>
      <c r="M138" s="4"/>
      <c r="N138" s="4"/>
      <c r="O138" s="4"/>
      <c r="P138" s="4"/>
      <c r="Q138" s="4"/>
      <c r="R138" s="4"/>
      <c r="S138" s="4"/>
      <c r="T138" s="4"/>
      <c r="U138" s="4"/>
      <c r="V138" s="4"/>
      <c r="W138" s="4"/>
      <c r="X138" s="4"/>
      <c r="Y138" s="26"/>
      <c r="Z138" s="4"/>
      <c r="AA138" s="4"/>
      <c r="AB138" s="4"/>
      <c r="AC138" s="4"/>
    </row>
    <row r="139" spans="1:29" ht="14.5" x14ac:dyDescent="0.35">
      <c r="A139" s="4"/>
      <c r="B139" s="2" t="s">
        <v>947</v>
      </c>
      <c r="C139" s="2"/>
      <c r="D139" s="2"/>
      <c r="E139" s="2"/>
      <c r="F139" s="2"/>
      <c r="G139" s="84"/>
      <c r="H139" s="2"/>
      <c r="I139" s="3" t="s">
        <v>418</v>
      </c>
      <c r="J139" s="946">
        <f>ROUND(samenstelling!K158,3)</f>
        <v>1.028</v>
      </c>
      <c r="K139" s="6"/>
      <c r="L139" s="4"/>
      <c r="M139" s="4"/>
      <c r="N139" s="4"/>
      <c r="O139" s="4"/>
      <c r="P139" s="4"/>
      <c r="Q139" s="4"/>
      <c r="R139" s="4"/>
      <c r="S139" s="4"/>
      <c r="T139" s="4"/>
      <c r="U139" s="4"/>
      <c r="V139" s="4"/>
      <c r="W139" s="4"/>
      <c r="X139" s="4"/>
      <c r="Y139" s="26"/>
      <c r="Z139" s="4"/>
      <c r="AA139" s="4"/>
      <c r="AB139" s="4"/>
      <c r="AC139" s="4"/>
    </row>
    <row r="140" spans="1:29" ht="14.5" x14ac:dyDescent="0.35">
      <c r="A140" s="4"/>
      <c r="B140" s="2" t="str">
        <f>"Volumemassa water bij "&amp;J137&amp;" °C:"</f>
        <v>Volumemassa water bij 24 °C:</v>
      </c>
      <c r="C140" s="2"/>
      <c r="D140" s="2"/>
      <c r="E140" s="2"/>
      <c r="F140" s="2"/>
      <c r="G140" s="84"/>
      <c r="H140" s="2"/>
      <c r="I140" s="3" t="s">
        <v>418</v>
      </c>
      <c r="J140" s="657">
        <f>IF(J137="","",1.00025205+(7.59*J137-5.32*POWER(J137,2))/1000000)</f>
        <v>0.99736989000000009</v>
      </c>
      <c r="K140" s="6"/>
      <c r="L140" s="4"/>
      <c r="M140" s="4"/>
      <c r="N140" s="4"/>
      <c r="O140" s="4"/>
      <c r="P140" s="4"/>
      <c r="Q140" s="4"/>
      <c r="R140" s="4"/>
      <c r="S140" s="4"/>
      <c r="T140" s="4"/>
      <c r="U140" s="4"/>
      <c r="V140" s="4"/>
      <c r="W140" s="4"/>
      <c r="X140" s="4"/>
      <c r="Y140" s="26"/>
      <c r="Z140" s="4"/>
      <c r="AA140" s="4"/>
      <c r="AB140" s="4"/>
      <c r="AC140" s="4"/>
    </row>
    <row r="141" spans="1:29" ht="14.5" x14ac:dyDescent="0.35">
      <c r="A141" s="4"/>
      <c r="B141" s="4"/>
      <c r="C141" s="4"/>
      <c r="D141" s="4"/>
      <c r="E141" s="4"/>
      <c r="F141" s="693"/>
      <c r="G141" s="4"/>
      <c r="H141" s="4"/>
      <c r="I141" s="694"/>
      <c r="J141" s="6"/>
      <c r="K141" s="4"/>
      <c r="L141" s="4"/>
      <c r="M141" s="4"/>
      <c r="N141" s="4"/>
      <c r="O141" s="4"/>
      <c r="P141" s="4"/>
      <c r="Q141" s="134"/>
      <c r="R141" s="4"/>
      <c r="S141" s="4"/>
      <c r="T141" s="4"/>
      <c r="U141" s="4"/>
      <c r="V141" s="4"/>
      <c r="W141" s="4"/>
      <c r="X141" s="26"/>
      <c r="Y141" s="4"/>
      <c r="Z141" s="134"/>
      <c r="AA141" s="4"/>
      <c r="AB141" s="4"/>
      <c r="AC141" s="4"/>
    </row>
    <row r="142" spans="1:29" x14ac:dyDescent="0.3">
      <c r="A142" s="4"/>
      <c r="B142" s="4"/>
      <c r="C142" s="4"/>
      <c r="D142" s="4"/>
      <c r="E142" s="4"/>
      <c r="F142" s="695"/>
      <c r="G142" s="4"/>
      <c r="H142" s="4"/>
      <c r="I142" s="4"/>
      <c r="J142" s="4"/>
      <c r="K142" s="4"/>
      <c r="L142" s="4"/>
      <c r="M142" s="4"/>
      <c r="N142" s="4"/>
      <c r="O142" s="695"/>
      <c r="P142" s="4"/>
      <c r="Q142" s="4"/>
      <c r="R142" s="4"/>
      <c r="S142" s="4"/>
      <c r="T142" s="4"/>
      <c r="U142" s="4"/>
      <c r="V142" s="4"/>
      <c r="W142" s="4"/>
      <c r="X142" s="4"/>
      <c r="Y142" s="4"/>
      <c r="Z142" s="4"/>
      <c r="AA142" s="4"/>
      <c r="AB142" s="4"/>
      <c r="AC142" s="4"/>
    </row>
    <row r="143" spans="1:29" ht="14.5" x14ac:dyDescent="0.35">
      <c r="A143" s="4"/>
      <c r="B143" s="5" t="s">
        <v>335</v>
      </c>
      <c r="C143" s="4"/>
      <c r="D143" s="4"/>
      <c r="E143" s="4"/>
      <c r="F143" s="134" t="s">
        <v>426</v>
      </c>
      <c r="G143" s="4"/>
      <c r="H143" s="4"/>
      <c r="I143" s="4"/>
      <c r="J143" s="4"/>
      <c r="K143" s="4"/>
      <c r="L143" s="4"/>
      <c r="M143" s="4"/>
      <c r="N143" s="4"/>
      <c r="O143" s="134" t="s">
        <v>427</v>
      </c>
      <c r="P143" s="4"/>
      <c r="Q143" s="4"/>
      <c r="R143" s="4"/>
      <c r="S143" s="4"/>
      <c r="T143" s="4"/>
      <c r="U143" s="4"/>
      <c r="V143" s="4"/>
      <c r="W143" s="4"/>
      <c r="X143" s="4"/>
      <c r="Y143" s="134" t="s">
        <v>344</v>
      </c>
      <c r="Z143" s="4"/>
      <c r="AA143" s="4"/>
      <c r="AB143" s="4"/>
      <c r="AC143" s="4"/>
    </row>
    <row r="144" spans="1:29" ht="16" x14ac:dyDescent="0.4">
      <c r="A144" s="4"/>
      <c r="B144" s="2" t="s">
        <v>183</v>
      </c>
      <c r="C144" s="2"/>
      <c r="D144" s="2"/>
      <c r="E144" s="2"/>
      <c r="F144" s="146" t="s">
        <v>416</v>
      </c>
      <c r="G144" s="143"/>
      <c r="H144" s="143"/>
      <c r="I144" s="143"/>
      <c r="J144" s="143"/>
      <c r="K144" s="143"/>
      <c r="L144" s="143"/>
      <c r="M144" s="143" t="s">
        <v>415</v>
      </c>
      <c r="N144" s="144"/>
      <c r="O144" s="139" t="s">
        <v>422</v>
      </c>
      <c r="P144" s="143"/>
      <c r="Q144" s="143"/>
      <c r="R144" s="143"/>
      <c r="S144" s="143"/>
      <c r="T144" s="143"/>
      <c r="U144" s="143"/>
      <c r="V144" s="143"/>
      <c r="W144" s="143"/>
      <c r="X144" s="144"/>
      <c r="Y144" s="141" t="s">
        <v>821</v>
      </c>
      <c r="Z144" s="18" t="s">
        <v>822</v>
      </c>
      <c r="AA144" s="18" t="s">
        <v>823</v>
      </c>
      <c r="AB144" s="164" t="s">
        <v>344</v>
      </c>
      <c r="AC144" s="4"/>
    </row>
    <row r="145" spans="1:29" x14ac:dyDescent="0.3">
      <c r="A145" s="4"/>
      <c r="B145" s="49" t="s">
        <v>337</v>
      </c>
      <c r="C145" s="49"/>
      <c r="D145" s="47"/>
      <c r="E145" s="49"/>
      <c r="F145" s="147" t="s">
        <v>419</v>
      </c>
      <c r="G145" s="47"/>
      <c r="H145" s="148" t="s">
        <v>420</v>
      </c>
      <c r="I145" s="47"/>
      <c r="J145" s="148" t="s">
        <v>421</v>
      </c>
      <c r="K145" s="47"/>
      <c r="L145" s="47"/>
      <c r="M145" s="47" t="s">
        <v>417</v>
      </c>
      <c r="N145" s="149"/>
      <c r="O145" s="150" t="s">
        <v>419</v>
      </c>
      <c r="P145" s="49"/>
      <c r="Q145" s="49" t="s">
        <v>423</v>
      </c>
      <c r="R145" s="49"/>
      <c r="S145" s="49"/>
      <c r="T145" s="49" t="s">
        <v>424</v>
      </c>
      <c r="U145" s="49"/>
      <c r="V145" s="49" t="s">
        <v>425</v>
      </c>
      <c r="W145" s="49"/>
      <c r="X145" s="145"/>
      <c r="Y145" s="142" t="s">
        <v>418</v>
      </c>
      <c r="Z145" s="47" t="s">
        <v>418</v>
      </c>
      <c r="AA145" s="47" t="s">
        <v>418</v>
      </c>
      <c r="AB145" s="150"/>
      <c r="AC145" s="4"/>
    </row>
    <row r="146" spans="1:29" x14ac:dyDescent="0.3">
      <c r="A146" s="4"/>
      <c r="B146" s="2">
        <f>IF(I32="","",samenstelling!C158-I32)</f>
        <v>3.5500000000000003</v>
      </c>
      <c r="C146" s="2"/>
      <c r="D146" s="18"/>
      <c r="E146" s="2"/>
      <c r="F146" s="1596">
        <v>100</v>
      </c>
      <c r="G146" s="1600"/>
      <c r="H146" s="1593">
        <v>1100</v>
      </c>
      <c r="I146" s="1600"/>
      <c r="J146" s="1593">
        <v>2000</v>
      </c>
      <c r="K146" s="1600"/>
      <c r="L146" s="1600"/>
      <c r="M146" s="2208">
        <v>1.2999999999999999E-3</v>
      </c>
      <c r="N146" s="2209"/>
      <c r="O146" s="1593">
        <v>100</v>
      </c>
      <c r="P146" s="1601"/>
      <c r="Q146" s="1593">
        <v>50</v>
      </c>
      <c r="R146" s="1601"/>
      <c r="S146" s="1601"/>
      <c r="T146" s="1593">
        <v>1100</v>
      </c>
      <c r="U146" s="1601"/>
      <c r="V146" s="1593">
        <v>550</v>
      </c>
      <c r="W146" s="133"/>
      <c r="X146" s="133"/>
      <c r="Y146" s="1301">
        <f t="shared" ref="Y146:Y151" si="46">IF(J$134&lt;&gt;"A","",IF(F146="","",(H146-F146)/((1000000*M146)-((J146-H146)/J$140))))</f>
        <v>2.5149219191888523</v>
      </c>
      <c r="Z146" s="1302" t="str">
        <f t="shared" ref="Z146:Z151" si="47">IF(J$134&lt;&gt;"B","",IF(O146="","",(T146-O146)*J$140/((T146-O146)-(V146-Q146))))</f>
        <v/>
      </c>
      <c r="AA146" s="1302" t="str">
        <f>IF(J$134&lt;&gt;"C","",IF(B146="","",100/(((100-B146)/berekeningen!J$42)+(B146/samenstelling!K$158))))</f>
        <v/>
      </c>
      <c r="AB146" s="163">
        <f>IF(Y146&lt;&gt;"",Y146,IF(Z146&lt;&gt;"",Z146,IF(AA146&lt;&gt;"",AA146,"")))</f>
        <v>2.5149219191888523</v>
      </c>
      <c r="AC146" s="4"/>
    </row>
    <row r="147" spans="1:29" x14ac:dyDescent="0.3">
      <c r="A147" s="4"/>
      <c r="B147" s="696"/>
      <c r="C147" s="696"/>
      <c r="D147" s="690"/>
      <c r="E147" s="696" t="s">
        <v>725</v>
      </c>
      <c r="F147" s="1597">
        <v>105</v>
      </c>
      <c r="G147" s="1602"/>
      <c r="H147" s="1603">
        <v>1095</v>
      </c>
      <c r="I147" s="1602"/>
      <c r="J147" s="1603">
        <v>2020</v>
      </c>
      <c r="K147" s="1602"/>
      <c r="L147" s="1602"/>
      <c r="M147" s="2198">
        <v>1.34E-3</v>
      </c>
      <c r="N147" s="2199"/>
      <c r="O147" s="1603"/>
      <c r="P147" s="1604"/>
      <c r="Q147" s="1603"/>
      <c r="R147" s="1604"/>
      <c r="S147" s="1604"/>
      <c r="T147" s="1603"/>
      <c r="U147" s="1604"/>
      <c r="V147" s="1603"/>
      <c r="W147" s="691"/>
      <c r="X147" s="691"/>
      <c r="Y147" s="688">
        <f t="shared" si="46"/>
        <v>2.3996466980753746</v>
      </c>
      <c r="Z147" s="689" t="str">
        <f t="shared" si="47"/>
        <v/>
      </c>
      <c r="AA147" s="692" t="str">
        <f>IF(J$134&lt;&gt;"C","",IF(B147="","",100/(((100-B147)/berekeningen!J$42)+(B147/samenstelling!K$158))))</f>
        <v/>
      </c>
      <c r="AB147" s="163">
        <f t="shared" ref="AB147:AB151" si="48">IF(Y147&lt;&gt;"",Y147,IF(Z147&lt;&gt;"",Z147,IF(AA147&lt;&gt;"",AA147,"")))</f>
        <v>2.3996466980753746</v>
      </c>
      <c r="AC147" s="4"/>
    </row>
    <row r="148" spans="1:29" x14ac:dyDescent="0.3">
      <c r="A148" s="4"/>
      <c r="B148" s="960">
        <f>samenstelling!C158</f>
        <v>3.85</v>
      </c>
      <c r="C148" s="960"/>
      <c r="D148" s="961"/>
      <c r="E148" s="960"/>
      <c r="F148" s="1598">
        <v>101</v>
      </c>
      <c r="G148" s="1605"/>
      <c r="H148" s="1606">
        <v>1101</v>
      </c>
      <c r="I148" s="1605"/>
      <c r="J148" s="1606">
        <v>2001</v>
      </c>
      <c r="K148" s="1605"/>
      <c r="L148" s="1605"/>
      <c r="M148" s="2204">
        <v>1.2340000000000001E-3</v>
      </c>
      <c r="N148" s="2205"/>
      <c r="O148" s="1606">
        <v>110</v>
      </c>
      <c r="P148" s="1607"/>
      <c r="Q148" s="1606">
        <v>60</v>
      </c>
      <c r="R148" s="1607"/>
      <c r="S148" s="1607"/>
      <c r="T148" s="1606">
        <v>1110</v>
      </c>
      <c r="U148" s="1607"/>
      <c r="V148" s="1606">
        <v>560</v>
      </c>
      <c r="W148" s="962"/>
      <c r="X148" s="962"/>
      <c r="Y148" s="1303">
        <f t="shared" si="46"/>
        <v>3.0154391189857619</v>
      </c>
      <c r="Z148" s="1304" t="str">
        <f t="shared" si="47"/>
        <v/>
      </c>
      <c r="AA148" s="1305" t="str">
        <f>IF(J$134&lt;&gt;"C","",IF(B148="","",100/(((100-B148)/berekeningen!J$42)+(B148/samenstelling!K$158))))</f>
        <v/>
      </c>
      <c r="AB148" s="955">
        <f t="shared" si="48"/>
        <v>3.0154391189857619</v>
      </c>
      <c r="AC148" s="4"/>
    </row>
    <row r="149" spans="1:29" x14ac:dyDescent="0.3">
      <c r="A149" s="4"/>
      <c r="B149" s="49"/>
      <c r="C149" s="49"/>
      <c r="D149" s="47"/>
      <c r="E149" s="49" t="s">
        <v>725</v>
      </c>
      <c r="F149" s="1599"/>
      <c r="G149" s="1608"/>
      <c r="H149" s="1609"/>
      <c r="I149" s="1608"/>
      <c r="J149" s="1609"/>
      <c r="K149" s="1608"/>
      <c r="L149" s="1608"/>
      <c r="M149" s="2206"/>
      <c r="N149" s="2207"/>
      <c r="O149" s="1609"/>
      <c r="P149" s="1610"/>
      <c r="Q149" s="1609"/>
      <c r="R149" s="1610"/>
      <c r="S149" s="1610"/>
      <c r="T149" s="1609"/>
      <c r="U149" s="1610"/>
      <c r="V149" s="1609"/>
      <c r="W149" s="138"/>
      <c r="X149" s="138"/>
      <c r="Y149" s="957" t="str">
        <f t="shared" si="46"/>
        <v/>
      </c>
      <c r="Z149" s="958" t="str">
        <f t="shared" si="47"/>
        <v/>
      </c>
      <c r="AA149" s="959" t="str">
        <f>IF(J$134&lt;&gt;"C","",IF(B149="","",100/(((100-B149)/berekeningen!J$42)+(B149/samenstelling!K$158))))</f>
        <v/>
      </c>
      <c r="AB149" s="956" t="str">
        <f t="shared" si="48"/>
        <v/>
      </c>
      <c r="AC149" s="4"/>
    </row>
    <row r="150" spans="1:29" x14ac:dyDescent="0.3">
      <c r="A150" s="4"/>
      <c r="B150" s="2">
        <f>IF(I32="","",samenstelling!C158+I32)</f>
        <v>4.1500000000000004</v>
      </c>
      <c r="C150" s="2"/>
      <c r="D150" s="18"/>
      <c r="E150" s="2"/>
      <c r="F150" s="1596">
        <v>102</v>
      </c>
      <c r="G150" s="1600"/>
      <c r="H150" s="1593">
        <v>1102</v>
      </c>
      <c r="I150" s="1600"/>
      <c r="J150" s="1593">
        <v>2002</v>
      </c>
      <c r="K150" s="1600"/>
      <c r="L150" s="1600"/>
      <c r="M150" s="2139">
        <v>1.42E-3</v>
      </c>
      <c r="N150" s="2202"/>
      <c r="O150" s="1593">
        <v>120</v>
      </c>
      <c r="P150" s="1601"/>
      <c r="Q150" s="1593">
        <v>70</v>
      </c>
      <c r="R150" s="1601"/>
      <c r="S150" s="1601"/>
      <c r="T150" s="1593">
        <v>1120</v>
      </c>
      <c r="U150" s="1601"/>
      <c r="V150" s="1593">
        <v>570</v>
      </c>
      <c r="W150" s="133"/>
      <c r="X150" s="133"/>
      <c r="Y150" s="1301">
        <f t="shared" si="46"/>
        <v>1.9318943159117228</v>
      </c>
      <c r="Z150" s="1302" t="str">
        <f t="shared" si="47"/>
        <v/>
      </c>
      <c r="AA150" s="1306" t="str">
        <f>IF(J$134&lt;&gt;"C","",IF(B150="","",100/(((100-B150)/berekeningen!J$42)+(B150/samenstelling!K$158))))</f>
        <v/>
      </c>
      <c r="AB150" s="163">
        <f t="shared" si="48"/>
        <v>1.9318943159117228</v>
      </c>
      <c r="AC150" s="4"/>
    </row>
    <row r="151" spans="1:29" x14ac:dyDescent="0.3">
      <c r="A151" s="4"/>
      <c r="B151" s="696"/>
      <c r="C151" s="696"/>
      <c r="D151" s="690"/>
      <c r="E151" s="696" t="s">
        <v>725</v>
      </c>
      <c r="F151" s="1597"/>
      <c r="G151" s="1602"/>
      <c r="H151" s="1603"/>
      <c r="I151" s="1602"/>
      <c r="J151" s="1603"/>
      <c r="K151" s="1602"/>
      <c r="L151" s="1602"/>
      <c r="M151" s="2198"/>
      <c r="N151" s="2199"/>
      <c r="O151" s="1603"/>
      <c r="P151" s="1604"/>
      <c r="Q151" s="1603"/>
      <c r="R151" s="1604"/>
      <c r="S151" s="1604"/>
      <c r="T151" s="1603"/>
      <c r="U151" s="1604"/>
      <c r="V151" s="1603"/>
      <c r="W151" s="691"/>
      <c r="X151" s="691"/>
      <c r="Y151" s="688" t="str">
        <f t="shared" si="46"/>
        <v/>
      </c>
      <c r="Z151" s="689" t="str">
        <f t="shared" si="47"/>
        <v/>
      </c>
      <c r="AA151" s="692" t="str">
        <f>IF(J$134&lt;&gt;"C","",IF(B151="","",100/(((100-B151)/berekeningen!J$42)+(B151/samenstelling!K$158))))</f>
        <v/>
      </c>
      <c r="AB151" s="163" t="str">
        <f t="shared" si="48"/>
        <v/>
      </c>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4.5" x14ac:dyDescent="0.35">
      <c r="A153" s="4"/>
      <c r="B153" s="5" t="s">
        <v>640</v>
      </c>
      <c r="C153" s="4"/>
      <c r="D153" s="4"/>
      <c r="E153" s="4"/>
      <c r="F153" s="4"/>
      <c r="G153" s="4"/>
      <c r="H153" s="4"/>
      <c r="I153" s="4"/>
      <c r="J153" s="4"/>
      <c r="K153" s="134" t="s">
        <v>459</v>
      </c>
      <c r="L153" s="4"/>
      <c r="M153" s="4"/>
      <c r="N153" s="4"/>
      <c r="O153" s="4"/>
      <c r="P153" s="4"/>
      <c r="Q153" s="4"/>
      <c r="R153" s="4"/>
      <c r="S153" s="4"/>
      <c r="T153" s="4"/>
      <c r="U153" s="4"/>
      <c r="V153" s="4"/>
      <c r="W153" s="4"/>
      <c r="X153" s="4"/>
      <c r="Y153" s="4"/>
      <c r="Z153" s="4"/>
      <c r="AA153" s="4"/>
      <c r="AB153" s="4"/>
      <c r="AC153" s="4"/>
    </row>
    <row r="154" spans="1:29" ht="14.5" x14ac:dyDescent="0.35">
      <c r="A154" s="4"/>
      <c r="B154" s="2" t="s">
        <v>344</v>
      </c>
      <c r="C154" s="2"/>
      <c r="D154" s="2" t="s">
        <v>642</v>
      </c>
      <c r="E154" s="2">
        <f>samenstelling!C158</f>
        <v>3.85</v>
      </c>
      <c r="F154" s="2" t="s">
        <v>643</v>
      </c>
      <c r="G154" s="2"/>
      <c r="H154" s="298">
        <f>VLOOKUP(E154,B146:AB151,27,FALSE)</f>
        <v>3.0154391189857619</v>
      </c>
      <c r="I154" s="2" t="s">
        <v>624</v>
      </c>
      <c r="J154" s="4"/>
      <c r="K154" s="134" t="s">
        <v>1029</v>
      </c>
      <c r="L154" s="4"/>
      <c r="M154" s="4"/>
      <c r="N154" s="4"/>
      <c r="O154" s="4"/>
      <c r="P154" s="4"/>
      <c r="Q154" s="4"/>
      <c r="R154" s="4"/>
      <c r="S154" s="4"/>
      <c r="T154" s="4"/>
      <c r="U154" s="4"/>
      <c r="V154" s="4"/>
      <c r="W154" s="4"/>
      <c r="X154" s="4"/>
      <c r="Y154" s="4"/>
      <c r="Z154" s="4"/>
      <c r="AA154" s="4"/>
      <c r="AB154" s="4"/>
      <c r="AC154" s="4"/>
    </row>
    <row r="155" spans="1:29" ht="14.5" x14ac:dyDescent="0.35">
      <c r="A155" s="4"/>
      <c r="B155" s="4"/>
      <c r="C155" s="4"/>
      <c r="D155" s="4"/>
      <c r="E155" s="4"/>
      <c r="F155" s="4"/>
      <c r="G155" s="4"/>
      <c r="H155" s="4"/>
      <c r="I155" s="4"/>
      <c r="J155" s="4"/>
      <c r="K155" s="134" t="s">
        <v>1032</v>
      </c>
      <c r="L155" s="4"/>
      <c r="M155" s="4"/>
      <c r="N155" s="4"/>
      <c r="O155" s="4"/>
      <c r="P155" s="4"/>
      <c r="Q155" s="4"/>
      <c r="R155" s="4"/>
      <c r="S155" s="4"/>
      <c r="T155" s="4"/>
      <c r="U155" s="4"/>
      <c r="V155" s="4"/>
      <c r="W155" s="4"/>
      <c r="X155" s="4"/>
      <c r="Y155" s="4"/>
      <c r="Z155" s="4"/>
      <c r="AA155" s="4"/>
      <c r="AB155" s="4"/>
      <c r="AC155" s="4"/>
    </row>
    <row r="156" spans="1:29"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x14ac:dyDescent="0.3">
      <c r="A157" s="13" t="s">
        <v>1000</v>
      </c>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x14ac:dyDescent="0.3">
      <c r="A159" s="4"/>
      <c r="B159" s="5" t="s">
        <v>330</v>
      </c>
      <c r="C159" s="4"/>
      <c r="D159" s="4"/>
      <c r="E159" s="4"/>
      <c r="F159" s="4"/>
      <c r="G159" s="4"/>
      <c r="H159" s="4"/>
      <c r="I159" s="4"/>
      <c r="J159" s="4"/>
      <c r="K159" s="4"/>
      <c r="L159" s="4"/>
      <c r="M159" s="4"/>
      <c r="N159" s="4"/>
      <c r="O159" s="4"/>
      <c r="P159" s="4"/>
      <c r="Q159" s="4"/>
      <c r="R159" s="4"/>
      <c r="S159" s="4"/>
      <c r="T159" s="4"/>
      <c r="U159" s="5"/>
      <c r="V159" s="4"/>
      <c r="W159" s="4"/>
      <c r="X159" s="4"/>
      <c r="Y159" s="4"/>
      <c r="Z159" s="4"/>
      <c r="AA159" s="4"/>
      <c r="AB159" s="4"/>
      <c r="AC159" s="4"/>
    </row>
    <row r="160" spans="1:29" ht="14.5" x14ac:dyDescent="0.35">
      <c r="A160" s="4"/>
      <c r="B160" s="2" t="s">
        <v>813</v>
      </c>
      <c r="C160" s="2"/>
      <c r="D160" s="2"/>
      <c r="E160" s="2"/>
      <c r="F160" s="2"/>
      <c r="G160" s="2"/>
      <c r="H160" s="2"/>
      <c r="I160" s="2"/>
      <c r="J160" s="2"/>
      <c r="K160" s="2" t="s">
        <v>340</v>
      </c>
      <c r="L160" s="2"/>
      <c r="M160" s="4"/>
      <c r="N160" s="4"/>
      <c r="O160" s="4"/>
      <c r="P160" s="134" t="s">
        <v>459</v>
      </c>
      <c r="Q160" s="4"/>
      <c r="R160" s="4"/>
      <c r="S160" s="4"/>
      <c r="T160" s="4"/>
      <c r="U160" s="4"/>
      <c r="V160" s="4"/>
      <c r="W160" s="26"/>
      <c r="X160" s="4"/>
      <c r="Y160" s="4"/>
      <c r="Z160" s="4"/>
      <c r="AA160" s="4"/>
      <c r="AB160" s="4"/>
      <c r="AC160" s="4"/>
    </row>
    <row r="161" spans="1:41" ht="14.5" x14ac:dyDescent="0.35">
      <c r="A161" s="4"/>
      <c r="B161" s="4"/>
      <c r="C161" s="4"/>
      <c r="D161" s="4"/>
      <c r="E161" s="4"/>
      <c r="F161" s="4"/>
      <c r="G161" s="693"/>
      <c r="H161" s="4"/>
      <c r="I161" s="195"/>
      <c r="J161" s="694"/>
      <c r="K161" s="6"/>
      <c r="L161" s="4"/>
      <c r="M161" s="4"/>
      <c r="N161" s="4"/>
      <c r="O161" s="4"/>
      <c r="P161" s="134" t="s">
        <v>1029</v>
      </c>
      <c r="Q161" s="4"/>
      <c r="R161" s="134"/>
      <c r="S161" s="4"/>
      <c r="T161" s="4"/>
      <c r="U161" s="4"/>
      <c r="V161" s="4"/>
      <c r="W161" s="4"/>
      <c r="X161" s="4"/>
      <c r="Y161" s="26"/>
      <c r="Z161" s="4"/>
      <c r="AA161" s="134"/>
      <c r="AB161" s="4"/>
      <c r="AC161" s="4"/>
    </row>
    <row r="162" spans="1:41" ht="14.5" x14ac:dyDescent="0.35">
      <c r="A162" s="4"/>
      <c r="B162" s="4"/>
      <c r="C162" s="4"/>
      <c r="D162" s="4"/>
      <c r="E162" s="4"/>
      <c r="F162" s="4"/>
      <c r="G162" s="4"/>
      <c r="H162" s="4"/>
      <c r="I162" s="134"/>
      <c r="J162" s="4"/>
      <c r="K162" s="4"/>
      <c r="L162" s="4"/>
      <c r="M162" s="4"/>
      <c r="N162" s="4"/>
      <c r="O162" s="4"/>
      <c r="P162" s="134" t="s">
        <v>824</v>
      </c>
      <c r="Q162" s="695"/>
      <c r="R162" s="4"/>
      <c r="S162" s="4"/>
      <c r="T162" s="4"/>
      <c r="U162" s="4"/>
      <c r="V162" s="4"/>
      <c r="W162" s="4"/>
      <c r="X162" s="4"/>
      <c r="Y162" s="4"/>
      <c r="Z162" s="695"/>
      <c r="AA162" s="4"/>
      <c r="AB162" s="4"/>
      <c r="AC162" s="4"/>
    </row>
    <row r="163" spans="1:41" ht="14.5" x14ac:dyDescent="0.35">
      <c r="A163" s="4"/>
      <c r="B163" s="5" t="s">
        <v>335</v>
      </c>
      <c r="C163" s="4"/>
      <c r="D163" s="4"/>
      <c r="E163" s="4"/>
      <c r="F163" s="4"/>
      <c r="G163" s="4"/>
      <c r="H163" s="4"/>
      <c r="I163" s="134"/>
      <c r="J163" s="4"/>
      <c r="K163" s="4"/>
      <c r="L163" s="4"/>
      <c r="M163" s="4"/>
      <c r="N163" s="4"/>
      <c r="O163" s="4"/>
      <c r="P163" s="134" t="s">
        <v>1614</v>
      </c>
      <c r="Q163" s="4"/>
      <c r="R163" s="134"/>
      <c r="S163" s="4"/>
      <c r="T163" s="4"/>
      <c r="U163" s="4"/>
      <c r="V163" s="134"/>
      <c r="W163" s="4"/>
      <c r="X163" s="4"/>
      <c r="Y163" s="4"/>
      <c r="Z163" s="4"/>
      <c r="AA163" s="4"/>
      <c r="AB163" s="4"/>
      <c r="AC163" s="4"/>
      <c r="AE163" s="980"/>
      <c r="AO163" s="980" t="s">
        <v>344</v>
      </c>
    </row>
    <row r="164" spans="1:41" ht="16" x14ac:dyDescent="0.4">
      <c r="A164" s="4"/>
      <c r="B164" s="2" t="s">
        <v>183</v>
      </c>
      <c r="C164" s="2"/>
      <c r="D164" s="2" t="s">
        <v>336</v>
      </c>
      <c r="E164" s="2"/>
      <c r="F164" s="18" t="s">
        <v>1006</v>
      </c>
      <c r="G164" s="2"/>
      <c r="H164" s="18" t="s">
        <v>375</v>
      </c>
      <c r="I164" s="2" t="s">
        <v>370</v>
      </c>
      <c r="J164" s="2"/>
      <c r="K164" s="139" t="s">
        <v>341</v>
      </c>
      <c r="L164" s="143"/>
      <c r="M164" s="143"/>
      <c r="N164" s="144"/>
      <c r="O164" s="144"/>
      <c r="P164" s="144"/>
      <c r="Q164" s="143" t="s">
        <v>487</v>
      </c>
      <c r="R164" s="143"/>
      <c r="S164" s="139" t="s">
        <v>1004</v>
      </c>
      <c r="T164" s="143"/>
      <c r="U164" s="143"/>
      <c r="V164" s="141" t="s">
        <v>816</v>
      </c>
      <c r="W164" s="18" t="s">
        <v>817</v>
      </c>
      <c r="X164" s="18" t="s">
        <v>818</v>
      </c>
      <c r="Y164" s="963" t="s">
        <v>819</v>
      </c>
      <c r="Z164" s="137" t="s">
        <v>432</v>
      </c>
      <c r="AA164" s="134"/>
      <c r="AB164" s="4"/>
      <c r="AC164" s="4"/>
      <c r="AH164" s="186"/>
      <c r="AJ164" s="980"/>
    </row>
    <row r="165" spans="1:41" ht="14.5" x14ac:dyDescent="0.35">
      <c r="A165" s="4"/>
      <c r="B165" s="49" t="s">
        <v>337</v>
      </c>
      <c r="C165" s="49"/>
      <c r="D165" s="47" t="s">
        <v>338</v>
      </c>
      <c r="E165" s="49"/>
      <c r="F165" s="47" t="s">
        <v>432</v>
      </c>
      <c r="G165" s="49"/>
      <c r="H165" s="47" t="s">
        <v>371</v>
      </c>
      <c r="I165" s="47" t="s">
        <v>371</v>
      </c>
      <c r="J165" s="49"/>
      <c r="K165" s="142" t="s">
        <v>342</v>
      </c>
      <c r="L165" s="47" t="s">
        <v>343</v>
      </c>
      <c r="M165" s="49" t="s">
        <v>1026</v>
      </c>
      <c r="N165" s="49"/>
      <c r="O165" s="49"/>
      <c r="P165" s="145"/>
      <c r="Q165" s="372" t="s">
        <v>1002</v>
      </c>
      <c r="R165" s="372"/>
      <c r="S165" s="373" t="s">
        <v>568</v>
      </c>
      <c r="T165" s="372" t="s">
        <v>1003</v>
      </c>
      <c r="U165" s="372"/>
      <c r="V165" s="142" t="s">
        <v>418</v>
      </c>
      <c r="W165" s="47" t="s">
        <v>418</v>
      </c>
      <c r="X165" s="47" t="s">
        <v>418</v>
      </c>
      <c r="Y165" s="149" t="s">
        <v>418</v>
      </c>
      <c r="Z165" s="49"/>
      <c r="AA165" s="134"/>
      <c r="AB165" s="4"/>
      <c r="AC165" s="4"/>
      <c r="AH165" s="186"/>
      <c r="AJ165" s="980"/>
    </row>
    <row r="166" spans="1:41" ht="14.5" x14ac:dyDescent="0.35">
      <c r="A166" s="4"/>
      <c r="B166" s="43">
        <f>IF(D166="","",VLOOKUP(D166,B$38:Y127,3,FALSE))</f>
        <v>3.5500000000000003</v>
      </c>
      <c r="C166" s="43"/>
      <c r="D166" s="1516" t="s">
        <v>353</v>
      </c>
      <c r="E166" s="1540"/>
      <c r="F166" s="1516"/>
      <c r="G166" s="43"/>
      <c r="H166" s="132">
        <f t="shared" ref="H166:H197" si="49">IF(D166="","",VLOOKUP(D166,B$38:Y$127,9,FALSE))</f>
        <v>62</v>
      </c>
      <c r="I166" s="132">
        <f>IF(D166="","",VLOOKUP(D166,B$38:Y127,19,FALSE))</f>
        <v>100</v>
      </c>
      <c r="J166" s="43"/>
      <c r="K166" s="1612"/>
      <c r="L166" s="1613"/>
      <c r="M166" s="1613"/>
      <c r="N166" s="1540"/>
      <c r="O166" s="1540"/>
      <c r="P166" s="1614"/>
      <c r="Q166" s="1516"/>
      <c r="R166" s="1540"/>
      <c r="S166" s="965" t="str">
        <f>IF(Q166="","",1.00025205+(7.59*Q166-5.32*POWER(Q166,2))/1000000)</f>
        <v/>
      </c>
      <c r="T166" s="43"/>
      <c r="U166" s="1623"/>
      <c r="V166" s="1307" t="str">
        <f t="shared" ref="V166:V197" si="50">IF(AND(K166&lt;&gt;"",F166="A"),K166*S166/(K166-L166),"")</f>
        <v/>
      </c>
      <c r="W166" s="1308" t="str">
        <f t="shared" ref="W166:W197" si="51">IF(AND(K166&lt;&gt;"",F166="B"),K166*S166/(M166-L166),"")</f>
        <v/>
      </c>
      <c r="X166" s="1308" t="str">
        <f t="shared" ref="X166:X197" si="52">IF(AND(K166&lt;&gt;"",F166="C"),K166/(((M166-L166)/S166)-((M166-K166)/U166)),"")</f>
        <v/>
      </c>
      <c r="Y166" s="1309" t="str">
        <f>IF(AND(K166&lt;&gt;"",F166="D",D166&lt;&gt;""),K166*1000/(PI()*H166*POWER(I166,2)/4),"")</f>
        <v/>
      </c>
      <c r="Z166" s="978" t="str">
        <f t="shared" ref="Z166:Z197" si="53">IF(V166&lt;&gt;"",V166,IF(W166&lt;&gt;"",W166,IF(X166&lt;&gt;"",X166,IF(Y166&lt;&gt;"",Y166,""))))</f>
        <v/>
      </c>
      <c r="AA166" s="134"/>
      <c r="AB166" s="4"/>
      <c r="AC166" s="4"/>
      <c r="AH166" s="186"/>
      <c r="AJ166" s="980"/>
    </row>
    <row r="167" spans="1:41" ht="14.5" x14ac:dyDescent="0.35">
      <c r="A167" s="4"/>
      <c r="B167" s="2">
        <f>IF(D167="","",VLOOKUP(D167,B$38:Y127,3,FALSE))</f>
        <v>3.5500000000000003</v>
      </c>
      <c r="C167" s="2"/>
      <c r="D167" s="1494" t="s">
        <v>354</v>
      </c>
      <c r="E167" s="1491"/>
      <c r="F167" s="1494"/>
      <c r="G167" s="2"/>
      <c r="H167" s="697">
        <f t="shared" si="49"/>
        <v>64</v>
      </c>
      <c r="I167" s="697">
        <f>IF(D167="","",VLOOKUP(D167,B$38:Y128,19,FALSE))</f>
        <v>102</v>
      </c>
      <c r="J167" s="2"/>
      <c r="K167" s="1615"/>
      <c r="L167" s="1593"/>
      <c r="M167" s="1593"/>
      <c r="N167" s="1491"/>
      <c r="O167" s="1491"/>
      <c r="P167" s="1616"/>
      <c r="Q167" s="1494"/>
      <c r="R167" s="1491"/>
      <c r="S167" s="966" t="str">
        <f t="shared" ref="S167:S192" si="54">IF(Q167="","",1.00025205+(7.59*Q167-5.32*POWER(Q167,2))/1000000)</f>
        <v/>
      </c>
      <c r="T167" s="2"/>
      <c r="U167" s="1494"/>
      <c r="V167" s="1301" t="str">
        <f t="shared" si="50"/>
        <v/>
      </c>
      <c r="W167" s="1302" t="str">
        <f t="shared" si="51"/>
        <v/>
      </c>
      <c r="X167" s="1302" t="str">
        <f t="shared" si="52"/>
        <v/>
      </c>
      <c r="Y167" s="1306" t="str">
        <f t="shared" ref="Y167:Y216" si="55">IF(AND(K167&lt;&gt;"",F167="D",D167&lt;&gt;""),K167*1000/(PI()*H167*POWER(I167,2)/4),"")</f>
        <v/>
      </c>
      <c r="Z167" s="964" t="str">
        <f t="shared" si="53"/>
        <v/>
      </c>
      <c r="AA167" s="134"/>
      <c r="AB167" s="4"/>
      <c r="AC167" s="4"/>
      <c r="AH167" s="186"/>
      <c r="AJ167" s="980"/>
    </row>
    <row r="168" spans="1:41" ht="14.5" x14ac:dyDescent="0.35">
      <c r="A168" s="4"/>
      <c r="B168" s="49">
        <f>IF(D168="","",VLOOKUP(D168,B$38:Y127,3,FALSE))</f>
        <v>3.5500000000000003</v>
      </c>
      <c r="C168" s="49"/>
      <c r="D168" s="1515" t="s">
        <v>355</v>
      </c>
      <c r="E168" s="1528"/>
      <c r="F168" s="1515"/>
      <c r="G168" s="49"/>
      <c r="H168" s="1439">
        <f t="shared" si="49"/>
        <v>63</v>
      </c>
      <c r="I168" s="1439">
        <f>IF(D168="","",VLOOKUP(D168,B$38:Y129,19,FALSE))</f>
        <v>103</v>
      </c>
      <c r="J168" s="49"/>
      <c r="K168" s="1617"/>
      <c r="L168" s="1609"/>
      <c r="M168" s="1609"/>
      <c r="N168" s="1528"/>
      <c r="O168" s="1528"/>
      <c r="P168" s="1618"/>
      <c r="Q168" s="1515"/>
      <c r="R168" s="1528"/>
      <c r="S168" s="1440" t="str">
        <f t="shared" si="54"/>
        <v/>
      </c>
      <c r="T168" s="49"/>
      <c r="U168" s="1515"/>
      <c r="V168" s="1441" t="str">
        <f t="shared" si="50"/>
        <v/>
      </c>
      <c r="W168" s="1442" t="str">
        <f t="shared" si="51"/>
        <v/>
      </c>
      <c r="X168" s="1442" t="str">
        <f t="shared" si="52"/>
        <v/>
      </c>
      <c r="Y168" s="1443" t="str">
        <f t="shared" si="55"/>
        <v/>
      </c>
      <c r="Z168" s="1444" t="str">
        <f t="shared" si="53"/>
        <v/>
      </c>
      <c r="AA168" s="134"/>
      <c r="AB168" s="4"/>
      <c r="AC168" s="4"/>
      <c r="AH168" s="186"/>
      <c r="AJ168" s="980"/>
    </row>
    <row r="169" spans="1:41" ht="14.5" x14ac:dyDescent="0.35">
      <c r="A169" s="4"/>
      <c r="B169" s="2">
        <f>IF(D169="","",VLOOKUP(D169,B$38:Y127,3,FALSE))</f>
        <v>3.5500000000000003</v>
      </c>
      <c r="C169" s="2"/>
      <c r="D169" s="1494" t="s">
        <v>356</v>
      </c>
      <c r="E169" s="1491"/>
      <c r="F169" s="1494" t="s">
        <v>428</v>
      </c>
      <c r="G169" s="2"/>
      <c r="H169" s="697">
        <f t="shared" si="49"/>
        <v>62</v>
      </c>
      <c r="I169" s="697">
        <f>IF(D169="","",VLOOKUP(D169,B$38:Y130,19,FALSE))</f>
        <v>104</v>
      </c>
      <c r="J169" s="140"/>
      <c r="K169" s="1615"/>
      <c r="L169" s="1593"/>
      <c r="M169" s="1593"/>
      <c r="N169" s="1491"/>
      <c r="O169" s="1491"/>
      <c r="P169" s="1616"/>
      <c r="Q169" s="1494">
        <v>24.4</v>
      </c>
      <c r="R169" s="1491"/>
      <c r="S169" s="966">
        <f t="shared" si="54"/>
        <v>0.99726993080000004</v>
      </c>
      <c r="T169" s="2"/>
      <c r="U169" s="1494">
        <v>0.97</v>
      </c>
      <c r="V169" s="151" t="str">
        <f t="shared" si="50"/>
        <v/>
      </c>
      <c r="W169" s="152" t="str">
        <f t="shared" si="51"/>
        <v/>
      </c>
      <c r="X169" s="152" t="str">
        <f t="shared" si="52"/>
        <v/>
      </c>
      <c r="Y169" s="700" t="str">
        <f t="shared" si="55"/>
        <v/>
      </c>
      <c r="Z169" s="964" t="str">
        <f t="shared" si="53"/>
        <v/>
      </c>
      <c r="AA169" s="134"/>
      <c r="AB169" s="4"/>
      <c r="AC169" s="4"/>
      <c r="AH169" s="186"/>
      <c r="AJ169" s="980"/>
    </row>
    <row r="170" spans="1:41" ht="14.5" x14ac:dyDescent="0.35">
      <c r="A170" s="4"/>
      <c r="B170" s="2">
        <f>IF(D170="","",VLOOKUP(D170,B$38:Y127,3,FALSE))</f>
        <v>3.5500000000000003</v>
      </c>
      <c r="C170" s="2"/>
      <c r="D170" s="1494" t="s">
        <v>357</v>
      </c>
      <c r="E170" s="1491"/>
      <c r="F170" s="1494" t="s">
        <v>428</v>
      </c>
      <c r="G170" s="2"/>
      <c r="H170" s="697">
        <f t="shared" si="49"/>
        <v>61</v>
      </c>
      <c r="I170" s="697">
        <f>IF(D170="","",VLOOKUP(D170,B$38:Y131,19,FALSE))</f>
        <v>105</v>
      </c>
      <c r="J170" s="2"/>
      <c r="K170" s="1615"/>
      <c r="L170" s="1593"/>
      <c r="M170" s="1593"/>
      <c r="N170" s="1491"/>
      <c r="O170" s="1491"/>
      <c r="P170" s="1616"/>
      <c r="Q170" s="1494">
        <v>24.5</v>
      </c>
      <c r="R170" s="1491"/>
      <c r="S170" s="966">
        <f t="shared" si="54"/>
        <v>0.99724467500000002</v>
      </c>
      <c r="T170" s="2"/>
      <c r="U170" s="1494">
        <v>0.97</v>
      </c>
      <c r="V170" s="151" t="str">
        <f t="shared" si="50"/>
        <v/>
      </c>
      <c r="W170" s="152" t="str">
        <f t="shared" si="51"/>
        <v/>
      </c>
      <c r="X170" s="152" t="str">
        <f t="shared" si="52"/>
        <v/>
      </c>
      <c r="Y170" s="700" t="str">
        <f t="shared" si="55"/>
        <v/>
      </c>
      <c r="Z170" s="964" t="str">
        <f t="shared" si="53"/>
        <v/>
      </c>
      <c r="AA170" s="134"/>
      <c r="AB170" s="4"/>
      <c r="AC170" s="4"/>
      <c r="AH170" s="186"/>
      <c r="AJ170" s="980"/>
    </row>
    <row r="171" spans="1:41" ht="14.5" x14ac:dyDescent="0.35">
      <c r="A171" s="4"/>
      <c r="B171" s="2">
        <f>IF(D171="","",VLOOKUP(D171,B$38:Y127,3,FALSE))</f>
        <v>3.5500000000000003</v>
      </c>
      <c r="C171" s="2"/>
      <c r="D171" s="1494" t="s">
        <v>1512</v>
      </c>
      <c r="E171" s="1491"/>
      <c r="F171" s="1494" t="s">
        <v>288</v>
      </c>
      <c r="G171" s="2"/>
      <c r="H171" s="133">
        <f t="shared" si="49"/>
        <v>60</v>
      </c>
      <c r="I171" s="133">
        <f>IF(D171="","",VLOOKUP(D171,B$38:Y132,19,FALSE))</f>
        <v>106</v>
      </c>
      <c r="J171" s="2"/>
      <c r="K171" s="1615">
        <v>1220</v>
      </c>
      <c r="L171" s="1593">
        <v>700</v>
      </c>
      <c r="M171" s="1593">
        <v>1225</v>
      </c>
      <c r="N171" s="1491"/>
      <c r="O171" s="1491"/>
      <c r="P171" s="1616"/>
      <c r="Q171" s="1494">
        <v>24.1</v>
      </c>
      <c r="R171" s="1491"/>
      <c r="S171" s="979">
        <f>IF(Q171="","",1.00025205+(7.59*Q171-5.32*POWER(Q171,2))/1000000)</f>
        <v>0.9973450598000001</v>
      </c>
      <c r="T171" s="2"/>
      <c r="U171" s="1624">
        <v>0.97</v>
      </c>
      <c r="V171" s="151" t="str">
        <f t="shared" si="50"/>
        <v/>
      </c>
      <c r="W171" s="152">
        <f t="shared" si="51"/>
        <v>2.3176399484876193</v>
      </c>
      <c r="X171" s="152" t="str">
        <f t="shared" si="52"/>
        <v/>
      </c>
      <c r="Y171" s="700" t="str">
        <f t="shared" si="55"/>
        <v/>
      </c>
      <c r="Z171" s="964">
        <f t="shared" si="53"/>
        <v>2.3176399484876193</v>
      </c>
      <c r="AA171" s="134"/>
      <c r="AB171" s="4"/>
      <c r="AC171" s="4"/>
      <c r="AH171" s="186"/>
      <c r="AJ171" s="980"/>
    </row>
    <row r="172" spans="1:41" ht="14.5" x14ac:dyDescent="0.35">
      <c r="A172" s="4"/>
      <c r="B172" s="2">
        <f>IF(D172="","",VLOOKUP(D172,B$38:Y127,3,FALSE))</f>
        <v>3.5500000000000003</v>
      </c>
      <c r="C172" s="2"/>
      <c r="D172" s="1494" t="s">
        <v>1513</v>
      </c>
      <c r="E172" s="1491"/>
      <c r="F172" s="1494" t="s">
        <v>288</v>
      </c>
      <c r="G172" s="2"/>
      <c r="H172" s="697">
        <f t="shared" si="49"/>
        <v>59</v>
      </c>
      <c r="I172" s="697">
        <f>IF(D172="","",VLOOKUP(D172,B$38:Y133,19,FALSE))</f>
        <v>107</v>
      </c>
      <c r="J172" s="2"/>
      <c r="K172" s="1615">
        <v>1230</v>
      </c>
      <c r="L172" s="1593">
        <v>705</v>
      </c>
      <c r="M172" s="1593">
        <v>1250</v>
      </c>
      <c r="N172" s="1491"/>
      <c r="O172" s="1491"/>
      <c r="P172" s="1616"/>
      <c r="Q172" s="1494">
        <v>24.2</v>
      </c>
      <c r="R172" s="1491"/>
      <c r="S172" s="966">
        <f t="shared" ref="S172:S175" si="56">IF(Q172="","",1.00025205+(7.59*Q172-5.32*POWER(Q172,2))/1000000)</f>
        <v>0.99732012320000007</v>
      </c>
      <c r="T172" s="2"/>
      <c r="U172" s="1494">
        <v>0.97</v>
      </c>
      <c r="V172" s="151" t="str">
        <f t="shared" si="50"/>
        <v/>
      </c>
      <c r="W172" s="152">
        <f t="shared" si="51"/>
        <v>2.2508325716256881</v>
      </c>
      <c r="X172" s="152" t="str">
        <f t="shared" si="52"/>
        <v/>
      </c>
      <c r="Y172" s="700" t="str">
        <f t="shared" si="55"/>
        <v/>
      </c>
      <c r="Z172" s="964">
        <f t="shared" si="53"/>
        <v>2.2508325716256881</v>
      </c>
      <c r="AA172" s="134"/>
      <c r="AB172" s="4"/>
      <c r="AC172" s="4"/>
      <c r="AH172" s="186"/>
      <c r="AJ172" s="980"/>
    </row>
    <row r="173" spans="1:41" ht="14.5" x14ac:dyDescent="0.35">
      <c r="A173" s="4"/>
      <c r="B173" s="2">
        <f>IF(D173="","",VLOOKUP(D173,B$38:Y127,3,FALSE))</f>
        <v>3.5500000000000003</v>
      </c>
      <c r="C173" s="2"/>
      <c r="D173" s="1494" t="s">
        <v>1514</v>
      </c>
      <c r="E173" s="1491"/>
      <c r="F173" s="1494" t="s">
        <v>288</v>
      </c>
      <c r="G173" s="2"/>
      <c r="H173" s="697">
        <f t="shared" si="49"/>
        <v>65</v>
      </c>
      <c r="I173" s="697">
        <f>IF(D173="","",VLOOKUP(D173,B$38:Y134,19,FALSE))</f>
        <v>101.6</v>
      </c>
      <c r="J173" s="2"/>
      <c r="K173" s="1615">
        <v>1230</v>
      </c>
      <c r="L173" s="1593">
        <v>710</v>
      </c>
      <c r="M173" s="1593">
        <v>1235</v>
      </c>
      <c r="N173" s="1491"/>
      <c r="O173" s="1491"/>
      <c r="P173" s="1616"/>
      <c r="Q173" s="1494">
        <v>24.3</v>
      </c>
      <c r="R173" s="1491"/>
      <c r="S173" s="966">
        <f t="shared" si="56"/>
        <v>0.99729508020000002</v>
      </c>
      <c r="T173" s="2"/>
      <c r="U173" s="1494">
        <v>0.97</v>
      </c>
      <c r="V173" s="151" t="str">
        <f t="shared" si="50"/>
        <v/>
      </c>
      <c r="W173" s="152">
        <f t="shared" si="51"/>
        <v>2.3365199021828573</v>
      </c>
      <c r="X173" s="152" t="str">
        <f t="shared" si="52"/>
        <v/>
      </c>
      <c r="Y173" s="700" t="str">
        <f t="shared" si="55"/>
        <v/>
      </c>
      <c r="Z173" s="964">
        <f t="shared" si="53"/>
        <v>2.3365199021828573</v>
      </c>
      <c r="AA173" s="134"/>
      <c r="AB173" s="4"/>
      <c r="AC173" s="4"/>
      <c r="AH173" s="186"/>
      <c r="AJ173" s="980"/>
    </row>
    <row r="174" spans="1:41" ht="14.5" x14ac:dyDescent="0.35">
      <c r="A174" s="4"/>
      <c r="B174" s="2">
        <f>IF(D174="","",VLOOKUP(D174,B$38:Y127,3,FALSE))</f>
        <v>3.5500000000000003</v>
      </c>
      <c r="C174" s="2"/>
      <c r="D174" s="1494" t="s">
        <v>1515</v>
      </c>
      <c r="E174" s="1491"/>
      <c r="F174" s="1494" t="s">
        <v>428</v>
      </c>
      <c r="G174" s="2"/>
      <c r="H174" s="697">
        <f t="shared" si="49"/>
        <v>64</v>
      </c>
      <c r="I174" s="697">
        <f>IF(D174="","",VLOOKUP(D174,B$38:Y135,19,FALSE))</f>
        <v>102</v>
      </c>
      <c r="J174" s="140"/>
      <c r="K174" s="1615"/>
      <c r="L174" s="1593"/>
      <c r="M174" s="1593"/>
      <c r="N174" s="1491"/>
      <c r="O174" s="1491"/>
      <c r="P174" s="1616"/>
      <c r="Q174" s="1494">
        <v>24.4</v>
      </c>
      <c r="R174" s="1491"/>
      <c r="S174" s="966">
        <f t="shared" si="56"/>
        <v>0.99726993080000004</v>
      </c>
      <c r="T174" s="2"/>
      <c r="U174" s="1494">
        <v>0.97</v>
      </c>
      <c r="V174" s="151" t="str">
        <f t="shared" si="50"/>
        <v/>
      </c>
      <c r="W174" s="152" t="str">
        <f t="shared" si="51"/>
        <v/>
      </c>
      <c r="X174" s="152" t="str">
        <f t="shared" si="52"/>
        <v/>
      </c>
      <c r="Y174" s="700" t="str">
        <f t="shared" si="55"/>
        <v/>
      </c>
      <c r="Z174" s="964" t="str">
        <f t="shared" si="53"/>
        <v/>
      </c>
      <c r="AA174" s="134"/>
      <c r="AB174" s="4"/>
      <c r="AC174" s="4"/>
      <c r="AH174" s="186"/>
      <c r="AJ174" s="980"/>
    </row>
    <row r="175" spans="1:41" ht="14.5" x14ac:dyDescent="0.35">
      <c r="A175" s="4"/>
      <c r="B175" s="2">
        <f>IF(D175="","",VLOOKUP(D175,B$38:Y127,3,FALSE))</f>
        <v>3.5500000000000003</v>
      </c>
      <c r="C175" s="2"/>
      <c r="D175" s="1494" t="s">
        <v>1516</v>
      </c>
      <c r="E175" s="1491"/>
      <c r="F175" s="1494" t="s">
        <v>428</v>
      </c>
      <c r="G175" s="2"/>
      <c r="H175" s="697">
        <f t="shared" si="49"/>
        <v>63</v>
      </c>
      <c r="I175" s="697">
        <f>IF(D175="","",VLOOKUP(D175,B$38:Y136,19,FALSE))</f>
        <v>103</v>
      </c>
      <c r="J175" s="2"/>
      <c r="K175" s="1615"/>
      <c r="L175" s="1593"/>
      <c r="M175" s="1593"/>
      <c r="N175" s="1491"/>
      <c r="O175" s="1491"/>
      <c r="P175" s="1616"/>
      <c r="Q175" s="1494">
        <v>24.5</v>
      </c>
      <c r="R175" s="1491"/>
      <c r="S175" s="966">
        <f t="shared" si="56"/>
        <v>0.99724467500000002</v>
      </c>
      <c r="T175" s="2"/>
      <c r="U175" s="1494">
        <v>0.97</v>
      </c>
      <c r="V175" s="151" t="str">
        <f t="shared" si="50"/>
        <v/>
      </c>
      <c r="W175" s="152" t="str">
        <f t="shared" si="51"/>
        <v/>
      </c>
      <c r="X175" s="152" t="str">
        <f t="shared" si="52"/>
        <v/>
      </c>
      <c r="Y175" s="700" t="str">
        <f t="shared" si="55"/>
        <v/>
      </c>
      <c r="Z175" s="964" t="str">
        <f t="shared" si="53"/>
        <v/>
      </c>
      <c r="AA175" s="134"/>
      <c r="AB175" s="4"/>
      <c r="AC175" s="4"/>
      <c r="AH175" s="186"/>
      <c r="AJ175" s="980"/>
    </row>
    <row r="176" spans="1:41" ht="14.5" x14ac:dyDescent="0.35">
      <c r="A176" s="4"/>
      <c r="B176" s="2" t="e">
        <f>IF(D176="","",VLOOKUP(D176,B$38:Y127,3,FALSE))</f>
        <v>#N/A</v>
      </c>
      <c r="C176" s="2"/>
      <c r="D176" s="1494" t="s">
        <v>987</v>
      </c>
      <c r="E176" s="1491"/>
      <c r="F176" s="1494" t="s">
        <v>428</v>
      </c>
      <c r="G176" s="2"/>
      <c r="H176" s="133" t="e">
        <f t="shared" si="49"/>
        <v>#N/A</v>
      </c>
      <c r="I176" s="133" t="e">
        <f>IF(D176="","",VLOOKUP(D176,B$38:Y137,19,FALSE))</f>
        <v>#N/A</v>
      </c>
      <c r="J176" s="2"/>
      <c r="K176" s="1615">
        <v>1220</v>
      </c>
      <c r="L176" s="1593">
        <v>700</v>
      </c>
      <c r="M176" s="1593">
        <v>1225</v>
      </c>
      <c r="N176" s="1491"/>
      <c r="O176" s="1491"/>
      <c r="P176" s="1616"/>
      <c r="Q176" s="1494">
        <v>24.1</v>
      </c>
      <c r="R176" s="1491"/>
      <c r="S176" s="979">
        <f>IF(Q176="","",1.00025205+(7.59*Q176-5.32*POWER(Q176,2))/1000000)</f>
        <v>0.9973450598000001</v>
      </c>
      <c r="T176" s="2"/>
      <c r="U176" s="1624">
        <v>0.97</v>
      </c>
      <c r="V176" s="151" t="str">
        <f t="shared" si="50"/>
        <v/>
      </c>
      <c r="W176" s="152" t="str">
        <f t="shared" si="51"/>
        <v/>
      </c>
      <c r="X176" s="152">
        <f t="shared" si="52"/>
        <v>2.3405593922483203</v>
      </c>
      <c r="Y176" s="700" t="str">
        <f t="shared" si="55"/>
        <v/>
      </c>
      <c r="Z176" s="964">
        <f t="shared" si="53"/>
        <v>2.3405593922483203</v>
      </c>
      <c r="AA176" s="134"/>
      <c r="AB176" s="4"/>
      <c r="AC176" s="4"/>
      <c r="AH176" s="186"/>
      <c r="AJ176" s="980"/>
    </row>
    <row r="177" spans="1:36" ht="14.5" x14ac:dyDescent="0.35">
      <c r="A177" s="4"/>
      <c r="B177" s="2" t="e">
        <f>IF(D177="","",VLOOKUP(D177,B$38:Y127,3,FALSE))</f>
        <v>#N/A</v>
      </c>
      <c r="C177" s="2"/>
      <c r="D177" s="1494" t="s">
        <v>988</v>
      </c>
      <c r="E177" s="1491"/>
      <c r="F177" s="1494" t="s">
        <v>428</v>
      </c>
      <c r="G177" s="2"/>
      <c r="H177" s="697" t="e">
        <f t="shared" si="49"/>
        <v>#N/A</v>
      </c>
      <c r="I177" s="697" t="e">
        <f>IF(D177="","",VLOOKUP(D177,B$38:Y138,19,FALSE))</f>
        <v>#N/A</v>
      </c>
      <c r="J177" s="2"/>
      <c r="K177" s="1615">
        <v>1230</v>
      </c>
      <c r="L177" s="1593">
        <v>705</v>
      </c>
      <c r="M177" s="1593">
        <v>1250</v>
      </c>
      <c r="N177" s="1491"/>
      <c r="O177" s="1491"/>
      <c r="P177" s="1616"/>
      <c r="Q177" s="1494">
        <v>24.2</v>
      </c>
      <c r="R177" s="1491"/>
      <c r="S177" s="966">
        <f t="shared" ref="S177:S180" si="57">IF(Q177="","",1.00025205+(7.59*Q177-5.32*POWER(Q177,2))/1000000)</f>
        <v>0.99732012320000007</v>
      </c>
      <c r="T177" s="2"/>
      <c r="U177" s="1494">
        <v>0.97</v>
      </c>
      <c r="V177" s="151" t="str">
        <f t="shared" si="50"/>
        <v/>
      </c>
      <c r="W177" s="152" t="str">
        <f t="shared" si="51"/>
        <v/>
      </c>
      <c r="X177" s="152">
        <f t="shared" si="52"/>
        <v>2.3390883114517642</v>
      </c>
      <c r="Y177" s="700" t="str">
        <f t="shared" si="55"/>
        <v/>
      </c>
      <c r="Z177" s="964">
        <f t="shared" si="53"/>
        <v>2.3390883114517642</v>
      </c>
      <c r="AA177" s="134"/>
      <c r="AB177" s="4"/>
      <c r="AC177" s="4"/>
      <c r="AH177" s="186"/>
      <c r="AJ177" s="980"/>
    </row>
    <row r="178" spans="1:36" ht="14.5" x14ac:dyDescent="0.35">
      <c r="A178" s="4"/>
      <c r="B178" s="2" t="e">
        <f>IF(D178="","",VLOOKUP(D178,B$38:Y127,3,FALSE))</f>
        <v>#N/A</v>
      </c>
      <c r="C178" s="2"/>
      <c r="D178" s="1494" t="s">
        <v>989</v>
      </c>
      <c r="E178" s="1491"/>
      <c r="F178" s="1494" t="s">
        <v>428</v>
      </c>
      <c r="G178" s="2"/>
      <c r="H178" s="697" t="e">
        <f t="shared" si="49"/>
        <v>#N/A</v>
      </c>
      <c r="I178" s="697" t="e">
        <f>IF(D178="","",VLOOKUP(D178,B$38:Y139,19,FALSE))</f>
        <v>#N/A</v>
      </c>
      <c r="J178" s="2"/>
      <c r="K178" s="1615">
        <v>1230</v>
      </c>
      <c r="L178" s="1593">
        <v>710</v>
      </c>
      <c r="M178" s="1593">
        <v>1235</v>
      </c>
      <c r="N178" s="1491"/>
      <c r="O178" s="1491"/>
      <c r="P178" s="1616"/>
      <c r="Q178" s="1494">
        <v>24.3</v>
      </c>
      <c r="R178" s="1491"/>
      <c r="S178" s="966">
        <f t="shared" si="57"/>
        <v>0.99729508020000002</v>
      </c>
      <c r="T178" s="2"/>
      <c r="U178" s="1494">
        <v>0.97</v>
      </c>
      <c r="V178" s="151" t="str">
        <f t="shared" si="50"/>
        <v/>
      </c>
      <c r="W178" s="152" t="str">
        <f t="shared" si="51"/>
        <v/>
      </c>
      <c r="X178" s="152">
        <f t="shared" si="52"/>
        <v>2.3596248829078603</v>
      </c>
      <c r="Y178" s="700" t="str">
        <f t="shared" si="55"/>
        <v/>
      </c>
      <c r="Z178" s="964">
        <f t="shared" si="53"/>
        <v>2.3596248829078603</v>
      </c>
      <c r="AA178" s="134"/>
      <c r="AB178" s="4"/>
      <c r="AC178" s="4"/>
      <c r="AH178" s="186"/>
      <c r="AJ178" s="980"/>
    </row>
    <row r="179" spans="1:36" ht="14.5" x14ac:dyDescent="0.35">
      <c r="A179" s="4"/>
      <c r="B179" s="2" t="e">
        <f>IF(D179="","",VLOOKUP(D179,B$38:Y127,3,FALSE))</f>
        <v>#N/A</v>
      </c>
      <c r="C179" s="2"/>
      <c r="D179" s="1494" t="s">
        <v>990</v>
      </c>
      <c r="E179" s="1491"/>
      <c r="F179" s="1494" t="s">
        <v>428</v>
      </c>
      <c r="G179" s="2"/>
      <c r="H179" s="697" t="e">
        <f t="shared" si="49"/>
        <v>#N/A</v>
      </c>
      <c r="I179" s="697" t="e">
        <f>IF(D179="","",VLOOKUP(D179,B$38:Y140,19,FALSE))</f>
        <v>#N/A</v>
      </c>
      <c r="J179" s="140"/>
      <c r="K179" s="1615"/>
      <c r="L179" s="1593"/>
      <c r="M179" s="1593"/>
      <c r="N179" s="1491"/>
      <c r="O179" s="1491"/>
      <c r="P179" s="1616"/>
      <c r="Q179" s="1494">
        <v>24.4</v>
      </c>
      <c r="R179" s="1491"/>
      <c r="S179" s="966">
        <f t="shared" si="57"/>
        <v>0.99726993080000004</v>
      </c>
      <c r="T179" s="2"/>
      <c r="U179" s="1494">
        <v>0.97</v>
      </c>
      <c r="V179" s="151" t="str">
        <f t="shared" si="50"/>
        <v/>
      </c>
      <c r="W179" s="152" t="str">
        <f t="shared" si="51"/>
        <v/>
      </c>
      <c r="X179" s="152" t="str">
        <f t="shared" si="52"/>
        <v/>
      </c>
      <c r="Y179" s="700" t="str">
        <f t="shared" si="55"/>
        <v/>
      </c>
      <c r="Z179" s="964" t="str">
        <f t="shared" si="53"/>
        <v/>
      </c>
      <c r="AA179" s="134"/>
      <c r="AB179" s="4"/>
      <c r="AC179" s="4"/>
      <c r="AH179" s="186"/>
      <c r="AJ179" s="980"/>
    </row>
    <row r="180" spans="1:36" ht="14.5" x14ac:dyDescent="0.35">
      <c r="A180" s="4"/>
      <c r="B180" s="2" t="e">
        <f>IF(D180="","",VLOOKUP(D180,B$38:Y127,3,FALSE))</f>
        <v>#N/A</v>
      </c>
      <c r="C180" s="2"/>
      <c r="D180" s="1494" t="s">
        <v>991</v>
      </c>
      <c r="E180" s="1491"/>
      <c r="F180" s="1494" t="s">
        <v>428</v>
      </c>
      <c r="G180" s="2"/>
      <c r="H180" s="697" t="e">
        <f t="shared" si="49"/>
        <v>#N/A</v>
      </c>
      <c r="I180" s="697" t="e">
        <f>IF(D180="","",VLOOKUP(D180,B$38:Y141,19,FALSE))</f>
        <v>#N/A</v>
      </c>
      <c r="J180" s="2"/>
      <c r="K180" s="1615"/>
      <c r="L180" s="1593"/>
      <c r="M180" s="1593"/>
      <c r="N180" s="1491"/>
      <c r="O180" s="1491"/>
      <c r="P180" s="1616"/>
      <c r="Q180" s="1494">
        <v>24.5</v>
      </c>
      <c r="R180" s="1491"/>
      <c r="S180" s="966">
        <f t="shared" si="57"/>
        <v>0.99724467500000002</v>
      </c>
      <c r="T180" s="2"/>
      <c r="U180" s="1494">
        <v>0.97</v>
      </c>
      <c r="V180" s="151" t="str">
        <f t="shared" si="50"/>
        <v/>
      </c>
      <c r="W180" s="152" t="str">
        <f t="shared" si="51"/>
        <v/>
      </c>
      <c r="X180" s="152" t="str">
        <f t="shared" si="52"/>
        <v/>
      </c>
      <c r="Y180" s="700" t="str">
        <f t="shared" si="55"/>
        <v/>
      </c>
      <c r="Z180" s="964" t="str">
        <f t="shared" si="53"/>
        <v/>
      </c>
      <c r="AA180" s="134"/>
      <c r="AB180" s="4"/>
      <c r="AC180" s="4"/>
      <c r="AH180" s="186"/>
      <c r="AJ180" s="980"/>
    </row>
    <row r="181" spans="1:36" ht="14.5" x14ac:dyDescent="0.35">
      <c r="A181" s="4"/>
      <c r="B181" s="2" t="e">
        <f>IF(D181="","",VLOOKUP(D181,B$38:Y127,3,FALSE))</f>
        <v>#N/A</v>
      </c>
      <c r="C181" s="2"/>
      <c r="D181" s="1494" t="s">
        <v>992</v>
      </c>
      <c r="E181" s="1491"/>
      <c r="F181" s="1494" t="s">
        <v>428</v>
      </c>
      <c r="G181" s="2"/>
      <c r="H181" s="697" t="e">
        <f t="shared" si="49"/>
        <v>#N/A</v>
      </c>
      <c r="I181" s="697" t="e">
        <f>IF(D181="","",VLOOKUP(D181,B$38:Y142,19,FALSE))</f>
        <v>#N/A</v>
      </c>
      <c r="J181" s="140"/>
      <c r="K181" s="1615"/>
      <c r="L181" s="1593"/>
      <c r="M181" s="1593"/>
      <c r="N181" s="1491"/>
      <c r="O181" s="1491"/>
      <c r="P181" s="1616"/>
      <c r="Q181" s="1494">
        <v>24.4</v>
      </c>
      <c r="R181" s="1491"/>
      <c r="S181" s="966">
        <f t="shared" ref="S181:S182" si="58">IF(Q181="","",1.00025205+(7.59*Q181-5.32*POWER(Q181,2))/1000000)</f>
        <v>0.99726993080000004</v>
      </c>
      <c r="T181" s="2"/>
      <c r="U181" s="1494">
        <v>0.97</v>
      </c>
      <c r="V181" s="151" t="str">
        <f t="shared" si="50"/>
        <v/>
      </c>
      <c r="W181" s="152" t="str">
        <f t="shared" si="51"/>
        <v/>
      </c>
      <c r="X181" s="152" t="str">
        <f t="shared" si="52"/>
        <v/>
      </c>
      <c r="Y181" s="700" t="str">
        <f t="shared" si="55"/>
        <v/>
      </c>
      <c r="Z181" s="964" t="str">
        <f t="shared" si="53"/>
        <v/>
      </c>
      <c r="AA181" s="134"/>
      <c r="AB181" s="4"/>
      <c r="AC181" s="4"/>
      <c r="AH181" s="186"/>
      <c r="AJ181" s="980"/>
    </row>
    <row r="182" spans="1:36" ht="15" thickBot="1" x14ac:dyDescent="0.4">
      <c r="A182" s="4"/>
      <c r="B182" s="10" t="e">
        <f>IF(D182="","",VLOOKUP(D182,B$38:Y127,3,FALSE))</f>
        <v>#N/A</v>
      </c>
      <c r="C182" s="10"/>
      <c r="D182" s="1592" t="s">
        <v>993</v>
      </c>
      <c r="E182" s="1495"/>
      <c r="F182" s="1592" t="s">
        <v>428</v>
      </c>
      <c r="G182" s="10"/>
      <c r="H182" s="971" t="e">
        <f t="shared" si="49"/>
        <v>#N/A</v>
      </c>
      <c r="I182" s="971" t="e">
        <f>IF(D182="","",VLOOKUP(D182,B$38:Y143,19,FALSE))</f>
        <v>#N/A</v>
      </c>
      <c r="J182" s="10"/>
      <c r="K182" s="1619"/>
      <c r="L182" s="1595"/>
      <c r="M182" s="1595"/>
      <c r="N182" s="1495"/>
      <c r="O182" s="1495"/>
      <c r="P182" s="1620"/>
      <c r="Q182" s="1592">
        <v>24.5</v>
      </c>
      <c r="R182" s="1495"/>
      <c r="S182" s="973">
        <f t="shared" si="58"/>
        <v>0.99724467500000002</v>
      </c>
      <c r="T182" s="10"/>
      <c r="U182" s="1592">
        <v>0.97</v>
      </c>
      <c r="V182" s="974" t="str">
        <f t="shared" si="50"/>
        <v/>
      </c>
      <c r="W182" s="975" t="str">
        <f t="shared" si="51"/>
        <v/>
      </c>
      <c r="X182" s="975" t="str">
        <f t="shared" si="52"/>
        <v/>
      </c>
      <c r="Y182" s="976" t="str">
        <f t="shared" si="55"/>
        <v/>
      </c>
      <c r="Z182" s="977" t="str">
        <f t="shared" si="53"/>
        <v/>
      </c>
      <c r="AA182" s="134"/>
      <c r="AB182" s="4"/>
      <c r="AC182" s="4"/>
      <c r="AH182" s="186"/>
      <c r="AJ182" s="980"/>
    </row>
    <row r="183" spans="1:36" ht="15" thickTop="1" x14ac:dyDescent="0.35">
      <c r="A183" s="4"/>
      <c r="B183" s="9">
        <f>IF(D183="","",VLOOKUP(D183,B$38:Y127,3,FALSE))</f>
        <v>3.85</v>
      </c>
      <c r="C183" s="9"/>
      <c r="D183" s="1591" t="s">
        <v>358</v>
      </c>
      <c r="E183" s="1611"/>
      <c r="F183" s="1591" t="s">
        <v>428</v>
      </c>
      <c r="G183" s="9"/>
      <c r="H183" s="967">
        <f t="shared" si="49"/>
        <v>75</v>
      </c>
      <c r="I183" s="967">
        <f>IF(D183="","",VLOOKUP(D183,B$38:Y132,19,FALSE))</f>
        <v>101.1</v>
      </c>
      <c r="J183" s="968"/>
      <c r="K183" s="1621">
        <v>1120</v>
      </c>
      <c r="L183" s="1594">
        <v>700</v>
      </c>
      <c r="M183" s="1594">
        <v>1225</v>
      </c>
      <c r="N183" s="1611"/>
      <c r="O183" s="1611"/>
      <c r="P183" s="1622"/>
      <c r="Q183" s="1591">
        <v>24.6</v>
      </c>
      <c r="R183" s="1611"/>
      <c r="S183" s="969">
        <f t="shared" si="54"/>
        <v>0.99721931280000009</v>
      </c>
      <c r="T183" s="9"/>
      <c r="U183" s="1591">
        <v>0.97</v>
      </c>
      <c r="V183" s="1310" t="str">
        <f t="shared" si="50"/>
        <v/>
      </c>
      <c r="W183" s="1311" t="str">
        <f t="shared" si="51"/>
        <v/>
      </c>
      <c r="X183" s="1311">
        <f t="shared" si="52"/>
        <v>2.6780387104261854</v>
      </c>
      <c r="Y183" s="1312" t="str">
        <f t="shared" si="55"/>
        <v/>
      </c>
      <c r="Z183" s="970">
        <f t="shared" si="53"/>
        <v>2.6780387104261854</v>
      </c>
      <c r="AA183" s="134"/>
      <c r="AB183" s="4"/>
      <c r="AC183" s="4"/>
      <c r="AH183" s="186"/>
      <c r="AJ183" s="980"/>
    </row>
    <row r="184" spans="1:36" ht="14.5" x14ac:dyDescent="0.35">
      <c r="A184" s="4"/>
      <c r="B184" s="2">
        <f>IF(D184="","",VLOOKUP(D184,B$38:Y127,3,FALSE))</f>
        <v>3.85</v>
      </c>
      <c r="C184" s="2"/>
      <c r="D184" s="1494" t="s">
        <v>359</v>
      </c>
      <c r="E184" s="1491"/>
      <c r="F184" s="1494" t="s">
        <v>428</v>
      </c>
      <c r="G184" s="2"/>
      <c r="H184" s="697">
        <f t="shared" si="49"/>
        <v>74</v>
      </c>
      <c r="I184" s="697">
        <f>IF(D184="","",VLOOKUP(D184,B$38:Y133,19,FALSE))</f>
        <v>101.2</v>
      </c>
      <c r="J184" s="140"/>
      <c r="K184" s="1615">
        <v>1130</v>
      </c>
      <c r="L184" s="1593">
        <v>705</v>
      </c>
      <c r="M184" s="1593">
        <v>1250</v>
      </c>
      <c r="N184" s="1491"/>
      <c r="O184" s="1491"/>
      <c r="P184" s="1616"/>
      <c r="Q184" s="1494">
        <v>24.7</v>
      </c>
      <c r="R184" s="1491"/>
      <c r="S184" s="966">
        <f t="shared" si="54"/>
        <v>0.99719384420000001</v>
      </c>
      <c r="T184" s="2"/>
      <c r="U184" s="1494">
        <v>0.97</v>
      </c>
      <c r="V184" s="1301" t="str">
        <f t="shared" si="50"/>
        <v/>
      </c>
      <c r="W184" s="1302" t="str">
        <f t="shared" si="51"/>
        <v/>
      </c>
      <c r="X184" s="1302">
        <f t="shared" si="52"/>
        <v>2.67251739289294</v>
      </c>
      <c r="Y184" s="1306" t="str">
        <f t="shared" si="55"/>
        <v/>
      </c>
      <c r="Z184" s="964">
        <f t="shared" si="53"/>
        <v>2.67251739289294</v>
      </c>
      <c r="AA184" s="134"/>
      <c r="AB184" s="4"/>
      <c r="AC184" s="4"/>
      <c r="AH184" s="186"/>
      <c r="AJ184" s="980"/>
    </row>
    <row r="185" spans="1:36" ht="14.5" x14ac:dyDescent="0.35">
      <c r="A185" s="4"/>
      <c r="B185" s="49">
        <f>IF(D185="","",VLOOKUP(D185,B$38:Y127,3,FALSE))</f>
        <v>3.85</v>
      </c>
      <c r="C185" s="49"/>
      <c r="D185" s="1515" t="s">
        <v>360</v>
      </c>
      <c r="E185" s="1528"/>
      <c r="F185" s="1515" t="s">
        <v>428</v>
      </c>
      <c r="G185" s="49"/>
      <c r="H185" s="1439">
        <f t="shared" si="49"/>
        <v>73</v>
      </c>
      <c r="I185" s="1439">
        <f>IF(D185="","",VLOOKUP(D185,B$38:Y134,19,FALSE))</f>
        <v>101.3</v>
      </c>
      <c r="J185" s="145"/>
      <c r="K185" s="1617">
        <v>1130</v>
      </c>
      <c r="L185" s="1609">
        <v>710</v>
      </c>
      <c r="M185" s="1609">
        <v>1235</v>
      </c>
      <c r="N185" s="1528"/>
      <c r="O185" s="1528"/>
      <c r="P185" s="1618"/>
      <c r="Q185" s="1515">
        <v>24.8</v>
      </c>
      <c r="R185" s="1528"/>
      <c r="S185" s="1440">
        <f t="shared" si="54"/>
        <v>0.99716826920000001</v>
      </c>
      <c r="T185" s="49"/>
      <c r="U185" s="1515">
        <v>0.97</v>
      </c>
      <c r="V185" s="1441" t="str">
        <f t="shared" si="50"/>
        <v/>
      </c>
      <c r="W185" s="1442" t="str">
        <f t="shared" si="51"/>
        <v/>
      </c>
      <c r="X185" s="1442">
        <f t="shared" si="52"/>
        <v>2.7017756740237067</v>
      </c>
      <c r="Y185" s="1443" t="str">
        <f t="shared" si="55"/>
        <v/>
      </c>
      <c r="Z185" s="1444">
        <f t="shared" si="53"/>
        <v>2.7017756740237067</v>
      </c>
      <c r="AA185" s="134"/>
      <c r="AB185" s="4"/>
      <c r="AC185" s="4"/>
      <c r="AH185" s="186"/>
      <c r="AJ185" s="980"/>
    </row>
    <row r="186" spans="1:36" ht="14.5" x14ac:dyDescent="0.35">
      <c r="A186" s="4"/>
      <c r="B186" s="2">
        <f>IF(D186="","",VLOOKUP(D186,B$38:Y127,3,FALSE))</f>
        <v>3.85</v>
      </c>
      <c r="C186" s="2"/>
      <c r="D186" s="1494" t="s">
        <v>361</v>
      </c>
      <c r="E186" s="1491"/>
      <c r="F186" s="1494" t="s">
        <v>428</v>
      </c>
      <c r="G186" s="2"/>
      <c r="H186" s="697">
        <f t="shared" si="49"/>
        <v>72</v>
      </c>
      <c r="I186" s="697">
        <f>IF(D186="","",VLOOKUP(D186,B$38:Y135,19,FALSE))</f>
        <v>101.4</v>
      </c>
      <c r="J186" s="140"/>
      <c r="K186" s="1615"/>
      <c r="L186" s="1593"/>
      <c r="M186" s="1593"/>
      <c r="N186" s="1491"/>
      <c r="O186" s="1491"/>
      <c r="P186" s="1616"/>
      <c r="Q186" s="1494">
        <v>24.9</v>
      </c>
      <c r="R186" s="1491"/>
      <c r="S186" s="966">
        <f t="shared" si="54"/>
        <v>0.99714258780000009</v>
      </c>
      <c r="T186" s="2"/>
      <c r="U186" s="1494">
        <v>0.97</v>
      </c>
      <c r="V186" s="151" t="str">
        <f t="shared" si="50"/>
        <v/>
      </c>
      <c r="W186" s="152" t="str">
        <f t="shared" si="51"/>
        <v/>
      </c>
      <c r="X186" s="152" t="str">
        <f t="shared" si="52"/>
        <v/>
      </c>
      <c r="Y186" s="700" t="str">
        <f t="shared" si="55"/>
        <v/>
      </c>
      <c r="Z186" s="964" t="str">
        <f t="shared" si="53"/>
        <v/>
      </c>
      <c r="AA186" s="134"/>
      <c r="AB186" s="4"/>
      <c r="AC186" s="4"/>
      <c r="AH186" s="186"/>
      <c r="AJ186" s="980"/>
    </row>
    <row r="187" spans="1:36" ht="14.5" x14ac:dyDescent="0.35">
      <c r="A187" s="4"/>
      <c r="B187" s="2">
        <f>IF(D187="","",VLOOKUP(D187,B$38:Y127,3,FALSE))</f>
        <v>3.85</v>
      </c>
      <c r="C187" s="2"/>
      <c r="D187" s="1494" t="s">
        <v>362</v>
      </c>
      <c r="E187" s="1491"/>
      <c r="F187" s="1494" t="s">
        <v>428</v>
      </c>
      <c r="G187" s="2"/>
      <c r="H187" s="697">
        <f t="shared" si="49"/>
        <v>71</v>
      </c>
      <c r="I187" s="697">
        <f>IF(D187="","",VLOOKUP(D187,B$38:Y136,19,FALSE))</f>
        <v>101.5</v>
      </c>
      <c r="J187" s="140"/>
      <c r="K187" s="1615"/>
      <c r="L187" s="1593"/>
      <c r="M187" s="1593"/>
      <c r="N187" s="1491"/>
      <c r="O187" s="1491"/>
      <c r="P187" s="1616"/>
      <c r="Q187" s="1494">
        <v>25</v>
      </c>
      <c r="R187" s="1491"/>
      <c r="S187" s="966">
        <f t="shared" si="54"/>
        <v>0.99711680000000003</v>
      </c>
      <c r="T187" s="2"/>
      <c r="U187" s="1494">
        <v>0.97</v>
      </c>
      <c r="V187" s="151" t="str">
        <f t="shared" si="50"/>
        <v/>
      </c>
      <c r="W187" s="152" t="str">
        <f t="shared" si="51"/>
        <v/>
      </c>
      <c r="X187" s="152" t="str">
        <f t="shared" si="52"/>
        <v/>
      </c>
      <c r="Y187" s="700" t="str">
        <f t="shared" si="55"/>
        <v/>
      </c>
      <c r="Z187" s="964" t="str">
        <f t="shared" si="53"/>
        <v/>
      </c>
      <c r="AA187" s="134"/>
      <c r="AB187" s="4"/>
      <c r="AC187" s="4"/>
      <c r="AH187" s="186"/>
      <c r="AJ187" s="980"/>
    </row>
    <row r="188" spans="1:36" ht="14.5" x14ac:dyDescent="0.35">
      <c r="A188" s="4"/>
      <c r="B188" s="2">
        <f>IF(D188="","",VLOOKUP(D188,B$38:Y127,3,FALSE))</f>
        <v>3.85</v>
      </c>
      <c r="C188" s="2"/>
      <c r="D188" s="1494" t="s">
        <v>1527</v>
      </c>
      <c r="E188" s="1491"/>
      <c r="F188" s="1494" t="s">
        <v>428</v>
      </c>
      <c r="G188" s="2"/>
      <c r="H188" s="697">
        <f t="shared" si="49"/>
        <v>70</v>
      </c>
      <c r="I188" s="697">
        <f>IF(D188="","",VLOOKUP(D188,B$38:Y137,19,FALSE))</f>
        <v>101.6</v>
      </c>
      <c r="J188" s="140"/>
      <c r="K188" s="1615">
        <v>1120</v>
      </c>
      <c r="L188" s="1593">
        <v>700</v>
      </c>
      <c r="M188" s="1593">
        <v>1225</v>
      </c>
      <c r="N188" s="1491"/>
      <c r="O188" s="1491"/>
      <c r="P188" s="1616"/>
      <c r="Q188" s="1494">
        <v>25.1</v>
      </c>
      <c r="R188" s="1491"/>
      <c r="S188" s="966">
        <f t="shared" si="54"/>
        <v>0.99709090580000004</v>
      </c>
      <c r="T188" s="2"/>
      <c r="U188" s="1494">
        <v>0.97</v>
      </c>
      <c r="V188" s="151" t="str">
        <f t="shared" si="50"/>
        <v/>
      </c>
      <c r="W188" s="152" t="str">
        <f t="shared" si="51"/>
        <v/>
      </c>
      <c r="X188" s="152">
        <f t="shared" si="52"/>
        <v>2.6776046323562217</v>
      </c>
      <c r="Y188" s="700" t="str">
        <f t="shared" si="55"/>
        <v/>
      </c>
      <c r="Z188" s="964">
        <f t="shared" si="53"/>
        <v>2.6776046323562217</v>
      </c>
      <c r="AA188" s="134"/>
      <c r="AB188" s="4"/>
      <c r="AC188" s="4"/>
      <c r="AH188" s="186"/>
      <c r="AJ188" s="980"/>
    </row>
    <row r="189" spans="1:36" ht="14.5" x14ac:dyDescent="0.35">
      <c r="A189" s="4"/>
      <c r="B189" s="2">
        <f>IF(D189="","",VLOOKUP(D189,B$38:Y127,3,FALSE))</f>
        <v>3.85</v>
      </c>
      <c r="C189" s="2"/>
      <c r="D189" s="1494" t="s">
        <v>1528</v>
      </c>
      <c r="E189" s="1491"/>
      <c r="F189" s="1494" t="s">
        <v>428</v>
      </c>
      <c r="G189" s="2"/>
      <c r="H189" s="697">
        <f t="shared" si="49"/>
        <v>69</v>
      </c>
      <c r="I189" s="697">
        <f>IF(D189="","",VLOOKUP(D189,B$38:Y138,19,FALSE))</f>
        <v>101.7</v>
      </c>
      <c r="J189" s="140"/>
      <c r="K189" s="1615">
        <v>1130</v>
      </c>
      <c r="L189" s="1593">
        <v>705</v>
      </c>
      <c r="M189" s="1593">
        <v>1250</v>
      </c>
      <c r="N189" s="1491"/>
      <c r="O189" s="1491"/>
      <c r="P189" s="1616"/>
      <c r="Q189" s="1494">
        <v>25.2</v>
      </c>
      <c r="R189" s="1491"/>
      <c r="S189" s="966">
        <f t="shared" si="54"/>
        <v>0.99706490520000002</v>
      </c>
      <c r="T189" s="2"/>
      <c r="U189" s="1494">
        <v>0.97</v>
      </c>
      <c r="V189" s="151" t="str">
        <f t="shared" si="50"/>
        <v/>
      </c>
      <c r="W189" s="152" t="str">
        <f t="shared" si="51"/>
        <v/>
      </c>
      <c r="X189" s="152">
        <f t="shared" si="52"/>
        <v>2.6720707423877994</v>
      </c>
      <c r="Y189" s="700" t="str">
        <f t="shared" si="55"/>
        <v/>
      </c>
      <c r="Z189" s="964">
        <f t="shared" si="53"/>
        <v>2.6720707423877994</v>
      </c>
      <c r="AA189" s="134"/>
      <c r="AB189" s="4"/>
      <c r="AC189" s="4"/>
      <c r="AH189" s="186"/>
      <c r="AJ189" s="980"/>
    </row>
    <row r="190" spans="1:36" ht="14.5" x14ac:dyDescent="0.35">
      <c r="A190" s="4"/>
      <c r="B190" s="2">
        <f>IF(D190="","",VLOOKUP(D190,B$38:Y127,3,FALSE))</f>
        <v>3.85</v>
      </c>
      <c r="C190" s="2"/>
      <c r="D190" s="1494" t="s">
        <v>1529</v>
      </c>
      <c r="E190" s="1491"/>
      <c r="F190" s="1494" t="s">
        <v>428</v>
      </c>
      <c r="G190" s="2"/>
      <c r="H190" s="697">
        <f t="shared" si="49"/>
        <v>75</v>
      </c>
      <c r="I190" s="697">
        <f>IF(D190="","",VLOOKUP(D190,B$38:Y139,19,FALSE))</f>
        <v>101.1</v>
      </c>
      <c r="J190" s="140"/>
      <c r="K190" s="1615">
        <v>1130</v>
      </c>
      <c r="L190" s="1593">
        <v>710</v>
      </c>
      <c r="M190" s="1593">
        <v>1235</v>
      </c>
      <c r="N190" s="1491"/>
      <c r="O190" s="1491"/>
      <c r="P190" s="1616"/>
      <c r="Q190" s="1494">
        <v>25.3</v>
      </c>
      <c r="R190" s="1491"/>
      <c r="S190" s="966">
        <f t="shared" si="54"/>
        <v>0.99703879820000008</v>
      </c>
      <c r="T190" s="2"/>
      <c r="U190" s="1494">
        <v>0.97</v>
      </c>
      <c r="V190" s="151" t="str">
        <f t="shared" si="50"/>
        <v/>
      </c>
      <c r="W190" s="152" t="str">
        <f t="shared" si="51"/>
        <v/>
      </c>
      <c r="X190" s="152">
        <f t="shared" si="52"/>
        <v>2.7013341031270728</v>
      </c>
      <c r="Y190" s="700" t="str">
        <f t="shared" si="55"/>
        <v/>
      </c>
      <c r="Z190" s="964">
        <f t="shared" si="53"/>
        <v>2.7013341031270728</v>
      </c>
      <c r="AA190" s="134"/>
      <c r="AB190" s="4"/>
      <c r="AC190" s="4"/>
      <c r="AH190" s="186"/>
      <c r="AJ190" s="980"/>
    </row>
    <row r="191" spans="1:36" ht="14.5" x14ac:dyDescent="0.35">
      <c r="A191" s="4"/>
      <c r="B191" s="2">
        <f>IF(D191="","",VLOOKUP(D191,B$38:Y127,3,FALSE))</f>
        <v>3.85</v>
      </c>
      <c r="C191" s="2"/>
      <c r="D191" s="1494" t="s">
        <v>1530</v>
      </c>
      <c r="E191" s="1491"/>
      <c r="F191" s="1494" t="s">
        <v>428</v>
      </c>
      <c r="G191" s="2"/>
      <c r="H191" s="697">
        <f t="shared" si="49"/>
        <v>74</v>
      </c>
      <c r="I191" s="697">
        <f>IF(D191="","",VLOOKUP(D191,B$38:Y140,19,FALSE))</f>
        <v>101.2</v>
      </c>
      <c r="J191" s="2"/>
      <c r="K191" s="1615"/>
      <c r="L191" s="1593"/>
      <c r="M191" s="1593"/>
      <c r="N191" s="1491"/>
      <c r="O191" s="1491"/>
      <c r="P191" s="1616"/>
      <c r="Q191" s="1494">
        <v>25.4</v>
      </c>
      <c r="R191" s="1491"/>
      <c r="S191" s="966">
        <f t="shared" si="54"/>
        <v>0.9970125848000001</v>
      </c>
      <c r="T191" s="2"/>
      <c r="U191" s="1494">
        <v>0.97</v>
      </c>
      <c r="V191" s="151" t="str">
        <f t="shared" si="50"/>
        <v/>
      </c>
      <c r="W191" s="152" t="str">
        <f t="shared" si="51"/>
        <v/>
      </c>
      <c r="X191" s="152" t="str">
        <f t="shared" si="52"/>
        <v/>
      </c>
      <c r="Y191" s="700" t="str">
        <f t="shared" si="55"/>
        <v/>
      </c>
      <c r="Z191" s="964" t="str">
        <f t="shared" si="53"/>
        <v/>
      </c>
      <c r="AA191" s="134"/>
      <c r="AB191" s="4"/>
      <c r="AC191" s="4"/>
      <c r="AH191" s="186"/>
      <c r="AJ191" s="980"/>
    </row>
    <row r="192" spans="1:36" ht="14.5" x14ac:dyDescent="0.35">
      <c r="A192" s="4"/>
      <c r="B192" s="2">
        <f>IF(D192="","",VLOOKUP(D192,B$38:Y127,3,FALSE))</f>
        <v>3.85</v>
      </c>
      <c r="C192" s="2"/>
      <c r="D192" s="1494" t="s">
        <v>1531</v>
      </c>
      <c r="E192" s="1491"/>
      <c r="F192" s="1494" t="s">
        <v>428</v>
      </c>
      <c r="G192" s="2"/>
      <c r="H192" s="697">
        <f t="shared" si="49"/>
        <v>73</v>
      </c>
      <c r="I192" s="697">
        <f>IF(D192="","",VLOOKUP(D192,B$38:Y141,19,FALSE))</f>
        <v>101.3</v>
      </c>
      <c r="J192" s="2"/>
      <c r="K192" s="1615"/>
      <c r="L192" s="1593"/>
      <c r="M192" s="1593"/>
      <c r="N192" s="1491"/>
      <c r="O192" s="1491"/>
      <c r="P192" s="1616"/>
      <c r="Q192" s="1494">
        <v>25.5</v>
      </c>
      <c r="R192" s="1491"/>
      <c r="S192" s="966">
        <f t="shared" si="54"/>
        <v>0.99698626500000009</v>
      </c>
      <c r="T192" s="2"/>
      <c r="U192" s="1494">
        <v>0.97</v>
      </c>
      <c r="V192" s="151" t="str">
        <f t="shared" si="50"/>
        <v/>
      </c>
      <c r="W192" s="152" t="str">
        <f t="shared" si="51"/>
        <v/>
      </c>
      <c r="X192" s="152" t="str">
        <f t="shared" si="52"/>
        <v/>
      </c>
      <c r="Y192" s="700" t="str">
        <f t="shared" si="55"/>
        <v/>
      </c>
      <c r="Z192" s="964" t="str">
        <f t="shared" si="53"/>
        <v/>
      </c>
      <c r="AA192" s="134"/>
      <c r="AB192" s="4"/>
      <c r="AC192" s="4"/>
      <c r="AH192" s="186"/>
      <c r="AJ192" s="980"/>
    </row>
    <row r="193" spans="1:36" ht="14.5" x14ac:dyDescent="0.35">
      <c r="A193" s="4"/>
      <c r="B193" s="2" t="e">
        <f>IF(D193="","",VLOOKUP(D193,B$38:Y127,3,FALSE))</f>
        <v>#N/A</v>
      </c>
      <c r="C193" s="2"/>
      <c r="D193" s="1494" t="s">
        <v>987</v>
      </c>
      <c r="E193" s="1491"/>
      <c r="F193" s="1494" t="s">
        <v>428</v>
      </c>
      <c r="G193" s="2"/>
      <c r="H193" s="697" t="e">
        <f t="shared" si="49"/>
        <v>#N/A</v>
      </c>
      <c r="I193" s="697" t="e">
        <f>IF(D193="","",VLOOKUP(D193,B$38:Y142,19,FALSE))</f>
        <v>#N/A</v>
      </c>
      <c r="J193" s="140"/>
      <c r="K193" s="1615">
        <v>1220</v>
      </c>
      <c r="L193" s="1593">
        <v>700</v>
      </c>
      <c r="M193" s="1593">
        <v>1225</v>
      </c>
      <c r="N193" s="1491"/>
      <c r="O193" s="1491"/>
      <c r="P193" s="1616"/>
      <c r="Q193" s="1494">
        <v>24.6</v>
      </c>
      <c r="R193" s="1491"/>
      <c r="S193" s="966">
        <f t="shared" ref="S193:S202" si="59">IF(Q193="","",1.00025205+(7.59*Q193-5.32*POWER(Q193,2))/1000000)</f>
        <v>0.99721931280000009</v>
      </c>
      <c r="T193" s="2"/>
      <c r="U193" s="1494">
        <v>0.97</v>
      </c>
      <c r="V193" s="151" t="str">
        <f t="shared" si="50"/>
        <v/>
      </c>
      <c r="W193" s="152" t="str">
        <f t="shared" si="51"/>
        <v/>
      </c>
      <c r="X193" s="152">
        <f t="shared" si="52"/>
        <v>2.3402613725201866</v>
      </c>
      <c r="Y193" s="700" t="str">
        <f t="shared" si="55"/>
        <v/>
      </c>
      <c r="Z193" s="964">
        <f t="shared" si="53"/>
        <v>2.3402613725201866</v>
      </c>
      <c r="AA193" s="134"/>
      <c r="AB193" s="4"/>
      <c r="AC193" s="4"/>
      <c r="AH193" s="186"/>
      <c r="AJ193" s="980"/>
    </row>
    <row r="194" spans="1:36" ht="14.5" x14ac:dyDescent="0.35">
      <c r="A194" s="4"/>
      <c r="B194" s="2" t="e">
        <f>IF(D194="","",VLOOKUP(D194,B$38:Y127,3,FALSE))</f>
        <v>#N/A</v>
      </c>
      <c r="C194" s="2"/>
      <c r="D194" s="1494" t="s">
        <v>988</v>
      </c>
      <c r="E194" s="1491"/>
      <c r="F194" s="1494" t="s">
        <v>428</v>
      </c>
      <c r="G194" s="2"/>
      <c r="H194" s="697" t="e">
        <f t="shared" si="49"/>
        <v>#N/A</v>
      </c>
      <c r="I194" s="697" t="e">
        <f>IF(D194="","",VLOOKUP(D194,B$38:Y143,19,FALSE))</f>
        <v>#N/A</v>
      </c>
      <c r="J194" s="140"/>
      <c r="K194" s="1615">
        <v>1230</v>
      </c>
      <c r="L194" s="1593">
        <v>705</v>
      </c>
      <c r="M194" s="1593">
        <v>1250</v>
      </c>
      <c r="N194" s="1491"/>
      <c r="O194" s="1491"/>
      <c r="P194" s="1616"/>
      <c r="Q194" s="1494">
        <v>24.7</v>
      </c>
      <c r="R194" s="1491"/>
      <c r="S194" s="966">
        <f t="shared" si="59"/>
        <v>0.99719384420000001</v>
      </c>
      <c r="T194" s="2"/>
      <c r="U194" s="1494">
        <v>0.97</v>
      </c>
      <c r="V194" s="151" t="str">
        <f t="shared" si="50"/>
        <v/>
      </c>
      <c r="W194" s="152" t="str">
        <f t="shared" si="51"/>
        <v/>
      </c>
      <c r="X194" s="152">
        <f t="shared" si="52"/>
        <v>2.3387805285837326</v>
      </c>
      <c r="Y194" s="700" t="str">
        <f t="shared" si="55"/>
        <v/>
      </c>
      <c r="Z194" s="964">
        <f t="shared" si="53"/>
        <v>2.3387805285837326</v>
      </c>
      <c r="AA194" s="134"/>
      <c r="AB194" s="4"/>
      <c r="AC194" s="4"/>
      <c r="AH194" s="186"/>
      <c r="AJ194" s="980"/>
    </row>
    <row r="195" spans="1:36" ht="14.5" x14ac:dyDescent="0.35">
      <c r="A195" s="4"/>
      <c r="B195" s="2" t="e">
        <f>IF(D195="","",VLOOKUP(D195,B$38:Y127,3,FALSE))</f>
        <v>#N/A</v>
      </c>
      <c r="C195" s="2"/>
      <c r="D195" s="1494" t="s">
        <v>989</v>
      </c>
      <c r="E195" s="1491"/>
      <c r="F195" s="1494" t="s">
        <v>428</v>
      </c>
      <c r="G195" s="2"/>
      <c r="H195" s="697" t="e">
        <f t="shared" si="49"/>
        <v>#N/A</v>
      </c>
      <c r="I195" s="697" t="e">
        <f>IF(D195="","",VLOOKUP(D195,B$38:Y144,19,FALSE))</f>
        <v>#N/A</v>
      </c>
      <c r="J195" s="140"/>
      <c r="K195" s="1615">
        <v>1230</v>
      </c>
      <c r="L195" s="1593">
        <v>710</v>
      </c>
      <c r="M195" s="1593">
        <v>1235</v>
      </c>
      <c r="N195" s="1491"/>
      <c r="O195" s="1491"/>
      <c r="P195" s="1616"/>
      <c r="Q195" s="1494">
        <v>24.8</v>
      </c>
      <c r="R195" s="1491"/>
      <c r="S195" s="966">
        <f t="shared" si="59"/>
        <v>0.99716826920000001</v>
      </c>
      <c r="T195" s="2"/>
      <c r="U195" s="1494">
        <v>0.97</v>
      </c>
      <c r="V195" s="151" t="str">
        <f t="shared" si="50"/>
        <v/>
      </c>
      <c r="W195" s="152" t="str">
        <f t="shared" si="51"/>
        <v/>
      </c>
      <c r="X195" s="152">
        <f t="shared" si="52"/>
        <v>2.3593218783547245</v>
      </c>
      <c r="Y195" s="700" t="str">
        <f t="shared" si="55"/>
        <v/>
      </c>
      <c r="Z195" s="964">
        <f t="shared" si="53"/>
        <v>2.3593218783547245</v>
      </c>
      <c r="AA195" s="134"/>
      <c r="AB195" s="4"/>
      <c r="AC195" s="4"/>
      <c r="AH195" s="186"/>
      <c r="AJ195" s="980"/>
    </row>
    <row r="196" spans="1:36" ht="14.5" x14ac:dyDescent="0.35">
      <c r="A196" s="4"/>
      <c r="B196" s="2" t="e">
        <f>IF(D196="","",VLOOKUP(D196,B$38:Y127,3,FALSE))</f>
        <v>#N/A</v>
      </c>
      <c r="C196" s="2"/>
      <c r="D196" s="1494" t="s">
        <v>990</v>
      </c>
      <c r="E196" s="1491"/>
      <c r="F196" s="1494" t="s">
        <v>428</v>
      </c>
      <c r="G196" s="2"/>
      <c r="H196" s="697" t="e">
        <f t="shared" si="49"/>
        <v>#N/A</v>
      </c>
      <c r="I196" s="697" t="e">
        <f>IF(D196="","",VLOOKUP(D196,B$38:Y145,19,FALSE))</f>
        <v>#N/A</v>
      </c>
      <c r="J196" s="140"/>
      <c r="K196" s="1615"/>
      <c r="L196" s="1593"/>
      <c r="M196" s="1593"/>
      <c r="N196" s="1491"/>
      <c r="O196" s="1491"/>
      <c r="P196" s="1616"/>
      <c r="Q196" s="1494">
        <v>24.9</v>
      </c>
      <c r="R196" s="1491"/>
      <c r="S196" s="966">
        <f t="shared" si="59"/>
        <v>0.99714258780000009</v>
      </c>
      <c r="T196" s="2"/>
      <c r="U196" s="1494">
        <v>0.97</v>
      </c>
      <c r="V196" s="151" t="str">
        <f t="shared" si="50"/>
        <v/>
      </c>
      <c r="W196" s="152" t="str">
        <f t="shared" si="51"/>
        <v/>
      </c>
      <c r="X196" s="152" t="str">
        <f t="shared" si="52"/>
        <v/>
      </c>
      <c r="Y196" s="700" t="str">
        <f t="shared" si="55"/>
        <v/>
      </c>
      <c r="Z196" s="964" t="str">
        <f t="shared" si="53"/>
        <v/>
      </c>
      <c r="AA196" s="134"/>
      <c r="AB196" s="4"/>
      <c r="AC196" s="4"/>
      <c r="AH196" s="186"/>
      <c r="AJ196" s="980"/>
    </row>
    <row r="197" spans="1:36" ht="14.5" x14ac:dyDescent="0.35">
      <c r="A197" s="4"/>
      <c r="B197" s="2" t="e">
        <f>IF(D197="","",VLOOKUP(D197,B$38:Y127,3,FALSE))</f>
        <v>#N/A</v>
      </c>
      <c r="C197" s="2"/>
      <c r="D197" s="1494" t="s">
        <v>991</v>
      </c>
      <c r="E197" s="1491"/>
      <c r="F197" s="1494" t="s">
        <v>428</v>
      </c>
      <c r="G197" s="2"/>
      <c r="H197" s="697" t="e">
        <f t="shared" si="49"/>
        <v>#N/A</v>
      </c>
      <c r="I197" s="697" t="e">
        <f>IF(D197="","",VLOOKUP(D197,B$38:Y146,19,FALSE))</f>
        <v>#N/A</v>
      </c>
      <c r="J197" s="140"/>
      <c r="K197" s="1615"/>
      <c r="L197" s="1593"/>
      <c r="M197" s="1593"/>
      <c r="N197" s="1491"/>
      <c r="O197" s="1491"/>
      <c r="P197" s="1616"/>
      <c r="Q197" s="1494">
        <v>25</v>
      </c>
      <c r="R197" s="1491"/>
      <c r="S197" s="966">
        <f t="shared" si="59"/>
        <v>0.99711680000000003</v>
      </c>
      <c r="T197" s="2"/>
      <c r="U197" s="1494">
        <v>0.97</v>
      </c>
      <c r="V197" s="151" t="str">
        <f t="shared" si="50"/>
        <v/>
      </c>
      <c r="W197" s="152" t="str">
        <f t="shared" si="51"/>
        <v/>
      </c>
      <c r="X197" s="152" t="str">
        <f t="shared" si="52"/>
        <v/>
      </c>
      <c r="Y197" s="700" t="str">
        <f t="shared" si="55"/>
        <v/>
      </c>
      <c r="Z197" s="964" t="str">
        <f t="shared" si="53"/>
        <v/>
      </c>
      <c r="AA197" s="134"/>
      <c r="AB197" s="4"/>
      <c r="AC197" s="4"/>
      <c r="AH197" s="186"/>
      <c r="AJ197" s="980"/>
    </row>
    <row r="198" spans="1:36" ht="14.5" x14ac:dyDescent="0.35">
      <c r="A198" s="4"/>
      <c r="B198" s="2" t="e">
        <f>IF(D198="","",VLOOKUP(D198,B$38:Y127,3,FALSE))</f>
        <v>#N/A</v>
      </c>
      <c r="C198" s="2"/>
      <c r="D198" s="1494" t="s">
        <v>992</v>
      </c>
      <c r="E198" s="1491"/>
      <c r="F198" s="1494" t="s">
        <v>428</v>
      </c>
      <c r="G198" s="2"/>
      <c r="H198" s="697" t="e">
        <f t="shared" ref="H198:H216" si="60">IF(D198="","",VLOOKUP(D198,B$38:Y$127,9,FALSE))</f>
        <v>#N/A</v>
      </c>
      <c r="I198" s="697" t="e">
        <f>IF(D198="","",VLOOKUP(D198,B$38:Y147,19,FALSE))</f>
        <v>#N/A</v>
      </c>
      <c r="J198" s="140"/>
      <c r="K198" s="1615"/>
      <c r="L198" s="1593"/>
      <c r="M198" s="1593"/>
      <c r="N198" s="1491"/>
      <c r="O198" s="1491"/>
      <c r="P198" s="1616"/>
      <c r="Q198" s="1494">
        <v>25.1</v>
      </c>
      <c r="R198" s="1491"/>
      <c r="S198" s="966">
        <f t="shared" si="59"/>
        <v>0.99709090580000004</v>
      </c>
      <c r="T198" s="2"/>
      <c r="U198" s="1494">
        <v>0.97</v>
      </c>
      <c r="V198" s="151" t="str">
        <f t="shared" ref="V198:V216" si="61">IF(AND(K198&lt;&gt;"",F198="A"),K198*S198/(K198-L198),"")</f>
        <v/>
      </c>
      <c r="W198" s="152" t="str">
        <f t="shared" ref="W198:W216" si="62">IF(AND(K198&lt;&gt;"",F198="B"),K198*S198/(M198-L198),"")</f>
        <v/>
      </c>
      <c r="X198" s="152" t="str">
        <f t="shared" ref="X198:X216" si="63">IF(AND(K198&lt;&gt;"",F198="C"),K198/(((M198-L198)/S198)-((M198-K198)/U198)),"")</f>
        <v/>
      </c>
      <c r="Y198" s="700" t="str">
        <f t="shared" si="55"/>
        <v/>
      </c>
      <c r="Z198" s="964" t="str">
        <f t="shared" ref="Z198:Z216" si="64">IF(V198&lt;&gt;"",V198,IF(W198&lt;&gt;"",W198,IF(X198&lt;&gt;"",X198,IF(Y198&lt;&gt;"",Y198,""))))</f>
        <v/>
      </c>
      <c r="AA198" s="134"/>
      <c r="AB198" s="4"/>
      <c r="AC198" s="4"/>
      <c r="AH198" s="186"/>
      <c r="AJ198" s="980"/>
    </row>
    <row r="199" spans="1:36" ht="15" thickBot="1" x14ac:dyDescent="0.4">
      <c r="A199" s="4"/>
      <c r="B199" s="10" t="e">
        <f>IF(D199="","",VLOOKUP(D199,B$38:Y127,3,FALSE))</f>
        <v>#N/A</v>
      </c>
      <c r="C199" s="10"/>
      <c r="D199" s="1592" t="s">
        <v>993</v>
      </c>
      <c r="E199" s="1495"/>
      <c r="F199" s="1592" t="s">
        <v>428</v>
      </c>
      <c r="G199" s="10"/>
      <c r="H199" s="971" t="e">
        <f t="shared" si="60"/>
        <v>#N/A</v>
      </c>
      <c r="I199" s="971" t="e">
        <f>IF(D199="","",VLOOKUP(D199,B$38:Y148,19,FALSE))</f>
        <v>#N/A</v>
      </c>
      <c r="J199" s="972"/>
      <c r="K199" s="1619"/>
      <c r="L199" s="1595"/>
      <c r="M199" s="1595"/>
      <c r="N199" s="1495"/>
      <c r="O199" s="1495"/>
      <c r="P199" s="1620"/>
      <c r="Q199" s="1592">
        <v>25.2</v>
      </c>
      <c r="R199" s="1495"/>
      <c r="S199" s="973">
        <f t="shared" si="59"/>
        <v>0.99706490520000002</v>
      </c>
      <c r="T199" s="10"/>
      <c r="U199" s="1592">
        <v>0.97</v>
      </c>
      <c r="V199" s="974" t="str">
        <f t="shared" si="61"/>
        <v/>
      </c>
      <c r="W199" s="975" t="str">
        <f t="shared" si="62"/>
        <v/>
      </c>
      <c r="X199" s="975" t="str">
        <f t="shared" si="63"/>
        <v/>
      </c>
      <c r="Y199" s="976" t="str">
        <f t="shared" si="55"/>
        <v/>
      </c>
      <c r="Z199" s="977" t="str">
        <f t="shared" si="64"/>
        <v/>
      </c>
      <c r="AA199" s="134"/>
      <c r="AB199" s="4"/>
      <c r="AC199" s="4"/>
      <c r="AH199" s="186"/>
      <c r="AJ199" s="980"/>
    </row>
    <row r="200" spans="1:36" ht="15" thickTop="1" x14ac:dyDescent="0.35">
      <c r="A200" s="4"/>
      <c r="B200" s="9">
        <f>IF(D200="","",VLOOKUP(D200,B$38:Y127,3,FALSE))</f>
        <v>4.1500000000000004</v>
      </c>
      <c r="C200" s="9"/>
      <c r="D200" s="1591" t="s">
        <v>364</v>
      </c>
      <c r="E200" s="1611"/>
      <c r="F200" s="1591" t="s">
        <v>428</v>
      </c>
      <c r="G200" s="9"/>
      <c r="H200" s="967">
        <f t="shared" si="60"/>
        <v>85</v>
      </c>
      <c r="I200" s="967">
        <f>IF(D200="","",VLOOKUP(D200,B$38:Y149,19,FALSE))</f>
        <v>102.1</v>
      </c>
      <c r="J200" s="968"/>
      <c r="K200" s="1621">
        <v>1320</v>
      </c>
      <c r="L200" s="1594">
        <v>700</v>
      </c>
      <c r="M200" s="1594">
        <v>1225</v>
      </c>
      <c r="N200" s="1611"/>
      <c r="O200" s="1611"/>
      <c r="P200" s="1622"/>
      <c r="Q200" s="1591">
        <v>25.3</v>
      </c>
      <c r="R200" s="1611"/>
      <c r="S200" s="969">
        <f t="shared" si="59"/>
        <v>0.99703879820000008</v>
      </c>
      <c r="T200" s="9"/>
      <c r="U200" s="1591">
        <v>0.97</v>
      </c>
      <c r="V200" s="1310" t="str">
        <f t="shared" si="61"/>
        <v/>
      </c>
      <c r="W200" s="1311" t="str">
        <f t="shared" si="62"/>
        <v/>
      </c>
      <c r="X200" s="1311">
        <f t="shared" si="63"/>
        <v>2.1136997780986331</v>
      </c>
      <c r="Y200" s="1312" t="str">
        <f t="shared" si="55"/>
        <v/>
      </c>
      <c r="Z200" s="970">
        <f t="shared" si="64"/>
        <v>2.1136997780986331</v>
      </c>
      <c r="AA200" s="134"/>
      <c r="AB200" s="4"/>
      <c r="AC200" s="4"/>
      <c r="AH200" s="186"/>
      <c r="AJ200" s="980"/>
    </row>
    <row r="201" spans="1:36" ht="14.5" x14ac:dyDescent="0.35">
      <c r="A201" s="4"/>
      <c r="B201" s="2">
        <f>IF(D201="","",VLOOKUP(D201,B$38:Y127,3,FALSE))</f>
        <v>4.1500000000000004</v>
      </c>
      <c r="C201" s="2"/>
      <c r="D201" s="1494" t="s">
        <v>365</v>
      </c>
      <c r="E201" s="1491"/>
      <c r="F201" s="1494" t="s">
        <v>428</v>
      </c>
      <c r="G201" s="2"/>
      <c r="H201" s="697">
        <f t="shared" si="60"/>
        <v>84</v>
      </c>
      <c r="I201" s="697">
        <f>IF(D201="","",VLOOKUP(D201,B$38:Y150,19,FALSE))</f>
        <v>102.2</v>
      </c>
      <c r="J201" s="2"/>
      <c r="K201" s="1615">
        <v>1330</v>
      </c>
      <c r="L201" s="1593">
        <v>705</v>
      </c>
      <c r="M201" s="1593">
        <v>1250</v>
      </c>
      <c r="N201" s="1491"/>
      <c r="O201" s="1491"/>
      <c r="P201" s="1616"/>
      <c r="Q201" s="1494">
        <v>25.4</v>
      </c>
      <c r="R201" s="1491"/>
      <c r="S201" s="966">
        <f t="shared" si="59"/>
        <v>0.9970125848000001</v>
      </c>
      <c r="T201" s="2"/>
      <c r="U201" s="1494">
        <v>0.97</v>
      </c>
      <c r="V201" s="1301" t="str">
        <f t="shared" si="61"/>
        <v/>
      </c>
      <c r="W201" s="1302" t="str">
        <f t="shared" si="62"/>
        <v/>
      </c>
      <c r="X201" s="1302">
        <f t="shared" si="63"/>
        <v>2.1141069463050117</v>
      </c>
      <c r="Y201" s="1306" t="str">
        <f t="shared" si="55"/>
        <v/>
      </c>
      <c r="Z201" s="964">
        <f t="shared" si="64"/>
        <v>2.1141069463050117</v>
      </c>
      <c r="AA201" s="134"/>
      <c r="AB201" s="4"/>
      <c r="AC201" s="4"/>
      <c r="AH201" s="186"/>
      <c r="AJ201" s="980"/>
    </row>
    <row r="202" spans="1:36" ht="14.5" x14ac:dyDescent="0.35">
      <c r="A202" s="4"/>
      <c r="B202" s="49">
        <f>IF(D202="","",VLOOKUP(D202,B$38:Y127,3,FALSE))</f>
        <v>4.1500000000000004</v>
      </c>
      <c r="C202" s="49"/>
      <c r="D202" s="1515" t="s">
        <v>366</v>
      </c>
      <c r="E202" s="1528"/>
      <c r="F202" s="1515" t="s">
        <v>428</v>
      </c>
      <c r="G202" s="49"/>
      <c r="H202" s="1439">
        <f t="shared" si="60"/>
        <v>83</v>
      </c>
      <c r="I202" s="1439">
        <f>IF(D202="","",VLOOKUP(D202,B$38:Y151,19,FALSE))</f>
        <v>102.3</v>
      </c>
      <c r="J202" s="49"/>
      <c r="K202" s="1617">
        <v>1330</v>
      </c>
      <c r="L202" s="1609">
        <v>710</v>
      </c>
      <c r="M202" s="1609">
        <v>1235</v>
      </c>
      <c r="N202" s="1528"/>
      <c r="O202" s="1528"/>
      <c r="P202" s="1618"/>
      <c r="Q202" s="1515">
        <v>25.5</v>
      </c>
      <c r="R202" s="1528"/>
      <c r="S202" s="1440">
        <f t="shared" si="59"/>
        <v>0.99698626500000009</v>
      </c>
      <c r="T202" s="49"/>
      <c r="U202" s="1515">
        <v>0.97</v>
      </c>
      <c r="V202" s="1441" t="str">
        <f t="shared" si="61"/>
        <v/>
      </c>
      <c r="W202" s="1442" t="str">
        <f t="shared" si="62"/>
        <v/>
      </c>
      <c r="X202" s="1442">
        <f t="shared" si="63"/>
        <v>2.1296180395475877</v>
      </c>
      <c r="Y202" s="1443" t="str">
        <f t="shared" si="55"/>
        <v/>
      </c>
      <c r="Z202" s="1444">
        <f t="shared" si="64"/>
        <v>2.1296180395475877</v>
      </c>
      <c r="AA202" s="134"/>
      <c r="AB202" s="4"/>
      <c r="AC202" s="4"/>
      <c r="AH202" s="186"/>
      <c r="AJ202" s="980"/>
    </row>
    <row r="203" spans="1:36" ht="14.5" x14ac:dyDescent="0.35">
      <c r="A203" s="4"/>
      <c r="B203" s="2">
        <f>IF(D203="","",VLOOKUP(D203,B$38:Y127,3,FALSE))</f>
        <v>4.1500000000000004</v>
      </c>
      <c r="C203" s="2"/>
      <c r="D203" s="1494" t="s">
        <v>367</v>
      </c>
      <c r="E203" s="1491"/>
      <c r="F203" s="1494" t="s">
        <v>428</v>
      </c>
      <c r="G203" s="2"/>
      <c r="H203" s="697">
        <f t="shared" si="60"/>
        <v>82</v>
      </c>
      <c r="I203" s="697">
        <f>IF(D203="","",VLOOKUP(D203,B$38:Y152,19,FALSE))</f>
        <v>102.4</v>
      </c>
      <c r="J203" s="140"/>
      <c r="K203" s="1615"/>
      <c r="L203" s="1593"/>
      <c r="M203" s="1593"/>
      <c r="N203" s="1491"/>
      <c r="O203" s="1491"/>
      <c r="P203" s="1616"/>
      <c r="Q203" s="1494">
        <v>24.6</v>
      </c>
      <c r="R203" s="1491"/>
      <c r="S203" s="966">
        <f t="shared" ref="S203:S212" si="65">IF(Q203="","",1.00025205+(7.59*Q203-5.32*POWER(Q203,2))/1000000)</f>
        <v>0.99721931280000009</v>
      </c>
      <c r="T203" s="2"/>
      <c r="U203" s="1494">
        <v>0.97</v>
      </c>
      <c r="V203" s="151" t="str">
        <f t="shared" si="61"/>
        <v/>
      </c>
      <c r="W203" s="152" t="str">
        <f t="shared" si="62"/>
        <v/>
      </c>
      <c r="X203" s="152" t="str">
        <f t="shared" si="63"/>
        <v/>
      </c>
      <c r="Y203" s="700" t="str">
        <f t="shared" si="55"/>
        <v/>
      </c>
      <c r="Z203" s="964" t="str">
        <f t="shared" si="64"/>
        <v/>
      </c>
      <c r="AA203" s="134"/>
      <c r="AB203" s="4"/>
      <c r="AC203" s="4"/>
      <c r="AH203" s="186"/>
      <c r="AJ203" s="980"/>
    </row>
    <row r="204" spans="1:36" ht="14.5" x14ac:dyDescent="0.35">
      <c r="A204" s="4"/>
      <c r="B204" s="2">
        <f>IF(D204="","",VLOOKUP(D204,B$38:Y127,3,FALSE))</f>
        <v>4.1500000000000004</v>
      </c>
      <c r="C204" s="2"/>
      <c r="D204" s="1494" t="s">
        <v>368</v>
      </c>
      <c r="E204" s="1491"/>
      <c r="F204" s="1494" t="s">
        <v>428</v>
      </c>
      <c r="G204" s="2"/>
      <c r="H204" s="697">
        <f t="shared" si="60"/>
        <v>81</v>
      </c>
      <c r="I204" s="697">
        <f>IF(D204="","",VLOOKUP(D204,B$38:Y153,19,FALSE))</f>
        <v>102.5</v>
      </c>
      <c r="J204" s="140"/>
      <c r="K204" s="1615"/>
      <c r="L204" s="1593"/>
      <c r="M204" s="1593"/>
      <c r="N204" s="1491"/>
      <c r="O204" s="1491"/>
      <c r="P204" s="1616"/>
      <c r="Q204" s="1494">
        <v>24.7</v>
      </c>
      <c r="R204" s="1491"/>
      <c r="S204" s="966">
        <f t="shared" si="65"/>
        <v>0.99719384420000001</v>
      </c>
      <c r="T204" s="2"/>
      <c r="U204" s="1494">
        <v>0.97</v>
      </c>
      <c r="V204" s="151" t="str">
        <f t="shared" si="61"/>
        <v/>
      </c>
      <c r="W204" s="152" t="str">
        <f t="shared" si="62"/>
        <v/>
      </c>
      <c r="X204" s="152" t="str">
        <f t="shared" si="63"/>
        <v/>
      </c>
      <c r="Y204" s="700" t="str">
        <f t="shared" si="55"/>
        <v/>
      </c>
      <c r="Z204" s="964" t="str">
        <f t="shared" si="64"/>
        <v/>
      </c>
      <c r="AA204" s="134"/>
      <c r="AB204" s="4"/>
      <c r="AC204" s="4"/>
      <c r="AH204" s="186"/>
      <c r="AJ204" s="980"/>
    </row>
    <row r="205" spans="1:36" ht="14.5" x14ac:dyDescent="0.35">
      <c r="A205" s="4"/>
      <c r="B205" s="2">
        <f>IF(D205="","",VLOOKUP(D205,B$38:Y127,3,FALSE))</f>
        <v>4.1500000000000004</v>
      </c>
      <c r="C205" s="2"/>
      <c r="D205" s="1494" t="s">
        <v>1542</v>
      </c>
      <c r="E205" s="1491"/>
      <c r="F205" s="1494" t="s">
        <v>428</v>
      </c>
      <c r="G205" s="2"/>
      <c r="H205" s="697">
        <f t="shared" si="60"/>
        <v>80</v>
      </c>
      <c r="I205" s="697">
        <f>IF(D205="","",VLOOKUP(D205,B$38:Y154,19,FALSE))</f>
        <v>102.6</v>
      </c>
      <c r="J205" s="140"/>
      <c r="K205" s="1615">
        <v>1320</v>
      </c>
      <c r="L205" s="1593">
        <v>700</v>
      </c>
      <c r="M205" s="1593">
        <v>1225</v>
      </c>
      <c r="N205" s="1491"/>
      <c r="O205" s="1491"/>
      <c r="P205" s="1616"/>
      <c r="Q205" s="1494">
        <v>24.8</v>
      </c>
      <c r="R205" s="1491"/>
      <c r="S205" s="966">
        <f t="shared" si="65"/>
        <v>0.99716826920000001</v>
      </c>
      <c r="T205" s="2"/>
      <c r="U205" s="1494">
        <v>0.97</v>
      </c>
      <c r="V205" s="151" t="str">
        <f t="shared" si="61"/>
        <v/>
      </c>
      <c r="W205" s="152" t="str">
        <f t="shared" si="62"/>
        <v/>
      </c>
      <c r="X205" s="152">
        <f t="shared" si="63"/>
        <v>2.1139312037617932</v>
      </c>
      <c r="Y205" s="700" t="str">
        <f t="shared" si="55"/>
        <v/>
      </c>
      <c r="Z205" s="964">
        <f t="shared" si="64"/>
        <v>2.1139312037617932</v>
      </c>
      <c r="AA205" s="134"/>
      <c r="AB205" s="4"/>
      <c r="AC205" s="4"/>
      <c r="AH205" s="186"/>
      <c r="AJ205" s="980"/>
    </row>
    <row r="206" spans="1:36" ht="14.5" x14ac:dyDescent="0.35">
      <c r="A206" s="4"/>
      <c r="B206" s="2">
        <f>IF(D206="","",VLOOKUP(D206,B$38:Y127,3,FALSE))</f>
        <v>4.1500000000000004</v>
      </c>
      <c r="C206" s="2"/>
      <c r="D206" s="1494" t="s">
        <v>1543</v>
      </c>
      <c r="E206" s="1491"/>
      <c r="F206" s="1494" t="s">
        <v>428</v>
      </c>
      <c r="G206" s="2"/>
      <c r="H206" s="697">
        <f t="shared" si="60"/>
        <v>79</v>
      </c>
      <c r="I206" s="697">
        <f>IF(D206="","",VLOOKUP(D206,B$38:Y155,19,FALSE))</f>
        <v>102.7</v>
      </c>
      <c r="J206" s="140"/>
      <c r="K206" s="1615">
        <v>1330</v>
      </c>
      <c r="L206" s="1593">
        <v>705</v>
      </c>
      <c r="M206" s="1593">
        <v>1250</v>
      </c>
      <c r="N206" s="1491"/>
      <c r="O206" s="1491"/>
      <c r="P206" s="1616"/>
      <c r="Q206" s="1494">
        <v>24.9</v>
      </c>
      <c r="R206" s="1491"/>
      <c r="S206" s="966">
        <f t="shared" si="65"/>
        <v>0.99714258780000009</v>
      </c>
      <c r="T206" s="2"/>
      <c r="U206" s="1494">
        <v>0.97</v>
      </c>
      <c r="V206" s="151" t="str">
        <f t="shared" si="61"/>
        <v/>
      </c>
      <c r="W206" s="152" t="str">
        <f t="shared" si="62"/>
        <v/>
      </c>
      <c r="X206" s="152">
        <f t="shared" si="63"/>
        <v>2.1143464672176395</v>
      </c>
      <c r="Y206" s="700" t="str">
        <f t="shared" si="55"/>
        <v/>
      </c>
      <c r="Z206" s="964">
        <f t="shared" si="64"/>
        <v>2.1143464672176395</v>
      </c>
      <c r="AA206" s="134"/>
      <c r="AB206" s="4"/>
      <c r="AC206" s="4"/>
      <c r="AH206" s="186"/>
      <c r="AJ206" s="980"/>
    </row>
    <row r="207" spans="1:36" ht="14.5" x14ac:dyDescent="0.35">
      <c r="A207" s="4"/>
      <c r="B207" s="2">
        <f>IF(D207="","",VLOOKUP(D207,B$38:Y127,3,FALSE))</f>
        <v>4.1500000000000004</v>
      </c>
      <c r="C207" s="2"/>
      <c r="D207" s="1494" t="s">
        <v>1544</v>
      </c>
      <c r="E207" s="1491"/>
      <c r="F207" s="1494" t="s">
        <v>428</v>
      </c>
      <c r="G207" s="2"/>
      <c r="H207" s="697">
        <f t="shared" si="60"/>
        <v>85</v>
      </c>
      <c r="I207" s="697">
        <f>IF(D207="","",VLOOKUP(D207,B$38:Y156,19,FALSE))</f>
        <v>102.1</v>
      </c>
      <c r="J207" s="140"/>
      <c r="K207" s="1615">
        <v>1330</v>
      </c>
      <c r="L207" s="1593">
        <v>710</v>
      </c>
      <c r="M207" s="1593">
        <v>1235</v>
      </c>
      <c r="N207" s="1491"/>
      <c r="O207" s="1491"/>
      <c r="P207" s="1616"/>
      <c r="Q207" s="1494">
        <v>25</v>
      </c>
      <c r="R207" s="1491"/>
      <c r="S207" s="966">
        <f t="shared" si="65"/>
        <v>0.99711680000000003</v>
      </c>
      <c r="T207" s="2"/>
      <c r="U207" s="1494">
        <v>0.97</v>
      </c>
      <c r="V207" s="151" t="str">
        <f t="shared" si="61"/>
        <v/>
      </c>
      <c r="W207" s="152" t="str">
        <f t="shared" si="62"/>
        <v/>
      </c>
      <c r="X207" s="152">
        <f t="shared" si="63"/>
        <v>2.1298531385586492</v>
      </c>
      <c r="Y207" s="700" t="str">
        <f t="shared" si="55"/>
        <v/>
      </c>
      <c r="Z207" s="964">
        <f t="shared" si="64"/>
        <v>2.1298531385586492</v>
      </c>
      <c r="AA207" s="134"/>
      <c r="AB207" s="4"/>
      <c r="AC207" s="4"/>
      <c r="AH207" s="186"/>
      <c r="AJ207" s="980"/>
    </row>
    <row r="208" spans="1:36" ht="14.5" x14ac:dyDescent="0.35">
      <c r="A208" s="4"/>
      <c r="B208" s="2">
        <f>IF(D208="","",VLOOKUP(D208,B$38:Y127,3,FALSE))</f>
        <v>4.1500000000000004</v>
      </c>
      <c r="C208" s="2"/>
      <c r="D208" s="1494" t="s">
        <v>1545</v>
      </c>
      <c r="E208" s="1491"/>
      <c r="F208" s="1494" t="s">
        <v>428</v>
      </c>
      <c r="G208" s="2"/>
      <c r="H208" s="697">
        <f t="shared" si="60"/>
        <v>84</v>
      </c>
      <c r="I208" s="697">
        <f>IF(D208="","",VLOOKUP(D208,B$38:Y157,19,FALSE))</f>
        <v>102.2</v>
      </c>
      <c r="J208" s="140"/>
      <c r="K208" s="1615"/>
      <c r="L208" s="1593"/>
      <c r="M208" s="1593"/>
      <c r="N208" s="1491"/>
      <c r="O208" s="1491"/>
      <c r="P208" s="1616"/>
      <c r="Q208" s="1494">
        <v>25.1</v>
      </c>
      <c r="R208" s="1491"/>
      <c r="S208" s="966">
        <f t="shared" si="65"/>
        <v>0.99709090580000004</v>
      </c>
      <c r="T208" s="2"/>
      <c r="U208" s="1494">
        <v>0.97</v>
      </c>
      <c r="V208" s="151" t="str">
        <f t="shared" si="61"/>
        <v/>
      </c>
      <c r="W208" s="152" t="str">
        <f t="shared" si="62"/>
        <v/>
      </c>
      <c r="X208" s="152" t="str">
        <f t="shared" si="63"/>
        <v/>
      </c>
      <c r="Y208" s="700" t="str">
        <f t="shared" si="55"/>
        <v/>
      </c>
      <c r="Z208" s="964" t="str">
        <f t="shared" si="64"/>
        <v/>
      </c>
      <c r="AA208" s="134"/>
      <c r="AB208" s="4"/>
      <c r="AC208" s="4"/>
      <c r="AH208" s="186"/>
      <c r="AJ208" s="980"/>
    </row>
    <row r="209" spans="1:36" ht="14.5" x14ac:dyDescent="0.35">
      <c r="A209" s="4"/>
      <c r="B209" s="2">
        <f>IF(D209="","",VLOOKUP(D209,B$38:Y127,3,FALSE))</f>
        <v>4.1500000000000004</v>
      </c>
      <c r="C209" s="2"/>
      <c r="D209" s="1494" t="s">
        <v>1546</v>
      </c>
      <c r="E209" s="1491"/>
      <c r="F209" s="1494" t="s">
        <v>428</v>
      </c>
      <c r="G209" s="2"/>
      <c r="H209" s="697">
        <f t="shared" si="60"/>
        <v>83</v>
      </c>
      <c r="I209" s="697">
        <f>IF(D209="","",VLOOKUP(D209,B$38:Y158,19,FALSE))</f>
        <v>102.3</v>
      </c>
      <c r="J209" s="140"/>
      <c r="K209" s="1615"/>
      <c r="L209" s="1593"/>
      <c r="M209" s="1593"/>
      <c r="N209" s="1491"/>
      <c r="O209" s="1491"/>
      <c r="P209" s="1616"/>
      <c r="Q209" s="1494">
        <v>25.2</v>
      </c>
      <c r="R209" s="1491"/>
      <c r="S209" s="966">
        <f t="shared" si="65"/>
        <v>0.99706490520000002</v>
      </c>
      <c r="T209" s="2"/>
      <c r="U209" s="1494">
        <v>0.97</v>
      </c>
      <c r="V209" s="151" t="str">
        <f t="shared" si="61"/>
        <v/>
      </c>
      <c r="W209" s="152" t="str">
        <f t="shared" si="62"/>
        <v/>
      </c>
      <c r="X209" s="152" t="str">
        <f t="shared" si="63"/>
        <v/>
      </c>
      <c r="Y209" s="700" t="str">
        <f t="shared" si="55"/>
        <v/>
      </c>
      <c r="Z209" s="964" t="str">
        <f t="shared" si="64"/>
        <v/>
      </c>
      <c r="AA209" s="134"/>
      <c r="AB209" s="4"/>
      <c r="AC209" s="4"/>
      <c r="AH209" s="186"/>
      <c r="AJ209" s="980"/>
    </row>
    <row r="210" spans="1:36" ht="14.5" x14ac:dyDescent="0.35">
      <c r="A210" s="4"/>
      <c r="B210" s="2" t="e">
        <f>IF(D210="","",VLOOKUP(D210,B$38:Y127,3,FALSE))</f>
        <v>#N/A</v>
      </c>
      <c r="C210" s="2"/>
      <c r="D210" s="1494" t="s">
        <v>987</v>
      </c>
      <c r="E210" s="1491"/>
      <c r="F210" s="1494" t="s">
        <v>428</v>
      </c>
      <c r="G210" s="2"/>
      <c r="H210" s="697" t="e">
        <f t="shared" si="60"/>
        <v>#N/A</v>
      </c>
      <c r="I210" s="697" t="e">
        <f>IF(D210="","",VLOOKUP(D210,B$38:Y159,19,FALSE))</f>
        <v>#N/A</v>
      </c>
      <c r="J210" s="140"/>
      <c r="K210" s="1615">
        <v>1320</v>
      </c>
      <c r="L210" s="1593">
        <v>700</v>
      </c>
      <c r="M210" s="1593">
        <v>1225</v>
      </c>
      <c r="N210" s="1491"/>
      <c r="O210" s="1491"/>
      <c r="P210" s="1616"/>
      <c r="Q210" s="1494">
        <v>25.3</v>
      </c>
      <c r="R210" s="1491"/>
      <c r="S210" s="966">
        <f t="shared" si="65"/>
        <v>0.99703879820000008</v>
      </c>
      <c r="T210" s="2"/>
      <c r="U210" s="1494">
        <v>0.97</v>
      </c>
      <c r="V210" s="151" t="str">
        <f t="shared" si="61"/>
        <v/>
      </c>
      <c r="W210" s="152" t="str">
        <f t="shared" si="62"/>
        <v/>
      </c>
      <c r="X210" s="152">
        <f t="shared" si="63"/>
        <v>2.1136997780986331</v>
      </c>
      <c r="Y210" s="700" t="str">
        <f t="shared" si="55"/>
        <v/>
      </c>
      <c r="Z210" s="964">
        <f t="shared" si="64"/>
        <v>2.1136997780986331</v>
      </c>
      <c r="AA210" s="134"/>
      <c r="AB210" s="4"/>
      <c r="AC210" s="4"/>
      <c r="AH210" s="186"/>
      <c r="AJ210" s="980"/>
    </row>
    <row r="211" spans="1:36" ht="14.5" x14ac:dyDescent="0.35">
      <c r="A211" s="4"/>
      <c r="B211" s="2" t="e">
        <f>IF(D211="","",VLOOKUP(D211,B$38:Y127,3,FALSE))</f>
        <v>#N/A</v>
      </c>
      <c r="C211" s="2"/>
      <c r="D211" s="1494" t="s">
        <v>988</v>
      </c>
      <c r="E211" s="1491"/>
      <c r="F211" s="1494" t="s">
        <v>428</v>
      </c>
      <c r="G211" s="2"/>
      <c r="H211" s="697" t="e">
        <f t="shared" si="60"/>
        <v>#N/A</v>
      </c>
      <c r="I211" s="697" t="e">
        <f>IF(D211="","",VLOOKUP(D211,B$38:Y228,19,FALSE))</f>
        <v>#N/A</v>
      </c>
      <c r="J211" s="2"/>
      <c r="K211" s="1615">
        <v>1330</v>
      </c>
      <c r="L211" s="1593">
        <v>705</v>
      </c>
      <c r="M211" s="1593">
        <v>1250</v>
      </c>
      <c r="N211" s="1491"/>
      <c r="O211" s="1491"/>
      <c r="P211" s="1616"/>
      <c r="Q211" s="1494">
        <v>25.4</v>
      </c>
      <c r="R211" s="1491"/>
      <c r="S211" s="966">
        <f t="shared" si="65"/>
        <v>0.9970125848000001</v>
      </c>
      <c r="T211" s="2"/>
      <c r="U211" s="1494">
        <v>0.97</v>
      </c>
      <c r="V211" s="151" t="str">
        <f t="shared" si="61"/>
        <v/>
      </c>
      <c r="W211" s="152" t="str">
        <f t="shared" si="62"/>
        <v/>
      </c>
      <c r="X211" s="152">
        <f t="shared" si="63"/>
        <v>2.1141069463050117</v>
      </c>
      <c r="Y211" s="700" t="str">
        <f t="shared" si="55"/>
        <v/>
      </c>
      <c r="Z211" s="964">
        <f t="shared" si="64"/>
        <v>2.1141069463050117</v>
      </c>
      <c r="AA211" s="134"/>
      <c r="AB211" s="4"/>
      <c r="AC211" s="4"/>
      <c r="AH211" s="186"/>
      <c r="AJ211" s="980"/>
    </row>
    <row r="212" spans="1:36" ht="14.5" x14ac:dyDescent="0.35">
      <c r="A212" s="4"/>
      <c r="B212" s="2" t="e">
        <f>IF(D212="","",VLOOKUP(D212,B$38:Y127,3,FALSE))</f>
        <v>#N/A</v>
      </c>
      <c r="C212" s="2"/>
      <c r="D212" s="1494" t="s">
        <v>989</v>
      </c>
      <c r="E212" s="1491"/>
      <c r="F212" s="1494" t="s">
        <v>428</v>
      </c>
      <c r="G212" s="2"/>
      <c r="H212" s="697" t="e">
        <f t="shared" si="60"/>
        <v>#N/A</v>
      </c>
      <c r="I212" s="697" t="e">
        <f>IF(D212="","",VLOOKUP(D212,B$38:Y228,19,FALSE))</f>
        <v>#N/A</v>
      </c>
      <c r="J212" s="2"/>
      <c r="K212" s="1615">
        <v>1330</v>
      </c>
      <c r="L212" s="1593">
        <v>710</v>
      </c>
      <c r="M212" s="1593">
        <v>1235</v>
      </c>
      <c r="N212" s="1491"/>
      <c r="O212" s="1491"/>
      <c r="P212" s="1616"/>
      <c r="Q212" s="1494">
        <v>25.5</v>
      </c>
      <c r="R212" s="1491"/>
      <c r="S212" s="966">
        <f t="shared" si="65"/>
        <v>0.99698626500000009</v>
      </c>
      <c r="T212" s="2"/>
      <c r="U212" s="1494">
        <v>0.97</v>
      </c>
      <c r="V212" s="151" t="str">
        <f t="shared" si="61"/>
        <v/>
      </c>
      <c r="W212" s="152" t="str">
        <f t="shared" si="62"/>
        <v/>
      </c>
      <c r="X212" s="152">
        <f t="shared" si="63"/>
        <v>2.1296180395475877</v>
      </c>
      <c r="Y212" s="700" t="str">
        <f t="shared" si="55"/>
        <v/>
      </c>
      <c r="Z212" s="964">
        <f t="shared" si="64"/>
        <v>2.1296180395475877</v>
      </c>
      <c r="AA212" s="134"/>
      <c r="AB212" s="4"/>
      <c r="AC212" s="4"/>
      <c r="AH212" s="186"/>
      <c r="AJ212" s="980"/>
    </row>
    <row r="213" spans="1:36" ht="14.5" x14ac:dyDescent="0.35">
      <c r="A213" s="4"/>
      <c r="B213" s="2" t="e">
        <f>IF(D213="","",VLOOKUP(D213,B$38:Y127,3,FALSE))</f>
        <v>#N/A</v>
      </c>
      <c r="C213" s="2"/>
      <c r="D213" s="1494" t="s">
        <v>990</v>
      </c>
      <c r="E213" s="1491"/>
      <c r="F213" s="1494" t="s">
        <v>428</v>
      </c>
      <c r="G213" s="2"/>
      <c r="H213" s="697" t="e">
        <f t="shared" si="60"/>
        <v>#N/A</v>
      </c>
      <c r="I213" s="697" t="e">
        <f>IF(D213="","",VLOOKUP(D213,B$38:Y161,19,FALSE))</f>
        <v>#N/A</v>
      </c>
      <c r="J213" s="140"/>
      <c r="K213" s="1615"/>
      <c r="L213" s="1593"/>
      <c r="M213" s="1593"/>
      <c r="N213" s="1491"/>
      <c r="O213" s="1491"/>
      <c r="P213" s="1616"/>
      <c r="Q213" s="1494">
        <v>25.1</v>
      </c>
      <c r="R213" s="1491"/>
      <c r="S213" s="966">
        <f t="shared" ref="S213:S216" si="66">IF(Q213="","",1.00025205+(7.59*Q213-5.32*POWER(Q213,2))/1000000)</f>
        <v>0.99709090580000004</v>
      </c>
      <c r="T213" s="2"/>
      <c r="U213" s="1494">
        <v>0.97</v>
      </c>
      <c r="V213" s="151" t="str">
        <f t="shared" si="61"/>
        <v/>
      </c>
      <c r="W213" s="152" t="str">
        <f t="shared" si="62"/>
        <v/>
      </c>
      <c r="X213" s="152" t="str">
        <f t="shared" si="63"/>
        <v/>
      </c>
      <c r="Y213" s="700" t="str">
        <f t="shared" si="55"/>
        <v/>
      </c>
      <c r="Z213" s="964" t="str">
        <f t="shared" si="64"/>
        <v/>
      </c>
      <c r="AA213" s="134"/>
      <c r="AB213" s="4"/>
      <c r="AC213" s="4"/>
      <c r="AH213" s="186"/>
      <c r="AJ213" s="980"/>
    </row>
    <row r="214" spans="1:36" ht="14.5" x14ac:dyDescent="0.35">
      <c r="A214" s="4"/>
      <c r="B214" s="2" t="e">
        <f>IF(D214="","",VLOOKUP(D214,B$38:Y127,3,FALSE))</f>
        <v>#N/A</v>
      </c>
      <c r="C214" s="2"/>
      <c r="D214" s="1494" t="s">
        <v>991</v>
      </c>
      <c r="E214" s="1491"/>
      <c r="F214" s="1494" t="s">
        <v>428</v>
      </c>
      <c r="G214" s="2"/>
      <c r="H214" s="697" t="e">
        <f t="shared" si="60"/>
        <v>#N/A</v>
      </c>
      <c r="I214" s="697" t="e">
        <f>IF(D214="","",VLOOKUP(D214,B$38:Y162,19,FALSE))</f>
        <v>#N/A</v>
      </c>
      <c r="J214" s="140"/>
      <c r="K214" s="1615"/>
      <c r="L214" s="1593"/>
      <c r="M214" s="1593"/>
      <c r="N214" s="1491"/>
      <c r="O214" s="1491"/>
      <c r="P214" s="1616"/>
      <c r="Q214" s="1494">
        <v>25.2</v>
      </c>
      <c r="R214" s="1491"/>
      <c r="S214" s="966">
        <f t="shared" si="66"/>
        <v>0.99706490520000002</v>
      </c>
      <c r="T214" s="2"/>
      <c r="U214" s="1494">
        <v>0.97</v>
      </c>
      <c r="V214" s="151" t="str">
        <f t="shared" si="61"/>
        <v/>
      </c>
      <c r="W214" s="152" t="str">
        <f t="shared" si="62"/>
        <v/>
      </c>
      <c r="X214" s="152" t="str">
        <f t="shared" si="63"/>
        <v/>
      </c>
      <c r="Y214" s="700" t="str">
        <f t="shared" si="55"/>
        <v/>
      </c>
      <c r="Z214" s="964" t="str">
        <f t="shared" si="64"/>
        <v/>
      </c>
      <c r="AA214" s="134"/>
      <c r="AB214" s="4"/>
      <c r="AC214" s="4"/>
      <c r="AH214" s="186"/>
      <c r="AJ214" s="980"/>
    </row>
    <row r="215" spans="1:36" ht="14.5" x14ac:dyDescent="0.35">
      <c r="A215" s="4"/>
      <c r="B215" s="2" t="e">
        <f>IF(D215="","",VLOOKUP(D215,B$38:Y127,3,FALSE))</f>
        <v>#N/A</v>
      </c>
      <c r="C215" s="2"/>
      <c r="D215" s="1494" t="s">
        <v>992</v>
      </c>
      <c r="E215" s="1491"/>
      <c r="F215" s="1494" t="s">
        <v>428</v>
      </c>
      <c r="G215" s="2"/>
      <c r="H215" s="697" t="e">
        <f t="shared" si="60"/>
        <v>#N/A</v>
      </c>
      <c r="I215" s="697" t="e">
        <f>IF(D215="","",VLOOKUP(D215,B$38:Y163,19,FALSE))</f>
        <v>#N/A</v>
      </c>
      <c r="J215" s="140"/>
      <c r="K215" s="1615"/>
      <c r="L215" s="1593"/>
      <c r="M215" s="1593"/>
      <c r="N215" s="1491"/>
      <c r="O215" s="1491"/>
      <c r="P215" s="1616"/>
      <c r="Q215" s="1494">
        <v>25.3</v>
      </c>
      <c r="R215" s="1491"/>
      <c r="S215" s="966">
        <f t="shared" si="66"/>
        <v>0.99703879820000008</v>
      </c>
      <c r="T215" s="2"/>
      <c r="U215" s="1494">
        <v>0.97</v>
      </c>
      <c r="V215" s="151" t="str">
        <f t="shared" si="61"/>
        <v/>
      </c>
      <c r="W215" s="152" t="str">
        <f t="shared" si="62"/>
        <v/>
      </c>
      <c r="X215" s="152" t="str">
        <f t="shared" si="63"/>
        <v/>
      </c>
      <c r="Y215" s="700" t="str">
        <f t="shared" si="55"/>
        <v/>
      </c>
      <c r="Z215" s="964" t="str">
        <f t="shared" si="64"/>
        <v/>
      </c>
      <c r="AA215" s="134"/>
      <c r="AB215" s="4"/>
      <c r="AC215" s="4"/>
      <c r="AH215" s="186"/>
      <c r="AJ215" s="980"/>
    </row>
    <row r="216" spans="1:36" ht="14.5" x14ac:dyDescent="0.35">
      <c r="A216" s="4"/>
      <c r="B216" s="2" t="e">
        <f>IF(D216="","",VLOOKUP(D216,B$38:Y127,3,FALSE))</f>
        <v>#N/A</v>
      </c>
      <c r="C216" s="2"/>
      <c r="D216" s="1494" t="s">
        <v>993</v>
      </c>
      <c r="E216" s="1491"/>
      <c r="F216" s="1494" t="s">
        <v>428</v>
      </c>
      <c r="G216" s="2"/>
      <c r="H216" s="697" t="e">
        <f t="shared" si="60"/>
        <v>#N/A</v>
      </c>
      <c r="I216" s="697" t="e">
        <f>IF(D216="","",VLOOKUP(D216,B$38:Y164,19,FALSE))</f>
        <v>#N/A</v>
      </c>
      <c r="J216" s="2"/>
      <c r="K216" s="1615"/>
      <c r="L216" s="1593"/>
      <c r="M216" s="1593"/>
      <c r="N216" s="1491"/>
      <c r="O216" s="1491"/>
      <c r="P216" s="1616"/>
      <c r="Q216" s="1494">
        <v>25.4</v>
      </c>
      <c r="R216" s="1491"/>
      <c r="S216" s="966">
        <f t="shared" si="66"/>
        <v>0.9970125848000001</v>
      </c>
      <c r="T216" s="2"/>
      <c r="U216" s="1494">
        <v>0.97</v>
      </c>
      <c r="V216" s="151" t="str">
        <f t="shared" si="61"/>
        <v/>
      </c>
      <c r="W216" s="152" t="str">
        <f t="shared" si="62"/>
        <v/>
      </c>
      <c r="X216" s="152" t="str">
        <f t="shared" si="63"/>
        <v/>
      </c>
      <c r="Y216" s="700" t="str">
        <f t="shared" si="55"/>
        <v/>
      </c>
      <c r="Z216" s="964" t="str">
        <f t="shared" si="64"/>
        <v/>
      </c>
      <c r="AA216" s="134"/>
      <c r="AB216" s="4"/>
      <c r="AC216" s="4"/>
      <c r="AH216" s="186"/>
      <c r="AJ216" s="980"/>
    </row>
    <row r="217" spans="1:36" ht="14.5" x14ac:dyDescent="0.35">
      <c r="A217" s="4"/>
      <c r="B217" s="4"/>
      <c r="C217" s="4"/>
      <c r="D217" s="4"/>
      <c r="E217" s="4"/>
      <c r="F217" s="6" t="s">
        <v>372</v>
      </c>
      <c r="G217" s="693"/>
      <c r="H217" s="4"/>
      <c r="I217" s="195"/>
      <c r="J217" s="694"/>
      <c r="K217" s="6"/>
      <c r="L217" s="4"/>
      <c r="M217" s="4"/>
      <c r="N217" s="4"/>
      <c r="O217" s="4"/>
      <c r="P217" s="4"/>
      <c r="Q217" s="4"/>
      <c r="R217" s="4"/>
      <c r="S217" s="134" t="s">
        <v>1005</v>
      </c>
      <c r="T217" s="134"/>
      <c r="U217" s="4"/>
      <c r="V217" s="4"/>
      <c r="W217" s="4"/>
      <c r="X217" s="4"/>
      <c r="Y217" s="4"/>
      <c r="Z217" s="4"/>
      <c r="AA217" s="26"/>
      <c r="AB217" s="4"/>
      <c r="AC217" s="134"/>
    </row>
    <row r="218" spans="1:36" ht="14.5" x14ac:dyDescent="0.35">
      <c r="A218" s="4"/>
      <c r="B218" s="4"/>
      <c r="C218" s="4"/>
      <c r="D218" s="4"/>
      <c r="E218" s="4"/>
      <c r="F218" s="4"/>
      <c r="G218" s="693"/>
      <c r="H218" s="4"/>
      <c r="I218" s="195"/>
      <c r="J218" s="694"/>
      <c r="K218" s="6"/>
      <c r="L218" s="4"/>
      <c r="M218" s="4"/>
      <c r="N218" s="4"/>
      <c r="O218" s="4"/>
      <c r="P218" s="4"/>
      <c r="Q218" s="4"/>
      <c r="R218" s="134"/>
      <c r="S218" s="4"/>
      <c r="T218" s="4"/>
      <c r="U218" s="4"/>
      <c r="V218" s="4"/>
      <c r="W218" s="4"/>
      <c r="X218" s="4"/>
      <c r="Y218" s="26"/>
      <c r="Z218" s="4"/>
      <c r="AA218" s="134"/>
      <c r="AB218" s="4"/>
      <c r="AC218" s="4"/>
    </row>
    <row r="219" spans="1:36"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36" x14ac:dyDescent="0.3">
      <c r="A220" s="13" t="s">
        <v>949</v>
      </c>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36"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36" ht="14.5" x14ac:dyDescent="0.35">
      <c r="A222" s="4"/>
      <c r="B222" s="5" t="s">
        <v>644</v>
      </c>
      <c r="C222" s="4"/>
      <c r="D222" s="4"/>
      <c r="E222" s="1471" t="s">
        <v>56</v>
      </c>
      <c r="F222" s="6" t="s">
        <v>645</v>
      </c>
      <c r="G222" s="4"/>
      <c r="H222" s="4"/>
      <c r="I222" s="4"/>
      <c r="J222" s="4"/>
      <c r="K222" s="4"/>
      <c r="L222" s="4"/>
      <c r="M222" s="4"/>
      <c r="N222" s="4"/>
      <c r="O222" s="4"/>
      <c r="P222" s="4"/>
      <c r="Q222" s="4"/>
      <c r="R222" s="4"/>
      <c r="S222" s="4"/>
      <c r="T222" s="4"/>
      <c r="U222" s="4"/>
      <c r="V222" s="4"/>
      <c r="W222" s="4"/>
      <c r="X222" s="4"/>
      <c r="Y222" s="4"/>
      <c r="Z222" s="4"/>
      <c r="AA222" s="4"/>
      <c r="AB222" s="4"/>
      <c r="AC222" s="4"/>
    </row>
    <row r="223" spans="1:36" x14ac:dyDescent="0.3">
      <c r="A223" s="4"/>
      <c r="B223" s="5" t="s">
        <v>331</v>
      </c>
      <c r="C223" s="4"/>
      <c r="D223" s="4"/>
      <c r="E223" s="2139" t="s">
        <v>941</v>
      </c>
      <c r="F223" s="2139"/>
      <c r="G223" s="2139"/>
      <c r="H223" s="4"/>
      <c r="I223" s="4"/>
      <c r="J223" s="4"/>
      <c r="K223" s="4"/>
      <c r="L223" s="4"/>
      <c r="M223" s="4"/>
      <c r="N223" s="4"/>
      <c r="O223" s="4"/>
      <c r="P223" s="4"/>
      <c r="Q223" s="4"/>
      <c r="R223" s="4"/>
      <c r="S223" s="4"/>
      <c r="T223" s="4"/>
      <c r="U223" s="4"/>
      <c r="V223" s="4"/>
      <c r="W223" s="4"/>
      <c r="X223" s="4"/>
      <c r="Y223" s="4"/>
      <c r="Z223" s="4"/>
      <c r="AA223" s="4"/>
      <c r="AB223" s="4"/>
      <c r="AC223" s="4"/>
    </row>
    <row r="224" spans="1:36"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x14ac:dyDescent="0.3">
      <c r="A225" s="4"/>
      <c r="B225" s="5" t="s">
        <v>330</v>
      </c>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4.5" x14ac:dyDescent="0.35">
      <c r="A226" s="4"/>
      <c r="B226" s="2" t="s">
        <v>1021</v>
      </c>
      <c r="C226" s="2"/>
      <c r="D226" s="2"/>
      <c r="E226" s="2"/>
      <c r="F226" s="2"/>
      <c r="G226" s="2"/>
      <c r="H226" s="2"/>
      <c r="I226" s="2"/>
      <c r="J226" s="2"/>
      <c r="K226" s="2"/>
      <c r="L226" s="1494" t="s">
        <v>1023</v>
      </c>
      <c r="M226" s="134" t="s">
        <v>1022</v>
      </c>
      <c r="N226" s="4"/>
      <c r="O226" s="4"/>
      <c r="P226" s="4"/>
      <c r="Q226" s="4"/>
      <c r="R226" s="4"/>
      <c r="S226" s="4"/>
      <c r="T226" s="4"/>
      <c r="U226" s="4"/>
      <c r="V226" s="4"/>
      <c r="W226" s="26"/>
      <c r="X226" s="4"/>
      <c r="Y226" s="4"/>
      <c r="Z226" s="4"/>
      <c r="AA226" s="4"/>
      <c r="AB226" s="4"/>
      <c r="AC226" s="4"/>
    </row>
    <row r="227" spans="1:29" ht="14.5" x14ac:dyDescent="0.35">
      <c r="A227" s="4"/>
      <c r="B227" s="2" t="s">
        <v>1034</v>
      </c>
      <c r="C227" s="2"/>
      <c r="D227" s="2"/>
      <c r="E227" s="2"/>
      <c r="F227" s="2"/>
      <c r="G227" s="2"/>
      <c r="H227" s="2"/>
      <c r="I227" s="2"/>
      <c r="J227" s="2"/>
      <c r="K227" s="2"/>
      <c r="L227" s="152" t="str">
        <f>H245</f>
        <v>C</v>
      </c>
      <c r="M227" s="134"/>
      <c r="N227" s="4"/>
      <c r="O227" s="4"/>
      <c r="P227" s="4"/>
      <c r="Q227" s="4"/>
      <c r="R227" s="4"/>
      <c r="S227" s="4"/>
      <c r="T227" s="4"/>
      <c r="U227" s="4"/>
      <c r="V227" s="4"/>
      <c r="W227" s="26"/>
      <c r="X227" s="4"/>
      <c r="Y227" s="4"/>
      <c r="Z227" s="4"/>
      <c r="AA227" s="4"/>
      <c r="AB227" s="4"/>
      <c r="AC227" s="4"/>
    </row>
    <row r="228" spans="1:29" ht="14.5" x14ac:dyDescent="0.35">
      <c r="A228" s="4"/>
      <c r="B228" s="2" t="s">
        <v>950</v>
      </c>
      <c r="C228" s="2"/>
      <c r="D228" s="2"/>
      <c r="E228" s="2"/>
      <c r="F228" s="2"/>
      <c r="G228" s="2"/>
      <c r="H228" s="2"/>
      <c r="I228" s="2"/>
      <c r="J228" s="1491"/>
      <c r="K228" s="2139" t="s">
        <v>429</v>
      </c>
      <c r="L228" s="2139"/>
      <c r="M228" s="134" t="s">
        <v>1435</v>
      </c>
      <c r="N228" s="4"/>
      <c r="O228" s="4"/>
      <c r="P228" s="4"/>
      <c r="Q228" s="4"/>
      <c r="R228" s="4"/>
      <c r="S228" s="4"/>
      <c r="T228" s="4"/>
      <c r="U228" s="4"/>
      <c r="V228" s="4"/>
      <c r="W228" s="4"/>
      <c r="X228" s="4"/>
      <c r="Y228" s="4"/>
      <c r="Z228" s="4"/>
      <c r="AA228" s="4"/>
      <c r="AB228" s="4"/>
      <c r="AC228" s="4"/>
    </row>
    <row r="229" spans="1:29" ht="14.5" x14ac:dyDescent="0.35">
      <c r="A229" s="4"/>
      <c r="B229" s="2" t="s">
        <v>827</v>
      </c>
      <c r="C229" s="2"/>
      <c r="D229" s="2"/>
      <c r="E229" s="60" t="s">
        <v>1035</v>
      </c>
      <c r="F229" s="2"/>
      <c r="G229" s="2"/>
      <c r="H229" s="2"/>
      <c r="I229" s="3"/>
      <c r="J229" s="2139" t="s">
        <v>951</v>
      </c>
      <c r="K229" s="2139"/>
      <c r="L229" s="2139"/>
      <c r="M229" s="134"/>
      <c r="N229" s="4"/>
      <c r="O229" s="4"/>
      <c r="P229" s="4"/>
      <c r="Q229" s="4"/>
      <c r="R229" s="4"/>
      <c r="S229" s="4"/>
      <c r="T229" s="4"/>
      <c r="U229" s="4"/>
      <c r="V229" s="4"/>
      <c r="W229" s="4"/>
      <c r="X229" s="4"/>
      <c r="Y229" s="4"/>
      <c r="Z229" s="4"/>
      <c r="AA229" s="4"/>
      <c r="AB229" s="4"/>
      <c r="AC229" s="4"/>
    </row>
    <row r="230" spans="1:29" ht="14.5" x14ac:dyDescent="0.35">
      <c r="A230" s="4"/>
      <c r="B230" s="2"/>
      <c r="C230" s="2"/>
      <c r="D230" s="2"/>
      <c r="E230" s="60" t="s">
        <v>1036</v>
      </c>
      <c r="F230" s="2"/>
      <c r="G230" s="2"/>
      <c r="H230" s="2"/>
      <c r="I230" s="3"/>
      <c r="J230" s="2139" t="s">
        <v>288</v>
      </c>
      <c r="K230" s="2139"/>
      <c r="L230" s="2139"/>
      <c r="M230" s="134" t="s">
        <v>1637</v>
      </c>
      <c r="N230" s="4"/>
      <c r="O230" s="4"/>
      <c r="P230" s="4"/>
      <c r="Q230" s="4"/>
      <c r="R230" s="4"/>
      <c r="S230" s="4"/>
      <c r="T230" s="4"/>
      <c r="U230" s="4"/>
      <c r="V230" s="4"/>
      <c r="W230" s="4"/>
      <c r="X230" s="4"/>
      <c r="Y230" s="4"/>
      <c r="Z230" s="4"/>
      <c r="AA230" s="4"/>
      <c r="AB230" s="4"/>
      <c r="AC230" s="4"/>
    </row>
    <row r="231" spans="1:29" ht="14.5" x14ac:dyDescent="0.35">
      <c r="A231" s="4"/>
      <c r="B231" s="2" t="s">
        <v>826</v>
      </c>
      <c r="C231" s="2"/>
      <c r="D231" s="2"/>
      <c r="E231" s="60" t="s">
        <v>1387</v>
      </c>
      <c r="F231" s="2"/>
      <c r="G231" s="2"/>
      <c r="H231" s="2"/>
      <c r="I231" s="3" t="s">
        <v>1388</v>
      </c>
      <c r="J231" s="1494">
        <v>60</v>
      </c>
      <c r="K231" s="1600"/>
      <c r="L231" s="1600"/>
      <c r="M231" s="134"/>
      <c r="N231" s="4"/>
      <c r="O231" s="4"/>
      <c r="P231" s="4"/>
      <c r="Q231" s="4"/>
      <c r="R231" s="4"/>
      <c r="S231" s="4"/>
      <c r="T231" s="4"/>
      <c r="U231" s="4"/>
      <c r="V231" s="4"/>
      <c r="W231" s="4"/>
      <c r="X231" s="4"/>
      <c r="Y231" s="4"/>
      <c r="Z231" s="4"/>
      <c r="AA231" s="4"/>
      <c r="AB231" s="4"/>
      <c r="AC231" s="4"/>
    </row>
    <row r="232" spans="1:29" ht="14.5" x14ac:dyDescent="0.35">
      <c r="A232" s="4"/>
      <c r="B232" s="2"/>
      <c r="C232" s="2"/>
      <c r="D232" s="2"/>
      <c r="E232" s="60" t="s">
        <v>1641</v>
      </c>
      <c r="F232" s="2"/>
      <c r="G232" s="2"/>
      <c r="H232" s="2"/>
      <c r="I232" s="3" t="s">
        <v>1642</v>
      </c>
      <c r="J232" s="1494">
        <v>30</v>
      </c>
      <c r="K232" s="1600"/>
      <c r="L232" s="1600"/>
      <c r="M232" s="134"/>
      <c r="N232" s="4"/>
      <c r="O232" s="4"/>
      <c r="P232" s="4"/>
      <c r="Q232" s="4"/>
      <c r="R232" s="4"/>
      <c r="S232" s="4"/>
      <c r="T232" s="4"/>
      <c r="U232" s="4"/>
      <c r="V232" s="4"/>
      <c r="W232" s="4"/>
      <c r="X232" s="4"/>
      <c r="Y232" s="4"/>
      <c r="Z232" s="4"/>
      <c r="AA232" s="4"/>
      <c r="AB232" s="4"/>
      <c r="AC232" s="4"/>
    </row>
    <row r="233" spans="1:29" ht="14.5" x14ac:dyDescent="0.35">
      <c r="A233" s="4"/>
      <c r="B233" s="2"/>
      <c r="C233" s="2"/>
      <c r="D233" s="2"/>
      <c r="E233" s="60" t="s">
        <v>1037</v>
      </c>
      <c r="F233" s="2"/>
      <c r="G233" s="2"/>
      <c r="H233" s="2"/>
      <c r="I233" s="3" t="s">
        <v>488</v>
      </c>
      <c r="J233" s="1494">
        <v>180</v>
      </c>
      <c r="K233" s="1600"/>
      <c r="L233" s="1600"/>
      <c r="M233" s="134"/>
      <c r="N233" s="4"/>
      <c r="O233" s="4"/>
      <c r="P233" s="4"/>
      <c r="Q233" s="4"/>
      <c r="R233" s="4"/>
      <c r="S233" s="4"/>
      <c r="T233" s="4"/>
      <c r="U233" s="4"/>
      <c r="V233" s="4"/>
      <c r="W233" s="4"/>
      <c r="X233" s="4"/>
      <c r="Y233" s="4"/>
      <c r="Z233" s="4"/>
      <c r="AA233" s="4"/>
      <c r="AB233" s="4"/>
      <c r="AC233" s="4"/>
    </row>
    <row r="234" spans="1:29" ht="14.5" x14ac:dyDescent="0.35">
      <c r="A234" s="4"/>
      <c r="B234" s="2"/>
      <c r="C234" s="2"/>
      <c r="D234" s="2"/>
      <c r="E234" s="60" t="s">
        <v>1038</v>
      </c>
      <c r="F234" s="2"/>
      <c r="G234" s="2"/>
      <c r="H234" s="2"/>
      <c r="I234" s="3" t="s">
        <v>952</v>
      </c>
      <c r="J234" s="1494">
        <v>0.82</v>
      </c>
      <c r="K234" s="1600"/>
      <c r="L234" s="1600"/>
      <c r="M234" s="134"/>
      <c r="N234" s="4"/>
      <c r="O234" s="4"/>
      <c r="P234" s="4"/>
      <c r="Q234" s="4"/>
      <c r="R234" s="4"/>
      <c r="S234" s="4"/>
      <c r="T234" s="4"/>
      <c r="U234" s="4"/>
      <c r="V234" s="4"/>
      <c r="W234" s="4"/>
      <c r="X234" s="4"/>
      <c r="Y234" s="4"/>
      <c r="Z234" s="4"/>
      <c r="AA234" s="4"/>
      <c r="AB234" s="4"/>
      <c r="AC234" s="4"/>
    </row>
    <row r="235" spans="1:29" ht="14.5" x14ac:dyDescent="0.35">
      <c r="A235" s="4"/>
      <c r="B235" s="2"/>
      <c r="C235" s="2"/>
      <c r="D235" s="2"/>
      <c r="E235" s="60" t="s">
        <v>1639</v>
      </c>
      <c r="F235" s="2"/>
      <c r="G235" s="2"/>
      <c r="H235" s="2"/>
      <c r="I235" s="3" t="s">
        <v>1465</v>
      </c>
      <c r="J235" s="1494">
        <v>600</v>
      </c>
      <c r="K235" s="1600"/>
      <c r="L235" s="1600"/>
      <c r="M235" s="134"/>
      <c r="N235" s="4"/>
      <c r="O235" s="4"/>
      <c r="P235" s="4"/>
      <c r="Q235" s="4"/>
      <c r="R235" s="4"/>
      <c r="S235" s="4"/>
      <c r="T235" s="4"/>
      <c r="U235" s="4"/>
      <c r="V235" s="4"/>
      <c r="W235" s="4"/>
      <c r="X235" s="4"/>
      <c r="Y235" s="4"/>
      <c r="Z235" s="4"/>
      <c r="AA235" s="4"/>
      <c r="AB235" s="4"/>
      <c r="AC235" s="4"/>
    </row>
    <row r="236" spans="1:29"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4.5" x14ac:dyDescent="0.35">
      <c r="A237" s="4"/>
      <c r="B237" s="5" t="s">
        <v>335</v>
      </c>
      <c r="C237" s="4"/>
      <c r="D237" s="4"/>
      <c r="E237" s="4"/>
      <c r="F237" s="134" t="s">
        <v>840</v>
      </c>
      <c r="G237" s="4"/>
      <c r="H237" s="4"/>
      <c r="I237" s="4"/>
      <c r="J237" s="4"/>
      <c r="K237" s="4"/>
      <c r="L237" s="4"/>
      <c r="M237" s="4"/>
      <c r="N237" s="4"/>
      <c r="O237" s="4"/>
      <c r="P237" s="4"/>
      <c r="Q237" s="4"/>
      <c r="R237" s="4"/>
      <c r="S237" s="4"/>
      <c r="T237" s="4"/>
      <c r="U237" s="4"/>
      <c r="V237" s="4"/>
      <c r="W237" s="4"/>
      <c r="X237" s="4"/>
      <c r="Y237" s="4"/>
      <c r="Z237" s="4"/>
      <c r="AA237" s="4"/>
      <c r="AB237" s="4"/>
      <c r="AC237" s="4"/>
    </row>
    <row r="238" spans="1:29" x14ac:dyDescent="0.3">
      <c r="A238" s="4"/>
      <c r="B238" s="2" t="s">
        <v>183</v>
      </c>
      <c r="C238" s="2"/>
      <c r="D238" s="2" t="s">
        <v>336</v>
      </c>
      <c r="E238" s="2"/>
      <c r="F238" s="18" t="s">
        <v>375</v>
      </c>
      <c r="G238" s="18" t="s">
        <v>344</v>
      </c>
      <c r="H238" s="18" t="s">
        <v>1006</v>
      </c>
      <c r="I238" s="18" t="s">
        <v>432</v>
      </c>
      <c r="J238" s="60" t="s">
        <v>436</v>
      </c>
      <c r="K238" s="2"/>
      <c r="L238" s="2" t="s">
        <v>1007</v>
      </c>
      <c r="M238" s="2"/>
      <c r="N238" s="2" t="s">
        <v>437</v>
      </c>
      <c r="O238" s="18" t="s">
        <v>433</v>
      </c>
      <c r="P238" s="18" t="s">
        <v>438</v>
      </c>
      <c r="Q238" s="18" t="s">
        <v>825</v>
      </c>
      <c r="R238" s="4"/>
      <c r="S238" s="4"/>
      <c r="T238" s="4"/>
      <c r="U238" s="4"/>
      <c r="V238" s="4"/>
      <c r="W238" s="4"/>
      <c r="X238" s="4"/>
      <c r="Y238" s="4"/>
      <c r="Z238" s="4"/>
      <c r="AA238" s="4"/>
      <c r="AB238" s="4"/>
      <c r="AC238" s="4"/>
    </row>
    <row r="239" spans="1:29" x14ac:dyDescent="0.3">
      <c r="A239" s="4"/>
      <c r="B239" s="49" t="s">
        <v>337</v>
      </c>
      <c r="C239" s="49"/>
      <c r="D239" s="47" t="s">
        <v>338</v>
      </c>
      <c r="E239" s="49"/>
      <c r="F239" s="47" t="s">
        <v>371</v>
      </c>
      <c r="G239" s="47" t="s">
        <v>418</v>
      </c>
      <c r="H239" s="47" t="s">
        <v>432</v>
      </c>
      <c r="I239" s="47" t="s">
        <v>418</v>
      </c>
      <c r="J239" s="47" t="s">
        <v>132</v>
      </c>
      <c r="K239" s="49"/>
      <c r="L239" s="47" t="s">
        <v>418</v>
      </c>
      <c r="M239" s="47"/>
      <c r="N239" s="47" t="s">
        <v>132</v>
      </c>
      <c r="O239" s="47" t="s">
        <v>132</v>
      </c>
      <c r="P239" s="47" t="s">
        <v>132</v>
      </c>
      <c r="Q239" s="47" t="s">
        <v>132</v>
      </c>
      <c r="R239" s="4"/>
      <c r="S239" s="4"/>
      <c r="T239" s="4"/>
      <c r="U239" s="4"/>
      <c r="V239" s="4"/>
      <c r="W239" s="4"/>
      <c r="X239" s="4"/>
      <c r="Y239" s="4"/>
      <c r="Z239" s="4"/>
      <c r="AA239" s="4"/>
      <c r="AB239" s="4"/>
      <c r="AC239" s="4"/>
    </row>
    <row r="240" spans="1:29" ht="14.5" x14ac:dyDescent="0.35">
      <c r="A240" s="4"/>
      <c r="B240" s="43">
        <f>IF(D240="","",VLOOKUP(D240,B$38:Y$127,3,FALSE))</f>
        <v>3.5500000000000003</v>
      </c>
      <c r="C240" s="43"/>
      <c r="D240" s="1516" t="s">
        <v>353</v>
      </c>
      <c r="E240" s="43"/>
      <c r="F240" s="132">
        <f>IF(D240="","",VLOOKUP(D240,B$38:Y$127,9,FALSE))</f>
        <v>62</v>
      </c>
      <c r="G240" s="712">
        <f>IF(D240="","",VLOOKUP(B240,B$146:AB$151,27,FALSE))</f>
        <v>2.5149219191888523</v>
      </c>
      <c r="H240" s="42" t="str">
        <f>IF(D240="","",IF(VLOOKUP(D240,D$166:Z$216,3,FALSE)="","",VLOOKUP(D240,D$166:Z$216,3,FALSE)))</f>
        <v/>
      </c>
      <c r="I240" s="712" t="str">
        <f>IF(D240="","",VLOOKUP(D240,D$166:Z$216,23,FALSE))</f>
        <v/>
      </c>
      <c r="J240" s="132" t="str">
        <f>IF(OR(G240="",I240=""),"",(G240-I240)/G240*100)</f>
        <v/>
      </c>
      <c r="K240" s="43"/>
      <c r="L240" s="1626">
        <v>2.2999999999999998</v>
      </c>
      <c r="M240" s="1627"/>
      <c r="N240" s="1613">
        <v>15</v>
      </c>
      <c r="O240" s="1313">
        <f>IF(AND(J240="",N240=""),"",IF(berekeningen!G$108="N",J240,N240))</f>
        <v>15</v>
      </c>
      <c r="P240" s="1313" t="str">
        <f>IF(J240="","",J240+B240*I240/(samenstelling!K$158))</f>
        <v/>
      </c>
      <c r="Q240" s="1313" t="str">
        <f>IF(J240="","",100*(B240*I240/(samenstelling!K$158))/P240)</f>
        <v/>
      </c>
      <c r="R240" s="134" t="s">
        <v>459</v>
      </c>
      <c r="S240" s="4"/>
      <c r="T240" s="4"/>
      <c r="U240" s="4"/>
      <c r="V240" s="4"/>
      <c r="W240" s="4"/>
      <c r="X240" s="4"/>
      <c r="Y240" s="4"/>
      <c r="Z240" s="4"/>
      <c r="AA240" s="4"/>
      <c r="AB240" s="4"/>
      <c r="AC240" s="4"/>
    </row>
    <row r="241" spans="1:29" ht="14.5" x14ac:dyDescent="0.35">
      <c r="A241" s="4"/>
      <c r="B241" s="2">
        <f>IF(D241="","",VLOOKUP(D241,B$38:Y$127,3,FALSE))</f>
        <v>3.5500000000000003</v>
      </c>
      <c r="C241" s="2"/>
      <c r="D241" s="1494" t="s">
        <v>354</v>
      </c>
      <c r="E241" s="2"/>
      <c r="F241" s="133">
        <f>IF(D241="","",VLOOKUP(D241,B$38:Y$127,9,FALSE))</f>
        <v>64</v>
      </c>
      <c r="G241" s="152">
        <f t="shared" ref="G241:G243" si="67">IF(D241="","",VLOOKUP(B241,B$146:AB$151,27,FALSE))</f>
        <v>2.5149219191888523</v>
      </c>
      <c r="H241" s="18" t="str">
        <f t="shared" ref="H241:H253" si="68">IF(D241="","",IF(VLOOKUP(D241,D$166:Z$216,3,FALSE)="","",VLOOKUP(D241,D$166:Z$216,3,FALSE)))</f>
        <v/>
      </c>
      <c r="I241" s="152" t="str">
        <f>IF(D241="","",VLOOKUP(D241,D$166:Z$216,23,FALSE))</f>
        <v/>
      </c>
      <c r="J241" s="133" t="str">
        <f>IF(OR(G241="",I241=""),"",(G241-I241)/G241*100)</f>
        <v/>
      </c>
      <c r="K241" s="2"/>
      <c r="L241" s="1628">
        <v>2.31</v>
      </c>
      <c r="M241" s="1600"/>
      <c r="N241" s="1593">
        <v>15.1</v>
      </c>
      <c r="O241" s="1314">
        <f>IF(AND(J241="",N241=""),"",IF(berekeningen!G$108="N",J241,N241))</f>
        <v>15.1</v>
      </c>
      <c r="P241" s="1314" t="str">
        <f>IF(J241="","",J241+B241*I241/(samenstelling!K$158))</f>
        <v/>
      </c>
      <c r="Q241" s="1314" t="str">
        <f>IF(J241="","",100*(B241*I241/(samenstelling!K$158))/P241)</f>
        <v/>
      </c>
      <c r="R241" s="134" t="s">
        <v>1029</v>
      </c>
      <c r="S241" s="4"/>
      <c r="T241" s="4"/>
      <c r="U241" s="4"/>
      <c r="V241" s="4"/>
      <c r="W241" s="4"/>
      <c r="X241" s="4"/>
      <c r="Y241" s="4"/>
      <c r="Z241" s="4"/>
      <c r="AA241" s="4"/>
      <c r="AB241" s="4"/>
      <c r="AC241" s="4"/>
    </row>
    <row r="242" spans="1:29" x14ac:dyDescent="0.3">
      <c r="A242" s="4"/>
      <c r="B242" s="698">
        <f>IF(D242="","",VLOOKUP(D242,B$38:Y$127,3,FALSE))</f>
        <v>3.5500000000000003</v>
      </c>
      <c r="C242" s="698"/>
      <c r="D242" s="1625" t="s">
        <v>355</v>
      </c>
      <c r="E242" s="698"/>
      <c r="F242" s="701">
        <f>IF(D242="","",VLOOKUP(D242,B$38:Y$127,9,FALSE))</f>
        <v>63</v>
      </c>
      <c r="G242" s="699">
        <f t="shared" si="67"/>
        <v>2.5149219191888523</v>
      </c>
      <c r="H242" s="986" t="str">
        <f t="shared" si="68"/>
        <v/>
      </c>
      <c r="I242" s="699" t="str">
        <f>IF(D242="","",VLOOKUP(D242,D$166:Z$216,23,FALSE))</f>
        <v/>
      </c>
      <c r="J242" s="701" t="str">
        <f>IF(OR(G242="",I242=""),"",(G242-I242)/G242*100)</f>
        <v/>
      </c>
      <c r="K242" s="698"/>
      <c r="L242" s="1629">
        <v>2.3199999999999998</v>
      </c>
      <c r="M242" s="1630"/>
      <c r="N242" s="1631">
        <v>15.2</v>
      </c>
      <c r="O242" s="1315">
        <f>IF(AND(J242="",N242=""),"",IF(berekeningen!G$108="N",J242,N242))</f>
        <v>15.2</v>
      </c>
      <c r="P242" s="1315" t="str">
        <f>IF(J242="","",J242+B242*I242/(samenstelling!K$158))</f>
        <v/>
      </c>
      <c r="Q242" s="1315" t="str">
        <f>IF(J242="","",100*(B242*I242/(samenstelling!K$158))/P242)</f>
        <v/>
      </c>
      <c r="R242" s="4"/>
      <c r="S242" s="4"/>
      <c r="T242" s="4"/>
      <c r="U242" s="4"/>
      <c r="V242" s="4"/>
      <c r="W242" s="4"/>
      <c r="X242" s="4"/>
      <c r="Y242" s="4"/>
      <c r="Z242" s="4"/>
      <c r="AA242" s="4"/>
      <c r="AB242" s="4"/>
      <c r="AC242" s="4"/>
    </row>
    <row r="243" spans="1:29" ht="14.5" x14ac:dyDescent="0.35">
      <c r="A243" s="4"/>
      <c r="B243" s="2">
        <f>IF(D243="","",VLOOKUP(D243,B$38:Y$127,3,FALSE))</f>
        <v>3.5500000000000003</v>
      </c>
      <c r="C243" s="2"/>
      <c r="D243" s="1494" t="s">
        <v>356</v>
      </c>
      <c r="E243" s="696" t="s">
        <v>725</v>
      </c>
      <c r="F243" s="133">
        <f>IF(D243="","",VLOOKUP(D243,B$38:Y$127,9,FALSE))</f>
        <v>62</v>
      </c>
      <c r="G243" s="152">
        <f t="shared" si="67"/>
        <v>2.5149219191888523</v>
      </c>
      <c r="H243" s="18" t="str">
        <f t="shared" si="68"/>
        <v>C</v>
      </c>
      <c r="I243" s="152" t="str">
        <f>IF(D243="","",VLOOKUP(D243,D$166:Z$216,23,FALSE))</f>
        <v/>
      </c>
      <c r="J243" s="133" t="str">
        <f>IF(OR(G243="",I243=""),"",(G243-I243)/G243*100)</f>
        <v/>
      </c>
      <c r="K243" s="2"/>
      <c r="L243" s="1628">
        <v>2.33</v>
      </c>
      <c r="M243" s="1600"/>
      <c r="N243" s="1593">
        <v>15.3</v>
      </c>
      <c r="O243" s="133">
        <f>IF(AND(J243="",N243=""),"",IF(berekeningen!G$108="N",J243,N243))</f>
        <v>15.3</v>
      </c>
      <c r="P243" s="133" t="str">
        <f>IF(J243="","",J243+B243*I243/(samenstelling!K$158))</f>
        <v/>
      </c>
      <c r="Q243" s="133" t="str">
        <f>IF(J243="","",100*(B243*I243/(samenstelling!K$158))/P243)</f>
        <v/>
      </c>
      <c r="R243" s="134" t="s">
        <v>840</v>
      </c>
      <c r="S243" s="4"/>
      <c r="T243" s="4"/>
      <c r="U243" s="4"/>
      <c r="V243" s="4"/>
      <c r="W243" s="4"/>
      <c r="X243" s="4"/>
      <c r="Y243" s="4"/>
      <c r="Z243" s="4"/>
      <c r="AA243" s="4"/>
      <c r="AB243" s="4"/>
      <c r="AC243" s="4"/>
    </row>
    <row r="244" spans="1:29" x14ac:dyDescent="0.3">
      <c r="A244" s="4"/>
      <c r="B244" s="32"/>
      <c r="C244" s="159" t="s">
        <v>458</v>
      </c>
      <c r="D244" s="57" t="str">
        <f>D240&amp;" tot "&amp;D242</f>
        <v>A1 tot A3</v>
      </c>
      <c r="E244" s="299">
        <f>IF(SUM(B240:B243)=0,"",ROUND(AVERAGE(B240:B243),1))</f>
        <v>3.6</v>
      </c>
      <c r="F244" s="131">
        <f t="shared" ref="F244:J244" si="69">IF(SUM(F240:F242)=0,"",AVERAGE(F240:F242))</f>
        <v>63</v>
      </c>
      <c r="G244" s="161">
        <f t="shared" si="69"/>
        <v>2.5149219191888523</v>
      </c>
      <c r="H244" s="31"/>
      <c r="I244" s="161" t="str">
        <f t="shared" si="69"/>
        <v/>
      </c>
      <c r="J244" s="131" t="str">
        <f t="shared" si="69"/>
        <v/>
      </c>
      <c r="K244" s="32"/>
      <c r="L244" s="161">
        <f>IF(SUM(L240:L242)=0,"",AVERAGE(L240:L242))</f>
        <v>2.31</v>
      </c>
      <c r="M244" s="31"/>
      <c r="N244" s="131">
        <f>IF(SUM(N240:N242)=0,"",AVERAGE(N240:N242))</f>
        <v>15.1</v>
      </c>
      <c r="O244" s="131">
        <f>IF(SUM(O240:O242)=0,"",AVERAGE(O240:O242))</f>
        <v>15.1</v>
      </c>
      <c r="P244" s="131" t="str">
        <f t="shared" ref="P244" si="70">IF(SUM(P240:P242)=0,"",AVERAGE(P240:P242))</f>
        <v/>
      </c>
      <c r="Q244" s="131" t="str">
        <f>IF(SUM(Q240:Q242)=0,"",AVERAGE(Q240:Q242))</f>
        <v/>
      </c>
      <c r="R244" s="4"/>
      <c r="S244" s="4"/>
      <c r="T244" s="4"/>
      <c r="U244" s="4"/>
      <c r="V244" s="4"/>
      <c r="W244" s="4"/>
      <c r="X244" s="4"/>
      <c r="Y244" s="4"/>
      <c r="Z244" s="4"/>
      <c r="AA244" s="4"/>
      <c r="AB244" s="4"/>
      <c r="AC244" s="4"/>
    </row>
    <row r="245" spans="1:29" x14ac:dyDescent="0.3">
      <c r="A245" s="4"/>
      <c r="B245" s="43">
        <f>IF(D245="","",VLOOKUP(D245,B$38:Y$127,3,FALSE))</f>
        <v>3.85</v>
      </c>
      <c r="C245" s="43"/>
      <c r="D245" s="1516" t="s">
        <v>358</v>
      </c>
      <c r="E245" s="43"/>
      <c r="F245" s="132">
        <f>IF(D245="","",VLOOKUP(D245,B$38:Y$127,9,FALSE))</f>
        <v>75</v>
      </c>
      <c r="G245" s="712">
        <f t="shared" ref="G245:G248" si="71">IF(D245="","",VLOOKUP(B245,B$146:AB$151,27,FALSE))</f>
        <v>3.0154391189857619</v>
      </c>
      <c r="H245" s="42" t="str">
        <f t="shared" si="68"/>
        <v>C</v>
      </c>
      <c r="I245" s="712">
        <f>IF(D245="","",VLOOKUP(D245,D$166:Z$216,23,FALSE))</f>
        <v>2.6780387104261854</v>
      </c>
      <c r="J245" s="132">
        <f>IF(OR(G245="",I245=""),"",(G245-I245)/G245*100)</f>
        <v>11.189097018581514</v>
      </c>
      <c r="K245" s="43"/>
      <c r="L245" s="1626">
        <v>2.34</v>
      </c>
      <c r="M245" s="1627"/>
      <c r="N245" s="1613">
        <v>15.4</v>
      </c>
      <c r="O245" s="1313">
        <f>IF(AND(J245="",N245=""),"",IF(berekeningen!G$108="N",J245,N245))</f>
        <v>15.4</v>
      </c>
      <c r="P245" s="1313">
        <f>IF(J245="","",J245+B245*I245/(samenstelling!K$158))</f>
        <v>21.214328491716522</v>
      </c>
      <c r="Q245" s="1313">
        <f>IF(J245="","",100*(B245*I245/(samenstelling!K$158))/P245)</f>
        <v>47.256888084152749</v>
      </c>
      <c r="R245" s="4"/>
      <c r="S245" s="4"/>
      <c r="T245" s="4"/>
      <c r="U245" s="4"/>
      <c r="V245" s="4"/>
      <c r="W245" s="4"/>
      <c r="X245" s="4"/>
      <c r="Y245" s="4"/>
      <c r="Z245" s="4"/>
      <c r="AA245" s="4"/>
      <c r="AB245" s="4"/>
      <c r="AC245" s="4"/>
    </row>
    <row r="246" spans="1:29" x14ac:dyDescent="0.3">
      <c r="A246" s="4"/>
      <c r="B246" s="2">
        <f>IF(D246="","",VLOOKUP(D246,B$38:Y$127,3,FALSE))</f>
        <v>3.85</v>
      </c>
      <c r="C246" s="2"/>
      <c r="D246" s="1494" t="s">
        <v>359</v>
      </c>
      <c r="E246" s="2"/>
      <c r="F246" s="133">
        <f>IF(D246="","",VLOOKUP(D246,B$38:Y$127,9,FALSE))</f>
        <v>74</v>
      </c>
      <c r="G246" s="152">
        <f t="shared" si="71"/>
        <v>3.0154391189857619</v>
      </c>
      <c r="H246" s="18" t="str">
        <f t="shared" si="68"/>
        <v>C</v>
      </c>
      <c r="I246" s="152">
        <f>IF(D246="","",VLOOKUP(D246,D$166:Z$216,23,FALSE))</f>
        <v>2.67251739289294</v>
      </c>
      <c r="J246" s="133">
        <f>IF(OR(G246="",I246=""),"",(G246-I246)/G246*100)</f>
        <v>11.372198627182467</v>
      </c>
      <c r="K246" s="2"/>
      <c r="L246" s="1628">
        <v>2.35</v>
      </c>
      <c r="M246" s="1600"/>
      <c r="N246" s="1593">
        <v>15.5</v>
      </c>
      <c r="O246" s="1314">
        <f>IF(AND(J246="",N246=""),"",IF(berekeningen!G$108="N",J246,N246))</f>
        <v>15.5</v>
      </c>
      <c r="P246" s="1314">
        <f>IF(J246="","",J246+B246*I246/(samenstelling!K$158))</f>
        <v>21.37676106140778</v>
      </c>
      <c r="Q246" s="1314">
        <f>IF(J246="","",100*(B246*I246/(samenstelling!K$158))/P246)</f>
        <v>46.801114563079913</v>
      </c>
      <c r="R246" s="4"/>
      <c r="S246" s="4"/>
      <c r="T246" s="4"/>
      <c r="U246" s="4"/>
      <c r="V246" s="4"/>
      <c r="W246" s="4"/>
      <c r="X246" s="4"/>
      <c r="Y246" s="4"/>
      <c r="Z246" s="4"/>
      <c r="AA246" s="4"/>
      <c r="AB246" s="4"/>
      <c r="AC246" s="4"/>
    </row>
    <row r="247" spans="1:29" x14ac:dyDescent="0.3">
      <c r="A247" s="4"/>
      <c r="B247" s="698">
        <f>IF(D247="","",VLOOKUP(D247,B$38:Y$127,3,FALSE))</f>
        <v>3.85</v>
      </c>
      <c r="C247" s="698"/>
      <c r="D247" s="1625" t="s">
        <v>360</v>
      </c>
      <c r="E247" s="698"/>
      <c r="F247" s="701">
        <f>IF(D247="","",VLOOKUP(D247,B$38:Y$127,9,FALSE))</f>
        <v>73</v>
      </c>
      <c r="G247" s="699">
        <f t="shared" si="71"/>
        <v>3.0154391189857619</v>
      </c>
      <c r="H247" s="986" t="str">
        <f t="shared" si="68"/>
        <v>C</v>
      </c>
      <c r="I247" s="699">
        <f>IF(D247="","",VLOOKUP(D247,D$166:Z$216,23,FALSE))</f>
        <v>2.7017756740237067</v>
      </c>
      <c r="J247" s="701">
        <f>IF(OR(G247="",I247=""),"",(G247-I247)/G247*100)</f>
        <v>10.401916025668442</v>
      </c>
      <c r="K247" s="698"/>
      <c r="L247" s="1629">
        <v>2.36</v>
      </c>
      <c r="M247" s="1630"/>
      <c r="N247" s="1631">
        <v>15.6</v>
      </c>
      <c r="O247" s="1315">
        <f>IF(AND(J247="",N247=""),"",IF(berekeningen!G$108="N",J247,N247))</f>
        <v>15.6</v>
      </c>
      <c r="P247" s="1315">
        <f>IF(J247="","",J247+B247*I247/(samenstelling!K$158))</f>
        <v>20.516006764955229</v>
      </c>
      <c r="Q247" s="1315">
        <f>IF(J247="","",100*(B247*I247/(samenstelling!K$158))/P247)</f>
        <v>49.29853482288447</v>
      </c>
      <c r="R247" s="4"/>
      <c r="S247" s="4"/>
      <c r="T247" s="4"/>
      <c r="U247" s="4"/>
      <c r="V247" s="4"/>
      <c r="W247" s="4"/>
      <c r="X247" s="4"/>
      <c r="Y247" s="4"/>
      <c r="Z247" s="4"/>
      <c r="AA247" s="4"/>
      <c r="AB247" s="4"/>
      <c r="AC247" s="4"/>
    </row>
    <row r="248" spans="1:29" x14ac:dyDescent="0.3">
      <c r="A248" s="4"/>
      <c r="B248" s="2">
        <f>IF(D248="","",VLOOKUP(D248,B$38:Y$127,3,FALSE))</f>
        <v>3.85</v>
      </c>
      <c r="C248" s="2"/>
      <c r="D248" s="1494" t="s">
        <v>361</v>
      </c>
      <c r="E248" s="696" t="s">
        <v>725</v>
      </c>
      <c r="F248" s="133">
        <f>IF(D248="","",VLOOKUP(D248,B$38:Y$127,9,FALSE))</f>
        <v>72</v>
      </c>
      <c r="G248" s="152">
        <f t="shared" si="71"/>
        <v>3.0154391189857619</v>
      </c>
      <c r="H248" s="18" t="str">
        <f t="shared" si="68"/>
        <v>C</v>
      </c>
      <c r="I248" s="152" t="str">
        <f>IF(D248="","",VLOOKUP(D248,D$166:Z$216,23,FALSE))</f>
        <v/>
      </c>
      <c r="J248" s="133" t="str">
        <f>IF(OR(G248="",I248=""),"",(G248-I248)/G248*100)</f>
        <v/>
      </c>
      <c r="K248" s="2"/>
      <c r="L248" s="1628">
        <v>2.37</v>
      </c>
      <c r="M248" s="1600"/>
      <c r="N248" s="1593">
        <v>15.7</v>
      </c>
      <c r="O248" s="133">
        <f>IF(AND(J248="",N248=""),"",IF(berekeningen!G$108="N",J248,N248))</f>
        <v>15.7</v>
      </c>
      <c r="P248" s="133" t="str">
        <f>IF(J248="","",J248+B248*I248/(samenstelling!K$158))</f>
        <v/>
      </c>
      <c r="Q248" s="133" t="str">
        <f>IF(J248="","",100*(B248*I248/(samenstelling!K$158))/P248)</f>
        <v/>
      </c>
      <c r="R248" s="4"/>
      <c r="S248" s="4"/>
      <c r="T248" s="4"/>
      <c r="U248" s="4"/>
      <c r="V248" s="4"/>
      <c r="W248" s="4"/>
      <c r="X248" s="4"/>
      <c r="Y248" s="4"/>
      <c r="Z248" s="4"/>
      <c r="AA248" s="4"/>
      <c r="AB248" s="4"/>
      <c r="AC248" s="4"/>
    </row>
    <row r="249" spans="1:29" x14ac:dyDescent="0.3">
      <c r="A249" s="4"/>
      <c r="B249" s="32"/>
      <c r="C249" s="159" t="s">
        <v>458</v>
      </c>
      <c r="D249" s="57" t="str">
        <f>D245&amp;" tot "&amp;D247</f>
        <v>B1 tot B3</v>
      </c>
      <c r="E249" s="299">
        <f>IF(SUM(B245:B248)=0,"",ROUND(AVERAGE(B245:B248),1))</f>
        <v>3.9</v>
      </c>
      <c r="F249" s="131">
        <f t="shared" ref="F249:J249" si="72">IF(SUM(F245:F247)=0,"",AVERAGE(F245:F247))</f>
        <v>74</v>
      </c>
      <c r="G249" s="161">
        <f t="shared" si="72"/>
        <v>3.0154391189857619</v>
      </c>
      <c r="H249" s="31"/>
      <c r="I249" s="161">
        <f t="shared" si="72"/>
        <v>2.684110592447611</v>
      </c>
      <c r="J249" s="131">
        <f t="shared" si="72"/>
        <v>10.987737223810806</v>
      </c>
      <c r="K249" s="32"/>
      <c r="L249" s="161">
        <f t="shared" ref="L249" si="73">IF(SUM(L245:L247)=0,"",AVERAGE(L245:L247))</f>
        <v>2.3499999999999996</v>
      </c>
      <c r="M249" s="31"/>
      <c r="N249" s="131">
        <f t="shared" ref="N249:Q249" si="74">IF(SUM(N245:N247)=0,"",AVERAGE(N245:N247))</f>
        <v>15.5</v>
      </c>
      <c r="O249" s="131">
        <f t="shared" si="74"/>
        <v>15.5</v>
      </c>
      <c r="P249" s="131">
        <f t="shared" si="74"/>
        <v>21.035698772693177</v>
      </c>
      <c r="Q249" s="131">
        <f t="shared" si="74"/>
        <v>47.785512490039046</v>
      </c>
      <c r="R249" s="4"/>
      <c r="S249" s="4"/>
      <c r="T249" s="4"/>
      <c r="U249" s="4"/>
      <c r="V249" s="4"/>
      <c r="W249" s="4"/>
      <c r="X249" s="4"/>
      <c r="Y249" s="4"/>
      <c r="Z249" s="4"/>
      <c r="AA249" s="4"/>
      <c r="AB249" s="4"/>
      <c r="AC249" s="4"/>
    </row>
    <row r="250" spans="1:29" x14ac:dyDescent="0.3">
      <c r="A250" s="4"/>
      <c r="B250" s="43">
        <f>IF(D250="","",VLOOKUP(D250,B$38:Y$127,3,FALSE))</f>
        <v>4.1500000000000004</v>
      </c>
      <c r="C250" s="43"/>
      <c r="D250" s="1516" t="s">
        <v>364</v>
      </c>
      <c r="E250" s="43"/>
      <c r="F250" s="132">
        <f>IF(D250="","",VLOOKUP(D250,B$38:Y$127,9,FALSE))</f>
        <v>85</v>
      </c>
      <c r="G250" s="712">
        <f t="shared" ref="G250:G253" si="75">IF(D250="","",VLOOKUP(B250,B$146:AB$151,27,FALSE))</f>
        <v>1.9318943159117228</v>
      </c>
      <c r="H250" s="42" t="str">
        <f t="shared" si="68"/>
        <v>C</v>
      </c>
      <c r="I250" s="712">
        <f>IF(D250="","",VLOOKUP(D250,D$166:Z$216,23,FALSE))</f>
        <v>2.1136997780986331</v>
      </c>
      <c r="J250" s="132">
        <f>IF(OR(G250="",I250=""),"",(G250-I250)/G250*100)</f>
        <v>-9.4107353952801738</v>
      </c>
      <c r="K250" s="43"/>
      <c r="L250" s="1626">
        <v>2.38</v>
      </c>
      <c r="M250" s="1627"/>
      <c r="N250" s="1613">
        <v>15.8</v>
      </c>
      <c r="O250" s="1313">
        <f>IF(AND(J250="",N250=""),"",IF(berekeningen!G$108="N",J250,N250))</f>
        <v>15.8</v>
      </c>
      <c r="P250" s="1313">
        <f>IF(J250="","",J250+B250*I250/(samenstelling!K$158))</f>
        <v>-0.88153678405465463</v>
      </c>
      <c r="Q250" s="1313">
        <f>IF(J250="","",100*(B250*I250/(samenstelling!K$158))/P250)</f>
        <v>-967.53746020616586</v>
      </c>
      <c r="R250" s="4"/>
      <c r="S250" s="4"/>
      <c r="T250" s="4"/>
      <c r="U250" s="4"/>
      <c r="V250" s="4"/>
      <c r="W250" s="4"/>
      <c r="X250" s="4"/>
      <c r="Y250" s="4"/>
      <c r="Z250" s="4"/>
      <c r="AA250" s="4"/>
      <c r="AB250" s="4"/>
      <c r="AC250" s="4"/>
    </row>
    <row r="251" spans="1:29" x14ac:dyDescent="0.3">
      <c r="A251" s="4"/>
      <c r="B251" s="2">
        <f>IF(D251="","",VLOOKUP(D251,B$38:Y$127,3,FALSE))</f>
        <v>4.1500000000000004</v>
      </c>
      <c r="C251" s="2"/>
      <c r="D251" s="1494" t="s">
        <v>365</v>
      </c>
      <c r="E251" s="2"/>
      <c r="F251" s="133">
        <f>IF(D251="","",VLOOKUP(D251,B$38:Y$127,9,FALSE))</f>
        <v>84</v>
      </c>
      <c r="G251" s="152">
        <f t="shared" si="75"/>
        <v>1.9318943159117228</v>
      </c>
      <c r="H251" s="18" t="str">
        <f t="shared" si="68"/>
        <v>C</v>
      </c>
      <c r="I251" s="152">
        <f>IF(D251="","",VLOOKUP(D251,D$166:Z$216,23,FALSE))</f>
        <v>2.1141069463050117</v>
      </c>
      <c r="J251" s="133">
        <f>IF(OR(G251="",I251=""),"",(G251-I251)/G251*100)</f>
        <v>-9.4318115071060173</v>
      </c>
      <c r="K251" s="2"/>
      <c r="L251" s="1628">
        <v>2.39</v>
      </c>
      <c r="M251" s="1600"/>
      <c r="N251" s="1593">
        <v>15.9</v>
      </c>
      <c r="O251" s="1314">
        <f>IF(AND(J251="",N251=""),"",IF(berekeningen!G$108="N",J251,N251))</f>
        <v>15.9</v>
      </c>
      <c r="P251" s="1314">
        <f>IF(J251="","",J251+B251*I251/(samenstelling!K$158))</f>
        <v>-0.90096989126065452</v>
      </c>
      <c r="Q251" s="1314">
        <f>IF(J251="","",100*(B251*I251/(samenstelling!K$158))/P251)</f>
        <v>-946.85091017956711</v>
      </c>
      <c r="R251" s="4"/>
      <c r="S251" s="4"/>
      <c r="T251" s="4"/>
      <c r="U251" s="4"/>
      <c r="V251" s="4"/>
      <c r="W251" s="4"/>
      <c r="X251" s="4"/>
      <c r="Y251" s="4"/>
      <c r="Z251" s="4"/>
      <c r="AA251" s="4"/>
      <c r="AB251" s="4"/>
      <c r="AC251" s="4"/>
    </row>
    <row r="252" spans="1:29" x14ac:dyDescent="0.3">
      <c r="A252" s="4"/>
      <c r="B252" s="698">
        <f>IF(D252="","",VLOOKUP(D252,B$38:Y$127,3,FALSE))</f>
        <v>4.1500000000000004</v>
      </c>
      <c r="C252" s="698"/>
      <c r="D252" s="1625" t="s">
        <v>366</v>
      </c>
      <c r="E252" s="698"/>
      <c r="F252" s="701">
        <f>IF(D252="","",VLOOKUP(D252,B$38:Y$127,9,FALSE))</f>
        <v>83</v>
      </c>
      <c r="G252" s="699">
        <f t="shared" si="75"/>
        <v>1.9318943159117228</v>
      </c>
      <c r="H252" s="986" t="str">
        <f t="shared" si="68"/>
        <v>C</v>
      </c>
      <c r="I252" s="699">
        <f>IF(D252="","",VLOOKUP(D252,D$166:Z$216,23,FALSE))</f>
        <v>2.1296180395475877</v>
      </c>
      <c r="J252" s="701">
        <f>IF(OR(G252="",I252=""),"",(G252-I252)/G252*100)</f>
        <v>-10.234707044135213</v>
      </c>
      <c r="K252" s="698"/>
      <c r="L252" s="1629">
        <v>2.4</v>
      </c>
      <c r="M252" s="1630"/>
      <c r="N252" s="1631">
        <v>16</v>
      </c>
      <c r="O252" s="1315">
        <f>IF(AND(J252="",N252=""),"",IF(berekeningen!G$108="N",J252,N252))</f>
        <v>16</v>
      </c>
      <c r="P252" s="1315">
        <f>IF(J252="","",J252+B252*I252/(samenstelling!K$158))</f>
        <v>-1.6412750848957778</v>
      </c>
      <c r="Q252" s="1315">
        <f>IF(J252="","",100*(B252*I252/(samenstelling!K$158))/P252)</f>
        <v>-523.58267290611582</v>
      </c>
      <c r="R252" s="4"/>
      <c r="S252" s="4"/>
      <c r="T252" s="4"/>
      <c r="U252" s="4"/>
      <c r="V252" s="4"/>
      <c r="W252" s="4"/>
      <c r="X252" s="4"/>
      <c r="Y252" s="4"/>
      <c r="Z252" s="4"/>
      <c r="AA252" s="4"/>
      <c r="AB252" s="4"/>
      <c r="AC252" s="4"/>
    </row>
    <row r="253" spans="1:29" x14ac:dyDescent="0.3">
      <c r="A253" s="4"/>
      <c r="B253" s="2">
        <f>IF(D253="","",VLOOKUP(D253,B$38:Y$127,3,FALSE))</f>
        <v>4.1500000000000004</v>
      </c>
      <c r="C253" s="2"/>
      <c r="D253" s="1494" t="s">
        <v>367</v>
      </c>
      <c r="E253" s="696" t="s">
        <v>725</v>
      </c>
      <c r="F253" s="133">
        <f>IF(D253="","",VLOOKUP(D253,B$38:Y$127,9,FALSE))</f>
        <v>82</v>
      </c>
      <c r="G253" s="152">
        <f t="shared" si="75"/>
        <v>1.9318943159117228</v>
      </c>
      <c r="H253" s="18" t="str">
        <f t="shared" si="68"/>
        <v>C</v>
      </c>
      <c r="I253" s="152" t="str">
        <f>IF(D253="","",VLOOKUP(D253,D$166:Z$216,23,FALSE))</f>
        <v/>
      </c>
      <c r="J253" s="133" t="str">
        <f>IF(OR(G253="",I253=""),"",(G253-I253)/G253*100)</f>
        <v/>
      </c>
      <c r="K253" s="2"/>
      <c r="L253" s="1628">
        <v>2.41</v>
      </c>
      <c r="M253" s="1600"/>
      <c r="N253" s="1593">
        <v>16.100000000000001</v>
      </c>
      <c r="O253" s="133">
        <f>IF(AND(J253="",N253=""),"",IF(berekeningen!G$108="N",J253,N253))</f>
        <v>16.100000000000001</v>
      </c>
      <c r="P253" s="133" t="str">
        <f>IF(J253="","",J253+B253*I253/(samenstelling!K$158))</f>
        <v/>
      </c>
      <c r="Q253" s="133" t="str">
        <f>IF(J253="","",100*(B253*I253/(samenstelling!K$158))/P253)</f>
        <v/>
      </c>
      <c r="R253" s="4"/>
      <c r="S253" s="4"/>
      <c r="T253" s="4"/>
      <c r="U253" s="4"/>
      <c r="V253" s="4"/>
      <c r="W253" s="4"/>
      <c r="X253" s="4"/>
      <c r="Y253" s="4"/>
      <c r="Z253" s="4"/>
      <c r="AA253" s="4"/>
      <c r="AB253" s="4"/>
      <c r="AC253" s="4"/>
    </row>
    <row r="254" spans="1:29" x14ac:dyDescent="0.3">
      <c r="A254" s="4"/>
      <c r="B254" s="43"/>
      <c r="C254" s="159" t="s">
        <v>458</v>
      </c>
      <c r="D254" s="57" t="str">
        <f>D250&amp;" tot "&amp;D252</f>
        <v>C1 tot C3</v>
      </c>
      <c r="E254" s="299">
        <f>IF(SUM(B250:B253)=0,"",ROUND(AVERAGE(B250:B253),1))</f>
        <v>4.2</v>
      </c>
      <c r="F254" s="132">
        <f t="shared" ref="F254:J254" si="76">IF(SUM(F250:F252)=0,"",AVERAGE(F250:F252))</f>
        <v>84</v>
      </c>
      <c r="G254" s="712">
        <f t="shared" si="76"/>
        <v>1.9318943159117226</v>
      </c>
      <c r="H254" s="42"/>
      <c r="I254" s="712">
        <f t="shared" si="76"/>
        <v>2.1191415879837443</v>
      </c>
      <c r="J254" s="132">
        <f t="shared" si="76"/>
        <v>-9.6924179821738008</v>
      </c>
      <c r="K254" s="43"/>
      <c r="L254" s="712">
        <f t="shared" ref="L254" si="77">IF(SUM(L250:L252)=0,"",AVERAGE(L250:L252))</f>
        <v>2.39</v>
      </c>
      <c r="M254" s="42"/>
      <c r="N254" s="132">
        <f t="shared" ref="N254:O254" si="78">IF(SUM(N250:N252)=0,"",AVERAGE(N250:N252))</f>
        <v>15.9</v>
      </c>
      <c r="O254" s="131">
        <f t="shared" si="78"/>
        <v>15.9</v>
      </c>
      <c r="P254" s="131">
        <f>IF(SUM(P250:P252)=0,"",AVERAGE(P250:P252))</f>
        <v>-1.1412605867370289</v>
      </c>
      <c r="Q254" s="131">
        <f>IF(SUM(Q250:Q252)=0,"",AVERAGE(Q250:Q252))</f>
        <v>-812.65701443061619</v>
      </c>
      <c r="R254" s="4"/>
      <c r="S254" s="4"/>
      <c r="T254" s="4"/>
      <c r="U254" s="4"/>
      <c r="V254" s="4"/>
      <c r="W254" s="4"/>
      <c r="X254" s="4"/>
      <c r="Y254" s="4"/>
      <c r="Z254" s="4"/>
      <c r="AA254" s="4"/>
      <c r="AB254" s="4"/>
      <c r="AC254" s="4"/>
    </row>
    <row r="255" spans="1:29"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x14ac:dyDescent="0.3">
      <c r="A256" s="4"/>
      <c r="B256" s="5" t="s">
        <v>640</v>
      </c>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x14ac:dyDescent="0.3">
      <c r="A257" s="4"/>
      <c r="B257" s="2" t="s">
        <v>432</v>
      </c>
      <c r="C257" s="2"/>
      <c r="D257" s="2" t="s">
        <v>642</v>
      </c>
      <c r="E257" s="2">
        <f>ROUND(samenstelling!C158,1)</f>
        <v>3.9</v>
      </c>
      <c r="F257" s="2" t="s">
        <v>643</v>
      </c>
      <c r="G257" s="2"/>
      <c r="H257" s="298">
        <f>IF(E222="J",VLOOKUP(E258,E244:Q254,5,FALSE),"")</f>
        <v>2.684110592447611</v>
      </c>
      <c r="I257" s="2" t="s">
        <v>624</v>
      </c>
      <c r="J257" s="4"/>
      <c r="K257" s="4"/>
      <c r="L257" s="4"/>
      <c r="M257" s="4"/>
      <c r="N257" s="4"/>
      <c r="O257" s="4"/>
      <c r="P257" s="4"/>
      <c r="Q257" s="4"/>
      <c r="R257" s="4"/>
      <c r="S257" s="4"/>
      <c r="T257" s="4"/>
      <c r="U257" s="4"/>
      <c r="V257" s="4"/>
      <c r="W257" s="4"/>
      <c r="X257" s="4"/>
      <c r="Y257" s="4"/>
      <c r="Z257" s="4"/>
      <c r="AA257" s="4"/>
      <c r="AB257" s="4"/>
      <c r="AC257" s="4"/>
    </row>
    <row r="258" spans="1:29" x14ac:dyDescent="0.3">
      <c r="A258" s="4"/>
      <c r="B258" s="2" t="s">
        <v>133</v>
      </c>
      <c r="C258" s="2"/>
      <c r="D258" s="2" t="s">
        <v>642</v>
      </c>
      <c r="E258" s="2">
        <f>ROUND(samenstelling!C158,1)</f>
        <v>3.9</v>
      </c>
      <c r="F258" s="2" t="s">
        <v>643</v>
      </c>
      <c r="G258" s="2"/>
      <c r="H258" s="67">
        <f>IF(E222="J",VLOOKUP(E258,E244:Q254,11,FALSE),"")</f>
        <v>15.5</v>
      </c>
      <c r="I258" s="2" t="s">
        <v>182</v>
      </c>
      <c r="J258" s="4"/>
      <c r="K258" s="4"/>
      <c r="L258" s="4"/>
      <c r="M258" s="4"/>
      <c r="N258" s="4"/>
      <c r="O258" s="4"/>
      <c r="P258" s="4"/>
      <c r="Q258" s="4"/>
      <c r="R258" s="4"/>
      <c r="S258" s="4"/>
      <c r="T258" s="4"/>
      <c r="U258" s="4"/>
      <c r="V258" s="4"/>
      <c r="W258" s="4"/>
      <c r="X258" s="4"/>
      <c r="Y258" s="4"/>
      <c r="Z258" s="4"/>
      <c r="AA258" s="4"/>
      <c r="AB258" s="4"/>
      <c r="AC258" s="4"/>
    </row>
    <row r="259" spans="1:29" ht="14.5" x14ac:dyDescent="0.35">
      <c r="A259" s="4"/>
      <c r="B259" s="2" t="s">
        <v>438</v>
      </c>
      <c r="C259" s="2"/>
      <c r="D259" s="2" t="s">
        <v>642</v>
      </c>
      <c r="E259" s="2">
        <f>ROUND(samenstelling!C158,1)</f>
        <v>3.9</v>
      </c>
      <c r="F259" s="2" t="s">
        <v>643</v>
      </c>
      <c r="G259" s="2"/>
      <c r="H259" s="67">
        <f>IF(E222="J",VLOOKUP(E258,E244:Q254,12,FALSE),"")</f>
        <v>21.035698772693177</v>
      </c>
      <c r="I259" s="2" t="s">
        <v>182</v>
      </c>
      <c r="J259" s="134" t="s">
        <v>1436</v>
      </c>
      <c r="K259" s="4"/>
      <c r="L259" s="4"/>
      <c r="M259" s="4"/>
      <c r="N259" s="4"/>
      <c r="O259" s="4"/>
      <c r="P259" s="4"/>
      <c r="Q259" s="4"/>
      <c r="R259" s="4"/>
      <c r="S259" s="4"/>
      <c r="T259" s="4"/>
      <c r="U259" s="4"/>
      <c r="V259" s="4"/>
      <c r="W259" s="4"/>
      <c r="X259" s="4"/>
      <c r="Y259" s="4"/>
      <c r="Z259" s="4"/>
      <c r="AA259" s="4"/>
      <c r="AB259" s="4"/>
      <c r="AC259" s="4"/>
    </row>
    <row r="260" spans="1:29" ht="14.5" x14ac:dyDescent="0.35">
      <c r="A260" s="4"/>
      <c r="B260" s="2" t="s">
        <v>825</v>
      </c>
      <c r="C260" s="2"/>
      <c r="D260" s="2" t="s">
        <v>642</v>
      </c>
      <c r="E260" s="2">
        <f>ROUND(samenstelling!C158,1)</f>
        <v>3.9</v>
      </c>
      <c r="F260" s="2" t="s">
        <v>643</v>
      </c>
      <c r="G260" s="2"/>
      <c r="H260" s="67">
        <f>IF(E222="J",VLOOKUP(E258,E244:Q254,13,FALSE),"")</f>
        <v>47.785512490039046</v>
      </c>
      <c r="I260" s="2" t="s">
        <v>182</v>
      </c>
      <c r="J260" s="134" t="s">
        <v>1437</v>
      </c>
      <c r="K260" s="4"/>
      <c r="L260" s="4"/>
      <c r="M260" s="4"/>
      <c r="N260" s="4"/>
      <c r="O260" s="4"/>
      <c r="P260" s="4"/>
      <c r="Q260" s="4"/>
      <c r="R260" s="4"/>
      <c r="S260" s="4"/>
      <c r="T260" s="4"/>
      <c r="U260" s="4"/>
      <c r="V260" s="4"/>
      <c r="W260" s="4"/>
      <c r="X260" s="4"/>
      <c r="Y260" s="4"/>
      <c r="Z260" s="4"/>
      <c r="AA260" s="4"/>
      <c r="AB260" s="4"/>
      <c r="AC260" s="4"/>
    </row>
    <row r="261" spans="1:29"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4.5" x14ac:dyDescent="0.35">
      <c r="A262" s="4"/>
      <c r="B262" s="5" t="s">
        <v>906</v>
      </c>
      <c r="C262" s="4"/>
      <c r="D262" s="4"/>
      <c r="E262" s="4"/>
      <c r="F262" s="134" t="s">
        <v>1652</v>
      </c>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4.5" x14ac:dyDescent="0.35">
      <c r="A263" s="4"/>
      <c r="B263" s="2" t="s">
        <v>907</v>
      </c>
      <c r="C263" s="2"/>
      <c r="D263" s="2"/>
      <c r="E263" s="3" t="s">
        <v>909</v>
      </c>
      <c r="F263" s="1632" t="s">
        <v>1065</v>
      </c>
      <c r="G263" s="134" t="s">
        <v>1099</v>
      </c>
      <c r="H263" s="4"/>
      <c r="I263" s="4"/>
      <c r="J263" s="4"/>
      <c r="K263" s="4"/>
      <c r="L263" s="4"/>
      <c r="M263" s="4"/>
      <c r="N263" s="4"/>
      <c r="O263" s="4"/>
      <c r="P263" s="4"/>
      <c r="Q263" s="4"/>
      <c r="R263" s="4"/>
      <c r="S263" s="4"/>
      <c r="T263" s="4"/>
      <c r="U263" s="4"/>
      <c r="V263" s="4"/>
      <c r="W263" s="4"/>
      <c r="X263" s="4"/>
      <c r="Y263" s="4"/>
      <c r="Z263" s="4"/>
      <c r="AA263" s="4"/>
      <c r="AB263" s="4"/>
      <c r="AC263" s="4"/>
    </row>
    <row r="264" spans="1:29" ht="14.5" x14ac:dyDescent="0.35">
      <c r="A264" s="4"/>
      <c r="B264" s="2"/>
      <c r="C264" s="2"/>
      <c r="D264" s="2"/>
      <c r="E264" s="3" t="s">
        <v>910</v>
      </c>
      <c r="F264" s="1632">
        <v>6</v>
      </c>
      <c r="G264" s="134" t="s">
        <v>1099</v>
      </c>
      <c r="H264" s="4"/>
      <c r="I264" s="4"/>
      <c r="J264" s="4"/>
      <c r="K264" s="4"/>
      <c r="L264" s="4"/>
      <c r="M264" s="4"/>
      <c r="N264" s="4"/>
      <c r="O264" s="4"/>
      <c r="P264" s="4"/>
      <c r="Q264" s="4"/>
      <c r="R264" s="4"/>
      <c r="S264" s="4"/>
      <c r="T264" s="4"/>
      <c r="U264" s="4"/>
      <c r="V264" s="4"/>
      <c r="W264" s="4"/>
      <c r="X264" s="4"/>
      <c r="Y264" s="4"/>
      <c r="Z264" s="4"/>
      <c r="AA264" s="4"/>
      <c r="AB264" s="4"/>
      <c r="AC264" s="4"/>
    </row>
    <row r="265" spans="1:29" ht="14.5" x14ac:dyDescent="0.35">
      <c r="A265" s="4"/>
      <c r="B265" s="2"/>
      <c r="C265" s="2"/>
      <c r="D265" s="2"/>
      <c r="E265" s="3" t="s">
        <v>1053</v>
      </c>
      <c r="F265" s="1632">
        <v>70</v>
      </c>
      <c r="G265" s="134" t="s">
        <v>1246</v>
      </c>
      <c r="H265" s="4"/>
      <c r="I265" s="4"/>
      <c r="J265" s="4"/>
      <c r="K265" s="4"/>
      <c r="L265" s="4"/>
      <c r="M265" s="4"/>
      <c r="N265" s="4"/>
      <c r="O265" s="4"/>
      <c r="P265" s="4"/>
      <c r="Q265" s="4"/>
      <c r="R265" s="4"/>
      <c r="S265" s="4"/>
      <c r="T265" s="4"/>
      <c r="U265" s="4"/>
      <c r="V265" s="4"/>
      <c r="W265" s="4"/>
      <c r="X265" s="4"/>
      <c r="Y265" s="4"/>
      <c r="Z265" s="4"/>
      <c r="AA265" s="4"/>
      <c r="AB265" s="4"/>
      <c r="AC265" s="4"/>
    </row>
    <row r="266" spans="1:29" ht="14.5" x14ac:dyDescent="0.35">
      <c r="A266" s="4"/>
      <c r="B266" s="2"/>
      <c r="C266" s="2"/>
      <c r="D266" s="2"/>
      <c r="E266" s="3" t="s">
        <v>1054</v>
      </c>
      <c r="F266" s="1632">
        <v>80</v>
      </c>
      <c r="G266" s="134" t="s">
        <v>1246</v>
      </c>
      <c r="H266" s="4"/>
      <c r="I266" s="4"/>
      <c r="J266" s="4"/>
      <c r="K266" s="4"/>
      <c r="L266" s="4"/>
      <c r="M266" s="4"/>
      <c r="N266" s="4"/>
      <c r="O266" s="4"/>
      <c r="P266" s="4"/>
      <c r="Q266" s="4"/>
      <c r="R266" s="4"/>
      <c r="S266" s="4"/>
      <c r="T266" s="4"/>
      <c r="U266" s="4"/>
      <c r="V266" s="4"/>
      <c r="W266" s="4"/>
      <c r="X266" s="4"/>
      <c r="Y266" s="4"/>
      <c r="Z266" s="4"/>
      <c r="AA266" s="4"/>
      <c r="AB266" s="4"/>
      <c r="AC266" s="4"/>
    </row>
    <row r="267" spans="1:29" ht="14.5" x14ac:dyDescent="0.35">
      <c r="A267" s="4"/>
      <c r="B267" s="2"/>
      <c r="C267" s="2"/>
      <c r="D267" s="2"/>
      <c r="E267" s="3" t="s">
        <v>1055</v>
      </c>
      <c r="F267" s="1632">
        <v>14</v>
      </c>
      <c r="G267" s="134" t="s">
        <v>1247</v>
      </c>
      <c r="H267" s="4"/>
      <c r="I267" s="4"/>
      <c r="J267" s="4"/>
      <c r="K267" s="4"/>
      <c r="L267" s="4"/>
      <c r="M267" s="4"/>
      <c r="N267" s="4"/>
      <c r="O267" s="4"/>
      <c r="P267" s="4"/>
      <c r="Q267" s="4"/>
      <c r="R267" s="4"/>
      <c r="S267" s="4"/>
      <c r="T267" s="4"/>
      <c r="U267" s="4"/>
      <c r="V267" s="4"/>
      <c r="W267" s="4"/>
      <c r="X267" s="4"/>
      <c r="Y267" s="4"/>
      <c r="Z267" s="4"/>
      <c r="AA267" s="4"/>
      <c r="AB267" s="4"/>
      <c r="AC267" s="4"/>
    </row>
    <row r="268" spans="1:29" ht="14.5" x14ac:dyDescent="0.35">
      <c r="A268" s="4"/>
      <c r="B268" s="2"/>
      <c r="C268" s="2"/>
      <c r="D268" s="2"/>
      <c r="E268" s="3" t="s">
        <v>1079</v>
      </c>
      <c r="F268" s="1632" t="s">
        <v>1082</v>
      </c>
      <c r="G268" s="134" t="s">
        <v>1248</v>
      </c>
      <c r="H268" s="4"/>
      <c r="I268" s="4"/>
      <c r="J268" s="4"/>
      <c r="K268" s="4"/>
      <c r="L268" s="4"/>
      <c r="M268" s="4"/>
      <c r="N268" s="4"/>
      <c r="O268" s="4"/>
      <c r="P268" s="4"/>
      <c r="Q268" s="4"/>
      <c r="R268" s="4"/>
      <c r="S268" s="4"/>
      <c r="T268" s="4"/>
      <c r="U268" s="4"/>
      <c r="V268" s="4"/>
      <c r="W268" s="4"/>
      <c r="X268" s="4"/>
      <c r="Y268" s="4"/>
      <c r="Z268" s="4"/>
      <c r="AA268" s="4"/>
      <c r="AB268" s="4"/>
      <c r="AC268" s="4"/>
    </row>
    <row r="269" spans="1:29" ht="14.5" x14ac:dyDescent="0.35">
      <c r="A269" s="4"/>
      <c r="B269" s="2"/>
      <c r="C269" s="2"/>
      <c r="D269" s="2"/>
      <c r="E269" s="3" t="s">
        <v>1080</v>
      </c>
      <c r="F269" s="1632" t="s">
        <v>1083</v>
      </c>
      <c r="G269" s="134" t="s">
        <v>1248</v>
      </c>
      <c r="H269" s="4"/>
      <c r="I269" s="4"/>
      <c r="J269" s="4"/>
      <c r="K269" s="4"/>
      <c r="L269" s="4"/>
      <c r="M269" s="4"/>
      <c r="N269" s="4"/>
      <c r="O269" s="4"/>
      <c r="P269" s="4"/>
      <c r="Q269" s="4"/>
      <c r="R269" s="4"/>
      <c r="S269" s="4"/>
      <c r="T269" s="4"/>
      <c r="U269" s="4"/>
      <c r="V269" s="4"/>
      <c r="W269" s="4"/>
      <c r="X269" s="4"/>
      <c r="Y269" s="4"/>
      <c r="Z269" s="4"/>
      <c r="AA269" s="4"/>
      <c r="AB269" s="4"/>
      <c r="AC269" s="4"/>
    </row>
    <row r="270" spans="1:29" ht="14.5" x14ac:dyDescent="0.35">
      <c r="A270" s="4"/>
      <c r="B270" s="2"/>
      <c r="C270" s="2"/>
      <c r="D270" s="2"/>
      <c r="E270" s="3" t="s">
        <v>1081</v>
      </c>
      <c r="F270" s="1632" t="s">
        <v>1084</v>
      </c>
      <c r="G270" s="134" t="s">
        <v>1248</v>
      </c>
      <c r="H270" s="4"/>
      <c r="I270" s="4"/>
      <c r="J270" s="4"/>
      <c r="K270" s="4"/>
      <c r="L270" s="4"/>
      <c r="M270" s="4"/>
      <c r="N270" s="4"/>
      <c r="O270" s="4"/>
      <c r="P270" s="4"/>
      <c r="Q270" s="4"/>
      <c r="R270" s="4"/>
      <c r="S270" s="4"/>
      <c r="T270" s="4"/>
      <c r="U270" s="4"/>
      <c r="V270" s="4"/>
      <c r="W270" s="4"/>
      <c r="X270" s="4"/>
      <c r="Y270" s="4"/>
      <c r="Z270" s="4"/>
      <c r="AA270" s="4"/>
      <c r="AB270" s="4"/>
      <c r="AC270" s="4"/>
    </row>
    <row r="271" spans="1:29"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53" x14ac:dyDescent="0.3">
      <c r="A273" s="13" t="s">
        <v>443</v>
      </c>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row>
    <row r="274" spans="1:53"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row>
    <row r="275" spans="1:53" ht="14.5" x14ac:dyDescent="0.35">
      <c r="A275" s="4"/>
      <c r="B275" s="5" t="s">
        <v>644</v>
      </c>
      <c r="C275" s="4"/>
      <c r="D275" s="4"/>
      <c r="E275" s="1471" t="s">
        <v>56</v>
      </c>
      <c r="F275" s="6" t="s">
        <v>645</v>
      </c>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row>
    <row r="276" spans="1:53" x14ac:dyDescent="0.3">
      <c r="A276" s="4"/>
      <c r="B276" s="5" t="s">
        <v>331</v>
      </c>
      <c r="C276" s="4"/>
      <c r="D276" s="4"/>
      <c r="E276" s="2139" t="s">
        <v>941</v>
      </c>
      <c r="F276" s="2139"/>
      <c r="G276" s="2139"/>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row>
    <row r="277" spans="1:53"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row>
    <row r="278" spans="1:53" x14ac:dyDescent="0.3">
      <c r="A278" s="4"/>
      <c r="B278" s="5" t="s">
        <v>330</v>
      </c>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row>
    <row r="279" spans="1:53" ht="14.5" x14ac:dyDescent="0.35">
      <c r="A279" s="4"/>
      <c r="B279" s="2" t="s">
        <v>1021</v>
      </c>
      <c r="C279" s="2"/>
      <c r="D279" s="2"/>
      <c r="E279" s="2"/>
      <c r="F279" s="2"/>
      <c r="G279" s="2"/>
      <c r="H279" s="2"/>
      <c r="I279" s="2"/>
      <c r="J279" s="2"/>
      <c r="K279" s="2"/>
      <c r="L279" s="1494" t="s">
        <v>1640</v>
      </c>
      <c r="M279" s="985"/>
      <c r="N279" s="2"/>
      <c r="O279" s="2"/>
      <c r="P279" s="134" t="s">
        <v>1022</v>
      </c>
      <c r="Q279" s="4"/>
      <c r="R279" s="4"/>
      <c r="S279" s="4"/>
      <c r="T279" s="4"/>
      <c r="U279" s="4"/>
      <c r="V279" s="4"/>
      <c r="W279" s="26"/>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spans="1:53" ht="14.5" x14ac:dyDescent="0.35">
      <c r="A280" s="4"/>
      <c r="B280" s="2" t="s">
        <v>1034</v>
      </c>
      <c r="C280" s="2"/>
      <c r="D280" s="2"/>
      <c r="E280" s="2"/>
      <c r="F280" s="2"/>
      <c r="G280" s="2"/>
      <c r="H280" s="2"/>
      <c r="I280" s="2"/>
      <c r="J280" s="2"/>
      <c r="K280" s="2"/>
      <c r="L280" s="152" t="str">
        <f>H298</f>
        <v>C</v>
      </c>
      <c r="M280" s="985"/>
      <c r="N280" s="2"/>
      <c r="O280" s="2"/>
      <c r="P280" s="4"/>
      <c r="Q280" s="4"/>
      <c r="R280" s="4"/>
      <c r="S280" s="4"/>
      <c r="T280" s="4"/>
      <c r="U280" s="4"/>
      <c r="V280" s="4"/>
      <c r="W280" s="26"/>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spans="1:53" x14ac:dyDescent="0.3">
      <c r="A281" s="4"/>
      <c r="B281" s="2" t="s">
        <v>441</v>
      </c>
      <c r="C281" s="2"/>
      <c r="D281" s="2"/>
      <c r="E281" s="2"/>
      <c r="F281" s="2"/>
      <c r="G281" s="2"/>
      <c r="H281" s="2"/>
      <c r="I281" s="2"/>
      <c r="J281" s="2"/>
      <c r="K281" s="2"/>
      <c r="L281" s="2" t="s">
        <v>439</v>
      </c>
      <c r="M281" s="2"/>
      <c r="N281" s="2" t="s">
        <v>446</v>
      </c>
      <c r="O281" s="2"/>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row>
    <row r="282" spans="1:53" x14ac:dyDescent="0.3">
      <c r="A282" s="4"/>
      <c r="B282" s="2" t="s">
        <v>445</v>
      </c>
      <c r="C282" s="2"/>
      <c r="D282" s="2"/>
      <c r="E282" s="2"/>
      <c r="F282" s="2"/>
      <c r="G282" s="2"/>
      <c r="H282" s="2"/>
      <c r="I282" s="2"/>
      <c r="J282" s="2"/>
      <c r="K282" s="2"/>
      <c r="L282" s="2" t="s">
        <v>440</v>
      </c>
      <c r="M282" s="2"/>
      <c r="N282" s="2"/>
      <c r="O282" s="2"/>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spans="1:53" x14ac:dyDescent="0.3">
      <c r="A283" s="4"/>
      <c r="B283" s="2" t="s">
        <v>1358</v>
      </c>
      <c r="C283" s="2"/>
      <c r="D283" s="2"/>
      <c r="E283" s="2"/>
      <c r="F283" s="2"/>
      <c r="G283" s="2"/>
      <c r="H283" s="2"/>
      <c r="I283" s="2"/>
      <c r="J283" s="2"/>
      <c r="K283" s="3" t="s">
        <v>954</v>
      </c>
      <c r="L283" s="1494">
        <v>11</v>
      </c>
      <c r="M283" s="2"/>
      <c r="N283" s="2"/>
      <c r="O283" s="2"/>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spans="1:53" ht="14.5" x14ac:dyDescent="0.35">
      <c r="A284" s="4"/>
      <c r="B284" s="2" t="s">
        <v>1359</v>
      </c>
      <c r="C284" s="2"/>
      <c r="D284" s="2"/>
      <c r="E284" s="2"/>
      <c r="F284" s="2"/>
      <c r="G284" s="2"/>
      <c r="H284" s="2"/>
      <c r="I284" s="2"/>
      <c r="J284" s="2"/>
      <c r="K284" s="3" t="s">
        <v>488</v>
      </c>
      <c r="L284" s="1494">
        <v>24</v>
      </c>
      <c r="M284" s="2"/>
      <c r="N284" s="2"/>
      <c r="O284" s="2"/>
      <c r="P284" s="189" t="s">
        <v>1356</v>
      </c>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spans="1:53" ht="14.5" x14ac:dyDescent="0.35">
      <c r="A285" s="4"/>
      <c r="B285" s="2" t="s">
        <v>953</v>
      </c>
      <c r="C285" s="2"/>
      <c r="D285" s="2"/>
      <c r="E285" s="2"/>
      <c r="F285" s="2"/>
      <c r="G285" s="2"/>
      <c r="H285" s="2"/>
      <c r="I285" s="2"/>
      <c r="J285" s="2"/>
      <c r="K285" s="3" t="s">
        <v>488</v>
      </c>
      <c r="L285" s="1494">
        <v>25</v>
      </c>
      <c r="M285" s="2"/>
      <c r="N285" s="2"/>
      <c r="O285" s="2"/>
      <c r="P285" s="134" t="s">
        <v>1606</v>
      </c>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row>
    <row r="286" spans="1:53" ht="14.5" x14ac:dyDescent="0.35">
      <c r="A286" s="4"/>
      <c r="B286" s="2" t="s">
        <v>1020</v>
      </c>
      <c r="C286" s="2"/>
      <c r="D286" s="2"/>
      <c r="E286" s="2"/>
      <c r="F286" s="2"/>
      <c r="G286" s="2"/>
      <c r="H286" s="2"/>
      <c r="I286" s="2"/>
      <c r="J286" s="2"/>
      <c r="K286" s="3" t="s">
        <v>418</v>
      </c>
      <c r="L286" s="1494">
        <v>1.4999999999999999E-2</v>
      </c>
      <c r="M286" s="2"/>
      <c r="N286" s="2"/>
      <c r="O286" s="2"/>
      <c r="P286" s="134" t="s">
        <v>1438</v>
      </c>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spans="1:53"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row>
    <row r="288" spans="1:53" ht="14.5" x14ac:dyDescent="0.35">
      <c r="A288" s="4"/>
      <c r="B288" s="5" t="s">
        <v>335</v>
      </c>
      <c r="C288" s="4"/>
      <c r="D288" s="4"/>
      <c r="E288" s="4"/>
      <c r="F288" s="4"/>
      <c r="G288" s="134" t="s">
        <v>840</v>
      </c>
      <c r="H288" s="13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spans="1:53" x14ac:dyDescent="0.3">
      <c r="A289" s="4"/>
      <c r="B289" s="143" t="s">
        <v>449</v>
      </c>
      <c r="C289" s="143"/>
      <c r="D289" s="143"/>
      <c r="E289" s="143"/>
      <c r="F289" s="143"/>
      <c r="G289" s="143"/>
      <c r="H289" s="143"/>
      <c r="I289" s="143"/>
      <c r="J289" s="143"/>
      <c r="K289" s="143"/>
      <c r="L289" s="143"/>
      <c r="M289" s="143"/>
      <c r="N289" s="143"/>
      <c r="O289" s="139" t="s">
        <v>1150</v>
      </c>
      <c r="P289" s="143"/>
      <c r="Q289" s="143"/>
      <c r="R289" s="143"/>
      <c r="S289" s="143"/>
      <c r="T289" s="143"/>
      <c r="U289" s="143"/>
      <c r="V289" s="143"/>
      <c r="W289" s="143"/>
      <c r="X289" s="139"/>
      <c r="Y289" s="143"/>
      <c r="Z289" s="143"/>
      <c r="AA289" s="139" t="s">
        <v>1151</v>
      </c>
      <c r="AB289" s="143"/>
      <c r="AC289" s="143"/>
      <c r="AD289" s="143"/>
      <c r="AE289" s="143"/>
      <c r="AF289" s="143"/>
      <c r="AG289" s="143"/>
      <c r="AH289" s="143"/>
      <c r="AI289" s="139" t="s">
        <v>1149</v>
      </c>
      <c r="AJ289" s="143"/>
      <c r="AK289" s="143"/>
      <c r="AL289" s="143"/>
      <c r="AM289" s="143"/>
      <c r="AN289" s="143"/>
      <c r="AO289" s="143"/>
      <c r="AP289" s="143"/>
      <c r="AQ289" s="143"/>
      <c r="AR289" s="143"/>
      <c r="AS289" s="143"/>
      <c r="AT289" s="143"/>
      <c r="AU289" s="165" t="s">
        <v>454</v>
      </c>
      <c r="AV289" s="3"/>
      <c r="AW289" s="4"/>
      <c r="AX289" s="4"/>
      <c r="AY289" s="4"/>
      <c r="AZ289" s="4"/>
      <c r="BA289" s="4"/>
    </row>
    <row r="290" spans="1:53" x14ac:dyDescent="0.3">
      <c r="A290" s="4"/>
      <c r="B290" s="2" t="s">
        <v>183</v>
      </c>
      <c r="C290" s="2"/>
      <c r="D290" s="18" t="s">
        <v>336</v>
      </c>
      <c r="E290" s="2"/>
      <c r="F290" s="18" t="s">
        <v>448</v>
      </c>
      <c r="G290" s="18" t="s">
        <v>375</v>
      </c>
      <c r="H290" s="18" t="s">
        <v>1006</v>
      </c>
      <c r="I290" s="18" t="s">
        <v>432</v>
      </c>
      <c r="J290" s="18" t="s">
        <v>447</v>
      </c>
      <c r="K290" s="18" t="s">
        <v>450</v>
      </c>
      <c r="L290" s="18" t="s">
        <v>453</v>
      </c>
      <c r="M290" s="18" t="s">
        <v>460</v>
      </c>
      <c r="N290" s="18" t="s">
        <v>462</v>
      </c>
      <c r="O290" s="153" t="s">
        <v>183</v>
      </c>
      <c r="P290" s="2"/>
      <c r="Q290" s="18" t="s">
        <v>336</v>
      </c>
      <c r="R290" s="2"/>
      <c r="S290" s="18" t="s">
        <v>448</v>
      </c>
      <c r="T290" s="18" t="s">
        <v>375</v>
      </c>
      <c r="U290" s="18" t="s">
        <v>1009</v>
      </c>
      <c r="V290" s="143" t="s">
        <v>1016</v>
      </c>
      <c r="W290" s="143"/>
      <c r="X290" s="18" t="s">
        <v>432</v>
      </c>
      <c r="Y290" s="143" t="s">
        <v>1017</v>
      </c>
      <c r="Z290" s="143"/>
      <c r="AA290" s="153" t="s">
        <v>183</v>
      </c>
      <c r="AB290" s="2"/>
      <c r="AC290" s="18" t="s">
        <v>336</v>
      </c>
      <c r="AD290" s="2"/>
      <c r="AE290" s="18" t="s">
        <v>448</v>
      </c>
      <c r="AF290" s="18" t="s">
        <v>375</v>
      </c>
      <c r="AG290" s="18" t="s">
        <v>1009</v>
      </c>
      <c r="AH290" s="18" t="s">
        <v>1010</v>
      </c>
      <c r="AI290" s="153" t="s">
        <v>183</v>
      </c>
      <c r="AJ290" s="2"/>
      <c r="AK290" s="18" t="s">
        <v>336</v>
      </c>
      <c r="AL290" s="2"/>
      <c r="AM290" s="18" t="s">
        <v>448</v>
      </c>
      <c r="AN290" s="18" t="s">
        <v>375</v>
      </c>
      <c r="AO290" s="18" t="s">
        <v>1508</v>
      </c>
      <c r="AP290" s="18" t="s">
        <v>447</v>
      </c>
      <c r="AQ290" s="18" t="s">
        <v>1510</v>
      </c>
      <c r="AR290" s="18" t="s">
        <v>453</v>
      </c>
      <c r="AS290" s="18" t="s">
        <v>460</v>
      </c>
      <c r="AT290" s="18" t="s">
        <v>462</v>
      </c>
      <c r="AU290" s="154" t="s">
        <v>455</v>
      </c>
      <c r="AV290" s="2"/>
      <c r="AW290" s="4"/>
      <c r="AX290" s="4"/>
      <c r="AY290" s="4"/>
      <c r="AZ290" s="4"/>
      <c r="BA290" s="4"/>
    </row>
    <row r="291" spans="1:53" x14ac:dyDescent="0.3">
      <c r="A291" s="4"/>
      <c r="B291" s="49" t="s">
        <v>337</v>
      </c>
      <c r="C291" s="49"/>
      <c r="D291" s="47" t="s">
        <v>338</v>
      </c>
      <c r="E291" s="49"/>
      <c r="F291" s="47" t="s">
        <v>371</v>
      </c>
      <c r="G291" s="47" t="s">
        <v>371</v>
      </c>
      <c r="H291" s="47" t="s">
        <v>432</v>
      </c>
      <c r="I291" s="47" t="s">
        <v>418</v>
      </c>
      <c r="J291" s="47" t="s">
        <v>852</v>
      </c>
      <c r="K291" s="47" t="s">
        <v>1465</v>
      </c>
      <c r="L291" s="47" t="s">
        <v>132</v>
      </c>
      <c r="M291" s="47" t="s">
        <v>461</v>
      </c>
      <c r="N291" s="47" t="s">
        <v>262</v>
      </c>
      <c r="O291" s="150" t="s">
        <v>337</v>
      </c>
      <c r="P291" s="49"/>
      <c r="Q291" s="47" t="s">
        <v>338</v>
      </c>
      <c r="R291" s="49"/>
      <c r="S291" s="47" t="s">
        <v>371</v>
      </c>
      <c r="T291" s="47" t="s">
        <v>371</v>
      </c>
      <c r="U291" s="47" t="s">
        <v>1018</v>
      </c>
      <c r="V291" s="47" t="s">
        <v>371</v>
      </c>
      <c r="W291" s="47"/>
      <c r="X291" s="47" t="s">
        <v>418</v>
      </c>
      <c r="Y291" s="47" t="s">
        <v>1605</v>
      </c>
      <c r="Z291" s="47"/>
      <c r="AA291" s="150" t="s">
        <v>337</v>
      </c>
      <c r="AB291" s="49"/>
      <c r="AC291" s="47" t="s">
        <v>338</v>
      </c>
      <c r="AD291" s="49"/>
      <c r="AE291" s="47" t="s">
        <v>371</v>
      </c>
      <c r="AF291" s="47" t="s">
        <v>371</v>
      </c>
      <c r="AG291" s="47" t="s">
        <v>1018</v>
      </c>
      <c r="AH291" s="47" t="s">
        <v>132</v>
      </c>
      <c r="AI291" s="150" t="s">
        <v>337</v>
      </c>
      <c r="AJ291" s="49"/>
      <c r="AK291" s="47" t="s">
        <v>338</v>
      </c>
      <c r="AL291" s="49"/>
      <c r="AM291" s="47" t="s">
        <v>371</v>
      </c>
      <c r="AN291" s="47" t="s">
        <v>371</v>
      </c>
      <c r="AO291" s="47" t="s">
        <v>1509</v>
      </c>
      <c r="AP291" s="47" t="s">
        <v>852</v>
      </c>
      <c r="AQ291" s="47" t="s">
        <v>1465</v>
      </c>
      <c r="AR291" s="47" t="s">
        <v>132</v>
      </c>
      <c r="AS291" s="47" t="s">
        <v>461</v>
      </c>
      <c r="AT291" s="47" t="s">
        <v>262</v>
      </c>
      <c r="AU291" s="155" t="s">
        <v>132</v>
      </c>
      <c r="AV291" s="49"/>
      <c r="AW291" s="4"/>
      <c r="AX291" s="4"/>
      <c r="AY291" s="4"/>
      <c r="AZ291" s="4"/>
      <c r="BA291" s="4"/>
    </row>
    <row r="292" spans="1:53" ht="14.5" x14ac:dyDescent="0.35">
      <c r="A292" s="4"/>
      <c r="B292" s="2">
        <f>IF(D292="","",VLOOKUP(D292,B$38:Y$127,3,FALSE))</f>
        <v>3.5500000000000003</v>
      </c>
      <c r="C292" s="2"/>
      <c r="D292" s="1494" t="s">
        <v>353</v>
      </c>
      <c r="E292" s="2"/>
      <c r="F292" s="133">
        <f>IF(D292="","",VLOOKUP(D292,B$38:Y$127,19,FALSE))</f>
        <v>100</v>
      </c>
      <c r="G292" s="133">
        <f>IF(D292="","",VLOOKUP(D292,B$38:Y$127,9,FALSE))</f>
        <v>62</v>
      </c>
      <c r="H292" s="42" t="str">
        <f>IF(D292="","",IF(VLOOKUP(D292,D$166:Z$216,3,FALSE)="","",VLOOKUP(D292,D$166:Z$216,3,FALSE)))</f>
        <v/>
      </c>
      <c r="I292" s="152" t="str">
        <f>IF(D292="","",VLOOKUP(D292,D$166:Z$216,23,FALSE))</f>
        <v/>
      </c>
      <c r="J292" s="1575">
        <v>18000</v>
      </c>
      <c r="K292" s="1927">
        <f>IF(D292="","",ROUND(2000*J292/(PI()*F292*G292),3-(1+INT(LOG10(ABS(2000*J292/(PI()*F292*G292)))))))</f>
        <v>1850</v>
      </c>
      <c r="L292" s="133">
        <f>IF(K292="","",K292/K$297*100-100)</f>
        <v>9.4674556213017809</v>
      </c>
      <c r="M292" s="1593" t="s">
        <v>475</v>
      </c>
      <c r="N292" s="1593" t="s">
        <v>1567</v>
      </c>
      <c r="O292" s="153">
        <f>IF(Q292="","",VLOOKUP(Q292,B$38:Y$127,3,FALSE))</f>
        <v>3.5500000000000003</v>
      </c>
      <c r="P292" s="2"/>
      <c r="Q292" s="1494" t="s">
        <v>1512</v>
      </c>
      <c r="R292" s="2"/>
      <c r="S292" s="133">
        <f>IF(Q292="","",VLOOKUP(Q292,B$38:Y$127,19,FALSE))</f>
        <v>106</v>
      </c>
      <c r="T292" s="133">
        <f>IF(Q292="","",VLOOKUP(Q292,B$38:Y$127,9,FALSE))</f>
        <v>60</v>
      </c>
      <c r="U292" s="133">
        <f>IF(S292="","",(PI()*POWER(S292/2,2)*T292)/1000)</f>
        <v>529.48402583602376</v>
      </c>
      <c r="V292" s="133"/>
      <c r="W292" s="133"/>
      <c r="X292" s="152">
        <f>IF(Q292="","",VLOOKUP(Q292,D$166:Z$216,23,FALSE))</f>
        <v>2.3176399484876193</v>
      </c>
      <c r="Y292" s="133"/>
      <c r="Z292" s="133"/>
      <c r="AA292" s="153">
        <f>IF(AC292="","",VLOOKUP(AC292,B$38:Y$127,3,FALSE))</f>
        <v>3.5500000000000003</v>
      </c>
      <c r="AB292" s="2"/>
      <c r="AC292" s="1633" t="s">
        <v>1517</v>
      </c>
      <c r="AD292" s="2"/>
      <c r="AE292" s="133">
        <f>IF(AC292="","",VLOOKUP(AC292,B$38:Y$127,19,FALSE))</f>
        <v>104</v>
      </c>
      <c r="AF292" s="133">
        <f>IF(AC292="","",VLOOKUP(AC292,B$38:Y$127,9,FALSE))</f>
        <v>62</v>
      </c>
      <c r="AG292" s="133">
        <f>IF(AE292="","",(PI()*POWER(AE292/2,2)*AF292)/1000)</f>
        <v>526.68172518902168</v>
      </c>
      <c r="AH292" s="133">
        <f>IF(U292="","",(AG292-U292)/U292*100)</f>
        <v>-0.52925121632846595</v>
      </c>
      <c r="AI292" s="153">
        <f>IF(AK292="","",VLOOKUP(AK292,B$38:Y$127,3,FALSE))</f>
        <v>3.5500000000000003</v>
      </c>
      <c r="AJ292" s="2"/>
      <c r="AK292" s="1633" t="s">
        <v>1522</v>
      </c>
      <c r="AL292" s="2"/>
      <c r="AM292" s="18">
        <f>IF(AK292="","",VLOOKUP(AK292,B$38:Y$127,19,FALSE))</f>
        <v>102</v>
      </c>
      <c r="AN292" s="133">
        <f>IF(AK292="","",VLOOKUP(AK292,B$38:Y$127,9,FALSE))</f>
        <v>64</v>
      </c>
      <c r="AO292" s="1593">
        <v>1000</v>
      </c>
      <c r="AP292" s="1575">
        <v>6780</v>
      </c>
      <c r="AQ292" s="1927">
        <f>IF(AI292="","",ROUND(2000*AP292/(PI()*AN292*AM292),3-(1+INT(LOG10(ABS(2000*AP292/(PI()*AN292*AM292)))))))</f>
        <v>661</v>
      </c>
      <c r="AR292" s="133">
        <f>IF(AQ292="","",AQ292/AQ$297*100-100)</f>
        <v>-0.45180722891565495</v>
      </c>
      <c r="AS292" s="1593" t="s">
        <v>1575</v>
      </c>
      <c r="AT292" s="1593" t="s">
        <v>1588</v>
      </c>
      <c r="AU292" s="1316"/>
      <c r="AV292" s="2"/>
      <c r="AW292" s="134" t="s">
        <v>456</v>
      </c>
      <c r="AX292" s="4"/>
      <c r="AY292" s="4"/>
      <c r="AZ292" s="4"/>
      <c r="BA292" s="4"/>
    </row>
    <row r="293" spans="1:53" ht="14.5" x14ac:dyDescent="0.35">
      <c r="A293" s="4"/>
      <c r="B293" s="2">
        <f>IF(D293="","",VLOOKUP(D293,B$38:Y$127,3,FALSE))</f>
        <v>3.5500000000000003</v>
      </c>
      <c r="C293" s="2"/>
      <c r="D293" s="1494" t="s">
        <v>354</v>
      </c>
      <c r="E293" s="2"/>
      <c r="F293" s="133">
        <f>IF(D293="","",VLOOKUP(D293,B$38:Y$127,19,FALSE))</f>
        <v>102</v>
      </c>
      <c r="G293" s="133">
        <f>IF(D293="","",VLOOKUP(D293,B$38:Y$127,9,FALSE))</f>
        <v>64</v>
      </c>
      <c r="H293" s="133" t="str">
        <f t="shared" ref="H293" si="79">IF(D293="","",IF(VLOOKUP(D293,D$166:Z$216,3,FALSE)="","",VLOOKUP(D293,D$166:Z$216,3,FALSE)))</f>
        <v/>
      </c>
      <c r="I293" s="152" t="str">
        <f>IF(D293="","",VLOOKUP(D293,D$166:Z$216,23,FALSE))</f>
        <v/>
      </c>
      <c r="J293" s="1575">
        <v>17000</v>
      </c>
      <c r="K293" s="1927">
        <f>IF(D293="","",ROUND(2000*J293/(PI()*F293*G293),3-(1+INT(LOG10(ABS(2000*J293/(PI()*F293*G293)))))))</f>
        <v>1660</v>
      </c>
      <c r="L293" s="133">
        <f>IF(K293="","",K293/K$297*100-100)</f>
        <v>-1.7751479289940875</v>
      </c>
      <c r="M293" s="1593" t="s">
        <v>476</v>
      </c>
      <c r="N293" s="1593" t="s">
        <v>1568</v>
      </c>
      <c r="O293" s="153">
        <f>IF(Q293="","",VLOOKUP(Q293,B$38:Y$127,3,FALSE))</f>
        <v>3.5500000000000003</v>
      </c>
      <c r="P293" s="2"/>
      <c r="Q293" s="1494" t="s">
        <v>1513</v>
      </c>
      <c r="R293" s="2"/>
      <c r="S293" s="133">
        <f>IF(Q293="","",VLOOKUP(Q293,B$38:Y$127,19,FALSE))</f>
        <v>107</v>
      </c>
      <c r="T293" s="133">
        <f>IF(Q293="","",VLOOKUP(Q293,B$38:Y$127,9,FALSE))</f>
        <v>59</v>
      </c>
      <c r="U293" s="133">
        <f t="shared" ref="U293" si="80">IF(S293="","",(PI()*POWER(S293/2,2)*T293)/1000)</f>
        <v>530.52939079150576</v>
      </c>
      <c r="V293" s="133"/>
      <c r="W293" s="133"/>
      <c r="X293" s="152">
        <f>IF(Q293="","",VLOOKUP(Q293,D$166:Z$216,23,FALSE))</f>
        <v>2.2508325716256881</v>
      </c>
      <c r="Y293" s="133"/>
      <c r="Z293" s="133"/>
      <c r="AA293" s="153">
        <f t="shared" ref="AA293" si="81">IF(AC293="","",VLOOKUP(AC293,B$38:Y$127,3,FALSE))</f>
        <v>3.5500000000000003</v>
      </c>
      <c r="AB293" s="2"/>
      <c r="AC293" s="1633" t="s">
        <v>1518</v>
      </c>
      <c r="AD293" s="2"/>
      <c r="AE293" s="133">
        <f>IF(AC293="","",VLOOKUP(AC293,B$38:Y$127,19,FALSE))</f>
        <v>105</v>
      </c>
      <c r="AF293" s="133">
        <f t="shared" ref="AF293" si="82">IF(AC293="","",VLOOKUP(AC293,B$38:Y$127,9,FALSE))</f>
        <v>61</v>
      </c>
      <c r="AG293" s="133">
        <f t="shared" ref="AG293" si="83">IF(AE293="","",(PI()*POWER(AE293/2,2)*AF293)/1000)</f>
        <v>528.19989983886887</v>
      </c>
      <c r="AH293" s="133">
        <f t="shared" ref="AH293" si="84">IF(U293="","",(AG293-U293)/U293*100)</f>
        <v>-0.43908801153532356</v>
      </c>
      <c r="AI293" s="153">
        <f t="shared" ref="AI293" si="85">IF(AK293="","",VLOOKUP(AK293,B$38:Y$127,3,FALSE))</f>
        <v>3.5500000000000003</v>
      </c>
      <c r="AJ293" s="2"/>
      <c r="AK293" s="1633" t="s">
        <v>1523</v>
      </c>
      <c r="AL293" s="2"/>
      <c r="AM293" s="133">
        <f>IF(AK293="","",VLOOKUP(AK293,B$38:Y$127,19,FALSE))</f>
        <v>103</v>
      </c>
      <c r="AN293" s="133">
        <f>IF(AK293="","",VLOOKUP(AK293,B$38:Y$127,9,FALSE))</f>
        <v>63</v>
      </c>
      <c r="AO293" s="1593">
        <v>1001</v>
      </c>
      <c r="AP293" s="1575">
        <v>6760</v>
      </c>
      <c r="AQ293" s="1927">
        <f>IF(AI293="","",ROUND(2000*AP293/(PI()*AN293*AM293),3-(1+INT(LOG10(ABS(2000*AP293/(PI()*AN293*AM293)))))))</f>
        <v>663</v>
      </c>
      <c r="AR293" s="133">
        <f>IF(AQ293="","",AQ293/AQ$297*100-100)</f>
        <v>-0.15060240963855165</v>
      </c>
      <c r="AS293" s="1593" t="s">
        <v>1576</v>
      </c>
      <c r="AT293" s="1593" t="s">
        <v>1589</v>
      </c>
      <c r="AU293" s="1316"/>
      <c r="AV293" s="2"/>
      <c r="AW293" s="134" t="s">
        <v>457</v>
      </c>
      <c r="AX293" s="4"/>
      <c r="AY293" s="4"/>
      <c r="AZ293" s="4"/>
      <c r="BA293" s="4"/>
    </row>
    <row r="294" spans="1:53" ht="14.5" x14ac:dyDescent="0.35">
      <c r="A294" s="4"/>
      <c r="B294" s="2">
        <f>IF(D294="","",VLOOKUP(D294,B$38:Y$127,3,FALSE))</f>
        <v>3.5500000000000003</v>
      </c>
      <c r="C294" s="2"/>
      <c r="D294" s="1494" t="s">
        <v>355</v>
      </c>
      <c r="E294" s="2"/>
      <c r="F294" s="133">
        <f>IF(D294="","",VLOOKUP(D294,B$38:Y$127,19,FALSE))</f>
        <v>103</v>
      </c>
      <c r="G294" s="133">
        <f>IF(D294="","",VLOOKUP(D294,B$38:Y$127,9,FALSE))</f>
        <v>63</v>
      </c>
      <c r="H294" s="133" t="str">
        <f t="shared" ref="H294:H308" si="86">IF(D294="","",IF(VLOOKUP(D294,D$166:Z$216,3,FALSE)="","",VLOOKUP(D294,D$166:Z$216,3,FALSE)))</f>
        <v/>
      </c>
      <c r="I294" s="152" t="str">
        <f>IF(D294="","",VLOOKUP(D294,D$166:Z$216,23,FALSE))</f>
        <v/>
      </c>
      <c r="J294" s="1575">
        <v>16000</v>
      </c>
      <c r="K294" s="1927">
        <f>IF(D294="","",ROUND(2000*J294/(PI()*F294*G294),3-(1+INT(LOG10(ABS(2000*J294/(PI()*F294*G294)))))))</f>
        <v>1570</v>
      </c>
      <c r="L294" s="133">
        <f>IF(K294="","",K294/K$297*100-100)</f>
        <v>-7.1005917159763356</v>
      </c>
      <c r="M294" s="1593" t="s">
        <v>477</v>
      </c>
      <c r="N294" s="1593" t="s">
        <v>820</v>
      </c>
      <c r="O294" s="153">
        <f>IF(Q294="","",VLOOKUP(Q294,B$38:Y$127,3,FALSE))</f>
        <v>3.5500000000000003</v>
      </c>
      <c r="P294" s="2"/>
      <c r="Q294" s="1494" t="s">
        <v>1514</v>
      </c>
      <c r="R294" s="2"/>
      <c r="S294" s="133">
        <f>IF(Q294="","",VLOOKUP(Q294,B$38:Y$127,19,FALSE))</f>
        <v>101.6</v>
      </c>
      <c r="T294" s="133">
        <f>IF(Q294="","",VLOOKUP(Q294,B$38:Y$127,9,FALSE))</f>
        <v>65</v>
      </c>
      <c r="U294" s="133">
        <f t="shared" ref="U294:U296" si="87">IF(S294="","",(PI()*POWER(S294/2,2)*T294)/1000)</f>
        <v>526.97577826139764</v>
      </c>
      <c r="V294" s="133"/>
      <c r="W294" s="133"/>
      <c r="X294" s="152">
        <f>IF(Q294="","",VLOOKUP(Q294,D$166:Z$216,23,FALSE))</f>
        <v>2.3365199021828573</v>
      </c>
      <c r="Y294" s="133"/>
      <c r="Z294" s="133"/>
      <c r="AA294" s="153">
        <f t="shared" ref="AA294:AA296" si="88">IF(AC294="","",VLOOKUP(AC294,B$38:Y$127,3,FALSE))</f>
        <v>3.5500000000000003</v>
      </c>
      <c r="AB294" s="2"/>
      <c r="AC294" s="1633" t="s">
        <v>1519</v>
      </c>
      <c r="AD294" s="2"/>
      <c r="AE294" s="133">
        <f>IF(AC294="","",VLOOKUP(AC294,B$38:Y$127,19,FALSE))</f>
        <v>106</v>
      </c>
      <c r="AF294" s="133">
        <f t="shared" ref="AF294:AF296" si="89">IF(AC294="","",VLOOKUP(AC294,B$38:Y$127,9,FALSE))</f>
        <v>60</v>
      </c>
      <c r="AG294" s="133">
        <f t="shared" ref="AG294:AG296" si="90">IF(AE294="","",(PI()*POWER(AE294/2,2)*AF294)/1000)</f>
        <v>529.48402583602376</v>
      </c>
      <c r="AH294" s="133">
        <f t="shared" ref="AH294:AH296" si="91">IF(U294="","",(AG294-U294)/U294*100)</f>
        <v>0.47597018270960267</v>
      </c>
      <c r="AI294" s="153">
        <f t="shared" ref="AI294:AI296" si="92">IF(AK294="","",VLOOKUP(AK294,B$38:Y$127,3,FALSE))</f>
        <v>3.5500000000000003</v>
      </c>
      <c r="AJ294" s="2"/>
      <c r="AK294" s="1633" t="s">
        <v>1524</v>
      </c>
      <c r="AL294" s="2"/>
      <c r="AM294" s="133">
        <f>IF(AK294="","",VLOOKUP(AK294,B$38:Y$127,19,FALSE))</f>
        <v>104</v>
      </c>
      <c r="AN294" s="133">
        <f>IF(AK294="","",VLOOKUP(AK294,B$38:Y$127,9,FALSE))</f>
        <v>62</v>
      </c>
      <c r="AO294" s="1593">
        <v>1002</v>
      </c>
      <c r="AP294" s="1575">
        <v>6770</v>
      </c>
      <c r="AQ294" s="1927">
        <f t="shared" ref="AQ294:AQ296" si="93">IF(AI294="","",ROUND(2000*AP294/(PI()*AN294*AM294),3-(1+INT(LOG10(ABS(2000*AP294/(PI()*AN294*AM294)))))))</f>
        <v>668</v>
      </c>
      <c r="AR294" s="133">
        <f>IF(AQ294="","",AQ294/AQ$297*100-100)</f>
        <v>0.60240963855422081</v>
      </c>
      <c r="AS294" s="1593" t="s">
        <v>1577</v>
      </c>
      <c r="AT294" s="1593" t="s">
        <v>1590</v>
      </c>
      <c r="AU294" s="1316"/>
      <c r="AV294" s="2"/>
      <c r="AW294" s="134" t="s">
        <v>457</v>
      </c>
      <c r="AX294" s="4"/>
      <c r="AY294" s="4"/>
      <c r="AZ294" s="4"/>
      <c r="BA294" s="4"/>
    </row>
    <row r="295" spans="1:53" x14ac:dyDescent="0.3">
      <c r="A295" s="4"/>
      <c r="B295" s="698" t="str">
        <f>IF(D295="","",VLOOKUP(D295,B$38:Y$127,3,FALSE))</f>
        <v/>
      </c>
      <c r="C295" s="698"/>
      <c r="D295" s="1625"/>
      <c r="E295" s="698"/>
      <c r="F295" s="701" t="str">
        <f>IF(D295="","",VLOOKUP(D295,B$38:Y$127,19,FALSE))</f>
        <v/>
      </c>
      <c r="G295" s="701" t="str">
        <f>IF(D295="","",VLOOKUP(D295,B$38:Y$127,9,FALSE))</f>
        <v/>
      </c>
      <c r="H295" s="701" t="str">
        <f t="shared" si="86"/>
        <v/>
      </c>
      <c r="I295" s="699" t="str">
        <f>IF(D295="","",VLOOKUP(D295,D$166:Z$216,23,FALSE))</f>
        <v/>
      </c>
      <c r="J295" s="1924">
        <v>14000</v>
      </c>
      <c r="K295" s="1927" t="str">
        <f>IF(D295="","",ROUND(2000*J295/(PI()*F295*G295),3-(1+INT(LOG10(ABS(2000*J295/(PI()*F295*G295)))))))</f>
        <v/>
      </c>
      <c r="L295" s="701" t="str">
        <f>IF(K295="","",K295/K$297*100-100)</f>
        <v/>
      </c>
      <c r="M295" s="1631"/>
      <c r="N295" s="1631"/>
      <c r="O295" s="734" t="str">
        <f>IF(Q295="","",VLOOKUP(Q295,B$38:Y$127,3,FALSE))</f>
        <v/>
      </c>
      <c r="P295" s="698"/>
      <c r="Q295" s="1625"/>
      <c r="R295" s="698"/>
      <c r="S295" s="701" t="str">
        <f>IF(Q295="","",VLOOKUP(Q295,B$38:Y$127,19,FALSE))</f>
        <v/>
      </c>
      <c r="T295" s="701" t="str">
        <f>IF(Q295="","",VLOOKUP(Q295,B$38:Y$127,9,FALSE))</f>
        <v/>
      </c>
      <c r="U295" s="701" t="str">
        <f t="shared" si="87"/>
        <v/>
      </c>
      <c r="V295" s="701"/>
      <c r="W295" s="701"/>
      <c r="X295" s="699" t="str">
        <f>IF(Q295="","",VLOOKUP(Q295,D$166:Z$216,23,FALSE))</f>
        <v/>
      </c>
      <c r="Y295" s="701"/>
      <c r="Z295" s="701"/>
      <c r="AA295" s="734" t="str">
        <f t="shared" si="88"/>
        <v/>
      </c>
      <c r="AB295" s="698"/>
      <c r="AC295" s="1634"/>
      <c r="AD295" s="698"/>
      <c r="AE295" s="701" t="str">
        <f>IF(AC295="","",VLOOKUP(AC295,B$38:Y$127,19,FALSE))</f>
        <v/>
      </c>
      <c r="AF295" s="701" t="str">
        <f t="shared" si="89"/>
        <v/>
      </c>
      <c r="AG295" s="701" t="str">
        <f t="shared" si="90"/>
        <v/>
      </c>
      <c r="AH295" s="701" t="str">
        <f t="shared" si="91"/>
        <v/>
      </c>
      <c r="AI295" s="734" t="str">
        <f t="shared" si="92"/>
        <v/>
      </c>
      <c r="AJ295" s="698"/>
      <c r="AK295" s="1634"/>
      <c r="AL295" s="698"/>
      <c r="AM295" s="701" t="str">
        <f>IF(AK295="","",VLOOKUP(AK295,B$38:Y$127,19,FALSE))</f>
        <v/>
      </c>
      <c r="AN295" s="701" t="str">
        <f>IF(AK295="","",VLOOKUP(AK295,B$38:Y127,9,FALSE))</f>
        <v/>
      </c>
      <c r="AO295" s="1631"/>
      <c r="AP295" s="1924"/>
      <c r="AQ295" s="1927" t="str">
        <f t="shared" si="93"/>
        <v/>
      </c>
      <c r="AR295" s="701" t="str">
        <f>IF(AQ295="","",AQ295/AQ$297*100-100)</f>
        <v/>
      </c>
      <c r="AS295" s="1631"/>
      <c r="AT295" s="1631"/>
      <c r="AU295" s="1317"/>
      <c r="AV295" s="698"/>
      <c r="AW295" s="4"/>
      <c r="AX295" s="4"/>
      <c r="AY295" s="4"/>
      <c r="AZ295" s="4"/>
      <c r="BA295" s="4"/>
    </row>
    <row r="296" spans="1:53" ht="14.5" x14ac:dyDescent="0.35">
      <c r="A296" s="4"/>
      <c r="B296" s="2">
        <f>IF(D296="","",VLOOKUP(D296,B$38:Y$127,3,FALSE))</f>
        <v>3.5500000000000003</v>
      </c>
      <c r="C296" s="2"/>
      <c r="D296" s="1494" t="s">
        <v>357</v>
      </c>
      <c r="E296" s="696" t="s">
        <v>725</v>
      </c>
      <c r="F296" s="133">
        <f>IF(D296="","",VLOOKUP(D296,B$38:Y$127,19,FALSE))</f>
        <v>105</v>
      </c>
      <c r="G296" s="133">
        <f>IF(D296="","",VLOOKUP(D296,B$38:Y$127,9,FALSE))</f>
        <v>61</v>
      </c>
      <c r="H296" s="133" t="str">
        <f t="shared" si="86"/>
        <v>C</v>
      </c>
      <c r="I296" s="152" t="str">
        <f>IF(D296="","",VLOOKUP(D296,D$166:Z$216,23,FALSE))</f>
        <v/>
      </c>
      <c r="J296" s="1575">
        <v>14000</v>
      </c>
      <c r="K296" s="982">
        <f>IF(D296="","",ROUND(2000*J296/(PI()*F296*G296),3-(1+INT(LOG10(ABS(2000*J296/(PI()*F296*G296)))))))</f>
        <v>1390</v>
      </c>
      <c r="L296" s="133">
        <f>IF(K296="","",K296/K$297*100-100)</f>
        <v>-17.751479289940832</v>
      </c>
      <c r="M296" s="1593" t="s">
        <v>837</v>
      </c>
      <c r="N296" s="1593" t="s">
        <v>1569</v>
      </c>
      <c r="O296" s="153">
        <f>IF(Q296="","",VLOOKUP(Q296,B$38:Y$127,3,FALSE))</f>
        <v>3.5500000000000003</v>
      </c>
      <c r="P296" s="2"/>
      <c r="Q296" s="1494" t="s">
        <v>1516</v>
      </c>
      <c r="R296" s="2"/>
      <c r="S296" s="133">
        <f>IF(Q296="","",VLOOKUP(Q296,B$38:Y$127,19,FALSE))</f>
        <v>103</v>
      </c>
      <c r="T296" s="133">
        <f>IF(Q296="","",VLOOKUP(Q296,B$38:Y$127,9,FALSE))</f>
        <v>63</v>
      </c>
      <c r="U296" s="133">
        <f t="shared" si="87"/>
        <v>524.9342142754623</v>
      </c>
      <c r="V296" s="133"/>
      <c r="W296" s="133"/>
      <c r="X296" s="152" t="str">
        <f>IF(Q296="","",VLOOKUP(Q296,D$166:Z$216,23,FALSE))</f>
        <v/>
      </c>
      <c r="Y296" s="133"/>
      <c r="Z296" s="133"/>
      <c r="AA296" s="153">
        <f t="shared" si="88"/>
        <v>3.5500000000000003</v>
      </c>
      <c r="AB296" s="2"/>
      <c r="AC296" s="1633" t="s">
        <v>1521</v>
      </c>
      <c r="AD296" s="2"/>
      <c r="AE296" s="133">
        <f>IF(AC296="","",VLOOKUP(AC296,B$38:Y$127,19,FALSE))</f>
        <v>101.6</v>
      </c>
      <c r="AF296" s="133">
        <f t="shared" si="89"/>
        <v>65</v>
      </c>
      <c r="AG296" s="133">
        <f t="shared" si="90"/>
        <v>526.97577826139764</v>
      </c>
      <c r="AH296" s="133">
        <f t="shared" si="91"/>
        <v>0.38891806447655514</v>
      </c>
      <c r="AI296" s="153">
        <f t="shared" si="92"/>
        <v>3.5500000000000003</v>
      </c>
      <c r="AJ296" s="2"/>
      <c r="AK296" s="1633" t="s">
        <v>1526</v>
      </c>
      <c r="AL296" s="2"/>
      <c r="AM296" s="133">
        <f>IF(AK296="","",VLOOKUP(AK296,B$38:Y$127,19,FALSE))</f>
        <v>102</v>
      </c>
      <c r="AN296" s="133">
        <f>IF(AK296="","",VLOOKUP(AK296,B$38:Y127,9,FALSE))</f>
        <v>64</v>
      </c>
      <c r="AO296" s="1593">
        <v>1004</v>
      </c>
      <c r="AP296" s="1575">
        <v>6790</v>
      </c>
      <c r="AQ296" s="982">
        <f t="shared" si="93"/>
        <v>662</v>
      </c>
      <c r="AR296" s="133">
        <f>IF(AQ296="","",AQ296/AQ$297*100-100)</f>
        <v>-0.30120481927711751</v>
      </c>
      <c r="AS296" s="1593" t="s">
        <v>1578</v>
      </c>
      <c r="AT296" s="1593" t="s">
        <v>1591</v>
      </c>
      <c r="AU296" s="202"/>
      <c r="AV296" s="2"/>
      <c r="AW296" s="134"/>
      <c r="AX296" s="4"/>
      <c r="AY296" s="4"/>
      <c r="AZ296" s="4"/>
      <c r="BA296" s="4"/>
    </row>
    <row r="297" spans="1:53" x14ac:dyDescent="0.3">
      <c r="A297" s="4"/>
      <c r="B297" s="32"/>
      <c r="C297" s="159" t="s">
        <v>458</v>
      </c>
      <c r="D297" s="57" t="str">
        <f>D292&amp;" tot "&amp;D294</f>
        <v>A1 tot A3</v>
      </c>
      <c r="E297" s="32"/>
      <c r="F297" s="131">
        <f>IF(SUM(F292:F294)=0,"",AVERAGE(F292:F294))</f>
        <v>101.66666666666667</v>
      </c>
      <c r="G297" s="131">
        <f>IF(SUM(G292:G294)=0,"",AVERAGE(G292:G294))</f>
        <v>63</v>
      </c>
      <c r="H297" s="131"/>
      <c r="I297" s="161" t="str">
        <f>IF(SUM(I292:I294)=0,"",AVERAGE(I292:I294))</f>
        <v/>
      </c>
      <c r="J297" s="160"/>
      <c r="K297" s="160">
        <f>IF(SUM(K292:K294)=0,"",ROUND(AVERAGE(K292:K294),3-(1+INT(LOG10(AVERAGE(K292:K294))))))</f>
        <v>1690</v>
      </c>
      <c r="L297" s="32"/>
      <c r="M297" s="1535"/>
      <c r="N297" s="1535"/>
      <c r="O297" s="157"/>
      <c r="P297" s="159" t="s">
        <v>458</v>
      </c>
      <c r="Q297" s="57" t="str">
        <f>Q292&amp;" tot "&amp;Q294</f>
        <v>A1v tot A3v</v>
      </c>
      <c r="R297" s="32"/>
      <c r="S297" s="131">
        <f>IF(SUM(S292:S294)=0,"",AVERAGE(S292:S294))</f>
        <v>104.86666666666667</v>
      </c>
      <c r="T297" s="131">
        <f>IF(SUM(T292:T294)=0,"",AVERAGE(T292:T294))</f>
        <v>61.333333333333336</v>
      </c>
      <c r="U297" s="131"/>
      <c r="V297" s="131">
        <f>IF(OR(G297="",T297=""),"",ABS(G297-T297))</f>
        <v>1.6666666666666643</v>
      </c>
      <c r="W297" s="131"/>
      <c r="X297" s="161">
        <f>IF(SUM(X292:X294)=0,"",AVERAGE(X292:X294))</f>
        <v>2.3016641407653879</v>
      </c>
      <c r="Y297" s="161" t="str">
        <f>IF(OR(I297="",X297=""),"",ABS(I297-X297))</f>
        <v/>
      </c>
      <c r="Z297" s="131"/>
      <c r="AA297" s="157"/>
      <c r="AB297" s="159" t="s">
        <v>458</v>
      </c>
      <c r="AC297" s="57" t="str">
        <f>AC292&amp;" tot "&amp;AC294</f>
        <v>A1n tot A3n</v>
      </c>
      <c r="AD297" s="32"/>
      <c r="AE297" s="131">
        <f>IF(SUM(AE292:AE294)=0,"",AVERAGE(AE292:AE294))</f>
        <v>105</v>
      </c>
      <c r="AF297" s="131">
        <f>IF(SUM(AF292:AF294)=0,"",AVERAGE(AF292:AF294))</f>
        <v>61</v>
      </c>
      <c r="AG297" s="131"/>
      <c r="AH297" s="131"/>
      <c r="AI297" s="157"/>
      <c r="AJ297" s="159" t="s">
        <v>458</v>
      </c>
      <c r="AK297" s="57" t="str">
        <f>AK292&amp;" tot "&amp;AK294</f>
        <v>A1nw tot A3nw</v>
      </c>
      <c r="AL297" s="32"/>
      <c r="AM297" s="131">
        <f>IF(SUM(AM292:AM294)=0,"",AVERAGE(AM292:AM294))</f>
        <v>103</v>
      </c>
      <c r="AN297" s="131">
        <f>IF(SUM(AN292:AN294)=0,"",AVERAGE(AN292:AN294))</f>
        <v>63</v>
      </c>
      <c r="AO297" s="131"/>
      <c r="AP297" s="1925"/>
      <c r="AQ297" s="160">
        <f>IF(SUM(AQ292:AQ294)=0,"",ROUND(AVERAGE(AQ292:AQ294),3-(1+INT(LOG10(AVERAGE(AQ292:AQ294))))))</f>
        <v>664</v>
      </c>
      <c r="AR297" s="32"/>
      <c r="AS297" s="32"/>
      <c r="AT297" s="297">
        <f>IF(SUM(B292:B294)=0,"",ROUND(AVERAGE(B292:B294),1))</f>
        <v>3.6</v>
      </c>
      <c r="AU297" s="185">
        <f>IF(OR(K297="",AQ297=""),"",ROUND(AQ297/K297*100,1))</f>
        <v>39.299999999999997</v>
      </c>
      <c r="AV297" s="32"/>
      <c r="AW297" s="4"/>
      <c r="AX297" s="4"/>
      <c r="AY297" s="4"/>
      <c r="AZ297" s="4"/>
      <c r="BA297" s="4"/>
    </row>
    <row r="298" spans="1:53" ht="14.5" x14ac:dyDescent="0.35">
      <c r="A298" s="4"/>
      <c r="B298" s="43">
        <f>IF(D298="","",VLOOKUP(D298,B$38:Y$127,3,FALSE))</f>
        <v>3.85</v>
      </c>
      <c r="C298" s="43"/>
      <c r="D298" s="1516" t="s">
        <v>358</v>
      </c>
      <c r="E298" s="43"/>
      <c r="F298" s="132">
        <f>IF(D298="","",VLOOKUP(D298,B$38:Y$127,19,FALSE))</f>
        <v>101.1</v>
      </c>
      <c r="G298" s="132">
        <f>IF(D298="","",VLOOKUP(D298,B$38:Y$127,9,FALSE))</f>
        <v>75</v>
      </c>
      <c r="H298" s="133" t="str">
        <f t="shared" si="86"/>
        <v>C</v>
      </c>
      <c r="I298" s="152">
        <f>IF(D298="","",VLOOKUP(D298,D$166:Z$216,23,FALSE))</f>
        <v>2.6780387104261854</v>
      </c>
      <c r="J298" s="1926">
        <v>12000</v>
      </c>
      <c r="K298" s="1927">
        <f>IF(D298="","",ROUND(2000*J298/(PI()*F298*G298),3-(1+INT(LOG10(ABS(2000*J298/(PI()*F298*G298)))))))</f>
        <v>1010</v>
      </c>
      <c r="L298" s="133">
        <f>IF(K298="","",K298/K$303*100-100)</f>
        <v>7.982897647287885</v>
      </c>
      <c r="M298" s="1593" t="s">
        <v>1557</v>
      </c>
      <c r="N298" s="1593" t="s">
        <v>1570</v>
      </c>
      <c r="O298" s="156">
        <f>IF(Q298="","",VLOOKUP(Q298,B$38:Y$127,3,FALSE))</f>
        <v>3.85</v>
      </c>
      <c r="P298" s="43"/>
      <c r="Q298" s="1516" t="s">
        <v>1527</v>
      </c>
      <c r="R298" s="43"/>
      <c r="S298" s="132">
        <f>IF(Q298="","",VLOOKUP(Q298,B$38:Y$127,19,FALSE))</f>
        <v>101.6</v>
      </c>
      <c r="T298" s="132">
        <f>IF(Q298="","",VLOOKUP(Q298,B$38:Y$127,9,FALSE))</f>
        <v>70</v>
      </c>
      <c r="U298" s="132">
        <f t="shared" ref="U298:U302" si="94">IF(S298="","",(PI()*POWER(S298/2,2)*T298)/1000)</f>
        <v>567.5123765891974</v>
      </c>
      <c r="V298" s="132"/>
      <c r="W298" s="132"/>
      <c r="X298" s="152">
        <f>IF(Q298="","",VLOOKUP(Q298,D$166:Z$216,23,FALSE))</f>
        <v>2.6776046323562217</v>
      </c>
      <c r="Y298" s="132"/>
      <c r="Z298" s="132"/>
      <c r="AA298" s="156">
        <f t="shared" ref="AA298:AA302" si="95">IF(AC298="","",VLOOKUP(AC298,B$38:Y$127,3,FALSE))</f>
        <v>3.85</v>
      </c>
      <c r="AB298" s="43"/>
      <c r="AC298" s="1635" t="s">
        <v>1532</v>
      </c>
      <c r="AD298" s="43"/>
      <c r="AE298" s="132">
        <f>IF(AC298="","",VLOOKUP(AC298,B$38:Y$127,19,FALSE))</f>
        <v>101.4</v>
      </c>
      <c r="AF298" s="132">
        <f t="shared" ref="AF298:AF302" si="96">IF(AC298="","",VLOOKUP(AC298,B$38:Y$127,9,FALSE))</f>
        <v>72</v>
      </c>
      <c r="AG298" s="132">
        <f t="shared" ref="AG298:AG302" si="97">IF(AE298="","",(PI()*POWER(AE298/2,2)*AF298)/1000)</f>
        <v>581.43114000907406</v>
      </c>
      <c r="AH298" s="132">
        <f t="shared" ref="AH298:AH302" si="98">IF(U298="","",(AG298-U298)/U298*100)</f>
        <v>2.4525920480412653</v>
      </c>
      <c r="AI298" s="156">
        <f t="shared" ref="AI298:AI302" si="99">IF(AK298="","",VLOOKUP(AK298,B$38:Y$127,3,FALSE))</f>
        <v>3.85</v>
      </c>
      <c r="AJ298" s="43"/>
      <c r="AK298" s="1635" t="s">
        <v>1537</v>
      </c>
      <c r="AL298" s="43"/>
      <c r="AM298" s="132">
        <f>IF(AK298="","",VLOOKUP(AK298,B$38:Y$127,19,FALSE))</f>
        <v>101.2</v>
      </c>
      <c r="AN298" s="132">
        <f>IF(AK298="","",VLOOKUP(AK298,B$38:Y127,9,FALSE))</f>
        <v>74</v>
      </c>
      <c r="AO298" s="1613">
        <v>1005</v>
      </c>
      <c r="AP298" s="1926">
        <v>6800</v>
      </c>
      <c r="AQ298" s="1927">
        <f>IF(AI298="","",ROUND(2000*AP298/(PI()*AN298*AM298),3-(1+INT(LOG10(ABS(2000*AP298/(PI()*AN298*AM298)))))))</f>
        <v>578</v>
      </c>
      <c r="AR298" s="133">
        <f>IF(AQ298="","",AQ298/AQ$303*100-100)</f>
        <v>-1.4212564764784759</v>
      </c>
      <c r="AS298" s="1593" t="s">
        <v>1579</v>
      </c>
      <c r="AT298" s="1593" t="s">
        <v>1592</v>
      </c>
      <c r="AU298" s="1316"/>
      <c r="AV298" s="43"/>
      <c r="AW298" s="134" t="s">
        <v>1030</v>
      </c>
      <c r="AX298" s="4"/>
      <c r="AY298" s="4"/>
      <c r="AZ298" s="4"/>
      <c r="BA298" s="4"/>
    </row>
    <row r="299" spans="1:53" ht="14.5" x14ac:dyDescent="0.35">
      <c r="A299" s="4"/>
      <c r="B299" s="2">
        <f>IF(D299="","",VLOOKUP(D299,B$38:Y$127,3,FALSE))</f>
        <v>3.85</v>
      </c>
      <c r="C299" s="2"/>
      <c r="D299" s="1494" t="s">
        <v>359</v>
      </c>
      <c r="E299" s="2"/>
      <c r="F299" s="133">
        <f>IF(D299="","",VLOOKUP(D299,B$38:Y$127,19,FALSE))</f>
        <v>101.2</v>
      </c>
      <c r="G299" s="133">
        <f>IF(D299="","",VLOOKUP(D299,B$38:Y$127,9,FALSE))</f>
        <v>74</v>
      </c>
      <c r="H299" s="133" t="str">
        <f t="shared" ref="H299" si="100">IF(D299="","",IF(VLOOKUP(D299,D$166:Z$216,3,FALSE)="","",VLOOKUP(D299,D$166:Z$216,3,FALSE)))</f>
        <v>C</v>
      </c>
      <c r="I299" s="152">
        <f>IF(D299="","",VLOOKUP(D299,D$166:Z$216,23,FALSE))</f>
        <v>2.67251739289294</v>
      </c>
      <c r="J299" s="1575">
        <v>11000</v>
      </c>
      <c r="K299" s="1927">
        <f>IF(D299="","",ROUND(2000*J299/(PI()*F299*G299),3-(1+INT(LOG10(ABS(2000*J299/(PI()*F299*G299)))))))</f>
        <v>935</v>
      </c>
      <c r="L299" s="133">
        <f>IF(K299="","",K299/K$303*100-100)</f>
        <v>-3.5634356223596342E-2</v>
      </c>
      <c r="M299" s="1593" t="s">
        <v>1558</v>
      </c>
      <c r="N299" s="1593" t="s">
        <v>1142</v>
      </c>
      <c r="O299" s="153">
        <f>IF(Q299="","",VLOOKUP(Q299,B$38:Y$127,3,FALSE))</f>
        <v>3.85</v>
      </c>
      <c r="P299" s="2"/>
      <c r="Q299" s="1494" t="s">
        <v>1528</v>
      </c>
      <c r="R299" s="2"/>
      <c r="S299" s="133">
        <f>IF(Q299="","",VLOOKUP(Q299,B$38:Y$127,19,FALSE))</f>
        <v>101.7</v>
      </c>
      <c r="T299" s="133">
        <f>IF(Q299="","",VLOOKUP(Q299,B$38:Y$127,9,FALSE))</f>
        <v>69</v>
      </c>
      <c r="U299" s="133">
        <f t="shared" ref="U299" si="101">IF(S299="","",(PI()*POWER(S299/2,2)*T299)/1000)</f>
        <v>560.5067899053065</v>
      </c>
      <c r="V299" s="133"/>
      <c r="W299" s="133"/>
      <c r="X299" s="152">
        <f>IF(Q299="","",VLOOKUP(Q299,D$166:Z$216,23,FALSE))</f>
        <v>2.6720707423877994</v>
      </c>
      <c r="Y299" s="133"/>
      <c r="Z299" s="133"/>
      <c r="AA299" s="153">
        <f t="shared" ref="AA299" si="102">IF(AC299="","",VLOOKUP(AC299,B$38:Y$127,3,FALSE))</f>
        <v>3.85</v>
      </c>
      <c r="AB299" s="2"/>
      <c r="AC299" s="1633" t="s">
        <v>1533</v>
      </c>
      <c r="AD299" s="2"/>
      <c r="AE299" s="133">
        <f>IF(AC299="","",VLOOKUP(AC299,B$38:Y$127,19,FALSE))</f>
        <v>101.5</v>
      </c>
      <c r="AF299" s="133">
        <f t="shared" ref="AF299" si="103">IF(AC299="","",VLOOKUP(AC299,B$38:Y$127,9,FALSE))</f>
        <v>71</v>
      </c>
      <c r="AG299" s="133">
        <f t="shared" ref="AG299" si="104">IF(AE299="","",(PI()*POWER(AE299/2,2)*AF299)/1000)</f>
        <v>574.4871442491567</v>
      </c>
      <c r="AH299" s="133">
        <f t="shared" ref="AH299" si="105">IF(U299="","",(AG299-U299)/U299*100)</f>
        <v>2.4942346097559449</v>
      </c>
      <c r="AI299" s="153">
        <f t="shared" ref="AI299" si="106">IF(AK299="","",VLOOKUP(AK299,B$38:Y$127,3,FALSE))</f>
        <v>3.85</v>
      </c>
      <c r="AJ299" s="2"/>
      <c r="AK299" s="1633" t="s">
        <v>1538</v>
      </c>
      <c r="AL299" s="2"/>
      <c r="AM299" s="133">
        <f>IF(AK299="","",VLOOKUP(AK299,B$38:Y$127,19,FALSE))</f>
        <v>101.3</v>
      </c>
      <c r="AN299" s="133">
        <f>IF(AK299="","",VLOOKUP(AK299,B$38:Y126,9,FALSE))</f>
        <v>73</v>
      </c>
      <c r="AO299" s="1593">
        <v>1006</v>
      </c>
      <c r="AP299" s="1575">
        <v>6810</v>
      </c>
      <c r="AQ299" s="1927">
        <f t="shared" ref="AQ299:AQ302" si="107">IF(AI299="","",ROUND(2000*AP299/(PI()*AN299*AM299),3-(1+INT(LOG10(ABS(2000*AP299/(PI()*AN299*AM299)))))))</f>
        <v>586</v>
      </c>
      <c r="AR299" s="133">
        <f>IF(AQ299="","",AQ299/AQ$303*100-100)</f>
        <v>-5.6844801412438528E-2</v>
      </c>
      <c r="AS299" s="1593" t="s">
        <v>1580</v>
      </c>
      <c r="AT299" s="1593" t="s">
        <v>1593</v>
      </c>
      <c r="AU299" s="1316"/>
      <c r="AV299" s="2"/>
      <c r="AW299" s="134" t="s">
        <v>1031</v>
      </c>
      <c r="AX299" s="4"/>
      <c r="AY299" s="4"/>
      <c r="AZ299" s="4"/>
      <c r="BA299" s="4"/>
    </row>
    <row r="300" spans="1:53" ht="14.5" x14ac:dyDescent="0.35">
      <c r="A300" s="4"/>
      <c r="B300" s="2">
        <f>IF(D300="","",VLOOKUP(D300,B$38:Y$127,3,FALSE))</f>
        <v>3.85</v>
      </c>
      <c r="C300" s="2"/>
      <c r="D300" s="1494" t="s">
        <v>360</v>
      </c>
      <c r="E300" s="2"/>
      <c r="F300" s="133">
        <f>IF(D300="","",VLOOKUP(D300,B$38:Y$127,19,FALSE))</f>
        <v>101.3</v>
      </c>
      <c r="G300" s="133">
        <f>IF(D300="","",VLOOKUP(D300,B$38:Y$127,9,FALSE))</f>
        <v>73</v>
      </c>
      <c r="H300" s="133" t="str">
        <f t="shared" si="86"/>
        <v>C</v>
      </c>
      <c r="I300" s="152">
        <f>IF(D300="","",VLOOKUP(D300,D$166:Z$216,23,FALSE))</f>
        <v>2.7017756740237067</v>
      </c>
      <c r="J300" s="1575">
        <v>10000</v>
      </c>
      <c r="K300" s="1927">
        <f>IF(D300="","",ROUND(2000*J300/(PI()*F300*G300),3-(1+INT(LOG10(ABS(2000*J300/(PI()*F300*G300)))))))</f>
        <v>861</v>
      </c>
      <c r="L300" s="133">
        <f>IF(K300="","",K300/K$303*100-100)</f>
        <v>-7.9472525996882553</v>
      </c>
      <c r="M300" s="1593" t="s">
        <v>1559</v>
      </c>
      <c r="N300" s="1593" t="s">
        <v>1571</v>
      </c>
      <c r="O300" s="153">
        <f>IF(Q300="","",VLOOKUP(Q300,B$38:Y$127,3,FALSE))</f>
        <v>3.85</v>
      </c>
      <c r="P300" s="2"/>
      <c r="Q300" s="1494" t="s">
        <v>1529</v>
      </c>
      <c r="R300" s="2"/>
      <c r="S300" s="133">
        <f>IF(Q300="","",VLOOKUP(Q300,B$38:Y$127,19,FALSE))</f>
        <v>101.1</v>
      </c>
      <c r="T300" s="133">
        <f>IF(Q300="","",VLOOKUP(Q300,B$38:Y$127,9,FALSE))</f>
        <v>75</v>
      </c>
      <c r="U300" s="133">
        <f t="shared" si="94"/>
        <v>602.07896712747242</v>
      </c>
      <c r="V300" s="133"/>
      <c r="W300" s="133"/>
      <c r="X300" s="152">
        <f>IF(Q300="","",VLOOKUP(Q300,D$166:Z$216,23,FALSE))</f>
        <v>2.7013341031270728</v>
      </c>
      <c r="Y300" s="133"/>
      <c r="Z300" s="133"/>
      <c r="AA300" s="153">
        <f t="shared" si="95"/>
        <v>3.85</v>
      </c>
      <c r="AB300" s="2"/>
      <c r="AC300" s="1633" t="s">
        <v>1534</v>
      </c>
      <c r="AD300" s="2"/>
      <c r="AE300" s="133">
        <f>IF(AC300="","",VLOOKUP(AC300,B$38:Y$127,19,FALSE))</f>
        <v>101.6</v>
      </c>
      <c r="AF300" s="133">
        <f t="shared" si="96"/>
        <v>70</v>
      </c>
      <c r="AG300" s="133">
        <f t="shared" si="97"/>
        <v>567.5123765891974</v>
      </c>
      <c r="AH300" s="133">
        <f t="shared" si="98"/>
        <v>-5.7412054606711695</v>
      </c>
      <c r="AI300" s="153">
        <f t="shared" si="99"/>
        <v>3.85</v>
      </c>
      <c r="AJ300" s="2"/>
      <c r="AK300" s="1633" t="s">
        <v>1539</v>
      </c>
      <c r="AL300" s="2"/>
      <c r="AM300" s="133">
        <f>IF(AK300="","",VLOOKUP(AK300,B$38:Y$127,19,FALSE))</f>
        <v>101.4</v>
      </c>
      <c r="AN300" s="133">
        <f>IF(AK300="","",VLOOKUP(AK300,B$38:Y127,9,FALSE))</f>
        <v>72</v>
      </c>
      <c r="AO300" s="1593">
        <v>1007</v>
      </c>
      <c r="AP300" s="1575">
        <v>6820</v>
      </c>
      <c r="AQ300" s="1927">
        <f t="shared" si="107"/>
        <v>595</v>
      </c>
      <c r="AR300" s="133">
        <f>IF(AQ300="","",AQ300/AQ$303*100-100)</f>
        <v>1.4781183330368606</v>
      </c>
      <c r="AS300" s="1593" t="s">
        <v>1581</v>
      </c>
      <c r="AT300" s="1593" t="s">
        <v>1594</v>
      </c>
      <c r="AU300" s="1316"/>
      <c r="AV300" s="2"/>
      <c r="AW300" s="134" t="s">
        <v>1031</v>
      </c>
      <c r="AX300" s="4"/>
      <c r="AY300" s="4"/>
      <c r="AZ300" s="4"/>
      <c r="BA300" s="4"/>
    </row>
    <row r="301" spans="1:53" x14ac:dyDescent="0.3">
      <c r="A301" s="4"/>
      <c r="B301" s="698">
        <f>IF(D301="","",VLOOKUP(D301,B$38:Y$127,3,FALSE))</f>
        <v>3.85</v>
      </c>
      <c r="C301" s="698"/>
      <c r="D301" s="1625" t="s">
        <v>361</v>
      </c>
      <c r="E301" s="698"/>
      <c r="F301" s="701">
        <f>IF(D301="","",VLOOKUP(D301,B$38:Y$127,19,FALSE))</f>
        <v>101.4</v>
      </c>
      <c r="G301" s="701">
        <f>IF(D301="","",VLOOKUP(D301,B$38:Y$127,9,FALSE))</f>
        <v>72</v>
      </c>
      <c r="H301" s="701" t="str">
        <f t="shared" si="86"/>
        <v>C</v>
      </c>
      <c r="I301" s="699" t="str">
        <f>IF(D301="","",VLOOKUP(D301,D$166:Z$216,23,FALSE))</f>
        <v/>
      </c>
      <c r="J301" s="1924">
        <v>9000</v>
      </c>
      <c r="K301" s="1927">
        <f>IF(D301="","",ROUND(2000*J301/(PI()*F301*G301),3-(1+INT(LOG10(ABS(2000*J301/(PI()*F301*G301)))))))</f>
        <v>785</v>
      </c>
      <c r="L301" s="701">
        <f>IF(K301="","",K301/K$303*100-100)</f>
        <v>-16.072698363246545</v>
      </c>
      <c r="M301" s="1631" t="s">
        <v>1560</v>
      </c>
      <c r="N301" s="1631" t="s">
        <v>1572</v>
      </c>
      <c r="O301" s="734">
        <f>IF(Q301="","",VLOOKUP(Q301,B$38:Y$127,3,FALSE))</f>
        <v>3.85</v>
      </c>
      <c r="P301" s="698"/>
      <c r="Q301" s="1625" t="s">
        <v>1530</v>
      </c>
      <c r="R301" s="698"/>
      <c r="S301" s="701">
        <f>IF(Q301="","",VLOOKUP(Q301,B$38:Y$127,19,FALSE))</f>
        <v>101.2</v>
      </c>
      <c r="T301" s="701">
        <f>IF(Q301="","",VLOOKUP(Q301,B$38:Y$127,9,FALSE))</f>
        <v>74</v>
      </c>
      <c r="U301" s="701">
        <f t="shared" si="94"/>
        <v>595.22700432434203</v>
      </c>
      <c r="V301" s="701"/>
      <c r="W301" s="701"/>
      <c r="X301" s="699" t="str">
        <f>IF(Q301="","",VLOOKUP(Q301,D$166:Z$216,23,FALSE))</f>
        <v/>
      </c>
      <c r="Y301" s="701"/>
      <c r="Z301" s="701"/>
      <c r="AA301" s="734">
        <f t="shared" si="95"/>
        <v>3.85</v>
      </c>
      <c r="AB301" s="698"/>
      <c r="AC301" s="1634" t="s">
        <v>1535</v>
      </c>
      <c r="AD301" s="698"/>
      <c r="AE301" s="701">
        <f>IF(AC301="","",VLOOKUP(AC301,B$38:Y$127,19,FALSE))</f>
        <v>101.7</v>
      </c>
      <c r="AF301" s="701">
        <f t="shared" si="96"/>
        <v>69</v>
      </c>
      <c r="AG301" s="701">
        <f t="shared" si="97"/>
        <v>560.5067899053065</v>
      </c>
      <c r="AH301" s="701">
        <f t="shared" si="98"/>
        <v>-5.8331047090928552</v>
      </c>
      <c r="AI301" s="734">
        <f t="shared" si="99"/>
        <v>3.85</v>
      </c>
      <c r="AJ301" s="698"/>
      <c r="AK301" s="1634" t="s">
        <v>1540</v>
      </c>
      <c r="AL301" s="698"/>
      <c r="AM301" s="701">
        <f>IF(AK301="","",VLOOKUP(AK301,B$38:Y$127,19,FALSE))</f>
        <v>101.1</v>
      </c>
      <c r="AN301" s="701">
        <f>IF(AK301="","",VLOOKUP(AK301,B$38:Y127,9,FALSE))</f>
        <v>75</v>
      </c>
      <c r="AO301" s="1631">
        <v>1008</v>
      </c>
      <c r="AP301" s="1924">
        <v>6830</v>
      </c>
      <c r="AQ301" s="1927">
        <f t="shared" si="107"/>
        <v>573</v>
      </c>
      <c r="AR301" s="701">
        <f>IF(AQ301="","",AQ301/AQ$303*100-100)</f>
        <v>-2.2740137733947563</v>
      </c>
      <c r="AS301" s="1631" t="s">
        <v>1582</v>
      </c>
      <c r="AT301" s="1631" t="s">
        <v>1595</v>
      </c>
      <c r="AU301" s="1317"/>
      <c r="AV301" s="698"/>
      <c r="AW301" s="4"/>
      <c r="AX301" s="4"/>
      <c r="AY301" s="4"/>
      <c r="AZ301" s="4"/>
      <c r="BA301" s="4"/>
    </row>
    <row r="302" spans="1:53" x14ac:dyDescent="0.3">
      <c r="A302" s="4"/>
      <c r="B302" s="2">
        <f>IF(D302="","",VLOOKUP(D302,B$38:Y$127,3,FALSE))</f>
        <v>3.85</v>
      </c>
      <c r="C302" s="2"/>
      <c r="D302" s="1494" t="s">
        <v>362</v>
      </c>
      <c r="E302" s="696" t="s">
        <v>725</v>
      </c>
      <c r="F302" s="133">
        <f>IF(D302="","",VLOOKUP(D302,B$38:Y$127,19,FALSE))</f>
        <v>101.5</v>
      </c>
      <c r="G302" s="133">
        <f>IF(D302="","",VLOOKUP(D302,B$38:Y$127,9,FALSE))</f>
        <v>71</v>
      </c>
      <c r="H302" s="133" t="str">
        <f t="shared" si="86"/>
        <v>C</v>
      </c>
      <c r="I302" s="152" t="str">
        <f>IF(D302="","",VLOOKUP(D302,D$166:Z$216,23,FALSE))</f>
        <v/>
      </c>
      <c r="J302" s="1575">
        <v>8000</v>
      </c>
      <c r="K302" s="1928">
        <f>IF(D302="","",ROUND(2000*J302/(PI()*F302*G302),3-(1+INT(LOG10(ABS(2000*J302/(PI()*F302*G302)))))))</f>
        <v>707</v>
      </c>
      <c r="L302" s="133">
        <f>IF(K302="","",K302/K$303*100-100)</f>
        <v>-24.411971646898493</v>
      </c>
      <c r="M302" s="1593" t="s">
        <v>1561</v>
      </c>
      <c r="N302" s="1593" t="s">
        <v>1573</v>
      </c>
      <c r="O302" s="153">
        <f>IF(Q302="","",VLOOKUP(Q302,B$38:Y$127,3,FALSE))</f>
        <v>3.85</v>
      </c>
      <c r="P302" s="2"/>
      <c r="Q302" s="1494" t="s">
        <v>1531</v>
      </c>
      <c r="R302" s="2"/>
      <c r="S302" s="133">
        <f>IF(Q302="","",VLOOKUP(Q302,B$38:Y$127,19,FALSE))</f>
        <v>101.3</v>
      </c>
      <c r="T302" s="133">
        <f>IF(Q302="","",VLOOKUP(Q302,B$38:Y$127,9,FALSE))</f>
        <v>73</v>
      </c>
      <c r="U302" s="133">
        <f t="shared" si="94"/>
        <v>588.34441099283902</v>
      </c>
      <c r="V302" s="133"/>
      <c r="W302" s="133"/>
      <c r="X302" s="152" t="str">
        <f>IF(Q302="","",VLOOKUP(Q302,D$166:Z$216,23,FALSE))</f>
        <v/>
      </c>
      <c r="Y302" s="133"/>
      <c r="Z302" s="133"/>
      <c r="AA302" s="153">
        <f t="shared" si="95"/>
        <v>3.85</v>
      </c>
      <c r="AB302" s="2"/>
      <c r="AC302" s="1633" t="s">
        <v>1536</v>
      </c>
      <c r="AD302" s="2"/>
      <c r="AE302" s="133">
        <f>IF(AC302="","",VLOOKUP(AC302,B$38:Y$127,19,FALSE))</f>
        <v>101.1</v>
      </c>
      <c r="AF302" s="133">
        <f t="shared" si="96"/>
        <v>75</v>
      </c>
      <c r="AG302" s="133">
        <f t="shared" si="97"/>
        <v>602.07896712747242</v>
      </c>
      <c r="AH302" s="133">
        <f t="shared" si="98"/>
        <v>2.3344415070513143</v>
      </c>
      <c r="AI302" s="153">
        <f t="shared" si="99"/>
        <v>3.85</v>
      </c>
      <c r="AJ302" s="2"/>
      <c r="AK302" s="1633" t="s">
        <v>1541</v>
      </c>
      <c r="AL302" s="2"/>
      <c r="AM302" s="133">
        <f>IF(AK302="","",VLOOKUP(AK302,B$38:Y$127,19,FALSE))</f>
        <v>101.2</v>
      </c>
      <c r="AN302" s="133">
        <f>IF(AK302="","",VLOOKUP(AK302,B$38:Y127,9,FALSE))</f>
        <v>74</v>
      </c>
      <c r="AO302" s="1593">
        <v>1009</v>
      </c>
      <c r="AP302" s="1575">
        <v>6840</v>
      </c>
      <c r="AQ302" s="982">
        <f t="shared" si="107"/>
        <v>581</v>
      </c>
      <c r="AR302" s="133">
        <f>IF(AQ302="","",AQ302/AQ$303*100-100)</f>
        <v>-0.90960209832871897</v>
      </c>
      <c r="AS302" s="1593" t="s">
        <v>1583</v>
      </c>
      <c r="AT302" s="1593" t="s">
        <v>1596</v>
      </c>
      <c r="AU302" s="202"/>
      <c r="AV302" s="2"/>
      <c r="AW302" s="4"/>
      <c r="AX302" s="4"/>
      <c r="AY302" s="4"/>
      <c r="AZ302" s="4"/>
      <c r="BA302" s="4"/>
    </row>
    <row r="303" spans="1:53" x14ac:dyDescent="0.3">
      <c r="A303" s="4"/>
      <c r="B303" s="32"/>
      <c r="C303" s="159" t="s">
        <v>458</v>
      </c>
      <c r="D303" s="57" t="str">
        <f>D298&amp;" tot "&amp;D300</f>
        <v>B1 tot B3</v>
      </c>
      <c r="E303" s="32"/>
      <c r="F303" s="131">
        <f>IF(SUM(F298:F300)=0,"",AVERAGE(F298:F300))</f>
        <v>101.2</v>
      </c>
      <c r="G303" s="131">
        <f>IF(SUM(G298:G300)=0,"",AVERAGE(G298:G300))</f>
        <v>74</v>
      </c>
      <c r="H303" s="131"/>
      <c r="I303" s="161">
        <f>IF(SUM(I298:I300)=0,"",AVERAGE(I298:I300))</f>
        <v>2.684110592447611</v>
      </c>
      <c r="J303" s="160"/>
      <c r="K303" s="160">
        <f>IF(SUM(K298:K300)=0,"",ROUND(AVERAGE(K298:K300),3-1+INT(LOG10(AVERAGE(K298:K300)))))</f>
        <v>935.33330000000001</v>
      </c>
      <c r="L303" s="32"/>
      <c r="M303" s="1535"/>
      <c r="N303" s="1535"/>
      <c r="O303" s="157"/>
      <c r="P303" s="159" t="s">
        <v>458</v>
      </c>
      <c r="Q303" s="57" t="str">
        <f>Q298&amp;" tot "&amp;Q300</f>
        <v>B1' tot B3'</v>
      </c>
      <c r="R303" s="32"/>
      <c r="S303" s="131">
        <f>IF(SUM(S298:S300)=0,"",AVERAGE(S298:S300))</f>
        <v>101.46666666666665</v>
      </c>
      <c r="T303" s="131">
        <f>IF(SUM(T298:T300)=0,"",AVERAGE(T298:T300))</f>
        <v>71.333333333333329</v>
      </c>
      <c r="U303" s="131"/>
      <c r="V303" s="131">
        <f>IF(OR(G303="",T303=""),"",ABS(G303-T303))</f>
        <v>2.6666666666666714</v>
      </c>
      <c r="W303" s="131"/>
      <c r="X303" s="161">
        <f>IF(SUM(X298:X300)=0,"",AVERAGE(X298:X300))</f>
        <v>2.6836698259570313</v>
      </c>
      <c r="Y303" s="161">
        <f>IF(OR(I303="",X303=""),"",ABS(I303-X303))</f>
        <v>4.4076649057966932E-4</v>
      </c>
      <c r="Z303" s="131"/>
      <c r="AA303" s="157"/>
      <c r="AB303" s="159" t="s">
        <v>458</v>
      </c>
      <c r="AC303" s="57" t="str">
        <f>AC298&amp;" tot "&amp;AC300</f>
        <v>B1'' tot B3''</v>
      </c>
      <c r="AD303" s="32"/>
      <c r="AE303" s="131">
        <f>IF(SUM(AE298:AE300)=0,"",AVERAGE(AE298:AE300))</f>
        <v>101.5</v>
      </c>
      <c r="AF303" s="131">
        <f>IF(SUM(AF298:AF300)=0,"",AVERAGE(AF298:AF300))</f>
        <v>71</v>
      </c>
      <c r="AG303" s="131"/>
      <c r="AH303" s="131"/>
      <c r="AI303" s="157"/>
      <c r="AJ303" s="159" t="s">
        <v>458</v>
      </c>
      <c r="AK303" s="57" t="str">
        <f>AK298&amp;" tot "&amp;AK300</f>
        <v>B1''' tot B3'''</v>
      </c>
      <c r="AL303" s="32"/>
      <c r="AM303" s="131">
        <f>IF(SUM(AM298:AM300)=0,"",AVERAGE(AM298:AM300))</f>
        <v>101.3</v>
      </c>
      <c r="AN303" s="131">
        <f>IF(SUM(AN298:AN300)=0,"",AVERAGE(AN298:AN300))</f>
        <v>73</v>
      </c>
      <c r="AO303" s="131"/>
      <c r="AP303" s="1925"/>
      <c r="AQ303" s="160">
        <f>IF(SUM(AQ298:AQ300)=0,"",ROUND(AVERAGE(AQ298:AQ300),3-1+INT(LOG10(AVERAGE(AQ298:AQ300)))))</f>
        <v>586.33330000000001</v>
      </c>
      <c r="AR303" s="32"/>
      <c r="AS303" s="32"/>
      <c r="AT303" s="297">
        <f>IF(SUM(B298:B300)=0,"",ROUND(AVERAGE(B298:B300),1))</f>
        <v>3.9</v>
      </c>
      <c r="AU303" s="185">
        <f>IF(OR(K303="",AQ303=""),"",ROUND(AQ303/K303*100,1))</f>
        <v>62.7</v>
      </c>
      <c r="AV303" s="32"/>
      <c r="AW303" s="4"/>
      <c r="AX303" s="4"/>
      <c r="AY303" s="4"/>
      <c r="AZ303" s="4"/>
      <c r="BA303" s="4"/>
    </row>
    <row r="304" spans="1:53" x14ac:dyDescent="0.3">
      <c r="A304" s="4"/>
      <c r="B304" s="2">
        <f>IF(D304="","",VLOOKUP(D304,B$38:Y$127,3,FALSE))</f>
        <v>4.1500000000000004</v>
      </c>
      <c r="C304" s="2"/>
      <c r="D304" s="1494" t="s">
        <v>364</v>
      </c>
      <c r="E304" s="2"/>
      <c r="F304" s="133">
        <f>IF(D304="","",VLOOKUP(D304,B$38:Y$127,19,FALSE))</f>
        <v>102.1</v>
      </c>
      <c r="G304" s="133">
        <f>IF(D304="","",VLOOKUP(D304,B$38:Y$127,9,FALSE))</f>
        <v>85</v>
      </c>
      <c r="H304" s="133" t="str">
        <f t="shared" si="86"/>
        <v>C</v>
      </c>
      <c r="I304" s="152">
        <f>IF(D304="","",VLOOKUP(D304,D$166:Z$216,23,FALSE))</f>
        <v>2.1136997780986331</v>
      </c>
      <c r="J304" s="1575">
        <v>7000</v>
      </c>
      <c r="K304" s="1927">
        <f>IF(D304="","",ROUND(2000*J304/(PI()*F304*G304),3-(1+INT(LOG10(ABS(2000*J304/(PI()*F304*G304)))))))</f>
        <v>513</v>
      </c>
      <c r="L304" s="133">
        <f>IF(K304="","",K304/K$309*100-100)</f>
        <v>15.45387212707216</v>
      </c>
      <c r="M304" s="1593" t="s">
        <v>1562</v>
      </c>
      <c r="N304" s="1593" t="s">
        <v>1574</v>
      </c>
      <c r="O304" s="153">
        <f>IF(Q304="","",VLOOKUP(Q304,B$38:Y$127,3,FALSE))</f>
        <v>4.1500000000000004</v>
      </c>
      <c r="P304" s="2"/>
      <c r="Q304" s="1494" t="s">
        <v>1542</v>
      </c>
      <c r="R304" s="2"/>
      <c r="S304" s="133">
        <f>IF(Q304="","",VLOOKUP(Q304,B$38:Y$127,19,FALSE))</f>
        <v>102.6</v>
      </c>
      <c r="T304" s="133">
        <f>IF(Q304="","",VLOOKUP(Q304,B$38:Y$127,9,FALSE))</f>
        <v>80</v>
      </c>
      <c r="U304" s="133">
        <f t="shared" ref="U304:U308" si="108">IF(S304="","",(PI()*POWER(S304/2,2)*T304)/1000)</f>
        <v>661.4158376420578</v>
      </c>
      <c r="V304" s="133"/>
      <c r="W304" s="133"/>
      <c r="X304" s="152">
        <f>IF(Q304="","",VLOOKUP(Q304,D$166:Z$216,23,FALSE))</f>
        <v>2.1139312037617932</v>
      </c>
      <c r="Y304" s="133"/>
      <c r="Z304" s="133"/>
      <c r="AA304" s="153">
        <f t="shared" ref="AA304:AA308" si="109">IF(AC304="","",VLOOKUP(AC304,B$38:Y$127,3,FALSE))</f>
        <v>4.1500000000000004</v>
      </c>
      <c r="AB304" s="2"/>
      <c r="AC304" s="1633" t="s">
        <v>1547</v>
      </c>
      <c r="AD304" s="2"/>
      <c r="AE304" s="133">
        <f>IF(AC304="","",VLOOKUP(AC304,B$38:Y$127,19,FALSE))</f>
        <v>102.4</v>
      </c>
      <c r="AF304" s="133">
        <f t="shared" ref="AF304:AF308" si="110">IF(AC304="","",VLOOKUP(AC304,B$38:Y$127,9,FALSE))</f>
        <v>82</v>
      </c>
      <c r="AG304" s="133">
        <f t="shared" ref="AG304:AG308" si="111">IF(AE304="","",(PI()*POWER(AE304/2,2)*AF304)/1000)</f>
        <v>675.31072495776709</v>
      </c>
      <c r="AH304" s="133">
        <f t="shared" ref="AH304:AH308" si="112">IF(U304="","",(AG304-U304)/U304*100)</f>
        <v>2.1007793471115628</v>
      </c>
      <c r="AI304" s="153">
        <f t="shared" ref="AI304:AI308" si="113">IF(AK304="","",VLOOKUP(AK304,B$38:Y$127,3,FALSE))</f>
        <v>4.1500000000000004</v>
      </c>
      <c r="AJ304" s="2"/>
      <c r="AK304" s="1633" t="s">
        <v>1552</v>
      </c>
      <c r="AL304" s="2"/>
      <c r="AM304" s="133">
        <f>IF(AK304="","",VLOOKUP(AK304,B$38:Y$127,19,FALSE))</f>
        <v>102.2</v>
      </c>
      <c r="AN304" s="133">
        <f>IF(AK304="","",VLOOKUP(AK304,B$38:Y127,9,FALSE))</f>
        <v>84</v>
      </c>
      <c r="AO304" s="1593">
        <v>1010</v>
      </c>
      <c r="AP304" s="1575">
        <v>6850</v>
      </c>
      <c r="AQ304" s="1927">
        <f>IF(AI304="","",ROUND(2000*AP304/(PI()*AN304*AM304),3-(1+INT(LOG10(ABS(2000*AP304/(PI()*AN304*AM304)))))))</f>
        <v>508</v>
      </c>
      <c r="AR304" s="133">
        <f>IF(AQ304="","",AQ304/AQ$309*100-100)</f>
        <v>-1.2313610648970297</v>
      </c>
      <c r="AS304" s="1593" t="s">
        <v>1584</v>
      </c>
      <c r="AT304" s="1593" t="s">
        <v>1597</v>
      </c>
      <c r="AU304" s="202"/>
      <c r="AV304" s="2"/>
      <c r="AW304" s="4"/>
      <c r="AX304" s="4"/>
      <c r="AY304" s="4"/>
      <c r="AZ304" s="4"/>
      <c r="BA304" s="4"/>
    </row>
    <row r="305" spans="1:53" x14ac:dyDescent="0.3">
      <c r="A305" s="4"/>
      <c r="B305" s="2">
        <f>IF(D305="","",VLOOKUP(D305,B$38:Y$127,3,FALSE))</f>
        <v>4.1500000000000004</v>
      </c>
      <c r="C305" s="2"/>
      <c r="D305" s="1494" t="s">
        <v>365</v>
      </c>
      <c r="E305" s="2"/>
      <c r="F305" s="133">
        <f>IF(D305="","",VLOOKUP(D305,B$38:Y$127,19,FALSE))</f>
        <v>102.2</v>
      </c>
      <c r="G305" s="133">
        <f>IF(D305="","",VLOOKUP(D305,B$38:Y$127,9,FALSE))</f>
        <v>84</v>
      </c>
      <c r="H305" s="133" t="str">
        <f t="shared" ref="H305" si="114">IF(D305="","",IF(VLOOKUP(D305,D$166:Z$216,3,FALSE)="","",VLOOKUP(D305,D$166:Z$216,3,FALSE)))</f>
        <v>C</v>
      </c>
      <c r="I305" s="152">
        <f>IF(D305="","",VLOOKUP(D305,D$166:Z$216,23,FALSE))</f>
        <v>2.1141069463050117</v>
      </c>
      <c r="J305" s="1575">
        <v>6000</v>
      </c>
      <c r="K305" s="1927">
        <f>IF(D305="","",ROUND(2000*J305/(PI()*F305*G305),3-(1+INT(LOG10(ABS(2000*J305/(PI()*F305*G305)))))))</f>
        <v>445</v>
      </c>
      <c r="L305" s="133">
        <f>IF(K305="","",K305/K$309*100-100)</f>
        <v>0.15004502250899066</v>
      </c>
      <c r="M305" s="1593" t="s">
        <v>1563</v>
      </c>
      <c r="N305" s="1593" t="s">
        <v>475</v>
      </c>
      <c r="O305" s="153">
        <f>IF(Q305="","",VLOOKUP(Q305,B$38:Y$127,3,FALSE))</f>
        <v>4.1500000000000004</v>
      </c>
      <c r="P305" s="2"/>
      <c r="Q305" s="1494" t="s">
        <v>1543</v>
      </c>
      <c r="R305" s="2"/>
      <c r="S305" s="133">
        <f>IF(Q305="","",VLOOKUP(Q305,B$38:Y$127,19,FALSE))</f>
        <v>102.7</v>
      </c>
      <c r="T305" s="133">
        <f>IF(Q305="","",VLOOKUP(Q305,B$38:Y$127,9,FALSE))</f>
        <v>79</v>
      </c>
      <c r="U305" s="133">
        <f t="shared" ref="U305" si="115">IF(S305="","",(PI()*POWER(S305/2,2)*T305)/1000)</f>
        <v>654.4219533908016</v>
      </c>
      <c r="V305" s="133"/>
      <c r="W305" s="133"/>
      <c r="X305" s="152">
        <f>IF(Q305="","",VLOOKUP(Q305,D$166:Z$216,23,FALSE))</f>
        <v>2.1143464672176395</v>
      </c>
      <c r="Y305" s="133"/>
      <c r="Z305" s="133"/>
      <c r="AA305" s="153">
        <f t="shared" ref="AA305" si="116">IF(AC305="","",VLOOKUP(AC305,B$38:Y$127,3,FALSE))</f>
        <v>4.1500000000000004</v>
      </c>
      <c r="AB305" s="2"/>
      <c r="AC305" s="1633" t="s">
        <v>1548</v>
      </c>
      <c r="AD305" s="2"/>
      <c r="AE305" s="133">
        <f>IF(AC305="","",VLOOKUP(AC305,B$38:Y$127,19,FALSE))</f>
        <v>102.5</v>
      </c>
      <c r="AF305" s="133">
        <f t="shared" ref="AF305" si="117">IF(AC305="","",VLOOKUP(AC305,B$38:Y$127,9,FALSE))</f>
        <v>81</v>
      </c>
      <c r="AG305" s="133">
        <f t="shared" ref="AG305" si="118">IF(AE305="","",(PI()*POWER(AE305/2,2)*AF305)/1000)</f>
        <v>668.37874578974981</v>
      </c>
      <c r="AH305" s="133">
        <f t="shared" ref="AH305" si="119">IF(U305="","",(AG305-U305)/U305*100)</f>
        <v>2.1326901285375466</v>
      </c>
      <c r="AI305" s="153">
        <f t="shared" ref="AI305" si="120">IF(AK305="","",VLOOKUP(AK305,B$38:Y$127,3,FALSE))</f>
        <v>4.1500000000000004</v>
      </c>
      <c r="AJ305" s="2"/>
      <c r="AK305" s="1633" t="s">
        <v>1553</v>
      </c>
      <c r="AL305" s="2"/>
      <c r="AM305" s="133">
        <f>IF(AK305="","",VLOOKUP(AK305,B$38:Y$127,19,FALSE))</f>
        <v>102.3</v>
      </c>
      <c r="AN305" s="133">
        <f>IF(AK305="","",VLOOKUP(AK305,B$38:Y126,9,FALSE))</f>
        <v>83</v>
      </c>
      <c r="AO305" s="1593">
        <v>1011</v>
      </c>
      <c r="AP305" s="1575">
        <v>6860</v>
      </c>
      <c r="AQ305" s="1927">
        <f t="shared" ref="AQ305:AQ308" si="121">IF(AI305="","",ROUND(2000*AP305/(PI()*AN305*AM305),3-(1+INT(LOG10(ABS(2000*AP305/(PI()*AN305*AM305)))))))</f>
        <v>514</v>
      </c>
      <c r="AR305" s="133">
        <f>IF(AQ305="","",AQ305/AQ$309*100-100)</f>
        <v>-6.4802337317075853E-2</v>
      </c>
      <c r="AS305" s="1593" t="s">
        <v>1585</v>
      </c>
      <c r="AT305" s="1593" t="s">
        <v>1598</v>
      </c>
      <c r="AU305" s="202"/>
      <c r="AV305" s="2"/>
      <c r="AW305" s="4"/>
      <c r="AX305" s="4"/>
      <c r="AY305" s="4"/>
      <c r="AZ305" s="4"/>
      <c r="BA305" s="4"/>
    </row>
    <row r="306" spans="1:53" x14ac:dyDescent="0.3">
      <c r="A306" s="4"/>
      <c r="B306" s="2">
        <f>IF(D306="","",VLOOKUP(D306,B$38:Y$127,3,FALSE))</f>
        <v>4.1500000000000004</v>
      </c>
      <c r="C306" s="2"/>
      <c r="D306" s="1494" t="s">
        <v>366</v>
      </c>
      <c r="E306" s="2"/>
      <c r="F306" s="133">
        <f>IF(D306="","",VLOOKUP(D306,B$38:Y$127,19,FALSE))</f>
        <v>102.3</v>
      </c>
      <c r="G306" s="133">
        <f>IF(D306="","",VLOOKUP(D306,B$38:Y$127,9,FALSE))</f>
        <v>83</v>
      </c>
      <c r="H306" s="133" t="str">
        <f t="shared" si="86"/>
        <v>C</v>
      </c>
      <c r="I306" s="152">
        <f>IF(D306="","",VLOOKUP(D306,D$166:Z$216,23,FALSE))</f>
        <v>2.1296180395475877</v>
      </c>
      <c r="J306" s="1575">
        <v>5000</v>
      </c>
      <c r="K306" s="1927">
        <f>IF(D306="","",ROUND(2000*J306/(PI()*F306*G306),3-(1+INT(LOG10(ABS(2000*J306/(PI()*F306*G306)))))))</f>
        <v>375</v>
      </c>
      <c r="L306" s="133">
        <f>IF(K306="","",K306/K$309*100-100)</f>
        <v>-15.603894643953083</v>
      </c>
      <c r="M306" s="1593" t="s">
        <v>1564</v>
      </c>
      <c r="N306" s="1593" t="s">
        <v>476</v>
      </c>
      <c r="O306" s="153">
        <f>IF(Q306="","",VLOOKUP(Q306,B$38:Y$127,3,FALSE))</f>
        <v>4.1500000000000004</v>
      </c>
      <c r="P306" s="2"/>
      <c r="Q306" s="1494" t="s">
        <v>1544</v>
      </c>
      <c r="R306" s="2"/>
      <c r="S306" s="133">
        <f>IF(Q306="","",VLOOKUP(Q306,B$38:Y$127,19,FALSE))</f>
        <v>102.1</v>
      </c>
      <c r="T306" s="133">
        <f>IF(Q306="","",VLOOKUP(Q306,B$38:Y$127,9,FALSE))</f>
        <v>85</v>
      </c>
      <c r="U306" s="133">
        <f t="shared" si="108"/>
        <v>695.92155982266934</v>
      </c>
      <c r="V306" s="133"/>
      <c r="W306" s="133"/>
      <c r="X306" s="152">
        <f>IF(Q306="","",VLOOKUP(Q306,D$166:Z$216,23,FALSE))</f>
        <v>2.1298531385586492</v>
      </c>
      <c r="Y306" s="133"/>
      <c r="Z306" s="133"/>
      <c r="AA306" s="153">
        <f t="shared" si="109"/>
        <v>4.1500000000000004</v>
      </c>
      <c r="AB306" s="2"/>
      <c r="AC306" s="1633" t="s">
        <v>1549</v>
      </c>
      <c r="AD306" s="2"/>
      <c r="AE306" s="133">
        <f>IF(AC306="","",VLOOKUP(AC306,B$38:Y$127,19,FALSE))</f>
        <v>102.6</v>
      </c>
      <c r="AF306" s="133">
        <f t="shared" si="110"/>
        <v>80</v>
      </c>
      <c r="AG306" s="133">
        <f t="shared" si="111"/>
        <v>661.4158376420578</v>
      </c>
      <c r="AH306" s="133">
        <f t="shared" si="112"/>
        <v>-4.9582775089485791</v>
      </c>
      <c r="AI306" s="153">
        <f t="shared" si="113"/>
        <v>4.1500000000000004</v>
      </c>
      <c r="AJ306" s="2"/>
      <c r="AK306" s="1633" t="s">
        <v>1554</v>
      </c>
      <c r="AL306" s="2"/>
      <c r="AM306" s="133">
        <f>IF(AK306="","",VLOOKUP(AK306,B$38:Y$127,19,FALSE))</f>
        <v>102.4</v>
      </c>
      <c r="AN306" s="133">
        <f>IF(AK306="","",VLOOKUP(AK306,B$38:Y127,9,FALSE))</f>
        <v>82</v>
      </c>
      <c r="AO306" s="1593">
        <v>1012</v>
      </c>
      <c r="AP306" s="1575">
        <v>6870</v>
      </c>
      <c r="AQ306" s="1927">
        <f t="shared" si="121"/>
        <v>521</v>
      </c>
      <c r="AR306" s="133">
        <f>IF(AQ306="","",AQ306/AQ$309*100-100)</f>
        <v>1.296182844859544</v>
      </c>
      <c r="AS306" s="1593" t="s">
        <v>626</v>
      </c>
      <c r="AT306" s="1593" t="s">
        <v>1599</v>
      </c>
      <c r="AU306" s="202"/>
      <c r="AV306" s="2"/>
      <c r="AW306" s="4"/>
      <c r="AX306" s="4"/>
      <c r="AY306" s="4"/>
      <c r="AZ306" s="4"/>
      <c r="BA306" s="4"/>
    </row>
    <row r="307" spans="1:53" x14ac:dyDescent="0.3">
      <c r="A307" s="4"/>
      <c r="B307" s="698">
        <f>IF(D307="","",VLOOKUP(D307,B$38:Y$127,3,FALSE))</f>
        <v>4.1500000000000004</v>
      </c>
      <c r="C307" s="698"/>
      <c r="D307" s="1625" t="s">
        <v>367</v>
      </c>
      <c r="E307" s="698"/>
      <c r="F307" s="701">
        <f>IF(D307="","",VLOOKUP(D307,B$38:Y$127,19,FALSE))</f>
        <v>102.4</v>
      </c>
      <c r="G307" s="701">
        <f>IF(D307="","",VLOOKUP(D307,B$38:Y$127,9,FALSE))</f>
        <v>82</v>
      </c>
      <c r="H307" s="701" t="str">
        <f t="shared" si="86"/>
        <v>C</v>
      </c>
      <c r="I307" s="699" t="str">
        <f>IF(D307="","",VLOOKUP(D307,D$166:Z$216,23,FALSE))</f>
        <v/>
      </c>
      <c r="J307" s="1924">
        <v>4000</v>
      </c>
      <c r="K307" s="1929">
        <f>IF(D307="","",ROUND(2000*J307/(PI()*F307*G307),3-(1+INT(LOG10(ABS(2000*J307/(PI()*F307*G307)))))))</f>
        <v>303</v>
      </c>
      <c r="L307" s="701">
        <f>IF(K307="","",K307/K$309*100-100)</f>
        <v>-31.807946872314091</v>
      </c>
      <c r="M307" s="1631" t="s">
        <v>1565</v>
      </c>
      <c r="N307" s="1631" t="s">
        <v>477</v>
      </c>
      <c r="O307" s="734">
        <f>IF(Q307="","",VLOOKUP(Q307,B$38:Y$127,3,FALSE))</f>
        <v>4.1500000000000004</v>
      </c>
      <c r="P307" s="698"/>
      <c r="Q307" s="1494" t="s">
        <v>1545</v>
      </c>
      <c r="R307" s="698"/>
      <c r="S307" s="701">
        <f>IF(Q307="","",VLOOKUP(Q307,B$38:Y$127,19,FALSE))</f>
        <v>102.2</v>
      </c>
      <c r="T307" s="701">
        <f>IF(Q307="","",VLOOKUP(Q307,B$38:Y$127,9,FALSE))</f>
        <v>84</v>
      </c>
      <c r="U307" s="701">
        <f t="shared" si="108"/>
        <v>689.08208485033708</v>
      </c>
      <c r="V307" s="701"/>
      <c r="W307" s="701"/>
      <c r="X307" s="699" t="str">
        <f>IF(Q307="","",VLOOKUP(Q307,D$166:Z$216,23,FALSE))</f>
        <v/>
      </c>
      <c r="Y307" s="701"/>
      <c r="Z307" s="701"/>
      <c r="AA307" s="734">
        <f t="shared" si="109"/>
        <v>4.1500000000000004</v>
      </c>
      <c r="AB307" s="698"/>
      <c r="AC307" s="1634" t="s">
        <v>1550</v>
      </c>
      <c r="AD307" s="698"/>
      <c r="AE307" s="701">
        <f>IF(AC307="","",VLOOKUP(AC307,B$38:Y$127,19,FALSE))</f>
        <v>102.7</v>
      </c>
      <c r="AF307" s="701">
        <f t="shared" si="110"/>
        <v>79</v>
      </c>
      <c r="AG307" s="701">
        <f t="shared" si="111"/>
        <v>654.4219533908016</v>
      </c>
      <c r="AH307" s="701">
        <f t="shared" si="112"/>
        <v>-5.0298987916749232</v>
      </c>
      <c r="AI307" s="734">
        <f t="shared" si="113"/>
        <v>4.1500000000000004</v>
      </c>
      <c r="AJ307" s="698"/>
      <c r="AK307" s="1634" t="s">
        <v>1555</v>
      </c>
      <c r="AL307" s="698"/>
      <c r="AM307" s="701">
        <f>IF(AK307="","",VLOOKUP(AK307,B$38:Y$127,19,FALSE))</f>
        <v>102.1</v>
      </c>
      <c r="AN307" s="701">
        <f>IF(AK307="","",VLOOKUP(AK307,B$38:Y127,9,FALSE))</f>
        <v>85</v>
      </c>
      <c r="AO307" s="1631">
        <v>1013</v>
      </c>
      <c r="AP307" s="1924">
        <v>6880</v>
      </c>
      <c r="AQ307" s="1927">
        <f t="shared" si="121"/>
        <v>505</v>
      </c>
      <c r="AR307" s="701">
        <f>IF(AQ307="","",AQ307/AQ$309*100-100)</f>
        <v>-1.8146404286869995</v>
      </c>
      <c r="AS307" s="1631" t="s">
        <v>1586</v>
      </c>
      <c r="AT307" s="1631" t="s">
        <v>1600</v>
      </c>
      <c r="AU307" s="735"/>
      <c r="AV307" s="698"/>
      <c r="AW307" s="4"/>
      <c r="AX307" s="4"/>
      <c r="AY307" s="4"/>
      <c r="AZ307" s="4"/>
      <c r="BA307" s="4"/>
    </row>
    <row r="308" spans="1:53" x14ac:dyDescent="0.3">
      <c r="A308" s="4"/>
      <c r="B308" s="2">
        <f>IF(D308="","",VLOOKUP(D308,B$38:Y$127,3,FALSE))</f>
        <v>4.1500000000000004</v>
      </c>
      <c r="C308" s="2"/>
      <c r="D308" s="1494" t="s">
        <v>368</v>
      </c>
      <c r="E308" s="696" t="s">
        <v>725</v>
      </c>
      <c r="F308" s="133">
        <f>IF(D308="","",VLOOKUP(D308,B$38:Y$127,19,FALSE))</f>
        <v>102.5</v>
      </c>
      <c r="G308" s="133">
        <f>IF(D308="","",VLOOKUP(D308,B$38:Y$127,9,FALSE))</f>
        <v>81</v>
      </c>
      <c r="H308" s="133" t="str">
        <f t="shared" si="86"/>
        <v>C</v>
      </c>
      <c r="I308" s="152" t="str">
        <f>IF(D308="","",VLOOKUP(D308,D$166:Z$216,23,FALSE))</f>
        <v/>
      </c>
      <c r="J308" s="1575">
        <v>3000</v>
      </c>
      <c r="K308" s="1928">
        <f>IF(D308="","",2000*J308/(PI()*F308*G308))</f>
        <v>230.03424475793366</v>
      </c>
      <c r="L308" s="133">
        <f>IF(K308="","",K308/K$309*100-100)</f>
        <v>-48.229348383761995</v>
      </c>
      <c r="M308" s="1593" t="s">
        <v>1566</v>
      </c>
      <c r="N308" s="1593" t="s">
        <v>549</v>
      </c>
      <c r="O308" s="153">
        <f>IF(Q308="","",VLOOKUP(Q308,B$38:Y$127,3,FALSE))</f>
        <v>4.1500000000000004</v>
      </c>
      <c r="P308" s="2"/>
      <c r="Q308" s="1494" t="s">
        <v>1546</v>
      </c>
      <c r="R308" s="2"/>
      <c r="S308" s="133">
        <f>IF(Q308="","",VLOOKUP(Q308,B$38:Y$127,19,FALSE))</f>
        <v>102.3</v>
      </c>
      <c r="T308" s="133">
        <f>IF(Q308="","",VLOOKUP(Q308,B$38:Y$127,9,FALSE))</f>
        <v>83</v>
      </c>
      <c r="U308" s="133">
        <f t="shared" si="108"/>
        <v>682.21182226999952</v>
      </c>
      <c r="V308" s="133"/>
      <c r="W308" s="133"/>
      <c r="X308" s="152" t="str">
        <f>IF(Q308="","",VLOOKUP(Q308,D$166:Z$216,23,FALSE))</f>
        <v/>
      </c>
      <c r="Y308" s="133"/>
      <c r="Z308" s="133"/>
      <c r="AA308" s="153">
        <f t="shared" si="109"/>
        <v>4.1500000000000004</v>
      </c>
      <c r="AB308" s="2"/>
      <c r="AC308" s="1633" t="s">
        <v>1551</v>
      </c>
      <c r="AD308" s="2"/>
      <c r="AE308" s="133">
        <f>IF(AC308="","",VLOOKUP(AC308,B$38:Y$127,19,FALSE))</f>
        <v>102.1</v>
      </c>
      <c r="AF308" s="133">
        <f t="shared" si="110"/>
        <v>85</v>
      </c>
      <c r="AG308" s="133">
        <f t="shared" si="111"/>
        <v>695.92155982266934</v>
      </c>
      <c r="AH308" s="133">
        <f t="shared" si="112"/>
        <v>2.009601285866299</v>
      </c>
      <c r="AI308" s="153">
        <f t="shared" si="113"/>
        <v>4.1500000000000004</v>
      </c>
      <c r="AJ308" s="2"/>
      <c r="AK308" s="1633" t="s">
        <v>1556</v>
      </c>
      <c r="AL308" s="2"/>
      <c r="AM308" s="133">
        <f>IF(AK308="","",VLOOKUP(AK308,B$38:Y$127,19,FALSE))</f>
        <v>102.2</v>
      </c>
      <c r="AN308" s="133">
        <f>IF(AK308="","",VLOOKUP(AK308,B$38:Y127,9,FALSE))</f>
        <v>84</v>
      </c>
      <c r="AO308" s="1593">
        <v>1014</v>
      </c>
      <c r="AP308" s="1575">
        <v>6890</v>
      </c>
      <c r="AQ308" s="982">
        <f t="shared" si="121"/>
        <v>511</v>
      </c>
      <c r="AR308" s="133">
        <f>IF(AQ308="","",AQ308/AQ$309*100-100)</f>
        <v>-0.64808170110704566</v>
      </c>
      <c r="AS308" s="1593" t="s">
        <v>1587</v>
      </c>
      <c r="AT308" s="1593" t="s">
        <v>1601</v>
      </c>
      <c r="AU308" s="202"/>
      <c r="AV308" s="2"/>
      <c r="AW308" s="4"/>
      <c r="AX308" s="4"/>
      <c r="AY308" s="4"/>
      <c r="AZ308" s="4"/>
      <c r="BA308" s="4"/>
    </row>
    <row r="309" spans="1:53" x14ac:dyDescent="0.3">
      <c r="A309" s="4"/>
      <c r="B309" s="32"/>
      <c r="C309" s="159" t="s">
        <v>458</v>
      </c>
      <c r="D309" s="57" t="str">
        <f>D304&amp;" tot "&amp;D306</f>
        <v>C1 tot C3</v>
      </c>
      <c r="E309" s="32"/>
      <c r="F309" s="131">
        <f>IF(SUM(F304:F306)=0,"",AVERAGE(F304:F306))</f>
        <v>102.2</v>
      </c>
      <c r="G309" s="131">
        <f>IF(SUM(G304:G306)=0,"",AVERAGE(G304:G306))</f>
        <v>84</v>
      </c>
      <c r="H309" s="131"/>
      <c r="I309" s="161">
        <f>IF(SUM(I304:I306)=0,"",AVERAGE(I304:I306))</f>
        <v>2.1191415879837443</v>
      </c>
      <c r="J309" s="158"/>
      <c r="K309" s="160">
        <f>IF(SUM(K304:K306)=0,"",ROUND(AVERAGE(K304:K306),3-1+INT(LOG10(AVERAGE(K304:K306)))))</f>
        <v>444.33330000000001</v>
      </c>
      <c r="L309" s="32"/>
      <c r="M309" s="32"/>
      <c r="N309" s="32"/>
      <c r="O309" s="157"/>
      <c r="P309" s="159" t="s">
        <v>458</v>
      </c>
      <c r="Q309" s="57" t="str">
        <f>Q304&amp;" tot "&amp;Q306</f>
        <v>C1v tot C3v</v>
      </c>
      <c r="R309" s="32"/>
      <c r="S309" s="131">
        <f>IF(SUM(S304:S306)=0,"",AVERAGE(S304:S306))</f>
        <v>102.46666666666665</v>
      </c>
      <c r="T309" s="131">
        <f>IF(SUM(T304:T306)=0,"",AVERAGE(T304:T306))</f>
        <v>81.333333333333329</v>
      </c>
      <c r="U309" s="131"/>
      <c r="V309" s="131">
        <f>IF(OR(G309="",T309=""),"",ABS(G309-T309))</f>
        <v>2.6666666666666714</v>
      </c>
      <c r="W309" s="131"/>
      <c r="X309" s="161">
        <f>IF(SUM(X304:X306)=0,"",AVERAGE(X304:X306))</f>
        <v>2.119376936512694</v>
      </c>
      <c r="Y309" s="161">
        <f>IF(OR(I309="",X309=""),"",ABS(I309-X309))</f>
        <v>2.3534852894968594E-4</v>
      </c>
      <c r="Z309" s="131"/>
      <c r="AA309" s="157"/>
      <c r="AB309" s="159" t="s">
        <v>458</v>
      </c>
      <c r="AC309" s="57" t="str">
        <f>AC304&amp;" tot "&amp;AC306</f>
        <v>C1n tot C3n</v>
      </c>
      <c r="AD309" s="32"/>
      <c r="AE309" s="131">
        <f>IF(SUM(AE304:AE306)=0,"",AVERAGE(AE304:AE306))</f>
        <v>102.5</v>
      </c>
      <c r="AF309" s="131">
        <f>IF(SUM(AF304:AF306)=0,"",AVERAGE(AF304:AF306))</f>
        <v>81</v>
      </c>
      <c r="AG309" s="131"/>
      <c r="AH309" s="131"/>
      <c r="AI309" s="157"/>
      <c r="AJ309" s="159" t="s">
        <v>458</v>
      </c>
      <c r="AK309" s="57" t="str">
        <f>AK304&amp;" tot "&amp;AK306</f>
        <v>C1nw tot C3nw</v>
      </c>
      <c r="AL309" s="32"/>
      <c r="AM309" s="131">
        <f>IF(SUM(AM304:AM306)=0,"",AVERAGE(AM304:AM306))</f>
        <v>102.3</v>
      </c>
      <c r="AN309" s="131">
        <f>IF(SUM(AN304:AN306)=0,"",AVERAGE(AN304:AN306))</f>
        <v>83</v>
      </c>
      <c r="AO309" s="131"/>
      <c r="AP309" s="158"/>
      <c r="AQ309" s="160">
        <f>IF(SUM(AQ304:AQ306)=0,"",ROUND(AVERAGE(AQ304:AQ306),3-1+INT(LOG10(AVERAGE(AQ304:AQ306)))))</f>
        <v>514.33330000000001</v>
      </c>
      <c r="AR309" s="32"/>
      <c r="AS309" s="32"/>
      <c r="AT309" s="297">
        <f>IF(SUM(B304:B306)=0,"",ROUND(AVERAGE(B304:B306),1))</f>
        <v>4.2</v>
      </c>
      <c r="AU309" s="185">
        <f>IF(OR(K309="",AQ309=""),"",ROUND(AQ309/K309*100,1))</f>
        <v>115.8</v>
      </c>
      <c r="AV309" s="32"/>
      <c r="AW309" s="4"/>
      <c r="AX309" s="4"/>
      <c r="AY309" s="4"/>
      <c r="AZ309" s="4"/>
      <c r="BA309" s="4"/>
    </row>
    <row r="310" spans="1:53" x14ac:dyDescent="0.3">
      <c r="A310" s="4"/>
      <c r="B310" s="172" t="str">
        <f>IF(berekeningen!D88&gt;0,"Opgelet !  Het verschil in SVM tussen de droge en de vochtige proefstukken is te groot.","")</f>
        <v/>
      </c>
      <c r="C310" s="60"/>
      <c r="D310" s="60"/>
      <c r="E310" s="60"/>
      <c r="F310" s="170"/>
      <c r="G310" s="170"/>
      <c r="H310" s="170"/>
      <c r="I310" s="169"/>
      <c r="J310" s="168"/>
      <c r="K310" s="171"/>
      <c r="L310" s="60"/>
      <c r="M310" s="60"/>
      <c r="N310" s="60"/>
      <c r="O310" s="172" t="str">
        <f>IF(OR(MAX(L292:L295,L298:L301,L304:L307)&gt;17,MIN(L292:L295,L298:L301,L304:L307)&lt;-17),"De variatie op ITSd is te groot.","")</f>
        <v>De variatie op ITSd is te groot.</v>
      </c>
      <c r="P310" s="60"/>
      <c r="Q310" s="60"/>
      <c r="R310" s="60"/>
      <c r="S310" s="170"/>
      <c r="T310" s="170"/>
      <c r="U310" s="172" t="str">
        <f>IF(OR(MAX(AH292:AH294,AH298:AH300,AH304:AH306)&gt;2.4,MIN(AH292:AH294,AH298:AH300,AH304:AH306)&lt;-2.4),"De zwelling van de proefstukken is te groot.","")</f>
        <v>De zwelling van de proefstukken is te groot.</v>
      </c>
      <c r="V310" s="170"/>
      <c r="W310" s="170"/>
      <c r="X310" s="169"/>
      <c r="Y310" s="170"/>
      <c r="Z310" s="170"/>
      <c r="AA310" s="60"/>
      <c r="AB310" s="60"/>
      <c r="AC310" s="60"/>
      <c r="AD310" s="60"/>
      <c r="AE310" s="170"/>
      <c r="AF310" s="170"/>
      <c r="AG310" s="170"/>
      <c r="AH310" s="170"/>
      <c r="AI310" s="60"/>
      <c r="AJ310" s="60"/>
      <c r="AK310" s="60"/>
      <c r="AL310" s="60"/>
      <c r="AM310" s="170"/>
      <c r="AN310" s="170"/>
      <c r="AO310" s="170"/>
      <c r="AP310" s="168"/>
      <c r="AQ310" s="171"/>
      <c r="AR310" s="60"/>
      <c r="AS310" s="60"/>
      <c r="AT310" s="60"/>
      <c r="AU310" s="169"/>
      <c r="AV310" s="60"/>
      <c r="AW310" s="4"/>
      <c r="AX310" s="4"/>
      <c r="AY310" s="4"/>
      <c r="AZ310" s="4"/>
      <c r="BA310" s="4"/>
    </row>
    <row r="311" spans="1:53" x14ac:dyDescent="0.3">
      <c r="A311" s="4"/>
      <c r="B311" s="172" t="str">
        <f>IF(berekeningen!M94&gt;0,"Opgelet !  Het verschil in hoogte tussen de droge en de vochtige proefstukken is te groot.","")</f>
        <v/>
      </c>
      <c r="C311" s="60"/>
      <c r="D311" s="60"/>
      <c r="E311" s="60"/>
      <c r="F311" s="170"/>
      <c r="G311" s="170"/>
      <c r="H311" s="170"/>
      <c r="I311" s="169"/>
      <c r="J311" s="168"/>
      <c r="K311" s="171"/>
      <c r="L311" s="60"/>
      <c r="M311" s="60"/>
      <c r="N311" s="60"/>
      <c r="O311" s="172" t="str">
        <f>IF(OR(MAX(AR292:AR295,AR298:AR301,AR304:AR307)&gt;17,MIN(AR292:AR295,AR298:AR301,AR304:AR307)&lt;-17),"De variatie op ITSw is te groot.","")</f>
        <v/>
      </c>
      <c r="P311" s="60"/>
      <c r="Q311" s="60"/>
      <c r="R311" s="60"/>
      <c r="S311" s="170"/>
      <c r="T311" s="170"/>
      <c r="U311" s="170"/>
      <c r="V311" s="170"/>
      <c r="W311" s="170"/>
      <c r="X311" s="169"/>
      <c r="Y311" s="170"/>
      <c r="Z311" s="170"/>
      <c r="AA311" s="60"/>
      <c r="AB311" s="60"/>
      <c r="AC311" s="60"/>
      <c r="AD311" s="60"/>
      <c r="AE311" s="170"/>
      <c r="AF311" s="170"/>
      <c r="AG311" s="170"/>
      <c r="AH311" s="170"/>
      <c r="AI311" s="60"/>
      <c r="AJ311" s="60"/>
      <c r="AK311" s="60"/>
      <c r="AL311" s="60"/>
      <c r="AM311" s="170"/>
      <c r="AN311" s="170"/>
      <c r="AO311" s="170"/>
      <c r="AP311" s="168"/>
      <c r="AQ311" s="171"/>
      <c r="AR311" s="60"/>
      <c r="AS311" s="60"/>
      <c r="AT311" s="60"/>
      <c r="AU311" s="169"/>
      <c r="AV311" s="60"/>
      <c r="AW311" s="4"/>
      <c r="AX311" s="4"/>
      <c r="AY311" s="4"/>
      <c r="AZ311" s="4"/>
      <c r="BA311" s="4"/>
    </row>
    <row r="312" spans="1:53"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1729"/>
    </row>
    <row r="313" spans="1:53" ht="14.5" x14ac:dyDescent="0.35">
      <c r="A313" s="4"/>
      <c r="B313" s="4"/>
      <c r="C313" s="4"/>
      <c r="D313" s="4"/>
      <c r="E313" s="4"/>
      <c r="F313" s="4"/>
      <c r="G313" s="4"/>
      <c r="H313" s="4"/>
      <c r="I313" s="4"/>
      <c r="J313" s="4"/>
      <c r="K313" s="4"/>
      <c r="L313" s="4"/>
      <c r="M313" s="166" t="s">
        <v>467</v>
      </c>
      <c r="N313" s="167" t="s">
        <v>466</v>
      </c>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1729"/>
    </row>
    <row r="314" spans="1:53" ht="14.5" x14ac:dyDescent="0.35">
      <c r="A314" s="4"/>
      <c r="B314" s="4"/>
      <c r="C314" s="4"/>
      <c r="D314" s="4"/>
      <c r="E314" s="4"/>
      <c r="F314" s="4"/>
      <c r="G314" s="4"/>
      <c r="H314" s="4"/>
      <c r="I314" s="4"/>
      <c r="J314" s="4"/>
      <c r="K314" s="4"/>
      <c r="L314" s="4"/>
      <c r="M314" s="166" t="s">
        <v>463</v>
      </c>
      <c r="N314" s="167" t="s">
        <v>465</v>
      </c>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1729"/>
    </row>
    <row r="315" spans="1:53" ht="14.5" x14ac:dyDescent="0.35">
      <c r="A315" s="4"/>
      <c r="B315" s="4"/>
      <c r="C315" s="4"/>
      <c r="D315" s="4"/>
      <c r="E315" s="4"/>
      <c r="F315" s="4"/>
      <c r="G315" s="4"/>
      <c r="H315" s="4"/>
      <c r="I315" s="4"/>
      <c r="J315" s="4"/>
      <c r="K315" s="4"/>
      <c r="L315" s="4"/>
      <c r="M315" s="166" t="s">
        <v>464</v>
      </c>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1729"/>
    </row>
    <row r="316" spans="1:53" x14ac:dyDescent="0.3">
      <c r="A316" s="4"/>
      <c r="B316" s="5" t="s">
        <v>640</v>
      </c>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1729"/>
    </row>
    <row r="317" spans="1:53" x14ac:dyDescent="0.3">
      <c r="A317" s="4"/>
      <c r="B317" s="2" t="s">
        <v>641</v>
      </c>
      <c r="C317" s="2"/>
      <c r="D317" s="2"/>
      <c r="E317" s="2" t="s">
        <v>642</v>
      </c>
      <c r="F317" s="2">
        <f>ROUND(samenstelling!C158,1)</f>
        <v>3.9</v>
      </c>
      <c r="G317" s="2" t="s">
        <v>643</v>
      </c>
      <c r="H317" s="2"/>
      <c r="I317" s="67">
        <f>IF(E275="J",VLOOKUP(F317,AT292:AU309,2),"")</f>
        <v>62.7</v>
      </c>
      <c r="J317" s="2" t="s">
        <v>182</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1729"/>
    </row>
    <row r="318" spans="1:53"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1729"/>
    </row>
    <row r="319" spans="1:53" ht="14.5" x14ac:dyDescent="0.35">
      <c r="A319" s="4"/>
      <c r="B319" s="5" t="s">
        <v>906</v>
      </c>
      <c r="C319" s="4"/>
      <c r="D319" s="4"/>
      <c r="E319" s="4"/>
      <c r="F319" s="134" t="s">
        <v>1653</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1729"/>
    </row>
    <row r="320" spans="1:53" ht="14.5" x14ac:dyDescent="0.35">
      <c r="A320" s="4"/>
      <c r="B320" s="2" t="s">
        <v>907</v>
      </c>
      <c r="C320" s="2"/>
      <c r="D320" s="2"/>
      <c r="E320" s="3" t="s">
        <v>455</v>
      </c>
      <c r="F320" s="1636">
        <v>90</v>
      </c>
      <c r="G320" s="134" t="s">
        <v>1086</v>
      </c>
      <c r="H320" s="4"/>
      <c r="I320" s="4"/>
      <c r="J320" s="4"/>
      <c r="K320" s="13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1729"/>
    </row>
    <row r="321" spans="1:53"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1729"/>
    </row>
    <row r="322" spans="1:53"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1729"/>
    </row>
    <row r="323" spans="1:53" x14ac:dyDescent="0.3">
      <c r="A323" s="13" t="s">
        <v>510</v>
      </c>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row>
    <row r="324" spans="1:53"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spans="1:53" ht="14.5" x14ac:dyDescent="0.35">
      <c r="A325" s="4"/>
      <c r="B325" s="5" t="s">
        <v>644</v>
      </c>
      <c r="C325" s="4"/>
      <c r="D325" s="4"/>
      <c r="E325" s="1471" t="s">
        <v>56</v>
      </c>
      <c r="F325" s="6" t="s">
        <v>645</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spans="1:53" x14ac:dyDescent="0.3">
      <c r="A326" s="4"/>
      <c r="B326" s="5" t="s">
        <v>331</v>
      </c>
      <c r="C326" s="4"/>
      <c r="D326" s="4"/>
      <c r="E326" s="2139" t="s">
        <v>941</v>
      </c>
      <c r="F326" s="2139"/>
      <c r="G326" s="2139"/>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spans="1:53"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spans="1:53" x14ac:dyDescent="0.3">
      <c r="A328" s="4"/>
      <c r="B328" s="5" t="s">
        <v>330</v>
      </c>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spans="1:53" ht="14.5" x14ac:dyDescent="0.35">
      <c r="A329" s="4"/>
      <c r="B329" s="1431" t="s">
        <v>511</v>
      </c>
      <c r="C329" s="2"/>
      <c r="D329" s="2"/>
      <c r="E329" s="2"/>
      <c r="F329" s="2"/>
      <c r="G329" s="2"/>
      <c r="H329" s="18"/>
      <c r="I329" s="2"/>
      <c r="J329" s="2"/>
      <c r="K329" s="60"/>
      <c r="L329" s="73" t="s">
        <v>1394</v>
      </c>
      <c r="M329" s="6"/>
      <c r="N329" s="4"/>
      <c r="O329" s="4"/>
      <c r="P329" s="4"/>
      <c r="Q329" s="4"/>
      <c r="R329" s="4"/>
      <c r="S329" s="4"/>
      <c r="T329" s="4"/>
      <c r="U329" s="4"/>
      <c r="V329" s="4"/>
      <c r="W329" s="4"/>
      <c r="X329" s="4"/>
      <c r="Y329" s="4"/>
      <c r="Z329" s="4"/>
      <c r="AA329" s="4"/>
      <c r="AB329" s="4"/>
      <c r="AC329" s="4"/>
      <c r="AD329" s="4"/>
      <c r="AE329" s="4"/>
      <c r="AF329" s="4"/>
      <c r="AG329" s="4"/>
      <c r="AH329" s="4"/>
      <c r="AI329" s="4"/>
    </row>
    <row r="330" spans="1:53" ht="14.5" x14ac:dyDescent="0.35">
      <c r="A330" s="4"/>
      <c r="B330" s="2" t="s">
        <v>1021</v>
      </c>
      <c r="C330" s="2"/>
      <c r="D330" s="2"/>
      <c r="E330" s="2"/>
      <c r="F330" s="2"/>
      <c r="G330" s="2"/>
      <c r="H330" s="2"/>
      <c r="I330" s="2"/>
      <c r="J330" s="2"/>
      <c r="K330" s="2"/>
      <c r="L330" s="1494" t="s">
        <v>1635</v>
      </c>
      <c r="M330" s="134" t="s">
        <v>1022</v>
      </c>
      <c r="N330" s="4"/>
      <c r="O330" s="4"/>
      <c r="P330" s="4"/>
      <c r="Q330" s="4"/>
      <c r="R330" s="4"/>
      <c r="S330" s="4"/>
      <c r="T330" s="26"/>
      <c r="U330" s="4"/>
      <c r="V330" s="4"/>
      <c r="W330" s="4"/>
      <c r="X330" s="4"/>
      <c r="Y330" s="4"/>
      <c r="Z330" s="4"/>
      <c r="AA330" s="4"/>
      <c r="AB330" s="4"/>
      <c r="AC330" s="4"/>
      <c r="AD330" s="4"/>
      <c r="AE330" s="4"/>
      <c r="AF330" s="4"/>
      <c r="AG330" s="4"/>
      <c r="AH330" s="4"/>
      <c r="AI330" s="4"/>
    </row>
    <row r="331" spans="1:53" ht="14.5" x14ac:dyDescent="0.35">
      <c r="A331" s="4"/>
      <c r="B331" s="2" t="s">
        <v>1045</v>
      </c>
      <c r="C331" s="2"/>
      <c r="D331" s="2"/>
      <c r="E331" s="2"/>
      <c r="F331" s="2"/>
      <c r="G331" s="2"/>
      <c r="H331" s="2"/>
      <c r="I331" s="2"/>
      <c r="J331" s="18"/>
      <c r="K331" s="2"/>
      <c r="L331" s="1494" t="s">
        <v>525</v>
      </c>
      <c r="M331" s="134" t="s">
        <v>914</v>
      </c>
      <c r="N331" s="6"/>
      <c r="O331" s="6"/>
      <c r="P331" s="4"/>
      <c r="Q331" s="4"/>
      <c r="R331" s="4"/>
      <c r="S331" s="4"/>
      <c r="T331" s="4"/>
      <c r="U331" s="4"/>
      <c r="V331" s="4"/>
      <c r="W331" s="4"/>
      <c r="X331" s="4"/>
      <c r="Y331" s="4"/>
      <c r="Z331" s="4"/>
      <c r="AA331" s="4"/>
      <c r="AB331" s="4"/>
      <c r="AC331" s="4"/>
      <c r="AD331" s="4"/>
      <c r="AE331" s="4"/>
      <c r="AF331" s="4"/>
      <c r="AG331" s="4"/>
      <c r="AH331" s="4"/>
      <c r="AI331" s="4"/>
    </row>
    <row r="332" spans="1:53" ht="14.5" x14ac:dyDescent="0.35">
      <c r="A332" s="4"/>
      <c r="B332" s="2" t="s">
        <v>925</v>
      </c>
      <c r="C332" s="2"/>
      <c r="D332" s="2"/>
      <c r="E332" s="2"/>
      <c r="F332" s="2"/>
      <c r="G332" s="2"/>
      <c r="H332" s="2"/>
      <c r="I332" s="2"/>
      <c r="J332" s="18"/>
      <c r="K332" s="3" t="s">
        <v>488</v>
      </c>
      <c r="L332" s="1494">
        <v>180</v>
      </c>
      <c r="M332" s="134"/>
      <c r="N332" s="6"/>
      <c r="O332" s="6"/>
      <c r="P332" s="4"/>
      <c r="Q332" s="4"/>
      <c r="R332" s="4"/>
      <c r="S332" s="4"/>
      <c r="T332" s="4"/>
      <c r="U332" s="4"/>
      <c r="V332" s="4"/>
      <c r="W332" s="4"/>
      <c r="X332" s="4"/>
      <c r="Y332" s="4"/>
      <c r="Z332" s="4"/>
      <c r="AA332" s="4"/>
      <c r="AB332" s="4"/>
      <c r="AC332" s="4"/>
      <c r="AD332" s="4"/>
      <c r="AE332" s="4"/>
      <c r="AF332" s="4"/>
      <c r="AG332" s="4"/>
      <c r="AH332" s="4"/>
      <c r="AI332" s="4"/>
    </row>
    <row r="333" spans="1:53" ht="14.5" x14ac:dyDescent="0.35">
      <c r="A333" s="4"/>
      <c r="B333" s="2" t="s">
        <v>934</v>
      </c>
      <c r="C333" s="2"/>
      <c r="D333" s="2"/>
      <c r="E333" s="2"/>
      <c r="F333" s="2"/>
      <c r="G333" s="2"/>
      <c r="H333" s="2"/>
      <c r="I333" s="2"/>
      <c r="J333" s="18"/>
      <c r="K333" s="3" t="s">
        <v>488</v>
      </c>
      <c r="L333" s="1494">
        <v>160</v>
      </c>
      <c r="M333" s="134"/>
      <c r="N333" s="6"/>
      <c r="O333" s="6"/>
      <c r="P333" s="4"/>
      <c r="Q333" s="4"/>
      <c r="R333" s="4"/>
      <c r="S333" s="4"/>
      <c r="T333" s="4"/>
      <c r="U333" s="4"/>
      <c r="V333" s="4"/>
      <c r="W333" s="4"/>
      <c r="X333" s="4"/>
      <c r="Y333" s="4"/>
      <c r="Z333" s="4"/>
      <c r="AA333" s="4"/>
      <c r="AB333" s="4"/>
      <c r="AC333" s="4"/>
      <c r="AD333" s="4"/>
      <c r="AE333" s="4"/>
      <c r="AF333" s="4"/>
      <c r="AG333" s="4"/>
      <c r="AH333" s="4"/>
      <c r="AI333" s="4"/>
    </row>
    <row r="334" spans="1:53" ht="14.5" x14ac:dyDescent="0.35">
      <c r="A334" s="4"/>
      <c r="B334" s="2" t="s">
        <v>513</v>
      </c>
      <c r="C334" s="2"/>
      <c r="D334" s="2"/>
      <c r="E334" s="2"/>
      <c r="F334" s="2"/>
      <c r="G334" s="2"/>
      <c r="H334" s="2"/>
      <c r="I334" s="2"/>
      <c r="J334" s="143" t="s">
        <v>514</v>
      </c>
      <c r="K334" s="143"/>
      <c r="L334" s="1637"/>
      <c r="M334" s="188"/>
      <c r="N334" s="6"/>
      <c r="O334" s="6"/>
      <c r="P334" s="4"/>
      <c r="Q334" s="4"/>
      <c r="R334" s="4"/>
      <c r="S334" s="4"/>
      <c r="T334" s="4"/>
      <c r="U334" s="4"/>
      <c r="V334" s="4"/>
      <c r="W334" s="4"/>
      <c r="X334" s="4"/>
      <c r="Y334" s="4"/>
      <c r="Z334" s="4"/>
      <c r="AA334" s="4"/>
      <c r="AB334" s="4"/>
      <c r="AC334" s="4"/>
      <c r="AD334" s="4"/>
      <c r="AE334" s="4"/>
      <c r="AF334" s="4"/>
      <c r="AG334" s="4"/>
      <c r="AH334" s="4"/>
      <c r="AI334" s="4"/>
    </row>
    <row r="335" spans="1:53" ht="14.5" x14ac:dyDescent="0.35">
      <c r="A335" s="4"/>
      <c r="B335" s="2" t="s">
        <v>933</v>
      </c>
      <c r="C335" s="2"/>
      <c r="D335" s="2"/>
      <c r="E335" s="2"/>
      <c r="F335" s="2"/>
      <c r="G335" s="2"/>
      <c r="H335" s="2"/>
      <c r="I335" s="2"/>
      <c r="J335" s="2"/>
      <c r="K335" s="3" t="s">
        <v>488</v>
      </c>
      <c r="L335" s="1575">
        <v>50</v>
      </c>
      <c r="M335" s="194" t="s">
        <v>538</v>
      </c>
      <c r="N335" s="4"/>
      <c r="O335" s="4"/>
      <c r="P335" s="4"/>
      <c r="Q335" s="4"/>
      <c r="R335" s="4"/>
      <c r="S335" s="4"/>
      <c r="T335" s="4"/>
      <c r="U335" s="4"/>
      <c r="V335" s="4"/>
      <c r="W335" s="4"/>
      <c r="X335" s="4"/>
      <c r="Y335" s="4"/>
      <c r="Z335" s="4"/>
      <c r="AA335" s="4"/>
      <c r="AB335" s="4"/>
      <c r="AC335" s="4"/>
      <c r="AD335" s="4"/>
      <c r="AE335" s="4"/>
      <c r="AF335" s="4"/>
      <c r="AG335" s="4"/>
      <c r="AH335" s="4"/>
      <c r="AI335" s="4"/>
    </row>
    <row r="336" spans="1:53" ht="14.5" x14ac:dyDescent="0.35">
      <c r="A336" s="4"/>
      <c r="B336" s="2" t="s">
        <v>512</v>
      </c>
      <c r="C336" s="2"/>
      <c r="D336" s="2"/>
      <c r="E336" s="2"/>
      <c r="F336" s="2"/>
      <c r="G336" s="2"/>
      <c r="H336" s="2"/>
      <c r="I336" s="2"/>
      <c r="J336" s="2"/>
      <c r="K336" s="3" t="s">
        <v>1395</v>
      </c>
      <c r="L336" s="1494">
        <v>30000</v>
      </c>
      <c r="M336" s="194" t="s">
        <v>539</v>
      </c>
      <c r="N336" s="4"/>
      <c r="O336" s="4"/>
      <c r="P336" s="4"/>
      <c r="Q336" s="4"/>
      <c r="R336" s="4"/>
      <c r="S336" s="4"/>
      <c r="T336" s="4"/>
      <c r="U336" s="4"/>
      <c r="V336" s="4"/>
      <c r="W336" s="4"/>
      <c r="X336" s="4"/>
      <c r="Y336" s="4"/>
      <c r="Z336" s="4"/>
      <c r="AA336" s="4"/>
      <c r="AB336" s="4"/>
      <c r="AC336" s="4"/>
      <c r="AD336" s="4"/>
      <c r="AE336" s="4"/>
      <c r="AF336" s="4"/>
      <c r="AG336" s="4"/>
      <c r="AH336" s="4"/>
      <c r="AI336" s="4"/>
    </row>
    <row r="337" spans="1:35"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spans="1:35" ht="14.5" x14ac:dyDescent="0.35">
      <c r="A338" s="4"/>
      <c r="B338" s="5" t="s">
        <v>335</v>
      </c>
      <c r="C338" s="4"/>
      <c r="D338" s="4"/>
      <c r="E338" s="4"/>
      <c r="F338" s="134"/>
      <c r="G338" s="4"/>
      <c r="H338" s="4"/>
      <c r="I338" s="4"/>
      <c r="J338" s="4"/>
      <c r="K338" s="4"/>
      <c r="L338" s="4"/>
      <c r="M338" s="4"/>
      <c r="N338" s="4"/>
      <c r="O338" s="4"/>
      <c r="P338" s="134"/>
      <c r="Q338" s="4"/>
      <c r="R338" s="4"/>
      <c r="S338" s="4"/>
      <c r="T338" s="4"/>
      <c r="U338" s="4"/>
      <c r="V338" s="4"/>
      <c r="W338" s="4"/>
      <c r="X338" s="4"/>
      <c r="Y338" s="4"/>
      <c r="Z338" s="4"/>
      <c r="AA338" s="4"/>
      <c r="AB338" s="4"/>
      <c r="AC338" s="4"/>
      <c r="AD338" s="4"/>
      <c r="AE338" s="4"/>
      <c r="AF338" s="4"/>
      <c r="AG338" s="4"/>
      <c r="AH338" s="4"/>
      <c r="AI338" s="4"/>
    </row>
    <row r="339" spans="1:35" ht="16" x14ac:dyDescent="0.4">
      <c r="A339" s="4"/>
      <c r="B339" s="2" t="s">
        <v>183</v>
      </c>
      <c r="C339" s="2"/>
      <c r="D339" s="18" t="s">
        <v>515</v>
      </c>
      <c r="E339" s="4"/>
      <c r="F339" s="134"/>
      <c r="G339" s="4"/>
      <c r="H339" s="4"/>
      <c r="I339" s="4"/>
      <c r="J339" s="4"/>
      <c r="K339" s="4"/>
      <c r="L339" s="4"/>
      <c r="M339" s="4"/>
      <c r="N339" s="4"/>
      <c r="O339" s="4"/>
      <c r="P339" s="134"/>
      <c r="Q339" s="4"/>
      <c r="R339" s="4"/>
      <c r="S339" s="4"/>
      <c r="T339" s="4"/>
      <c r="U339" s="4"/>
      <c r="V339" s="4"/>
      <c r="W339" s="4"/>
      <c r="X339" s="4"/>
      <c r="Y339" s="4"/>
      <c r="Z339" s="4"/>
      <c r="AA339" s="4"/>
      <c r="AB339" s="4"/>
      <c r="AC339" s="4"/>
      <c r="AD339" s="4"/>
      <c r="AE339" s="4"/>
      <c r="AF339" s="4"/>
      <c r="AG339" s="4"/>
      <c r="AH339" s="4"/>
      <c r="AI339" s="4"/>
    </row>
    <row r="340" spans="1:35" ht="14.5" x14ac:dyDescent="0.35">
      <c r="A340" s="4"/>
      <c r="B340" s="49" t="s">
        <v>337</v>
      </c>
      <c r="C340" s="49"/>
      <c r="D340" s="47" t="s">
        <v>132</v>
      </c>
      <c r="E340" s="4"/>
      <c r="F340" s="134"/>
      <c r="G340" s="4"/>
      <c r="H340" s="4"/>
      <c r="I340" s="4"/>
      <c r="J340" s="4"/>
      <c r="K340" s="4"/>
      <c r="L340" s="4"/>
      <c r="M340" s="4"/>
      <c r="N340" s="4"/>
      <c r="O340" s="4"/>
      <c r="P340" s="134"/>
      <c r="Q340" s="4"/>
      <c r="R340" s="4"/>
      <c r="S340" s="4"/>
      <c r="T340" s="4"/>
      <c r="U340" s="4"/>
      <c r="V340" s="4"/>
      <c r="W340" s="4"/>
      <c r="X340" s="4"/>
      <c r="Y340" s="4"/>
      <c r="Z340" s="4"/>
      <c r="AA340" s="4"/>
      <c r="AB340" s="4"/>
      <c r="AC340" s="4"/>
      <c r="AD340" s="4"/>
      <c r="AE340" s="4"/>
      <c r="AF340" s="4"/>
      <c r="AG340" s="4"/>
      <c r="AH340" s="4"/>
      <c r="AI340" s="4"/>
    </row>
    <row r="341" spans="1:35" ht="14.5" x14ac:dyDescent="0.35">
      <c r="A341" s="4"/>
      <c r="B341" s="69">
        <f>D68</f>
        <v>3.85</v>
      </c>
      <c r="C341" s="2"/>
      <c r="D341" s="1494">
        <v>7.2</v>
      </c>
      <c r="E341" s="4"/>
      <c r="F341" s="134"/>
      <c r="G341" s="4"/>
      <c r="H341" s="4"/>
      <c r="I341" s="4"/>
      <c r="J341" s="4"/>
      <c r="K341" s="4"/>
      <c r="L341" s="4"/>
      <c r="M341" s="4"/>
      <c r="N341" s="4"/>
      <c r="O341" s="4"/>
      <c r="P341" s="134"/>
      <c r="Q341" s="4"/>
      <c r="R341" s="4"/>
      <c r="S341" s="4"/>
      <c r="T341" s="4"/>
      <c r="U341" s="4"/>
      <c r="V341" s="4"/>
      <c r="W341" s="4"/>
      <c r="X341" s="4"/>
      <c r="Y341" s="4"/>
      <c r="Z341" s="4"/>
      <c r="AA341" s="4"/>
      <c r="AB341" s="4"/>
      <c r="AC341" s="4"/>
      <c r="AD341" s="4"/>
      <c r="AE341" s="4"/>
      <c r="AF341" s="4"/>
      <c r="AG341" s="4"/>
      <c r="AH341" s="4"/>
      <c r="AI341" s="4"/>
    </row>
    <row r="342" spans="1:35" ht="14.5" x14ac:dyDescent="0.35">
      <c r="A342" s="4"/>
      <c r="B342" s="5"/>
      <c r="C342" s="4"/>
      <c r="D342" s="4"/>
      <c r="E342" s="4"/>
      <c r="F342" s="134"/>
      <c r="G342" s="4"/>
      <c r="H342" s="4"/>
      <c r="I342" s="4"/>
      <c r="J342" s="4"/>
      <c r="K342" s="4"/>
      <c r="L342" s="4"/>
      <c r="M342" s="4"/>
      <c r="N342" s="4"/>
      <c r="O342" s="4"/>
      <c r="P342" s="134"/>
      <c r="Q342" s="4"/>
      <c r="R342" s="4"/>
      <c r="S342" s="4"/>
      <c r="T342" s="4"/>
      <c r="U342" s="4"/>
      <c r="V342" s="4"/>
      <c r="W342" s="4"/>
      <c r="X342" s="4"/>
      <c r="Y342" s="4"/>
      <c r="Z342" s="4"/>
      <c r="AA342" s="4"/>
      <c r="AB342" s="4"/>
      <c r="AC342" s="4"/>
      <c r="AD342" s="4"/>
      <c r="AE342" s="4"/>
      <c r="AF342" s="4"/>
      <c r="AG342" s="4"/>
      <c r="AH342" s="4"/>
      <c r="AI342" s="4"/>
    </row>
    <row r="343" spans="1:35" ht="14.5" x14ac:dyDescent="0.35">
      <c r="A343" s="4"/>
      <c r="B343" s="5" t="s">
        <v>906</v>
      </c>
      <c r="C343" s="4"/>
      <c r="D343" s="4"/>
      <c r="E343" s="4"/>
      <c r="F343" s="134" t="s">
        <v>1653</v>
      </c>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spans="1:35" ht="14.5" x14ac:dyDescent="0.35">
      <c r="A344" s="4"/>
      <c r="B344" s="2" t="s">
        <v>907</v>
      </c>
      <c r="C344" s="2"/>
      <c r="D344" s="2"/>
      <c r="E344" s="1638" t="s">
        <v>782</v>
      </c>
      <c r="F344" s="1639">
        <v>5</v>
      </c>
      <c r="G344" s="134" t="s">
        <v>1249</v>
      </c>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spans="1:35"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spans="1:35" ht="14.5" x14ac:dyDescent="0.35">
      <c r="A346" s="4"/>
      <c r="B346" s="5"/>
      <c r="C346" s="4"/>
      <c r="D346" s="4"/>
      <c r="E346" s="4"/>
      <c r="F346" s="134"/>
      <c r="G346" s="4"/>
      <c r="H346" s="4"/>
      <c r="I346" s="4"/>
      <c r="J346" s="4"/>
      <c r="K346" s="4"/>
      <c r="L346" s="4"/>
      <c r="M346" s="4"/>
      <c r="N346" s="4"/>
      <c r="O346" s="4"/>
      <c r="P346" s="134"/>
      <c r="Q346" s="4"/>
      <c r="R346" s="4"/>
      <c r="S346" s="4"/>
      <c r="T346" s="4"/>
      <c r="U346" s="4"/>
      <c r="V346" s="4"/>
      <c r="W346" s="4"/>
      <c r="X346" s="4"/>
      <c r="Y346" s="4"/>
      <c r="Z346" s="4"/>
      <c r="AA346" s="4"/>
      <c r="AB346" s="4"/>
      <c r="AC346" s="4"/>
      <c r="AD346" s="4"/>
      <c r="AE346" s="4"/>
      <c r="AF346" s="4"/>
      <c r="AG346" s="4"/>
      <c r="AH346" s="4"/>
      <c r="AI346" s="4"/>
    </row>
    <row r="347" spans="1:35" x14ac:dyDescent="0.3">
      <c r="A347" s="13" t="s">
        <v>470</v>
      </c>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row>
    <row r="348" spans="1:35"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spans="1:35" x14ac:dyDescent="0.3">
      <c r="A349" s="4"/>
      <c r="B349" s="5" t="s">
        <v>330</v>
      </c>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spans="1:35" ht="14.5" x14ac:dyDescent="0.35">
      <c r="A350" s="4"/>
      <c r="B350" s="2" t="s">
        <v>471</v>
      </c>
      <c r="C350" s="2"/>
      <c r="D350" s="2"/>
      <c r="E350" s="2"/>
      <c r="F350" s="2"/>
      <c r="G350" s="2"/>
      <c r="H350" s="2"/>
      <c r="I350" s="18"/>
      <c r="J350" s="2" t="s">
        <v>472</v>
      </c>
      <c r="K350" s="2"/>
      <c r="L350" s="6"/>
      <c r="M350" s="6"/>
      <c r="N350" s="4"/>
      <c r="O350" s="4"/>
      <c r="P350" s="4"/>
      <c r="Q350" s="4"/>
      <c r="R350" s="4"/>
      <c r="S350" s="4"/>
      <c r="T350" s="4"/>
      <c r="U350" s="4"/>
      <c r="V350" s="4"/>
      <c r="W350" s="4"/>
      <c r="X350" s="4"/>
      <c r="Y350" s="4"/>
      <c r="Z350" s="4"/>
      <c r="AA350" s="4"/>
      <c r="AB350" s="4"/>
      <c r="AC350" s="4"/>
      <c r="AD350" s="4"/>
      <c r="AE350" s="4"/>
      <c r="AF350" s="4"/>
      <c r="AG350" s="4"/>
      <c r="AH350" s="4"/>
      <c r="AI350" s="4"/>
    </row>
    <row r="351" spans="1:35" x14ac:dyDescent="0.3">
      <c r="A351" s="4"/>
      <c r="B351" s="2" t="s">
        <v>1046</v>
      </c>
      <c r="C351" s="2"/>
      <c r="D351" s="2"/>
      <c r="E351" s="2"/>
      <c r="F351" s="2"/>
      <c r="G351" s="2"/>
      <c r="H351" s="2"/>
      <c r="I351" s="18"/>
      <c r="J351" s="3" t="s">
        <v>488</v>
      </c>
      <c r="K351" s="1494">
        <v>180</v>
      </c>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spans="1:35"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spans="1:35" ht="14.5" x14ac:dyDescent="0.35">
      <c r="A353" s="4"/>
      <c r="B353" s="5" t="str">
        <f>IF(E358=0,"PROEF ZONDER AFDRUIPREMMER","PROEF MET "&amp;E358&amp;" % AFDRUIPREMMER")</f>
        <v>PROEF ZONDER AFDRUIPREMMER</v>
      </c>
      <c r="C353" s="4"/>
      <c r="D353" s="4"/>
      <c r="E353" s="4"/>
      <c r="F353" s="134"/>
      <c r="G353" s="4"/>
      <c r="H353" s="4"/>
      <c r="I353" s="4"/>
      <c r="J353" s="4"/>
      <c r="K353" s="4"/>
      <c r="L353" s="4"/>
      <c r="M353" s="4"/>
      <c r="N353" s="4"/>
      <c r="O353" s="4"/>
      <c r="P353" s="134"/>
      <c r="Q353" s="4"/>
      <c r="R353" s="4"/>
      <c r="S353" s="4"/>
      <c r="T353" s="4"/>
      <c r="U353" s="4"/>
      <c r="V353" s="4"/>
      <c r="W353" s="4"/>
      <c r="X353" s="4"/>
      <c r="Y353" s="4"/>
      <c r="Z353" s="4"/>
      <c r="AA353" s="4"/>
      <c r="AB353" s="4"/>
      <c r="AC353" s="4"/>
      <c r="AD353" s="4"/>
      <c r="AE353" s="4"/>
      <c r="AF353" s="4"/>
      <c r="AG353" s="4"/>
      <c r="AH353" s="4"/>
      <c r="AI353" s="4"/>
    </row>
    <row r="354" spans="1:35" ht="14.5" x14ac:dyDescent="0.35">
      <c r="A354" s="4"/>
      <c r="B354" s="301" t="s">
        <v>835</v>
      </c>
      <c r="C354" s="301"/>
      <c r="D354" s="1589"/>
      <c r="E354" s="1589"/>
      <c r="F354" s="1494" t="s">
        <v>56</v>
      </c>
      <c r="G354" s="6" t="s">
        <v>645</v>
      </c>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spans="1:35" x14ac:dyDescent="0.3">
      <c r="A355" s="4"/>
      <c r="B355" s="301" t="s">
        <v>836</v>
      </c>
      <c r="C355" s="2"/>
      <c r="D355" s="2139" t="s">
        <v>941</v>
      </c>
      <c r="E355" s="2139"/>
      <c r="F355" s="2139"/>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spans="1:35" ht="14.5" x14ac:dyDescent="0.35">
      <c r="A356" s="4"/>
      <c r="B356" s="2" t="s">
        <v>473</v>
      </c>
      <c r="C356" s="2"/>
      <c r="D356" s="1491"/>
      <c r="E356" s="1491"/>
      <c r="F356" s="1494" t="s">
        <v>1610</v>
      </c>
      <c r="G356" s="6" t="s">
        <v>1250</v>
      </c>
      <c r="H356" s="6"/>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spans="1:35" ht="14.5" x14ac:dyDescent="0.35">
      <c r="A357" s="4"/>
      <c r="B357" s="27"/>
      <c r="C357" s="27"/>
      <c r="D357" s="27"/>
      <c r="E357" s="26"/>
      <c r="F357" s="6"/>
      <c r="G357" s="4"/>
      <c r="H357" s="4"/>
      <c r="I357" s="4"/>
      <c r="J357" s="4"/>
      <c r="K357" s="134" t="s">
        <v>841</v>
      </c>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spans="1:35" x14ac:dyDescent="0.3">
      <c r="A358" s="4"/>
      <c r="B358" s="190" t="s">
        <v>534</v>
      </c>
      <c r="C358" s="49"/>
      <c r="D358" s="49"/>
      <c r="E358" s="1574">
        <v>0</v>
      </c>
      <c r="F358" s="191" t="s">
        <v>1263</v>
      </c>
      <c r="G358" s="192"/>
      <c r="H358" s="192"/>
      <c r="I358" s="192"/>
      <c r="J358" s="192"/>
      <c r="K358" s="192"/>
      <c r="L358" s="192"/>
      <c r="M358" s="192"/>
      <c r="N358" s="192"/>
      <c r="O358" s="193"/>
      <c r="P358" s="192" t="s">
        <v>492</v>
      </c>
      <c r="Q358" s="192"/>
      <c r="R358" s="192"/>
      <c r="S358" s="192"/>
      <c r="T358" s="192"/>
      <c r="U358" s="192"/>
      <c r="V358" s="308"/>
      <c r="W358" s="4"/>
      <c r="X358" s="4"/>
      <c r="Y358" s="4"/>
      <c r="Z358" s="4"/>
      <c r="AA358" s="4"/>
      <c r="AB358" s="4"/>
      <c r="AC358" s="4"/>
      <c r="AD358" s="4"/>
      <c r="AE358" s="4"/>
      <c r="AF358" s="4"/>
      <c r="AG358" s="4"/>
      <c r="AH358" s="4"/>
      <c r="AI358" s="4"/>
    </row>
    <row r="359" spans="1:35" x14ac:dyDescent="0.3">
      <c r="A359" s="4"/>
      <c r="B359" s="2" t="s">
        <v>183</v>
      </c>
      <c r="C359" s="2"/>
      <c r="D359" s="2" t="s">
        <v>474</v>
      </c>
      <c r="E359" s="2"/>
      <c r="F359" s="154" t="s">
        <v>478</v>
      </c>
      <c r="G359" s="60" t="s">
        <v>479</v>
      </c>
      <c r="H359" s="60"/>
      <c r="I359" s="18" t="s">
        <v>487</v>
      </c>
      <c r="J359" s="60"/>
      <c r="K359" s="18" t="s">
        <v>482</v>
      </c>
      <c r="L359" s="18" t="s">
        <v>484</v>
      </c>
      <c r="M359" s="18" t="s">
        <v>485</v>
      </c>
      <c r="N359" s="18" t="s">
        <v>489</v>
      </c>
      <c r="O359" s="173" t="s">
        <v>490</v>
      </c>
      <c r="P359" s="18" t="s">
        <v>494</v>
      </c>
      <c r="Q359" s="60" t="s">
        <v>495</v>
      </c>
      <c r="R359" s="18"/>
      <c r="S359" s="60" t="s">
        <v>474</v>
      </c>
      <c r="T359" s="18"/>
      <c r="U359" s="18" t="s">
        <v>489</v>
      </c>
      <c r="V359" s="303" t="s">
        <v>489</v>
      </c>
      <c r="W359" s="4"/>
      <c r="X359" s="4"/>
      <c r="Y359" s="4"/>
      <c r="Z359" s="4"/>
      <c r="AA359" s="4"/>
      <c r="AB359" s="4"/>
      <c r="AC359" s="4"/>
      <c r="AD359" s="4"/>
      <c r="AE359" s="4"/>
      <c r="AF359" s="4"/>
      <c r="AG359" s="4"/>
      <c r="AH359" s="4"/>
      <c r="AI359" s="4"/>
    </row>
    <row r="360" spans="1:35" x14ac:dyDescent="0.3">
      <c r="A360" s="4"/>
      <c r="B360" s="49" t="s">
        <v>337</v>
      </c>
      <c r="C360" s="49"/>
      <c r="D360" s="47" t="s">
        <v>338</v>
      </c>
      <c r="E360" s="49"/>
      <c r="F360" s="155" t="s">
        <v>480</v>
      </c>
      <c r="G360" s="47" t="s">
        <v>481</v>
      </c>
      <c r="H360" s="47"/>
      <c r="I360" s="47" t="s">
        <v>488</v>
      </c>
      <c r="J360" s="47"/>
      <c r="K360" s="47" t="s">
        <v>483</v>
      </c>
      <c r="L360" s="47" t="s">
        <v>132</v>
      </c>
      <c r="M360" s="47" t="s">
        <v>486</v>
      </c>
      <c r="N360" s="47" t="s">
        <v>1357</v>
      </c>
      <c r="O360" s="174" t="s">
        <v>491</v>
      </c>
      <c r="P360" s="47" t="s">
        <v>480</v>
      </c>
      <c r="Q360" s="47" t="s">
        <v>481</v>
      </c>
      <c r="R360" s="47"/>
      <c r="S360" s="47" t="s">
        <v>1439</v>
      </c>
      <c r="T360" s="47"/>
      <c r="U360" s="47" t="s">
        <v>1357</v>
      </c>
      <c r="V360" s="304" t="s">
        <v>1357</v>
      </c>
      <c r="W360" s="4"/>
      <c r="X360" s="4"/>
      <c r="Y360" s="4"/>
      <c r="Z360" s="4"/>
      <c r="AA360" s="4"/>
      <c r="AB360" s="4"/>
      <c r="AC360" s="4"/>
      <c r="AD360" s="4"/>
      <c r="AE360" s="4"/>
      <c r="AF360" s="4"/>
      <c r="AG360" s="4"/>
      <c r="AH360" s="4"/>
      <c r="AI360" s="4"/>
    </row>
    <row r="361" spans="1:35" ht="14.5" x14ac:dyDescent="0.35">
      <c r="A361" s="4"/>
      <c r="B361" s="69">
        <f>IF(D362="","",D38)</f>
        <v>3.5500000000000003</v>
      </c>
      <c r="C361" s="2"/>
      <c r="D361" s="1640" t="s">
        <v>475</v>
      </c>
      <c r="E361" s="178" t="s">
        <v>493</v>
      </c>
      <c r="F361" s="1642"/>
      <c r="G361" s="1643"/>
      <c r="H361" s="1644"/>
      <c r="I361" s="1645">
        <v>165.1</v>
      </c>
      <c r="J361" s="1644"/>
      <c r="K361" s="1646"/>
      <c r="L361" s="180"/>
      <c r="M361" s="179"/>
      <c r="N361" s="179"/>
      <c r="O361" s="181"/>
      <c r="P361" s="187"/>
      <c r="Q361" s="179"/>
      <c r="R361" s="179"/>
      <c r="S361" s="179"/>
      <c r="T361" s="179"/>
      <c r="U361" s="179"/>
      <c r="V361" s="305"/>
      <c r="W361" s="134" t="s">
        <v>459</v>
      </c>
      <c r="X361" s="4"/>
      <c r="Y361" s="4"/>
      <c r="Z361" s="4"/>
      <c r="AA361" s="4"/>
      <c r="AB361" s="4"/>
      <c r="AC361" s="4"/>
      <c r="AD361" s="4"/>
      <c r="AE361" s="4"/>
      <c r="AF361" s="4"/>
      <c r="AG361" s="4"/>
      <c r="AH361" s="4"/>
      <c r="AI361" s="4"/>
    </row>
    <row r="362" spans="1:35" ht="14.5" x14ac:dyDescent="0.35">
      <c r="A362" s="4"/>
      <c r="B362" s="2"/>
      <c r="C362" s="2"/>
      <c r="D362" s="1641" t="s">
        <v>476</v>
      </c>
      <c r="E362" s="793"/>
      <c r="F362" s="1647">
        <v>1000</v>
      </c>
      <c r="G362" s="1648">
        <v>2000</v>
      </c>
      <c r="H362" s="1649"/>
      <c r="I362" s="1649"/>
      <c r="J362" s="1649"/>
      <c r="K362" s="1648">
        <v>1001</v>
      </c>
      <c r="L362" s="794">
        <f>IF(F362="","",100*(K362-F362)/(G362-F362))</f>
        <v>0.1</v>
      </c>
      <c r="M362" s="1648">
        <v>5</v>
      </c>
      <c r="N362" s="794">
        <f>IF(F362="","",100*(K362-F362-M362)/(G362-F362))</f>
        <v>-0.4</v>
      </c>
      <c r="O362" s="182">
        <f>IF(M362="","",100*M362/(G362-F362))</f>
        <v>0.5</v>
      </c>
      <c r="P362" s="1648">
        <v>1000</v>
      </c>
      <c r="Q362" s="1648">
        <v>1100</v>
      </c>
      <c r="R362" s="1649"/>
      <c r="S362" s="1648">
        <v>2100</v>
      </c>
      <c r="T362" s="794"/>
      <c r="U362" s="1318">
        <f>IF(P362="","",100*(Q362-P362)/S362)</f>
        <v>4.7619047619047619</v>
      </c>
      <c r="V362" s="795">
        <f>IF(F356="B",U362,N362)</f>
        <v>-0.4</v>
      </c>
      <c r="W362" s="134" t="s">
        <v>1030</v>
      </c>
      <c r="X362" s="4"/>
      <c r="Y362" s="4"/>
      <c r="Z362" s="4"/>
      <c r="AA362" s="4"/>
      <c r="AB362" s="4"/>
      <c r="AC362" s="4"/>
      <c r="AD362" s="4"/>
      <c r="AE362" s="4"/>
      <c r="AF362" s="4"/>
      <c r="AG362" s="4"/>
      <c r="AH362" s="4"/>
      <c r="AI362" s="4"/>
    </row>
    <row r="363" spans="1:35" ht="14.5" x14ac:dyDescent="0.35">
      <c r="A363" s="4"/>
      <c r="B363" s="2"/>
      <c r="C363" s="2"/>
      <c r="D363" s="1625" t="s">
        <v>477</v>
      </c>
      <c r="E363" s="698"/>
      <c r="F363" s="1650">
        <v>1000</v>
      </c>
      <c r="G363" s="1631">
        <v>2000</v>
      </c>
      <c r="H363" s="1651"/>
      <c r="I363" s="1651"/>
      <c r="J363" s="1651"/>
      <c r="K363" s="1631">
        <v>1002</v>
      </c>
      <c r="L363" s="701">
        <f>IF(F363="","",100*(K363-F363)/(G363-F363))</f>
        <v>0.2</v>
      </c>
      <c r="M363" s="1631">
        <v>0</v>
      </c>
      <c r="N363" s="701">
        <f>IF(F363="","",100*(K363-F363-M363)/(G363-F363))</f>
        <v>0.2</v>
      </c>
      <c r="O363" s="791">
        <f>IF(M363="","",100*M363/(G363-F363))</f>
        <v>0</v>
      </c>
      <c r="P363" s="1631">
        <v>1000</v>
      </c>
      <c r="Q363" s="1631">
        <v>1050</v>
      </c>
      <c r="R363" s="1651"/>
      <c r="S363" s="1631">
        <v>2101</v>
      </c>
      <c r="T363" s="701"/>
      <c r="U363" s="1315">
        <f>IF(P363="","",100*(Q363-P363)/S363)</f>
        <v>2.3798191337458352</v>
      </c>
      <c r="V363" s="792">
        <f>IF(F356="B",U363,N363)</f>
        <v>0.2</v>
      </c>
      <c r="W363" s="134" t="s">
        <v>1031</v>
      </c>
      <c r="X363" s="4"/>
      <c r="Y363" s="4"/>
      <c r="Z363" s="4"/>
      <c r="AA363" s="4"/>
      <c r="AB363" s="4"/>
      <c r="AC363" s="4"/>
      <c r="AD363" s="4"/>
      <c r="AE363" s="4"/>
      <c r="AF363" s="4"/>
      <c r="AG363" s="4"/>
      <c r="AH363" s="4"/>
      <c r="AI363" s="4"/>
    </row>
    <row r="364" spans="1:35" ht="14.5" x14ac:dyDescent="0.35">
      <c r="A364" s="4"/>
      <c r="B364" s="2"/>
      <c r="C364" s="2"/>
      <c r="D364" s="1494" t="s">
        <v>549</v>
      </c>
      <c r="E364" s="696" t="s">
        <v>725</v>
      </c>
      <c r="F364" s="1652"/>
      <c r="G364" s="1593"/>
      <c r="H364" s="1601"/>
      <c r="I364" s="1601"/>
      <c r="J364" s="1601"/>
      <c r="K364" s="1593"/>
      <c r="L364" s="133" t="str">
        <f>IF(F364="","",100*(K364-F364)/(G364-F364))</f>
        <v/>
      </c>
      <c r="M364" s="1593"/>
      <c r="N364" s="133" t="str">
        <f>IF(F364="","",100*(K364-F364-M364)/(G364-F364))</f>
        <v/>
      </c>
      <c r="O364" s="175" t="str">
        <f>IF(M364="","",100*M364/(G364-F364))</f>
        <v/>
      </c>
      <c r="P364" s="1593"/>
      <c r="Q364" s="1593"/>
      <c r="R364" s="1601"/>
      <c r="S364" s="1593"/>
      <c r="T364" s="133"/>
      <c r="U364" s="133" t="str">
        <f>IF(P364="","",100*(Q364-P364)/S364)</f>
        <v/>
      </c>
      <c r="V364" s="306"/>
      <c r="W364" s="134"/>
      <c r="X364" s="4"/>
      <c r="Y364" s="4"/>
      <c r="Z364" s="4"/>
      <c r="AA364" s="4"/>
      <c r="AB364" s="4"/>
      <c r="AC364" s="4"/>
      <c r="AD364" s="4"/>
      <c r="AE364" s="4"/>
      <c r="AF364" s="4"/>
      <c r="AG364" s="4"/>
      <c r="AH364" s="4"/>
      <c r="AI364" s="4"/>
    </row>
    <row r="365" spans="1:35" ht="14.5" x14ac:dyDescent="0.35">
      <c r="A365" s="4"/>
      <c r="B365" s="2"/>
      <c r="C365" s="2"/>
      <c r="D365" s="1494"/>
      <c r="E365" s="2"/>
      <c r="F365" s="1652"/>
      <c r="G365" s="1593"/>
      <c r="H365" s="1601"/>
      <c r="I365" s="1601"/>
      <c r="J365" s="1601"/>
      <c r="K365" s="1593"/>
      <c r="L365" s="133" t="str">
        <f>IF(F365="","",100*(K365-F365)/(G365-F365))</f>
        <v/>
      </c>
      <c r="M365" s="1593"/>
      <c r="N365" s="133" t="str">
        <f>IF(F365="","",100*(K365-F365-M365)/(G365-F365))</f>
        <v/>
      </c>
      <c r="O365" s="183" t="str">
        <f>IF(M365="","",100*M365/(G365-F365))</f>
        <v/>
      </c>
      <c r="P365" s="1593"/>
      <c r="Q365" s="1593"/>
      <c r="R365" s="1601"/>
      <c r="S365" s="1593"/>
      <c r="T365" s="133"/>
      <c r="U365" s="133" t="str">
        <f>IF(P365="","",100*(Q365-P365)/S365)</f>
        <v/>
      </c>
      <c r="V365" s="306"/>
      <c r="W365" s="134"/>
      <c r="X365" s="4"/>
      <c r="Y365" s="4"/>
      <c r="Z365" s="4"/>
      <c r="AA365" s="4"/>
      <c r="AB365" s="4"/>
      <c r="AC365" s="4"/>
      <c r="AD365" s="4"/>
      <c r="AE365" s="4"/>
      <c r="AF365" s="4"/>
      <c r="AG365" s="4"/>
      <c r="AH365" s="4"/>
      <c r="AI365" s="4"/>
    </row>
    <row r="366" spans="1:35" ht="14.5" x14ac:dyDescent="0.35">
      <c r="A366" s="4"/>
      <c r="B366" s="32"/>
      <c r="C366" s="159" t="s">
        <v>458</v>
      </c>
      <c r="D366" s="57" t="str">
        <f>D362&amp;" en "&amp;D363</f>
        <v>b en c</v>
      </c>
      <c r="E366" s="302">
        <f>IF(SUM(B361:B365)=0,"",AVERAGE(B361:B365))</f>
        <v>3.5500000000000003</v>
      </c>
      <c r="F366" s="1653"/>
      <c r="G366" s="1654"/>
      <c r="H366" s="1654"/>
      <c r="I366" s="1654"/>
      <c r="J366" s="1654"/>
      <c r="K366" s="1655"/>
      <c r="L366" s="31"/>
      <c r="M366" s="1654"/>
      <c r="N366" s="131">
        <f>IF(AND(N362&lt;&gt;"",N363&lt;&gt;""),AVERAGE(N362:N363),"")</f>
        <v>-0.1</v>
      </c>
      <c r="O366" s="176">
        <f>IF(AND(O362&lt;&gt;"",O363&lt;&gt;""),AVERAGE(O362:O363),"")</f>
        <v>0.25</v>
      </c>
      <c r="P366" s="1654"/>
      <c r="Q366" s="1654"/>
      <c r="R366" s="1654"/>
      <c r="S366" s="1654"/>
      <c r="T366" s="131"/>
      <c r="U366" s="131">
        <f>IF(AND(U362&lt;&gt;"",U363&lt;&gt;""),AVERAGE(U362:U363),"")</f>
        <v>3.5708619478252985</v>
      </c>
      <c r="V366" s="307">
        <f>IF(F356="B",U366,N366)</f>
        <v>-0.1</v>
      </c>
      <c r="W366" s="134"/>
      <c r="X366" s="4"/>
      <c r="Y366" s="4"/>
      <c r="Z366" s="4"/>
      <c r="AA366" s="4"/>
      <c r="AB366" s="4"/>
      <c r="AC366" s="4"/>
      <c r="AD366" s="4"/>
      <c r="AE366" s="4"/>
      <c r="AF366" s="4"/>
      <c r="AG366" s="4"/>
      <c r="AH366" s="4"/>
      <c r="AI366" s="4"/>
    </row>
    <row r="367" spans="1:35" ht="14.5" x14ac:dyDescent="0.35">
      <c r="A367" s="4"/>
      <c r="B367" s="69">
        <f>IF(D368="","",D68)</f>
        <v>3.85</v>
      </c>
      <c r="C367" s="2"/>
      <c r="D367" s="1640"/>
      <c r="E367" s="178" t="s">
        <v>493</v>
      </c>
      <c r="F367" s="1642"/>
      <c r="G367" s="1643"/>
      <c r="H367" s="1644"/>
      <c r="I367" s="1645">
        <v>168.4</v>
      </c>
      <c r="J367" s="1644"/>
      <c r="K367" s="1646"/>
      <c r="L367" s="180"/>
      <c r="M367" s="1644"/>
      <c r="N367" s="179"/>
      <c r="O367" s="181"/>
      <c r="P367" s="1657"/>
      <c r="Q367" s="1644"/>
      <c r="R367" s="1644"/>
      <c r="S367" s="1644"/>
      <c r="T367" s="179"/>
      <c r="U367" s="179"/>
      <c r="V367" s="305"/>
      <c r="W367" s="134"/>
      <c r="X367" s="4"/>
      <c r="Y367" s="4"/>
      <c r="Z367" s="4"/>
      <c r="AA367" s="4"/>
      <c r="AB367" s="4"/>
      <c r="AC367" s="4"/>
      <c r="AD367" s="4"/>
      <c r="AE367" s="4"/>
      <c r="AF367" s="4"/>
      <c r="AG367" s="4"/>
      <c r="AH367" s="4"/>
      <c r="AI367" s="4"/>
    </row>
    <row r="368" spans="1:35" x14ac:dyDescent="0.3">
      <c r="A368" s="4"/>
      <c r="B368" s="2"/>
      <c r="C368" s="2"/>
      <c r="D368" s="1641" t="s">
        <v>475</v>
      </c>
      <c r="E368" s="793"/>
      <c r="F368" s="1647">
        <v>100</v>
      </c>
      <c r="G368" s="1648">
        <v>1100</v>
      </c>
      <c r="H368" s="1649"/>
      <c r="I368" s="1649"/>
      <c r="J368" s="1649"/>
      <c r="K368" s="1648">
        <v>104</v>
      </c>
      <c r="L368" s="794">
        <f>IF(F368="","",100*(K368-F368)/(G368-F368))</f>
        <v>0.4</v>
      </c>
      <c r="M368" s="1648">
        <v>1</v>
      </c>
      <c r="N368" s="794">
        <f>IF(F368="","",100*(K368-F368-M368)/(G368-F368))</f>
        <v>0.3</v>
      </c>
      <c r="O368" s="182">
        <f>IF(M368="","",100*M368/(G368-F368))</f>
        <v>0.1</v>
      </c>
      <c r="P368" s="1648">
        <v>1000</v>
      </c>
      <c r="Q368" s="1648">
        <v>1100</v>
      </c>
      <c r="R368" s="1649"/>
      <c r="S368" s="1648">
        <v>2102</v>
      </c>
      <c r="T368" s="794"/>
      <c r="U368" s="1318">
        <f>IF(P368="","",100*(Q368-P368)/S368)</f>
        <v>4.7573739295908659</v>
      </c>
      <c r="V368" s="795">
        <f>IF(F356="B",U368,N368)</f>
        <v>0.3</v>
      </c>
      <c r="W368" s="4"/>
      <c r="X368" s="4"/>
      <c r="Y368" s="4"/>
      <c r="Z368" s="4"/>
      <c r="AA368" s="4"/>
      <c r="AB368" s="4"/>
      <c r="AC368" s="4"/>
      <c r="AD368" s="4"/>
      <c r="AE368" s="4"/>
      <c r="AF368" s="4"/>
      <c r="AG368" s="4"/>
      <c r="AH368" s="4"/>
      <c r="AI368" s="4"/>
    </row>
    <row r="369" spans="1:35" x14ac:dyDescent="0.3">
      <c r="A369" s="4"/>
      <c r="B369" s="2"/>
      <c r="C369" s="2"/>
      <c r="D369" s="1625"/>
      <c r="E369" s="698"/>
      <c r="F369" s="1650"/>
      <c r="G369" s="1631"/>
      <c r="H369" s="1651"/>
      <c r="I369" s="1651"/>
      <c r="J369" s="1651"/>
      <c r="K369" s="1631"/>
      <c r="L369" s="701" t="str">
        <f>IF(F369="","",100*(K369-F369)/(G369-F369))</f>
        <v/>
      </c>
      <c r="M369" s="1631"/>
      <c r="N369" s="701" t="str">
        <f>IF(F369="","",100*(K369-F369-M369)/(G369-F369))</f>
        <v/>
      </c>
      <c r="O369" s="791" t="str">
        <f>IF(M369="","",100*M369/(G369-F369))</f>
        <v/>
      </c>
      <c r="P369" s="1631">
        <v>1000</v>
      </c>
      <c r="Q369" s="1631">
        <v>1050</v>
      </c>
      <c r="R369" s="1651"/>
      <c r="S369" s="1631">
        <v>2103</v>
      </c>
      <c r="T369" s="701"/>
      <c r="U369" s="1315">
        <f>IF(P369="","",100*(Q369-P369)/S369)</f>
        <v>2.377555872563005</v>
      </c>
      <c r="V369" s="792" t="str">
        <f>IF(F356="B",U369,N369)</f>
        <v/>
      </c>
      <c r="W369" s="4"/>
      <c r="X369" s="4"/>
      <c r="Y369" s="4"/>
      <c r="Z369" s="4"/>
      <c r="AA369" s="4"/>
      <c r="AB369" s="4"/>
      <c r="AC369" s="4"/>
      <c r="AD369" s="4"/>
      <c r="AE369" s="4"/>
      <c r="AF369" s="4"/>
      <c r="AG369" s="4"/>
      <c r="AH369" s="4"/>
      <c r="AI369" s="4"/>
    </row>
    <row r="370" spans="1:35" x14ac:dyDescent="0.3">
      <c r="A370" s="4"/>
      <c r="B370" s="2"/>
      <c r="C370" s="2"/>
      <c r="D370" s="1494"/>
      <c r="E370" s="696" t="s">
        <v>725</v>
      </c>
      <c r="F370" s="1652"/>
      <c r="G370" s="1593"/>
      <c r="H370" s="1601"/>
      <c r="I370" s="1601"/>
      <c r="J370" s="1601"/>
      <c r="K370" s="1593"/>
      <c r="L370" s="133" t="str">
        <f>IF(F370="","",100*(K370-F370)/(G370-F370))</f>
        <v/>
      </c>
      <c r="M370" s="1593"/>
      <c r="N370" s="133" t="str">
        <f>IF(F370="","",100*(K370-F370-M370)/(G370-F370))</f>
        <v/>
      </c>
      <c r="O370" s="175" t="str">
        <f>IF(M370="","",100*M370/(G370-F370))</f>
        <v/>
      </c>
      <c r="P370" s="1593"/>
      <c r="Q370" s="1593"/>
      <c r="R370" s="1601"/>
      <c r="S370" s="1593"/>
      <c r="T370" s="133"/>
      <c r="U370" s="133" t="str">
        <f>IF(P370="","",100*(Q370-P370)/S370)</f>
        <v/>
      </c>
      <c r="V370" s="306"/>
      <c r="W370" s="4"/>
      <c r="X370" s="4"/>
      <c r="Y370" s="4"/>
      <c r="Z370" s="4"/>
      <c r="AA370" s="4"/>
      <c r="AB370" s="4"/>
      <c r="AC370" s="4"/>
      <c r="AD370" s="4"/>
      <c r="AE370" s="4"/>
      <c r="AF370" s="4"/>
      <c r="AG370" s="4"/>
      <c r="AH370" s="4"/>
      <c r="AI370" s="4"/>
    </row>
    <row r="371" spans="1:35" x14ac:dyDescent="0.3">
      <c r="A371" s="4"/>
      <c r="B371" s="2"/>
      <c r="C371" s="2"/>
      <c r="D371" s="1494"/>
      <c r="E371" s="2"/>
      <c r="F371" s="1652"/>
      <c r="G371" s="1593"/>
      <c r="H371" s="1601"/>
      <c r="I371" s="1601"/>
      <c r="J371" s="1601"/>
      <c r="K371" s="1593"/>
      <c r="L371" s="133" t="str">
        <f>IF(F371="","",100*(K371-F371)/(G371-F371))</f>
        <v/>
      </c>
      <c r="M371" s="1593"/>
      <c r="N371" s="133" t="str">
        <f>IF(F371="","",100*(K371-F371-M371)/(G371-F371))</f>
        <v/>
      </c>
      <c r="O371" s="183" t="str">
        <f>IF(M371="","",100*M371/(G371-F371))</f>
        <v/>
      </c>
      <c r="P371" s="1593"/>
      <c r="Q371" s="1593"/>
      <c r="R371" s="1601"/>
      <c r="S371" s="1593"/>
      <c r="T371" s="133"/>
      <c r="U371" s="133" t="str">
        <f>IF(P371="","",100*(Q371-P371)/S371)</f>
        <v/>
      </c>
      <c r="V371" s="306"/>
      <c r="W371" s="4"/>
      <c r="X371" s="4"/>
      <c r="Y371" s="4"/>
      <c r="Z371" s="4"/>
      <c r="AA371" s="4"/>
      <c r="AB371" s="4"/>
      <c r="AC371" s="4"/>
      <c r="AD371" s="4"/>
      <c r="AE371" s="4"/>
      <c r="AF371" s="4"/>
      <c r="AG371" s="4"/>
      <c r="AH371" s="4"/>
      <c r="AI371" s="4"/>
    </row>
    <row r="372" spans="1:35" x14ac:dyDescent="0.3">
      <c r="A372" s="4"/>
      <c r="B372" s="32"/>
      <c r="C372" s="159" t="s">
        <v>458</v>
      </c>
      <c r="D372" s="57" t="str">
        <f>D368&amp;" en "&amp;D369</f>
        <v xml:space="preserve">a en </v>
      </c>
      <c r="E372" s="302">
        <f>IF(SUM(B367:B371)=0,"",AVERAGE(B367:B371))</f>
        <v>3.85</v>
      </c>
      <c r="F372" s="1656"/>
      <c r="G372" s="1654"/>
      <c r="H372" s="1654"/>
      <c r="I372" s="1654"/>
      <c r="J372" s="1654"/>
      <c r="K372" s="1655"/>
      <c r="L372" s="31"/>
      <c r="M372" s="1654"/>
      <c r="N372" s="131" t="str">
        <f>IF(AND(N368&lt;&gt;"",N369&lt;&gt;""),AVERAGE(N368:N369),"")</f>
        <v/>
      </c>
      <c r="O372" s="176" t="str">
        <f>IF(AND(O368&lt;&gt;"",O369&lt;&gt;""),AVERAGE(O368:O369),"")</f>
        <v/>
      </c>
      <c r="P372" s="1654"/>
      <c r="Q372" s="1654"/>
      <c r="R372" s="1654"/>
      <c r="S372" s="1654"/>
      <c r="T372" s="131"/>
      <c r="U372" s="131">
        <f>IF(AND(U368&lt;&gt;"",U369&lt;&gt;""),AVERAGE(U368:U369),"")</f>
        <v>3.5674649010769355</v>
      </c>
      <c r="V372" s="307" t="str">
        <f>IF(F356="B",U372,N372)</f>
        <v/>
      </c>
      <c r="W372" s="4"/>
      <c r="X372" s="4"/>
      <c r="Y372" s="4"/>
      <c r="Z372" s="4"/>
      <c r="AA372" s="4"/>
      <c r="AB372" s="4"/>
      <c r="AC372" s="4"/>
      <c r="AD372" s="4"/>
      <c r="AE372" s="4"/>
      <c r="AF372" s="4"/>
      <c r="AG372" s="4"/>
      <c r="AH372" s="4"/>
      <c r="AI372" s="4"/>
    </row>
    <row r="373" spans="1:35" x14ac:dyDescent="0.3">
      <c r="A373" s="4"/>
      <c r="B373" s="2">
        <f>IF(D374="","",D104)</f>
        <v>4.1500000000000004</v>
      </c>
      <c r="C373" s="2"/>
      <c r="D373" s="1640"/>
      <c r="E373" s="178" t="s">
        <v>493</v>
      </c>
      <c r="F373" s="1642"/>
      <c r="G373" s="1643"/>
      <c r="H373" s="1644"/>
      <c r="I373" s="1645">
        <v>169</v>
      </c>
      <c r="J373" s="1644"/>
      <c r="K373" s="1646"/>
      <c r="L373" s="180"/>
      <c r="M373" s="1644"/>
      <c r="N373" s="179"/>
      <c r="O373" s="181"/>
      <c r="P373" s="1657"/>
      <c r="Q373" s="1644"/>
      <c r="R373" s="1644"/>
      <c r="S373" s="1644"/>
      <c r="T373" s="179"/>
      <c r="U373" s="179"/>
      <c r="V373" s="305"/>
      <c r="W373" s="4"/>
      <c r="X373" s="4"/>
      <c r="Y373" s="4"/>
      <c r="Z373" s="4"/>
      <c r="AA373" s="4"/>
      <c r="AB373" s="4"/>
      <c r="AC373" s="4"/>
      <c r="AD373" s="4"/>
      <c r="AE373" s="4"/>
      <c r="AF373" s="4"/>
      <c r="AG373" s="4"/>
      <c r="AH373" s="4"/>
      <c r="AI373" s="4"/>
    </row>
    <row r="374" spans="1:35" x14ac:dyDescent="0.3">
      <c r="A374" s="4"/>
      <c r="B374" s="2"/>
      <c r="C374" s="2"/>
      <c r="D374" s="1641" t="s">
        <v>837</v>
      </c>
      <c r="E374" s="793"/>
      <c r="F374" s="1647">
        <v>1100</v>
      </c>
      <c r="G374" s="1648">
        <v>2100</v>
      </c>
      <c r="H374" s="1649"/>
      <c r="I374" s="1649"/>
      <c r="J374" s="1649"/>
      <c r="K374" s="1648">
        <v>1050</v>
      </c>
      <c r="L374" s="794">
        <f>IF(F374="","",100*(K374-F374)/(G374-F374))</f>
        <v>-5</v>
      </c>
      <c r="M374" s="1648">
        <v>3</v>
      </c>
      <c r="N374" s="794">
        <f>IF(F374="","",100*(K374-F374-M374)/(G374-F374))</f>
        <v>-5.3</v>
      </c>
      <c r="O374" s="182">
        <f>IF(M374="","",100*M374/(G374-F374))</f>
        <v>0.3</v>
      </c>
      <c r="P374" s="1648">
        <v>1000</v>
      </c>
      <c r="Q374" s="1648">
        <v>1100</v>
      </c>
      <c r="R374" s="1649"/>
      <c r="S374" s="1648">
        <v>2104</v>
      </c>
      <c r="T374" s="794"/>
      <c r="U374" s="1318">
        <f>IF(P374="","",100*(Q374-P374)/S374)</f>
        <v>4.752851711026616</v>
      </c>
      <c r="V374" s="795">
        <f>IF(F356="B",U374,N374)</f>
        <v>-5.3</v>
      </c>
      <c r="W374" s="4"/>
      <c r="X374" s="4"/>
      <c r="Y374" s="4"/>
      <c r="Z374" s="4"/>
      <c r="AA374" s="4"/>
      <c r="AB374" s="4"/>
      <c r="AC374" s="4"/>
      <c r="AD374" s="4"/>
      <c r="AE374" s="4"/>
      <c r="AF374" s="4"/>
      <c r="AG374" s="4"/>
      <c r="AH374" s="4"/>
      <c r="AI374" s="4"/>
    </row>
    <row r="375" spans="1:35" x14ac:dyDescent="0.3">
      <c r="A375" s="4"/>
      <c r="B375" s="2"/>
      <c r="C375" s="2"/>
      <c r="D375" s="1625" t="s">
        <v>1557</v>
      </c>
      <c r="E375" s="698"/>
      <c r="F375" s="1650">
        <v>1150</v>
      </c>
      <c r="G375" s="1631">
        <v>2150</v>
      </c>
      <c r="H375" s="1651"/>
      <c r="I375" s="1651"/>
      <c r="J375" s="1651"/>
      <c r="K375" s="1631">
        <v>1020</v>
      </c>
      <c r="L375" s="701">
        <f>IF(F375="","",100*(K375-F375)/(G375-F375))</f>
        <v>-13</v>
      </c>
      <c r="M375" s="1631">
        <v>4</v>
      </c>
      <c r="N375" s="701">
        <f>IF(F375="","",100*(K375-F375-M375)/(G375-F375))</f>
        <v>-13.4</v>
      </c>
      <c r="O375" s="791">
        <f>IF(M375="","",100*M375/(G375-F375))</f>
        <v>0.4</v>
      </c>
      <c r="P375" s="1631"/>
      <c r="Q375" s="1631"/>
      <c r="R375" s="1651"/>
      <c r="S375" s="1631"/>
      <c r="T375" s="701"/>
      <c r="U375" s="1315" t="str">
        <f>IF(P375="","",100*(Q375-P375)/S375)</f>
        <v/>
      </c>
      <c r="V375" s="792">
        <f>IF(F356="B",U375,N375)</f>
        <v>-13.4</v>
      </c>
      <c r="W375" s="4"/>
      <c r="X375" s="4"/>
      <c r="Y375" s="4"/>
      <c r="Z375" s="4"/>
      <c r="AA375" s="4"/>
      <c r="AB375" s="4"/>
      <c r="AC375" s="4"/>
      <c r="AD375" s="4"/>
      <c r="AE375" s="4"/>
      <c r="AF375" s="4"/>
      <c r="AG375" s="4"/>
      <c r="AH375" s="4"/>
      <c r="AI375" s="4"/>
    </row>
    <row r="376" spans="1:35" x14ac:dyDescent="0.3">
      <c r="A376" s="4"/>
      <c r="B376" s="2"/>
      <c r="C376" s="2"/>
      <c r="D376" s="1494"/>
      <c r="E376" s="696" t="s">
        <v>725</v>
      </c>
      <c r="F376" s="1652"/>
      <c r="G376" s="1593"/>
      <c r="H376" s="1601"/>
      <c r="I376" s="1601"/>
      <c r="J376" s="1601"/>
      <c r="K376" s="1593">
        <v>1030</v>
      </c>
      <c r="L376" s="133" t="str">
        <f>IF(F376="","",100*(K376-F376)/(G376-F376))</f>
        <v/>
      </c>
      <c r="M376" s="1593"/>
      <c r="N376" s="133" t="str">
        <f>IF(F376="","",100*(K376-F376-M376)/(G376-F376))</f>
        <v/>
      </c>
      <c r="O376" s="175" t="str">
        <f>IF(M376="","",100*M376/(G376-F376))</f>
        <v/>
      </c>
      <c r="P376" s="1593"/>
      <c r="Q376" s="1593"/>
      <c r="R376" s="1601"/>
      <c r="S376" s="1593"/>
      <c r="T376" s="133"/>
      <c r="U376" s="133" t="str">
        <f>IF(P376="","",100*(Q376-P376)/S376)</f>
        <v/>
      </c>
      <c r="V376" s="306"/>
      <c r="W376" s="4"/>
      <c r="X376" s="4"/>
      <c r="Y376" s="4"/>
      <c r="Z376" s="4"/>
      <c r="AA376" s="4"/>
      <c r="AB376" s="4"/>
      <c r="AC376" s="4"/>
      <c r="AD376" s="4"/>
      <c r="AE376" s="4"/>
      <c r="AF376" s="4"/>
      <c r="AG376" s="4"/>
      <c r="AH376" s="4"/>
      <c r="AI376" s="4"/>
    </row>
    <row r="377" spans="1:35" x14ac:dyDescent="0.3">
      <c r="A377" s="4"/>
      <c r="B377" s="2"/>
      <c r="C377" s="2"/>
      <c r="D377" s="1494"/>
      <c r="E377" s="2"/>
      <c r="F377" s="1652">
        <v>1000</v>
      </c>
      <c r="G377" s="1593">
        <v>2000</v>
      </c>
      <c r="H377" s="1601"/>
      <c r="I377" s="1601"/>
      <c r="J377" s="1601"/>
      <c r="K377" s="1593">
        <v>1020</v>
      </c>
      <c r="L377" s="133">
        <f>IF(F377="","",100*(K377-F377)/(G377-F377))</f>
        <v>2</v>
      </c>
      <c r="M377" s="1593"/>
      <c r="N377" s="133">
        <f>IF(F377="","",100*(K377-F377-M377)/(G377-F377))</f>
        <v>2</v>
      </c>
      <c r="O377" s="183" t="str">
        <f>IF(M377="","",100*M377/(G377-F377))</f>
        <v/>
      </c>
      <c r="P377" s="1593"/>
      <c r="Q377" s="1593"/>
      <c r="R377" s="1601"/>
      <c r="S377" s="1593"/>
      <c r="T377" s="133"/>
      <c r="U377" s="133" t="str">
        <f>IF(P377="","",100*(Q377-P377)/S377)</f>
        <v/>
      </c>
      <c r="V377" s="306"/>
      <c r="W377" s="4"/>
      <c r="X377" s="4"/>
      <c r="Y377" s="4"/>
      <c r="Z377" s="4"/>
      <c r="AA377" s="4"/>
      <c r="AB377" s="4"/>
      <c r="AC377" s="4"/>
      <c r="AD377" s="4"/>
      <c r="AE377" s="4"/>
      <c r="AF377" s="4"/>
      <c r="AG377" s="4"/>
      <c r="AH377" s="4"/>
      <c r="AI377" s="4"/>
    </row>
    <row r="378" spans="1:35" x14ac:dyDescent="0.3">
      <c r="A378" s="4"/>
      <c r="B378" s="32"/>
      <c r="C378" s="159" t="s">
        <v>458</v>
      </c>
      <c r="D378" s="57" t="str">
        <f>D374&amp;" en "&amp;D375</f>
        <v>e en f</v>
      </c>
      <c r="E378" s="302">
        <f>IF(SUM(B373:B377)=0,"",AVERAGE(B373:B377))</f>
        <v>4.1500000000000004</v>
      </c>
      <c r="F378" s="177"/>
      <c r="G378" s="160"/>
      <c r="H378" s="131"/>
      <c r="I378" s="131"/>
      <c r="J378" s="131"/>
      <c r="K378" s="31"/>
      <c r="L378" s="31"/>
      <c r="M378" s="131"/>
      <c r="N378" s="131">
        <f>IF(AND(N374&lt;&gt;"",N375&lt;&gt;""),AVERAGE(N374:N375),"")</f>
        <v>-9.35</v>
      </c>
      <c r="O378" s="176">
        <f>IF(AND(O374&lt;&gt;"",O375&lt;&gt;""),AVERAGE(O374:O375),"")</f>
        <v>0.35</v>
      </c>
      <c r="P378" s="131"/>
      <c r="Q378" s="131"/>
      <c r="R378" s="131"/>
      <c r="S378" s="131"/>
      <c r="T378" s="131"/>
      <c r="U378" s="131" t="str">
        <f>IF(AND(U374&lt;&gt;"",U375&lt;&gt;""),AVERAGE(U374:U375),"")</f>
        <v/>
      </c>
      <c r="V378" s="307">
        <f>IF(F356="B",U378,N378)</f>
        <v>-9.35</v>
      </c>
      <c r="W378" s="4"/>
      <c r="X378" s="4"/>
      <c r="Y378" s="4"/>
      <c r="Z378" s="4"/>
      <c r="AA378" s="4"/>
      <c r="AB378" s="4"/>
      <c r="AC378" s="4"/>
      <c r="AD378" s="4"/>
      <c r="AE378" s="4"/>
      <c r="AF378" s="4"/>
      <c r="AG378" s="4"/>
      <c r="AH378" s="4"/>
      <c r="AI378" s="4"/>
    </row>
    <row r="379" spans="1:35" x14ac:dyDescent="0.3">
      <c r="A379" s="4"/>
      <c r="B379" s="172" t="str">
        <f>IF(OR(berekeningen!G88&gt;0,berekeningen!H88&gt;0),"Opgelet !  Het verschil tussen de afdruip van de verschillende monsters is te groot.","")</f>
        <v>Opgelet !  Het verschil tussen de afdruip van de verschillende monsters is te groot.</v>
      </c>
      <c r="C379" s="2"/>
      <c r="D379" s="2"/>
      <c r="E379" s="2"/>
      <c r="F379" s="2"/>
      <c r="G379" s="2"/>
      <c r="H379" s="2"/>
      <c r="I379" s="2"/>
      <c r="J379" s="2"/>
      <c r="K379" s="2"/>
      <c r="L379" s="2"/>
      <c r="M379" s="2"/>
      <c r="N379" s="2"/>
      <c r="O379" s="2"/>
      <c r="P379" s="2"/>
      <c r="Q379" s="2"/>
      <c r="R379" s="2"/>
      <c r="S379" s="2"/>
      <c r="T379" s="2"/>
      <c r="U379" s="2"/>
      <c r="V379" s="2"/>
      <c r="W379" s="4"/>
      <c r="X379" s="4"/>
      <c r="Y379" s="4"/>
      <c r="Z379" s="4"/>
      <c r="AA379" s="4"/>
      <c r="AB379" s="4"/>
      <c r="AC379" s="4"/>
      <c r="AD379" s="4"/>
      <c r="AE379" s="4"/>
      <c r="AF379" s="4"/>
      <c r="AG379" s="4"/>
      <c r="AH379" s="4"/>
      <c r="AI379" s="4"/>
    </row>
    <row r="380" spans="1:35" x14ac:dyDescent="0.3">
      <c r="A380" s="4"/>
      <c r="B380" s="172" t="str">
        <f>IF(MAX(N362,N363,N368,N369,N374,N375)&gt;5,"De proef moet worden herhaald bij een hogere temperatuur (+5 °C).","")</f>
        <v/>
      </c>
      <c r="C380" s="2"/>
      <c r="D380" s="2"/>
      <c r="E380" s="2"/>
      <c r="F380" s="2"/>
      <c r="G380" s="2"/>
      <c r="H380" s="2"/>
      <c r="I380" s="2"/>
      <c r="J380" s="2"/>
      <c r="K380" s="2"/>
      <c r="L380" s="2"/>
      <c r="M380" s="2"/>
      <c r="N380" s="2"/>
      <c r="O380" s="2"/>
      <c r="P380" s="2"/>
      <c r="Q380" s="2"/>
      <c r="R380" s="2"/>
      <c r="S380" s="2"/>
      <c r="T380" s="2"/>
      <c r="U380" s="2"/>
      <c r="V380" s="2"/>
      <c r="W380" s="4"/>
      <c r="X380" s="4"/>
      <c r="Y380" s="4"/>
      <c r="Z380" s="4"/>
      <c r="AA380" s="4"/>
      <c r="AB380" s="4"/>
      <c r="AC380" s="4"/>
      <c r="AD380" s="4"/>
      <c r="AE380" s="4"/>
      <c r="AF380" s="4"/>
      <c r="AG380" s="4"/>
      <c r="AH380" s="4"/>
      <c r="AI380" s="4"/>
    </row>
    <row r="381" spans="1:35"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spans="1:35" ht="14.5" x14ac:dyDescent="0.35">
      <c r="A382" s="4"/>
      <c r="B382" s="5" t="str">
        <f>IF(E387=0,"PROEF ZONDER AFDRUIPREMMER","PROEF MET "&amp;E387&amp;" % AFDRUIPREMMER")</f>
        <v>PROEF MET 0,15 % AFDRUIPREMMER</v>
      </c>
      <c r="C382" s="4"/>
      <c r="D382" s="4"/>
      <c r="E382" s="4"/>
      <c r="F382" s="134"/>
      <c r="G382" s="4"/>
      <c r="H382" s="4"/>
      <c r="I382" s="4"/>
      <c r="J382" s="4"/>
      <c r="K382" s="4"/>
      <c r="L382" s="4"/>
      <c r="M382" s="4"/>
      <c r="N382" s="4"/>
      <c r="O382" s="4"/>
      <c r="P382" s="134"/>
      <c r="Q382" s="4"/>
      <c r="R382" s="4"/>
      <c r="S382" s="4"/>
      <c r="T382" s="4"/>
      <c r="U382" s="4"/>
      <c r="V382" s="4"/>
      <c r="W382" s="4"/>
      <c r="X382" s="4"/>
      <c r="Y382" s="4"/>
      <c r="Z382" s="4"/>
      <c r="AA382" s="4"/>
      <c r="AB382" s="4"/>
      <c r="AC382" s="4"/>
      <c r="AD382" s="4"/>
      <c r="AE382" s="4"/>
      <c r="AF382" s="4"/>
      <c r="AG382" s="4"/>
      <c r="AH382" s="4"/>
      <c r="AI382" s="4"/>
    </row>
    <row r="383" spans="1:35" ht="14.5" x14ac:dyDescent="0.35">
      <c r="A383" s="4"/>
      <c r="B383" s="301" t="s">
        <v>835</v>
      </c>
      <c r="C383" s="301"/>
      <c r="D383" s="1589"/>
      <c r="E383" s="1589"/>
      <c r="F383" s="1494" t="s">
        <v>56</v>
      </c>
      <c r="G383" s="6" t="s">
        <v>645</v>
      </c>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spans="1:35" x14ac:dyDescent="0.3">
      <c r="A384" s="4"/>
      <c r="B384" s="301" t="s">
        <v>836</v>
      </c>
      <c r="C384" s="2"/>
      <c r="D384" s="2139" t="s">
        <v>941</v>
      </c>
      <c r="E384" s="2139"/>
      <c r="F384" s="2139"/>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spans="1:35" ht="14.5" x14ac:dyDescent="0.35">
      <c r="A385" s="4"/>
      <c r="B385" s="2" t="s">
        <v>473</v>
      </c>
      <c r="C385" s="2"/>
      <c r="D385" s="1491"/>
      <c r="E385" s="1491"/>
      <c r="F385" s="1494" t="s">
        <v>1610</v>
      </c>
      <c r="G385" s="6" t="s">
        <v>1250</v>
      </c>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spans="1:35" ht="14.5" x14ac:dyDescent="0.35">
      <c r="A386" s="4"/>
      <c r="B386" s="27"/>
      <c r="C386" s="27"/>
      <c r="D386" s="27"/>
      <c r="E386" s="26"/>
      <c r="F386" s="6"/>
      <c r="G386" s="4"/>
      <c r="H386" s="4"/>
      <c r="I386" s="4"/>
      <c r="J386" s="4"/>
      <c r="K386" s="134" t="s">
        <v>841</v>
      </c>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spans="1:35" x14ac:dyDescent="0.3">
      <c r="A387" s="4"/>
      <c r="B387" s="190" t="s">
        <v>534</v>
      </c>
      <c r="C387" s="49"/>
      <c r="D387" s="49"/>
      <c r="E387" s="1574">
        <v>0.15</v>
      </c>
      <c r="F387" s="191" t="s">
        <v>1263</v>
      </c>
      <c r="G387" s="192"/>
      <c r="H387" s="192"/>
      <c r="I387" s="192"/>
      <c r="J387" s="192"/>
      <c r="K387" s="192"/>
      <c r="L387" s="192"/>
      <c r="M387" s="192"/>
      <c r="N387" s="192"/>
      <c r="O387" s="193"/>
      <c r="P387" s="192" t="s">
        <v>492</v>
      </c>
      <c r="Q387" s="192"/>
      <c r="R387" s="192"/>
      <c r="S387" s="192"/>
      <c r="T387" s="192"/>
      <c r="U387" s="192"/>
      <c r="V387" s="304"/>
      <c r="W387" s="4"/>
      <c r="X387" s="4"/>
      <c r="Y387" s="4"/>
      <c r="Z387" s="4"/>
      <c r="AA387" s="4"/>
      <c r="AB387" s="4"/>
      <c r="AC387" s="4"/>
      <c r="AD387" s="4"/>
      <c r="AE387" s="4"/>
      <c r="AF387" s="4"/>
      <c r="AG387" s="4"/>
      <c r="AH387" s="4"/>
      <c r="AI387" s="4"/>
    </row>
    <row r="388" spans="1:35" x14ac:dyDescent="0.3">
      <c r="A388" s="4"/>
      <c r="B388" s="2" t="s">
        <v>183</v>
      </c>
      <c r="C388" s="2"/>
      <c r="D388" s="2" t="s">
        <v>474</v>
      </c>
      <c r="E388" s="2"/>
      <c r="F388" s="154" t="s">
        <v>478</v>
      </c>
      <c r="G388" s="60" t="s">
        <v>479</v>
      </c>
      <c r="H388" s="60"/>
      <c r="I388" s="18" t="s">
        <v>487</v>
      </c>
      <c r="J388" s="60"/>
      <c r="K388" s="18" t="s">
        <v>482</v>
      </c>
      <c r="L388" s="18" t="s">
        <v>484</v>
      </c>
      <c r="M388" s="18" t="s">
        <v>485</v>
      </c>
      <c r="N388" s="18" t="s">
        <v>489</v>
      </c>
      <c r="O388" s="173" t="s">
        <v>490</v>
      </c>
      <c r="P388" s="18" t="s">
        <v>494</v>
      </c>
      <c r="Q388" s="60" t="s">
        <v>495</v>
      </c>
      <c r="R388" s="18"/>
      <c r="S388" s="60" t="s">
        <v>474</v>
      </c>
      <c r="T388" s="18"/>
      <c r="U388" s="18" t="s">
        <v>489</v>
      </c>
      <c r="V388" s="303" t="s">
        <v>489</v>
      </c>
      <c r="W388" s="4"/>
      <c r="X388" s="4"/>
      <c r="Y388" s="4"/>
      <c r="Z388" s="4"/>
      <c r="AA388" s="4"/>
      <c r="AB388" s="4"/>
      <c r="AC388" s="4"/>
      <c r="AD388" s="4"/>
      <c r="AE388" s="4"/>
      <c r="AF388" s="4"/>
      <c r="AG388" s="4"/>
      <c r="AH388" s="4"/>
      <c r="AI388" s="4"/>
    </row>
    <row r="389" spans="1:35" x14ac:dyDescent="0.3">
      <c r="A389" s="4"/>
      <c r="B389" s="49" t="s">
        <v>337</v>
      </c>
      <c r="C389" s="49"/>
      <c r="D389" s="47" t="s">
        <v>338</v>
      </c>
      <c r="E389" s="49"/>
      <c r="F389" s="155" t="s">
        <v>480</v>
      </c>
      <c r="G389" s="47" t="s">
        <v>481</v>
      </c>
      <c r="H389" s="47"/>
      <c r="I389" s="47" t="s">
        <v>488</v>
      </c>
      <c r="J389" s="47"/>
      <c r="K389" s="47" t="s">
        <v>483</v>
      </c>
      <c r="L389" s="47" t="s">
        <v>132</v>
      </c>
      <c r="M389" s="47" t="s">
        <v>486</v>
      </c>
      <c r="N389" s="47" t="s">
        <v>1357</v>
      </c>
      <c r="O389" s="174" t="s">
        <v>491</v>
      </c>
      <c r="P389" s="47" t="s">
        <v>480</v>
      </c>
      <c r="Q389" s="47" t="s">
        <v>481</v>
      </c>
      <c r="R389" s="47"/>
      <c r="S389" s="47" t="s">
        <v>1439</v>
      </c>
      <c r="T389" s="47"/>
      <c r="U389" s="47" t="s">
        <v>1357</v>
      </c>
      <c r="V389" s="304" t="s">
        <v>1357</v>
      </c>
      <c r="W389" s="4"/>
      <c r="X389" s="4"/>
      <c r="Y389" s="4"/>
      <c r="Z389" s="4"/>
      <c r="AA389" s="4"/>
      <c r="AB389" s="4"/>
      <c r="AC389" s="4"/>
      <c r="AD389" s="4"/>
      <c r="AE389" s="4"/>
      <c r="AF389" s="4"/>
      <c r="AG389" s="4"/>
      <c r="AH389" s="4"/>
      <c r="AI389" s="4"/>
    </row>
    <row r="390" spans="1:35" ht="14.5" x14ac:dyDescent="0.35">
      <c r="A390" s="4"/>
      <c r="B390" s="69">
        <f>IF(D391="","",D38)</f>
        <v>3.5500000000000003</v>
      </c>
      <c r="C390" s="2"/>
      <c r="D390" s="1640" t="s">
        <v>475</v>
      </c>
      <c r="E390" s="178" t="s">
        <v>493</v>
      </c>
      <c r="F390" s="1642"/>
      <c r="G390" s="1643"/>
      <c r="H390" s="1644"/>
      <c r="I390" s="1643"/>
      <c r="J390" s="1644"/>
      <c r="K390" s="1646"/>
      <c r="L390" s="180"/>
      <c r="M390" s="179"/>
      <c r="N390" s="179"/>
      <c r="O390" s="181"/>
      <c r="P390" s="187"/>
      <c r="Q390" s="179"/>
      <c r="R390" s="179"/>
      <c r="S390" s="179"/>
      <c r="T390" s="179"/>
      <c r="U390" s="179"/>
      <c r="V390" s="305"/>
      <c r="W390" s="134" t="s">
        <v>459</v>
      </c>
      <c r="X390" s="4"/>
      <c r="Y390" s="4"/>
      <c r="Z390" s="4"/>
      <c r="AA390" s="4"/>
      <c r="AB390" s="4"/>
      <c r="AC390" s="4"/>
      <c r="AD390" s="4"/>
      <c r="AE390" s="4"/>
      <c r="AF390" s="4"/>
      <c r="AG390" s="4"/>
      <c r="AH390" s="4"/>
      <c r="AI390" s="4"/>
    </row>
    <row r="391" spans="1:35" ht="14.5" x14ac:dyDescent="0.35">
      <c r="A391" s="4"/>
      <c r="B391" s="2"/>
      <c r="C391" s="2"/>
      <c r="D391" s="1494" t="s">
        <v>476</v>
      </c>
      <c r="E391" s="2"/>
      <c r="F391" s="1652">
        <v>1000</v>
      </c>
      <c r="G391" s="1593">
        <v>2000</v>
      </c>
      <c r="H391" s="1601"/>
      <c r="I391" s="1601"/>
      <c r="J391" s="1601"/>
      <c r="K391" s="1593">
        <v>1001</v>
      </c>
      <c r="L391" s="133">
        <f>IF(F391="","",100*(K391-F391)/(G391-F391))</f>
        <v>0.1</v>
      </c>
      <c r="M391" s="1593">
        <v>5</v>
      </c>
      <c r="N391" s="133">
        <f>IF(F391="","",100*(K391-F391-M391)/(G391-F391))</f>
        <v>-0.4</v>
      </c>
      <c r="O391" s="182">
        <f>IF(M391="","",100*M391/(G391-F391))</f>
        <v>0.5</v>
      </c>
      <c r="P391" s="1593">
        <v>1000</v>
      </c>
      <c r="Q391" s="1593">
        <v>1100</v>
      </c>
      <c r="R391" s="1601"/>
      <c r="S391" s="1593">
        <v>50</v>
      </c>
      <c r="T391" s="133"/>
      <c r="U391" s="1314">
        <f>IF(P391="","",100*(Q391-P391)/S391)</f>
        <v>200</v>
      </c>
      <c r="V391" s="306">
        <f>IF(F356="B",U391,N391)</f>
        <v>-0.4</v>
      </c>
      <c r="W391" s="134" t="s">
        <v>1030</v>
      </c>
      <c r="X391" s="4"/>
      <c r="Y391" s="4"/>
      <c r="Z391" s="4"/>
      <c r="AA391" s="4"/>
      <c r="AB391" s="4"/>
      <c r="AC391" s="4"/>
      <c r="AD391" s="4"/>
      <c r="AE391" s="4"/>
      <c r="AF391" s="4"/>
      <c r="AG391" s="4"/>
      <c r="AH391" s="4"/>
      <c r="AI391" s="4"/>
    </row>
    <row r="392" spans="1:35" ht="14.5" x14ac:dyDescent="0.35">
      <c r="A392" s="4"/>
      <c r="B392" s="2"/>
      <c r="C392" s="2"/>
      <c r="D392" s="1494" t="s">
        <v>477</v>
      </c>
      <c r="E392" s="2"/>
      <c r="F392" s="1652">
        <v>1000</v>
      </c>
      <c r="G392" s="1593">
        <v>2000</v>
      </c>
      <c r="H392" s="1601"/>
      <c r="I392" s="1601"/>
      <c r="J392" s="1601"/>
      <c r="K392" s="1593">
        <v>1002</v>
      </c>
      <c r="L392" s="133">
        <f>IF(F392="","",100*(K392-F392)/(G392-F392))</f>
        <v>0.2</v>
      </c>
      <c r="M392" s="1593">
        <v>0</v>
      </c>
      <c r="N392" s="133">
        <f>IF(F392="","",100*(K392-F392-M392)/(G392-F392))</f>
        <v>0.2</v>
      </c>
      <c r="O392" s="175">
        <f>IF(M392="","",100*M392/(G392-F392))</f>
        <v>0</v>
      </c>
      <c r="P392" s="1593">
        <v>1000</v>
      </c>
      <c r="Q392" s="1593">
        <v>1050</v>
      </c>
      <c r="R392" s="1601"/>
      <c r="S392" s="1593">
        <v>50</v>
      </c>
      <c r="T392" s="133"/>
      <c r="U392" s="1314">
        <f>IF(P392="","",100*(Q392-P392)/S392)</f>
        <v>100</v>
      </c>
      <c r="V392" s="306">
        <f>IF(F356="B",U392,N392)</f>
        <v>0.2</v>
      </c>
      <c r="W392" s="134" t="s">
        <v>1031</v>
      </c>
      <c r="X392" s="4"/>
      <c r="Y392" s="4"/>
      <c r="Z392" s="4"/>
      <c r="AA392" s="4"/>
      <c r="AB392" s="4"/>
      <c r="AC392" s="4"/>
      <c r="AD392" s="4"/>
      <c r="AE392" s="4"/>
      <c r="AF392" s="4"/>
      <c r="AG392" s="4"/>
      <c r="AH392" s="4"/>
      <c r="AI392" s="4"/>
    </row>
    <row r="393" spans="1:35" ht="14.5" x14ac:dyDescent="0.35">
      <c r="A393" s="4"/>
      <c r="B393" s="2"/>
      <c r="C393" s="2"/>
      <c r="D393" s="1658"/>
      <c r="E393" s="696" t="s">
        <v>725</v>
      </c>
      <c r="F393" s="1659"/>
      <c r="G393" s="1603"/>
      <c r="H393" s="1604"/>
      <c r="I393" s="1604"/>
      <c r="J393" s="1604"/>
      <c r="K393" s="1603"/>
      <c r="L393" s="691" t="str">
        <f>IF(F393="","",100*(K393-F393)/(G393-F393))</f>
        <v/>
      </c>
      <c r="M393" s="1603"/>
      <c r="N393" s="691" t="str">
        <f>IF(F393="","",100*(K393-F393-M393)/(G393-F393))</f>
        <v/>
      </c>
      <c r="O393" s="789" t="str">
        <f>IF(M393="","",100*M393/(G393-F393))</f>
        <v/>
      </c>
      <c r="P393" s="1603"/>
      <c r="Q393" s="1603"/>
      <c r="R393" s="1604"/>
      <c r="S393" s="1603"/>
      <c r="T393" s="691"/>
      <c r="U393" s="691" t="str">
        <f>IF(P393="","",100*(Q393-P393)/S393)</f>
        <v/>
      </c>
      <c r="V393" s="790"/>
      <c r="W393" s="134"/>
      <c r="X393" s="4"/>
      <c r="Y393" s="4"/>
      <c r="Z393" s="4"/>
      <c r="AA393" s="4"/>
      <c r="AB393" s="4"/>
      <c r="AC393" s="4"/>
      <c r="AD393" s="4"/>
      <c r="AE393" s="4"/>
      <c r="AF393" s="4"/>
      <c r="AG393" s="4"/>
      <c r="AH393" s="4"/>
      <c r="AI393" s="4"/>
    </row>
    <row r="394" spans="1:35" ht="14.5" x14ac:dyDescent="0.35">
      <c r="A394" s="4"/>
      <c r="B394" s="2"/>
      <c r="C394" s="2"/>
      <c r="D394" s="1494"/>
      <c r="E394" s="2"/>
      <c r="F394" s="1652"/>
      <c r="G394" s="1593"/>
      <c r="H394" s="1601"/>
      <c r="I394" s="1601"/>
      <c r="J394" s="1601"/>
      <c r="K394" s="1593"/>
      <c r="L394" s="133" t="str">
        <f>IF(F394="","",100*(K394-F394)/(G394-F394))</f>
        <v/>
      </c>
      <c r="M394" s="1593"/>
      <c r="N394" s="133" t="str">
        <f>IF(F394="","",100*(K394-F394-M394)/(G394-F394))</f>
        <v/>
      </c>
      <c r="O394" s="183" t="str">
        <f>IF(M394="","",100*M394/(G394-F394))</f>
        <v/>
      </c>
      <c r="P394" s="1593"/>
      <c r="Q394" s="1593"/>
      <c r="R394" s="1601"/>
      <c r="S394" s="1593"/>
      <c r="T394" s="133"/>
      <c r="U394" s="133" t="str">
        <f>IF(P394="","",100*(Q394-P394)/S394)</f>
        <v/>
      </c>
      <c r="V394" s="306"/>
      <c r="W394" s="134"/>
      <c r="X394" s="4"/>
      <c r="Y394" s="4"/>
      <c r="Z394" s="4"/>
      <c r="AA394" s="4"/>
      <c r="AB394" s="4"/>
      <c r="AC394" s="4"/>
      <c r="AD394" s="4"/>
      <c r="AE394" s="4"/>
      <c r="AF394" s="4"/>
      <c r="AG394" s="4"/>
      <c r="AH394" s="4"/>
      <c r="AI394" s="4"/>
    </row>
    <row r="395" spans="1:35" ht="14.5" x14ac:dyDescent="0.35">
      <c r="A395" s="4"/>
      <c r="B395" s="32"/>
      <c r="C395" s="159" t="s">
        <v>458</v>
      </c>
      <c r="D395" s="57" t="str">
        <f>D391&amp;" en "&amp;D392</f>
        <v>b en c</v>
      </c>
      <c r="E395" s="302">
        <f>IF(SUM(B390:B394)=0,"",AVERAGE(B390:B394))</f>
        <v>3.5500000000000003</v>
      </c>
      <c r="F395" s="1653"/>
      <c r="G395" s="1654"/>
      <c r="H395" s="1654"/>
      <c r="I395" s="1654"/>
      <c r="J395" s="1654"/>
      <c r="K395" s="1655"/>
      <c r="L395" s="31"/>
      <c r="M395" s="1654"/>
      <c r="N395" s="131">
        <f>IF(AND(N391&lt;&gt;"",N392&lt;&gt;""),AVERAGE(N391:N392),"")</f>
        <v>-0.1</v>
      </c>
      <c r="O395" s="176">
        <f>IF(AND(O391&lt;&gt;"",O392&lt;&gt;""),AVERAGE(O391:O392),"")</f>
        <v>0.25</v>
      </c>
      <c r="P395" s="1654"/>
      <c r="Q395" s="1654"/>
      <c r="R395" s="1654"/>
      <c r="S395" s="1654"/>
      <c r="T395" s="131"/>
      <c r="U395" s="131">
        <f>IF(AND(U391&lt;&gt;"",U392&lt;&gt;""),AVERAGE(U391:U392),"")</f>
        <v>150</v>
      </c>
      <c r="V395" s="307">
        <f>IF(F356="b",U395,N395)</f>
        <v>-0.1</v>
      </c>
      <c r="W395" s="134"/>
      <c r="X395" s="4"/>
      <c r="Y395" s="4"/>
      <c r="Z395" s="4"/>
      <c r="AA395" s="4"/>
      <c r="AB395" s="4"/>
      <c r="AC395" s="4"/>
      <c r="AD395" s="4"/>
      <c r="AE395" s="4"/>
      <c r="AF395" s="4"/>
      <c r="AG395" s="4"/>
      <c r="AH395" s="4"/>
      <c r="AI395" s="4"/>
    </row>
    <row r="396" spans="1:35" ht="14.5" x14ac:dyDescent="0.35">
      <c r="A396" s="4"/>
      <c r="B396" s="69">
        <f>IF(D397="","",D68)</f>
        <v>3.85</v>
      </c>
      <c r="C396" s="2"/>
      <c r="D396" s="1640"/>
      <c r="E396" s="178" t="s">
        <v>493</v>
      </c>
      <c r="F396" s="1642"/>
      <c r="G396" s="1643"/>
      <c r="H396" s="1644"/>
      <c r="I396" s="1643"/>
      <c r="J396" s="1644"/>
      <c r="K396" s="1646"/>
      <c r="L396" s="180"/>
      <c r="M396" s="1644"/>
      <c r="N396" s="179"/>
      <c r="O396" s="181"/>
      <c r="P396" s="1657"/>
      <c r="Q396" s="1644"/>
      <c r="R396" s="1644"/>
      <c r="S396" s="1644"/>
      <c r="T396" s="179"/>
      <c r="U396" s="179"/>
      <c r="V396" s="305"/>
      <c r="W396" s="134"/>
      <c r="X396" s="4"/>
      <c r="Y396" s="4"/>
      <c r="Z396" s="4"/>
      <c r="AA396" s="4"/>
      <c r="AB396" s="4"/>
      <c r="AC396" s="4"/>
      <c r="AD396" s="4"/>
      <c r="AE396" s="4"/>
      <c r="AF396" s="4"/>
      <c r="AG396" s="4"/>
      <c r="AH396" s="4"/>
      <c r="AI396" s="4"/>
    </row>
    <row r="397" spans="1:35" x14ac:dyDescent="0.3">
      <c r="A397" s="4"/>
      <c r="B397" s="2"/>
      <c r="C397" s="2"/>
      <c r="D397" s="1494" t="s">
        <v>549</v>
      </c>
      <c r="E397" s="2"/>
      <c r="F397" s="1652"/>
      <c r="G397" s="1593"/>
      <c r="H397" s="1601"/>
      <c r="I397" s="1601"/>
      <c r="J397" s="1601"/>
      <c r="K397" s="1593"/>
      <c r="L397" s="133" t="str">
        <f>IF(F397="","",100*(K397-F397)/(G397-F397))</f>
        <v/>
      </c>
      <c r="M397" s="1593"/>
      <c r="N397" s="133" t="str">
        <f>IF(F397="","",100*(K397-F397-M397)/(G397-F397))</f>
        <v/>
      </c>
      <c r="O397" s="182" t="str">
        <f>IF(M397="","",100*M397/(G397-F397))</f>
        <v/>
      </c>
      <c r="P397" s="1593"/>
      <c r="Q397" s="1593"/>
      <c r="R397" s="1601"/>
      <c r="S397" s="1593"/>
      <c r="T397" s="133"/>
      <c r="U397" s="1314" t="str">
        <f>IF(P397="","",100*(Q397-P397)/S397)</f>
        <v/>
      </c>
      <c r="V397" s="306" t="str">
        <f>IF(F356="B",U397,N397)</f>
        <v/>
      </c>
      <c r="W397" s="4"/>
      <c r="X397" s="4"/>
      <c r="Y397" s="4"/>
      <c r="Z397" s="4"/>
      <c r="AA397" s="4"/>
      <c r="AB397" s="4"/>
      <c r="AC397" s="4"/>
      <c r="AD397" s="4"/>
      <c r="AE397" s="4"/>
      <c r="AF397" s="4"/>
      <c r="AG397" s="4"/>
      <c r="AH397" s="4"/>
      <c r="AI397" s="4"/>
    </row>
    <row r="398" spans="1:35" x14ac:dyDescent="0.3">
      <c r="A398" s="4"/>
      <c r="B398" s="2"/>
      <c r="C398" s="2"/>
      <c r="D398" s="1494"/>
      <c r="E398" s="2"/>
      <c r="F398" s="1652"/>
      <c r="G398" s="1593"/>
      <c r="H398" s="1601"/>
      <c r="I398" s="1601"/>
      <c r="J398" s="1601"/>
      <c r="K398" s="1593"/>
      <c r="L398" s="133" t="str">
        <f>IF(F398="","",100*(K398-F398)/(G398-F398))</f>
        <v/>
      </c>
      <c r="M398" s="1593"/>
      <c r="N398" s="133" t="str">
        <f>IF(F398="","",100*(K398-F398-M398)/(G398-F398))</f>
        <v/>
      </c>
      <c r="O398" s="175" t="str">
        <f>IF(M398="","",100*M398/(G398-F398))</f>
        <v/>
      </c>
      <c r="P398" s="1593"/>
      <c r="Q398" s="1593"/>
      <c r="R398" s="1601"/>
      <c r="S398" s="1593"/>
      <c r="T398" s="133"/>
      <c r="U398" s="1314" t="str">
        <f>IF(P398="","",100*(Q398-P398)/S398)</f>
        <v/>
      </c>
      <c r="V398" s="306" t="str">
        <f>IF(F356="B",U398,N398)</f>
        <v/>
      </c>
      <c r="W398" s="4"/>
      <c r="X398" s="4"/>
      <c r="Y398" s="4"/>
      <c r="Z398" s="4"/>
      <c r="AA398" s="4"/>
      <c r="AB398" s="4"/>
      <c r="AC398" s="4"/>
      <c r="AD398" s="4"/>
      <c r="AE398" s="4"/>
      <c r="AF398" s="4"/>
      <c r="AG398" s="4"/>
      <c r="AH398" s="4"/>
      <c r="AI398" s="4"/>
    </row>
    <row r="399" spans="1:35" x14ac:dyDescent="0.3">
      <c r="A399" s="4"/>
      <c r="B399" s="2"/>
      <c r="C399" s="2"/>
      <c r="D399" s="1658"/>
      <c r="E399" s="696" t="s">
        <v>725</v>
      </c>
      <c r="F399" s="1659"/>
      <c r="G399" s="1603"/>
      <c r="H399" s="1604"/>
      <c r="I399" s="1604"/>
      <c r="J399" s="1604"/>
      <c r="K399" s="1603"/>
      <c r="L399" s="691" t="str">
        <f>IF(F399="","",100*(K399-F399)/(G399-F399))</f>
        <v/>
      </c>
      <c r="M399" s="1603"/>
      <c r="N399" s="691" t="str">
        <f>IF(F399="","",100*(K399-F399-M399)/(G399-F399))</f>
        <v/>
      </c>
      <c r="O399" s="789" t="str">
        <f>IF(M399="","",100*M399/(G399-F399))</f>
        <v/>
      </c>
      <c r="P399" s="1603"/>
      <c r="Q399" s="1603"/>
      <c r="R399" s="1604"/>
      <c r="S399" s="1603"/>
      <c r="T399" s="691"/>
      <c r="U399" s="691" t="str">
        <f>IF(P399="","",100*(Q399-P399)/S399)</f>
        <v/>
      </c>
      <c r="V399" s="790"/>
      <c r="W399" s="4"/>
      <c r="X399" s="4"/>
      <c r="Y399" s="4"/>
      <c r="Z399" s="4"/>
      <c r="AA399" s="4"/>
      <c r="AB399" s="4"/>
      <c r="AC399" s="4"/>
      <c r="AD399" s="4"/>
      <c r="AE399" s="4"/>
      <c r="AF399" s="4"/>
      <c r="AG399" s="4"/>
      <c r="AH399" s="4"/>
      <c r="AI399" s="4"/>
    </row>
    <row r="400" spans="1:35" x14ac:dyDescent="0.3">
      <c r="A400" s="4"/>
      <c r="B400" s="2"/>
      <c r="C400" s="2"/>
      <c r="D400" s="1494"/>
      <c r="E400" s="2"/>
      <c r="F400" s="1652"/>
      <c r="G400" s="1593"/>
      <c r="H400" s="1601"/>
      <c r="I400" s="1601"/>
      <c r="J400" s="1601"/>
      <c r="K400" s="1593"/>
      <c r="L400" s="133" t="str">
        <f>IF(F400="","",100*(K400-F400)/(G400-F400))</f>
        <v/>
      </c>
      <c r="M400" s="1593"/>
      <c r="N400" s="133" t="str">
        <f>IF(F400="","",100*(K400-F400-M400)/(G400-F400))</f>
        <v/>
      </c>
      <c r="O400" s="183" t="str">
        <f>IF(M400="","",100*M400/(G400-F400))</f>
        <v/>
      </c>
      <c r="P400" s="1593"/>
      <c r="Q400" s="1593"/>
      <c r="R400" s="1601"/>
      <c r="S400" s="1593"/>
      <c r="T400" s="133"/>
      <c r="U400" s="133" t="str">
        <f>IF(P400="","",100*(Q400-P400)/S400)</f>
        <v/>
      </c>
      <c r="V400" s="306"/>
      <c r="W400" s="4"/>
      <c r="X400" s="4"/>
      <c r="Y400" s="4"/>
      <c r="Z400" s="4"/>
      <c r="AA400" s="4"/>
      <c r="AB400" s="4"/>
      <c r="AC400" s="4"/>
      <c r="AD400" s="4"/>
      <c r="AE400" s="4"/>
      <c r="AF400" s="4"/>
      <c r="AG400" s="4"/>
      <c r="AH400" s="4"/>
      <c r="AI400" s="4"/>
    </row>
    <row r="401" spans="1:35" x14ac:dyDescent="0.3">
      <c r="A401" s="4"/>
      <c r="B401" s="32"/>
      <c r="C401" s="159" t="s">
        <v>458</v>
      </c>
      <c r="D401" s="57" t="str">
        <f>D397&amp;" en "&amp;D398</f>
        <v xml:space="preserve">d en </v>
      </c>
      <c r="E401" s="302">
        <f>IF(SUM(B396:B400)=0,"",AVERAGE(B396:B400))</f>
        <v>3.85</v>
      </c>
      <c r="F401" s="1656"/>
      <c r="G401" s="1654"/>
      <c r="H401" s="1654"/>
      <c r="I401" s="1654"/>
      <c r="J401" s="1654"/>
      <c r="K401" s="1655"/>
      <c r="L401" s="31"/>
      <c r="M401" s="1654"/>
      <c r="N401" s="131" t="str">
        <f>IF(AND(N397&lt;&gt;"",N398&lt;&gt;""),AVERAGE(N397:N398),"")</f>
        <v/>
      </c>
      <c r="O401" s="176" t="str">
        <f>IF(AND(O397&lt;&gt;"",O398&lt;&gt;""),AVERAGE(O397:O398),"")</f>
        <v/>
      </c>
      <c r="P401" s="1654"/>
      <c r="Q401" s="1654"/>
      <c r="R401" s="1654"/>
      <c r="S401" s="1654"/>
      <c r="T401" s="131"/>
      <c r="U401" s="131" t="str">
        <f>IF(AND(U397&lt;&gt;"",U398&lt;&gt;""),AVERAGE(U397:U398),"")</f>
        <v/>
      </c>
      <c r="V401" s="307" t="str">
        <f>IF(F356="b",U401,N401)</f>
        <v/>
      </c>
      <c r="W401" s="4"/>
      <c r="X401" s="4"/>
      <c r="Y401" s="4"/>
      <c r="Z401" s="4"/>
      <c r="AA401" s="4"/>
      <c r="AB401" s="4"/>
      <c r="AC401" s="4"/>
      <c r="AD401" s="4"/>
      <c r="AE401" s="4"/>
      <c r="AF401" s="4"/>
      <c r="AG401" s="4"/>
      <c r="AH401" s="4"/>
      <c r="AI401" s="4"/>
    </row>
    <row r="402" spans="1:35" x14ac:dyDescent="0.3">
      <c r="A402" s="4"/>
      <c r="B402" s="2">
        <f>IF(D403="","",D104)</f>
        <v>4.1500000000000004</v>
      </c>
      <c r="C402" s="2"/>
      <c r="D402" s="1640"/>
      <c r="E402" s="178" t="s">
        <v>493</v>
      </c>
      <c r="F402" s="1642"/>
      <c r="G402" s="1643"/>
      <c r="H402" s="1644"/>
      <c r="I402" s="1643"/>
      <c r="J402" s="1644"/>
      <c r="K402" s="1646"/>
      <c r="L402" s="180"/>
      <c r="M402" s="1644"/>
      <c r="N402" s="179"/>
      <c r="O402" s="181"/>
      <c r="P402" s="1657"/>
      <c r="Q402" s="1644"/>
      <c r="R402" s="1644"/>
      <c r="S402" s="1644"/>
      <c r="T402" s="179"/>
      <c r="U402" s="179"/>
      <c r="V402" s="305"/>
      <c r="W402" s="4"/>
      <c r="X402" s="4"/>
      <c r="Y402" s="4"/>
      <c r="Z402" s="4"/>
      <c r="AA402" s="4"/>
      <c r="AB402" s="4"/>
      <c r="AC402" s="4"/>
      <c r="AD402" s="4"/>
      <c r="AE402" s="4"/>
      <c r="AF402" s="4"/>
      <c r="AG402" s="4"/>
      <c r="AH402" s="4"/>
      <c r="AI402" s="4"/>
    </row>
    <row r="403" spans="1:35" x14ac:dyDescent="0.3">
      <c r="A403" s="4"/>
      <c r="B403" s="2"/>
      <c r="C403" s="2"/>
      <c r="D403" s="1494" t="s">
        <v>837</v>
      </c>
      <c r="E403" s="2"/>
      <c r="F403" s="1652">
        <v>550</v>
      </c>
      <c r="G403" s="1593">
        <v>1550</v>
      </c>
      <c r="H403" s="1601"/>
      <c r="I403" s="1601"/>
      <c r="J403" s="1601"/>
      <c r="K403" s="1593">
        <v>1050</v>
      </c>
      <c r="L403" s="133">
        <f>IF(F403="","",100*(K403-F403)/(G403-F403))</f>
        <v>50</v>
      </c>
      <c r="M403" s="1593">
        <v>22</v>
      </c>
      <c r="N403" s="133">
        <f>IF(F403="","",100*(K403-F403-M403)/(G403-F403))</f>
        <v>47.8</v>
      </c>
      <c r="O403" s="182">
        <f>IF(M403="","",100*M403/(G403-F403))</f>
        <v>2.2000000000000002</v>
      </c>
      <c r="P403" s="1593">
        <v>1000</v>
      </c>
      <c r="Q403" s="1593">
        <v>1100</v>
      </c>
      <c r="R403" s="1601"/>
      <c r="S403" s="1593">
        <v>60</v>
      </c>
      <c r="T403" s="133"/>
      <c r="U403" s="1314">
        <f>IF(P403="","",100*(Q403-P403)/S403)</f>
        <v>166.66666666666666</v>
      </c>
      <c r="V403" s="306">
        <f>IF(F356="B",U403,N403)</f>
        <v>47.8</v>
      </c>
      <c r="W403" s="4"/>
      <c r="X403" s="4"/>
      <c r="Y403" s="4"/>
      <c r="Z403" s="4"/>
      <c r="AA403" s="4"/>
      <c r="AB403" s="4"/>
      <c r="AC403" s="4"/>
      <c r="AD403" s="4"/>
      <c r="AE403" s="4"/>
      <c r="AF403" s="4"/>
      <c r="AG403" s="4"/>
      <c r="AH403" s="4"/>
      <c r="AI403" s="4"/>
    </row>
    <row r="404" spans="1:35" x14ac:dyDescent="0.3">
      <c r="A404" s="4"/>
      <c r="B404" s="2"/>
      <c r="C404" s="2"/>
      <c r="D404" s="1494"/>
      <c r="E404" s="2"/>
      <c r="F404" s="1652">
        <v>560</v>
      </c>
      <c r="G404" s="1593">
        <v>1650</v>
      </c>
      <c r="H404" s="1601"/>
      <c r="I404" s="1601"/>
      <c r="J404" s="1601"/>
      <c r="K404" s="1593">
        <v>1020</v>
      </c>
      <c r="L404" s="133">
        <f>IF(F404="","",100*(K404-F404)/(G404-F404))</f>
        <v>42.201834862385319</v>
      </c>
      <c r="M404" s="1593"/>
      <c r="N404" s="133">
        <f>IF(F404="","",100*(K404-F404-M404)/(G404-F404))</f>
        <v>42.201834862385319</v>
      </c>
      <c r="O404" s="175" t="str">
        <f>IF(M404="","",100*M404/(G404-F404))</f>
        <v/>
      </c>
      <c r="P404" s="1593">
        <v>900</v>
      </c>
      <c r="Q404" s="1593">
        <v>1300</v>
      </c>
      <c r="R404" s="1601"/>
      <c r="S404" s="1593">
        <v>50</v>
      </c>
      <c r="T404" s="133"/>
      <c r="U404" s="1314">
        <f>IF(P404="","",100*(Q404-P404)/S404)</f>
        <v>800</v>
      </c>
      <c r="V404" s="306">
        <f>IF(F356="B",U404,N404)</f>
        <v>42.201834862385319</v>
      </c>
      <c r="W404" s="4"/>
      <c r="X404" s="4"/>
      <c r="Y404" s="4"/>
      <c r="Z404" s="4"/>
      <c r="AA404" s="4"/>
      <c r="AB404" s="4"/>
      <c r="AC404" s="4"/>
      <c r="AD404" s="4"/>
      <c r="AE404" s="4"/>
      <c r="AF404" s="4"/>
      <c r="AG404" s="4"/>
      <c r="AH404" s="4"/>
      <c r="AI404" s="4"/>
    </row>
    <row r="405" spans="1:35" x14ac:dyDescent="0.3">
      <c r="A405" s="4"/>
      <c r="B405" s="2"/>
      <c r="C405" s="2"/>
      <c r="D405" s="1658"/>
      <c r="E405" s="696" t="s">
        <v>725</v>
      </c>
      <c r="F405" s="1659"/>
      <c r="G405" s="1603"/>
      <c r="H405" s="1604"/>
      <c r="I405" s="1604"/>
      <c r="J405" s="1604"/>
      <c r="K405" s="1603">
        <v>1030</v>
      </c>
      <c r="L405" s="691" t="str">
        <f>IF(F405="","",100*(K405-F405)/(G405-F405))</f>
        <v/>
      </c>
      <c r="M405" s="1603"/>
      <c r="N405" s="691" t="str">
        <f>IF(F405="","",100*(K405-F405-M405)/(G405-F405))</f>
        <v/>
      </c>
      <c r="O405" s="789" t="str">
        <f>IF(M405="","",100*M405/(G405-F405))</f>
        <v/>
      </c>
      <c r="P405" s="1603"/>
      <c r="Q405" s="1603"/>
      <c r="R405" s="1604"/>
      <c r="S405" s="1603"/>
      <c r="T405" s="691"/>
      <c r="U405" s="691" t="str">
        <f>IF(P405="","",100*(Q405-P405)/S405)</f>
        <v/>
      </c>
      <c r="V405" s="790"/>
      <c r="W405" s="4"/>
      <c r="X405" s="4"/>
      <c r="Y405" s="4"/>
      <c r="Z405" s="4"/>
      <c r="AA405" s="4"/>
      <c r="AB405" s="4"/>
      <c r="AC405" s="4"/>
      <c r="AD405" s="4"/>
      <c r="AE405" s="4"/>
      <c r="AF405" s="4"/>
      <c r="AG405" s="4"/>
      <c r="AH405" s="4"/>
      <c r="AI405" s="4"/>
    </row>
    <row r="406" spans="1:35" x14ac:dyDescent="0.3">
      <c r="A406" s="4"/>
      <c r="B406" s="2"/>
      <c r="C406" s="2"/>
      <c r="D406" s="1494"/>
      <c r="E406" s="2"/>
      <c r="F406" s="1652">
        <v>1000</v>
      </c>
      <c r="G406" s="1593">
        <v>2000</v>
      </c>
      <c r="H406" s="1601"/>
      <c r="I406" s="1601"/>
      <c r="J406" s="1601"/>
      <c r="K406" s="1593">
        <v>1020</v>
      </c>
      <c r="L406" s="133">
        <f>IF(F406="","",100*(K406-F406)/(G406-F406))</f>
        <v>2</v>
      </c>
      <c r="M406" s="1593"/>
      <c r="N406" s="133">
        <f>IF(F406="","",100*(K406-F406-M406)/(G406-F406))</f>
        <v>2</v>
      </c>
      <c r="O406" s="183" t="str">
        <f>IF(M406="","",100*M406/(G406-F406))</f>
        <v/>
      </c>
      <c r="P406" s="1593"/>
      <c r="Q406" s="1593"/>
      <c r="R406" s="1601"/>
      <c r="S406" s="1593"/>
      <c r="T406" s="133"/>
      <c r="U406" s="133" t="str">
        <f>IF(P406="","",100*(Q406-P406)/S406)</f>
        <v/>
      </c>
      <c r="V406" s="306"/>
      <c r="W406" s="4"/>
      <c r="X406" s="4"/>
      <c r="Y406" s="4"/>
      <c r="Z406" s="4"/>
      <c r="AA406" s="4"/>
      <c r="AB406" s="4"/>
      <c r="AC406" s="4"/>
      <c r="AD406" s="4"/>
      <c r="AE406" s="4"/>
      <c r="AF406" s="4"/>
      <c r="AG406" s="4"/>
      <c r="AH406" s="4"/>
      <c r="AI406" s="4"/>
    </row>
    <row r="407" spans="1:35" x14ac:dyDescent="0.3">
      <c r="A407" s="4"/>
      <c r="B407" s="32"/>
      <c r="C407" s="159" t="s">
        <v>458</v>
      </c>
      <c r="D407" s="57" t="str">
        <f>D403&amp;" en "&amp;D404</f>
        <v xml:space="preserve">e en </v>
      </c>
      <c r="E407" s="302">
        <f>IF(SUM(B402:B406)=0,"",AVERAGE(B402:B406))</f>
        <v>4.1500000000000004</v>
      </c>
      <c r="F407" s="177"/>
      <c r="G407" s="160"/>
      <c r="H407" s="131"/>
      <c r="I407" s="131"/>
      <c r="J407" s="131"/>
      <c r="K407" s="31"/>
      <c r="L407" s="31"/>
      <c r="M407" s="131"/>
      <c r="N407" s="131">
        <f>IF(AND(N403&lt;&gt;"",N404&lt;&gt;""),AVERAGE(N403:N404),"")</f>
        <v>45.000917431192661</v>
      </c>
      <c r="O407" s="176" t="str">
        <f>IF(AND(O403&lt;&gt;"",O404&lt;&gt;""),AVERAGE(O403:O404),"")</f>
        <v/>
      </c>
      <c r="P407" s="131"/>
      <c r="Q407" s="131"/>
      <c r="R407" s="131"/>
      <c r="S407" s="131"/>
      <c r="T407" s="131"/>
      <c r="U407" s="131">
        <f>IF(AND(U403&lt;&gt;"",U404&lt;&gt;""),AVERAGE(U403:U404),"")</f>
        <v>483.33333333333331</v>
      </c>
      <c r="V407" s="307">
        <f>IF(F356="b",U407,N407)</f>
        <v>45.000917431192661</v>
      </c>
      <c r="W407" s="4"/>
      <c r="X407" s="4"/>
      <c r="Y407" s="4"/>
      <c r="Z407" s="4"/>
      <c r="AA407" s="4"/>
      <c r="AB407" s="4"/>
      <c r="AC407" s="4"/>
      <c r="AD407" s="4"/>
      <c r="AE407" s="4"/>
      <c r="AF407" s="4"/>
      <c r="AG407" s="4"/>
      <c r="AH407" s="4"/>
      <c r="AI407" s="4"/>
    </row>
    <row r="408" spans="1:35" x14ac:dyDescent="0.3">
      <c r="A408" s="4"/>
      <c r="B408" s="172" t="str">
        <f>IF(OR(berekeningen!K88&gt;0,berekeningen!L88&gt;0),"Opgelet !  Het verschil tussen de afdruip van de verschillende monsters is te groot.","")</f>
        <v>Opgelet !  Het verschil tussen de afdruip van de verschillende monsters is te groot.</v>
      </c>
      <c r="C408" s="2"/>
      <c r="D408" s="2"/>
      <c r="E408" s="2"/>
      <c r="F408" s="2"/>
      <c r="G408" s="2"/>
      <c r="H408" s="2"/>
      <c r="I408" s="2"/>
      <c r="J408" s="2"/>
      <c r="K408" s="2"/>
      <c r="L408" s="2"/>
      <c r="M408" s="2"/>
      <c r="N408" s="2"/>
      <c r="O408" s="2"/>
      <c r="P408" s="2"/>
      <c r="Q408" s="2"/>
      <c r="R408" s="2"/>
      <c r="S408" s="2"/>
      <c r="T408" s="2"/>
      <c r="U408" s="2"/>
      <c r="V408" s="2"/>
      <c r="W408" s="4"/>
      <c r="X408" s="4"/>
      <c r="Y408" s="4"/>
      <c r="Z408" s="4"/>
      <c r="AA408" s="4"/>
      <c r="AB408" s="4"/>
      <c r="AC408" s="4"/>
      <c r="AD408" s="4"/>
      <c r="AE408" s="4"/>
      <c r="AF408" s="4"/>
      <c r="AG408" s="4"/>
      <c r="AH408" s="4"/>
      <c r="AI408" s="4"/>
    </row>
    <row r="409" spans="1:35" x14ac:dyDescent="0.3">
      <c r="A409" s="4"/>
      <c r="B409" s="172" t="str">
        <f>IF(MAX(N391,N392,N397,N398,N403,N404)&gt;5,"De proef moet worden herhaald bij een hogere temperatuur (+5 °C).","")</f>
        <v>De proef moet worden herhaald bij een hogere temperatuur (+5 °C).</v>
      </c>
      <c r="C409" s="2"/>
      <c r="D409" s="2"/>
      <c r="E409" s="2"/>
      <c r="F409" s="2"/>
      <c r="G409" s="2"/>
      <c r="H409" s="2"/>
      <c r="I409" s="2"/>
      <c r="J409" s="2"/>
      <c r="K409" s="2"/>
      <c r="L409" s="2"/>
      <c r="M409" s="2"/>
      <c r="N409" s="2"/>
      <c r="O409" s="2"/>
      <c r="P409" s="2"/>
      <c r="Q409" s="2"/>
      <c r="R409" s="2"/>
      <c r="S409" s="2"/>
      <c r="T409" s="2"/>
      <c r="U409" s="2"/>
      <c r="V409" s="2"/>
      <c r="W409" s="4"/>
      <c r="X409" s="4"/>
      <c r="Y409" s="4"/>
      <c r="Z409" s="4"/>
      <c r="AA409" s="4"/>
      <c r="AB409" s="4"/>
      <c r="AC409" s="4"/>
      <c r="AD409" s="4"/>
      <c r="AE409" s="4"/>
      <c r="AF409" s="4"/>
      <c r="AG409" s="4"/>
      <c r="AH409" s="4"/>
      <c r="AI409" s="4"/>
    </row>
    <row r="410" spans="1:35"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spans="1:35" x14ac:dyDescent="0.3">
      <c r="A411" s="4"/>
      <c r="B411" s="5" t="s">
        <v>640</v>
      </c>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spans="1:35" x14ac:dyDescent="0.3">
      <c r="A412" s="4"/>
      <c r="B412" s="2" t="str">
        <f>IF(E358=0,"Afdruip zonder afdruipremmer","Afdruip met "&amp;E358&amp;" afdruipremmer")</f>
        <v>Afdruip zonder afdruipremmer</v>
      </c>
      <c r="C412" s="2"/>
      <c r="D412" s="2"/>
      <c r="E412" s="2"/>
      <c r="F412" s="2" t="s">
        <v>642</v>
      </c>
      <c r="G412" s="2">
        <f>samenstelling!C158</f>
        <v>3.85</v>
      </c>
      <c r="H412" s="2" t="s">
        <v>643</v>
      </c>
      <c r="I412" s="2"/>
      <c r="J412" s="1400" t="str">
        <f>IF(F354="J",VLOOKUP(G412,E366:V378,18,FALSE),"")</f>
        <v/>
      </c>
      <c r="K412" s="2" t="s">
        <v>182</v>
      </c>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spans="1:35" x14ac:dyDescent="0.3">
      <c r="A413" s="4"/>
      <c r="B413" s="2" t="str">
        <f>IF(E387=0,"Afdruip zonder afdruipremmer","Afdruip met "&amp;E387&amp;" % afdruipremmer")</f>
        <v>Afdruip met 0,15 % afdruipremmer</v>
      </c>
      <c r="C413" s="2"/>
      <c r="D413" s="2"/>
      <c r="E413" s="2"/>
      <c r="F413" s="2" t="s">
        <v>642</v>
      </c>
      <c r="G413" s="2">
        <f>samenstelling!C158</f>
        <v>3.85</v>
      </c>
      <c r="H413" s="2" t="s">
        <v>643</v>
      </c>
      <c r="I413" s="2"/>
      <c r="J413" s="1400" t="str">
        <f>IF(F383="J",VLOOKUP(G413,E395:V407,18,FALSE),"")</f>
        <v/>
      </c>
      <c r="K413" s="2" t="s">
        <v>182</v>
      </c>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spans="1:35"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spans="1:35" ht="14.5" x14ac:dyDescent="0.35">
      <c r="A415" s="4"/>
      <c r="B415" s="5" t="s">
        <v>906</v>
      </c>
      <c r="C415" s="4"/>
      <c r="D415" s="4"/>
      <c r="E415" s="4"/>
      <c r="F415" s="134" t="s">
        <v>1654</v>
      </c>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spans="1:35" ht="14.5" x14ac:dyDescent="0.35">
      <c r="A416" s="4"/>
      <c r="B416" s="2" t="s">
        <v>907</v>
      </c>
      <c r="C416" s="2"/>
      <c r="D416" s="2"/>
      <c r="E416" s="3" t="s">
        <v>867</v>
      </c>
      <c r="F416" s="1632" t="s">
        <v>916</v>
      </c>
      <c r="G416" s="134" t="s">
        <v>1087</v>
      </c>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spans="1:35"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spans="1:35"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spans="1:35" x14ac:dyDescent="0.3">
      <c r="A419" s="13" t="s">
        <v>497</v>
      </c>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row>
    <row r="420" spans="1:35"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spans="1:35" ht="14.5" x14ac:dyDescent="0.35">
      <c r="A421" s="4"/>
      <c r="B421" s="5" t="s">
        <v>644</v>
      </c>
      <c r="C421" s="4"/>
      <c r="D421" s="4"/>
      <c r="E421" s="1471" t="s">
        <v>56</v>
      </c>
      <c r="F421" s="6" t="s">
        <v>645</v>
      </c>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spans="1:35" x14ac:dyDescent="0.3">
      <c r="A422" s="4"/>
      <c r="B422" s="5" t="s">
        <v>331</v>
      </c>
      <c r="C422" s="4"/>
      <c r="D422" s="4"/>
      <c r="E422" s="2139" t="s">
        <v>941</v>
      </c>
      <c r="F422" s="2139"/>
      <c r="G422" s="2139"/>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spans="1:35"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spans="1:35" x14ac:dyDescent="0.3">
      <c r="A424" s="4"/>
      <c r="B424" s="5" t="s">
        <v>330</v>
      </c>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spans="1:35" ht="14.5" x14ac:dyDescent="0.35">
      <c r="A425" s="4"/>
      <c r="B425" s="2" t="s">
        <v>1021</v>
      </c>
      <c r="C425" s="2"/>
      <c r="D425" s="2"/>
      <c r="E425" s="2"/>
      <c r="F425" s="2"/>
      <c r="G425" s="2"/>
      <c r="H425" s="2"/>
      <c r="I425" s="2"/>
      <c r="J425" s="2"/>
      <c r="K425" s="2"/>
      <c r="L425" s="1494" t="s">
        <v>839</v>
      </c>
      <c r="M425" s="134" t="s">
        <v>838</v>
      </c>
      <c r="N425" s="4"/>
      <c r="O425" s="4"/>
      <c r="P425" s="4"/>
      <c r="Q425" s="4"/>
      <c r="R425" s="4"/>
      <c r="S425" s="4"/>
      <c r="T425" s="4"/>
      <c r="U425" s="4"/>
      <c r="V425" s="4"/>
      <c r="W425" s="4"/>
      <c r="X425" s="4"/>
      <c r="Y425" s="4"/>
      <c r="Z425" s="4"/>
      <c r="AA425" s="4"/>
      <c r="AB425" s="4"/>
      <c r="AC425" s="4"/>
      <c r="AD425" s="4"/>
      <c r="AE425" s="4"/>
      <c r="AF425" s="4"/>
      <c r="AG425" s="4"/>
      <c r="AH425" s="4"/>
      <c r="AI425" s="4"/>
    </row>
    <row r="426" spans="1:35" ht="14.5" x14ac:dyDescent="0.35">
      <c r="A426" s="4"/>
      <c r="B426" s="2" t="s">
        <v>1034</v>
      </c>
      <c r="C426" s="2"/>
      <c r="D426" s="2"/>
      <c r="E426" s="2"/>
      <c r="F426" s="2"/>
      <c r="G426" s="2"/>
      <c r="H426" s="2"/>
      <c r="I426" s="2"/>
      <c r="J426" s="2"/>
      <c r="K426" s="2"/>
      <c r="L426" s="152" t="str">
        <f>G443</f>
        <v>C</v>
      </c>
      <c r="M426" s="134"/>
      <c r="N426" s="4"/>
      <c r="O426" s="4"/>
      <c r="P426" s="4"/>
      <c r="Q426" s="4"/>
      <c r="R426" s="4"/>
      <c r="S426" s="4"/>
      <c r="T426" s="4"/>
      <c r="U426" s="4"/>
      <c r="V426" s="4"/>
      <c r="W426" s="26"/>
      <c r="X426" s="4"/>
      <c r="Y426" s="4"/>
      <c r="Z426" s="4"/>
      <c r="AA426" s="4"/>
      <c r="AB426" s="4"/>
      <c r="AC426" s="4"/>
      <c r="AD426" s="4"/>
      <c r="AE426" s="4"/>
      <c r="AF426" s="4"/>
      <c r="AG426" s="4"/>
      <c r="AH426" s="4"/>
      <c r="AI426" s="4"/>
    </row>
    <row r="427" spans="1:35" ht="14.5" x14ac:dyDescent="0.35">
      <c r="A427" s="4"/>
      <c r="B427" s="2" t="s">
        <v>950</v>
      </c>
      <c r="C427" s="2"/>
      <c r="D427" s="2"/>
      <c r="E427" s="2"/>
      <c r="F427" s="2"/>
      <c r="G427" s="2"/>
      <c r="H427" s="2"/>
      <c r="I427" s="2"/>
      <c r="J427" s="2"/>
      <c r="K427" s="2197" t="s">
        <v>430</v>
      </c>
      <c r="L427" s="2197"/>
      <c r="M427" s="134"/>
      <c r="N427" s="4"/>
      <c r="O427" s="4"/>
      <c r="P427" s="4"/>
      <c r="Q427" s="4"/>
      <c r="R427" s="4"/>
      <c r="S427" s="4"/>
      <c r="T427" s="4"/>
      <c r="U427" s="4"/>
      <c r="V427" s="4"/>
      <c r="W427" s="4"/>
      <c r="X427" s="4"/>
      <c r="Y427" s="4"/>
      <c r="Z427" s="4"/>
      <c r="AA427" s="4"/>
      <c r="AB427" s="4"/>
      <c r="AC427" s="4"/>
      <c r="AD427" s="4"/>
      <c r="AE427" s="4"/>
      <c r="AF427" s="4"/>
      <c r="AG427" s="4"/>
      <c r="AH427" s="4"/>
      <c r="AI427" s="4"/>
    </row>
    <row r="428" spans="1:35" ht="14.5" x14ac:dyDescent="0.35">
      <c r="A428" s="4"/>
      <c r="B428" s="2" t="s">
        <v>498</v>
      </c>
      <c r="C428" s="2"/>
      <c r="D428" s="2"/>
      <c r="E428" s="2"/>
      <c r="F428" s="2"/>
      <c r="G428" s="2"/>
      <c r="H428" s="2"/>
      <c r="I428" s="2"/>
      <c r="J428" s="2"/>
      <c r="K428" s="2" t="s">
        <v>502</v>
      </c>
      <c r="L428" s="2"/>
      <c r="M428" s="6"/>
      <c r="N428" s="4"/>
      <c r="O428" s="4"/>
      <c r="P428" s="4"/>
      <c r="Q428" s="4"/>
      <c r="R428" s="4"/>
      <c r="S428" s="4"/>
      <c r="T428" s="4"/>
      <c r="U428" s="4"/>
      <c r="V428" s="4"/>
      <c r="W428" s="4"/>
      <c r="X428" s="4"/>
      <c r="Y428" s="4"/>
      <c r="Z428" s="4"/>
      <c r="AA428" s="4"/>
      <c r="AB428" s="4"/>
      <c r="AC428" s="4"/>
      <c r="AD428" s="4"/>
      <c r="AE428" s="4"/>
      <c r="AF428" s="4"/>
      <c r="AG428" s="4"/>
      <c r="AH428" s="4"/>
      <c r="AI428" s="4"/>
    </row>
    <row r="429" spans="1:35" ht="14.5" x14ac:dyDescent="0.35">
      <c r="A429" s="4"/>
      <c r="B429" s="2" t="s">
        <v>1352</v>
      </c>
      <c r="C429" s="2"/>
      <c r="D429" s="2"/>
      <c r="E429" s="2"/>
      <c r="F429" s="2"/>
      <c r="G429" s="2"/>
      <c r="H429" s="2"/>
      <c r="I429" s="2"/>
      <c r="J429" s="2"/>
      <c r="K429" s="3" t="s">
        <v>1353</v>
      </c>
      <c r="L429" s="1494">
        <v>5</v>
      </c>
      <c r="M429" s="189" t="s">
        <v>1355</v>
      </c>
      <c r="N429" s="4"/>
      <c r="O429" s="4"/>
      <c r="P429" s="4"/>
      <c r="Q429" s="4"/>
      <c r="R429" s="4"/>
      <c r="S429" s="4"/>
      <c r="T429" s="4"/>
      <c r="U429" s="4"/>
      <c r="V429" s="4"/>
      <c r="W429" s="4"/>
      <c r="X429" s="4"/>
      <c r="Y429" s="4"/>
      <c r="Z429" s="4"/>
      <c r="AA429" s="4"/>
      <c r="AB429" s="4"/>
      <c r="AC429" s="4"/>
      <c r="AD429" s="4"/>
      <c r="AE429" s="4"/>
      <c r="AF429" s="4"/>
      <c r="AG429" s="4"/>
      <c r="AH429" s="4"/>
      <c r="AI429" s="4"/>
    </row>
    <row r="430" spans="1:35" ht="14.5" x14ac:dyDescent="0.35">
      <c r="A430" s="4"/>
      <c r="B430" s="2" t="s">
        <v>1354</v>
      </c>
      <c r="C430" s="2"/>
      <c r="D430" s="2"/>
      <c r="E430" s="2"/>
      <c r="F430" s="2"/>
      <c r="G430" s="2"/>
      <c r="H430" s="2"/>
      <c r="I430" s="2"/>
      <c r="J430" s="2"/>
      <c r="K430" s="3" t="s">
        <v>488</v>
      </c>
      <c r="L430" s="1575">
        <v>24</v>
      </c>
      <c r="M430" s="189" t="s">
        <v>1356</v>
      </c>
      <c r="N430" s="4"/>
      <c r="O430" s="4"/>
      <c r="P430" s="4"/>
      <c r="Q430" s="4"/>
      <c r="R430" s="4"/>
      <c r="S430" s="4"/>
      <c r="T430" s="4"/>
      <c r="U430" s="4"/>
      <c r="V430" s="4"/>
      <c r="W430" s="4"/>
      <c r="X430" s="4"/>
      <c r="Y430" s="4"/>
      <c r="Z430" s="4"/>
      <c r="AA430" s="4"/>
      <c r="AB430" s="4"/>
      <c r="AC430" s="4"/>
      <c r="AD430" s="4"/>
      <c r="AE430" s="4"/>
      <c r="AF430" s="4"/>
      <c r="AG430" s="4"/>
      <c r="AH430" s="4"/>
      <c r="AI430" s="4"/>
    </row>
    <row r="431" spans="1:35" ht="14.5" x14ac:dyDescent="0.35">
      <c r="A431" s="4"/>
      <c r="B431" s="2" t="s">
        <v>933</v>
      </c>
      <c r="C431" s="2"/>
      <c r="D431" s="2"/>
      <c r="E431" s="2"/>
      <c r="F431" s="2"/>
      <c r="G431" s="2"/>
      <c r="H431" s="2"/>
      <c r="I431" s="2"/>
      <c r="J431" s="2"/>
      <c r="K431" s="3" t="s">
        <v>488</v>
      </c>
      <c r="L431" s="1660">
        <v>18</v>
      </c>
      <c r="M431" s="134" t="s">
        <v>537</v>
      </c>
      <c r="N431" s="4"/>
      <c r="O431" s="4"/>
      <c r="P431" s="4"/>
      <c r="Q431" s="4"/>
      <c r="R431" s="4"/>
      <c r="S431" s="4"/>
      <c r="T431" s="4"/>
      <c r="U431" s="4"/>
      <c r="V431" s="4"/>
      <c r="W431" s="4"/>
      <c r="X431" s="4"/>
      <c r="Y431" s="4"/>
      <c r="Z431" s="4"/>
      <c r="AA431" s="4"/>
      <c r="AB431" s="4"/>
      <c r="AC431" s="4"/>
      <c r="AD431" s="4"/>
      <c r="AE431" s="4"/>
      <c r="AF431" s="4"/>
      <c r="AG431" s="4"/>
      <c r="AH431" s="4"/>
      <c r="AI431" s="4"/>
    </row>
    <row r="432" spans="1:35"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spans="1:35" ht="14.5" x14ac:dyDescent="0.35">
      <c r="A433" s="4"/>
      <c r="B433" s="5" t="s">
        <v>335</v>
      </c>
      <c r="C433" s="4"/>
      <c r="D433" s="4"/>
      <c r="E433" s="134" t="s">
        <v>842</v>
      </c>
      <c r="F433" s="134"/>
      <c r="G433" s="4"/>
      <c r="H433" s="4"/>
      <c r="I433" s="4"/>
      <c r="J433" s="4"/>
      <c r="K433" s="4"/>
      <c r="L433" s="4"/>
      <c r="M433" s="4"/>
      <c r="N433" s="4"/>
      <c r="O433" s="4"/>
      <c r="P433" s="134"/>
      <c r="Q433" s="4"/>
      <c r="R433" s="4"/>
      <c r="S433" s="4"/>
      <c r="T433" s="4"/>
      <c r="U433" s="4"/>
      <c r="V433" s="4"/>
      <c r="W433" s="4"/>
      <c r="X433" s="4"/>
      <c r="Y433" s="4"/>
      <c r="Z433" s="4"/>
      <c r="AA433" s="4"/>
      <c r="AB433" s="4"/>
      <c r="AC433" s="4"/>
      <c r="AD433" s="4"/>
      <c r="AE433" s="4"/>
      <c r="AF433" s="4"/>
      <c r="AG433" s="4"/>
      <c r="AH433" s="4"/>
      <c r="AI433" s="4"/>
    </row>
    <row r="434" spans="1:35" x14ac:dyDescent="0.3">
      <c r="A434" s="4"/>
      <c r="B434" s="2" t="s">
        <v>183</v>
      </c>
      <c r="C434" s="2"/>
      <c r="D434" s="2" t="s">
        <v>336</v>
      </c>
      <c r="E434" s="2"/>
      <c r="F434" s="18" t="s">
        <v>344</v>
      </c>
      <c r="G434" s="18" t="s">
        <v>1006</v>
      </c>
      <c r="H434" s="18" t="s">
        <v>432</v>
      </c>
      <c r="I434" s="18" t="s">
        <v>433</v>
      </c>
      <c r="J434" s="18" t="s">
        <v>499</v>
      </c>
      <c r="K434" s="18" t="s">
        <v>500</v>
      </c>
      <c r="L434" s="18" t="s">
        <v>489</v>
      </c>
      <c r="M434" s="2033" t="s">
        <v>1347</v>
      </c>
      <c r="N434" s="2033"/>
      <c r="O434" s="2033"/>
      <c r="P434" s="2033"/>
      <c r="Q434" s="4"/>
      <c r="R434" s="4"/>
      <c r="S434" s="4"/>
      <c r="T434" s="4"/>
      <c r="U434" s="4"/>
      <c r="V434" s="4"/>
      <c r="W434" s="4"/>
      <c r="X434" s="4"/>
      <c r="Y434" s="4"/>
      <c r="Z434" s="4"/>
      <c r="AA434" s="4"/>
      <c r="AB434" s="4"/>
      <c r="AC434" s="4"/>
      <c r="AD434" s="4"/>
      <c r="AE434" s="4"/>
      <c r="AF434" s="4"/>
      <c r="AG434" s="4"/>
      <c r="AH434" s="4"/>
      <c r="AI434" s="4"/>
    </row>
    <row r="435" spans="1:35" x14ac:dyDescent="0.3">
      <c r="A435" s="4"/>
      <c r="B435" s="49" t="s">
        <v>337</v>
      </c>
      <c r="C435" s="49"/>
      <c r="D435" s="47" t="s">
        <v>338</v>
      </c>
      <c r="E435" s="49"/>
      <c r="F435" s="47" t="s">
        <v>418</v>
      </c>
      <c r="G435" s="47" t="s">
        <v>432</v>
      </c>
      <c r="H435" s="47" t="s">
        <v>418</v>
      </c>
      <c r="I435" s="47" t="s">
        <v>132</v>
      </c>
      <c r="J435" s="47" t="s">
        <v>480</v>
      </c>
      <c r="K435" s="47" t="s">
        <v>481</v>
      </c>
      <c r="L435" s="47" t="s">
        <v>501</v>
      </c>
      <c r="M435" s="49"/>
      <c r="N435" s="49"/>
      <c r="O435" s="49"/>
      <c r="P435" s="49"/>
      <c r="Q435" s="4"/>
      <c r="R435" s="4"/>
      <c r="S435" s="4"/>
      <c r="T435" s="4"/>
      <c r="U435" s="4"/>
      <c r="V435" s="4"/>
      <c r="W435" s="4"/>
      <c r="X435" s="4"/>
      <c r="Y435" s="4"/>
      <c r="Z435" s="4"/>
      <c r="AA435" s="4"/>
      <c r="AB435" s="4"/>
      <c r="AC435" s="4"/>
      <c r="AD435" s="4"/>
      <c r="AE435" s="4"/>
      <c r="AF435" s="4"/>
      <c r="AG435" s="4"/>
      <c r="AH435" s="4"/>
      <c r="AI435" s="4"/>
    </row>
    <row r="436" spans="1:35" ht="14.5" x14ac:dyDescent="0.35">
      <c r="A436" s="4"/>
      <c r="B436" s="2">
        <f t="shared" ref="B436:B441" si="122">IF(D436="","",VLOOKUP(D436,B$38:U$104,3,FALSE))</f>
        <v>3.5500000000000003</v>
      </c>
      <c r="C436" s="2"/>
      <c r="D436" s="1516" t="s">
        <v>353</v>
      </c>
      <c r="E436" s="43"/>
      <c r="F436" s="712">
        <f>IF(D436="","",VLOOKUP(B436,B$146:AB$151,27,FALSE))</f>
        <v>2.5149219191888523</v>
      </c>
      <c r="G436" s="152">
        <f>IF(D436="","",VLOOKUP(D436,D$166:Z$216,3,FALSE))</f>
        <v>0</v>
      </c>
      <c r="H436" s="152" t="str">
        <f t="shared" ref="H436:H441" si="123">IF(D436="","",VLOOKUP(D436,D$166:Z$216,23,FALSE))</f>
        <v/>
      </c>
      <c r="I436" s="132" t="str">
        <f t="shared" ref="I436:I441" si="124">IF(OR(F436="",H436=""),"",(F436-H436)/F436*100)</f>
        <v/>
      </c>
      <c r="J436" s="1613">
        <v>10</v>
      </c>
      <c r="K436" s="1613">
        <v>1</v>
      </c>
      <c r="L436" s="1319">
        <f>IF(J436="","",100*(J436-K436)/J436)</f>
        <v>90</v>
      </c>
      <c r="M436" s="2223" t="s">
        <v>1348</v>
      </c>
      <c r="N436" s="2223"/>
      <c r="O436" s="2223"/>
      <c r="P436" s="2223"/>
      <c r="Q436" s="134" t="s">
        <v>459</v>
      </c>
      <c r="R436" s="4"/>
      <c r="S436" s="4"/>
      <c r="T436" s="4"/>
      <c r="U436" s="4"/>
      <c r="V436" s="4"/>
      <c r="W436" s="4"/>
      <c r="X436" s="4"/>
      <c r="Y436" s="4"/>
      <c r="Z436" s="4"/>
      <c r="AA436" s="4"/>
      <c r="AB436" s="4"/>
      <c r="AC436" s="4"/>
      <c r="AD436" s="4"/>
      <c r="AE436" s="4"/>
      <c r="AF436" s="4"/>
      <c r="AG436" s="4"/>
      <c r="AH436" s="4"/>
      <c r="AI436" s="4"/>
    </row>
    <row r="437" spans="1:35" ht="14.5" x14ac:dyDescent="0.35">
      <c r="A437" s="4"/>
      <c r="B437" s="2">
        <f t="shared" si="122"/>
        <v>3.5500000000000003</v>
      </c>
      <c r="C437" s="2"/>
      <c r="D437" s="1494" t="s">
        <v>353</v>
      </c>
      <c r="E437" s="2"/>
      <c r="F437" s="152">
        <f t="shared" ref="F437:F441" si="125">IF(D437="","",VLOOKUP(B437,B$146:AB$151,27,FALSE))</f>
        <v>2.5149219191888523</v>
      </c>
      <c r="G437" s="152">
        <f t="shared" ref="G437:G455" si="126">IF(D437="","",VLOOKUP(D437,D$166:Z$216,3,FALSE))</f>
        <v>0</v>
      </c>
      <c r="H437" s="152" t="str">
        <f t="shared" si="123"/>
        <v/>
      </c>
      <c r="I437" s="133" t="str">
        <f t="shared" si="124"/>
        <v/>
      </c>
      <c r="J437" s="1593">
        <v>1000</v>
      </c>
      <c r="K437" s="1593">
        <v>900</v>
      </c>
      <c r="L437" s="1320">
        <f t="shared" ref="L437:L440" si="127">IF(J437="","",100*(J437-K437)/J437)</f>
        <v>10</v>
      </c>
      <c r="M437" s="2221" t="s">
        <v>1349</v>
      </c>
      <c r="N437" s="2221"/>
      <c r="O437" s="2221"/>
      <c r="P437" s="2221"/>
      <c r="Q437" s="134"/>
      <c r="R437" s="4"/>
      <c r="S437" s="4"/>
      <c r="T437" s="4"/>
      <c r="U437" s="4"/>
      <c r="V437" s="4"/>
      <c r="W437" s="4"/>
      <c r="X437" s="4"/>
      <c r="Y437" s="4"/>
      <c r="Z437" s="4"/>
      <c r="AA437" s="4"/>
      <c r="AB437" s="4"/>
      <c r="AC437" s="4"/>
      <c r="AD437" s="4"/>
      <c r="AE437" s="4"/>
      <c r="AF437" s="4"/>
      <c r="AG437" s="4"/>
      <c r="AH437" s="4"/>
      <c r="AI437" s="4"/>
    </row>
    <row r="438" spans="1:35" ht="14.5" x14ac:dyDescent="0.35">
      <c r="A438" s="4"/>
      <c r="B438" s="2">
        <f t="shared" si="122"/>
        <v>3.5500000000000003</v>
      </c>
      <c r="C438" s="2"/>
      <c r="D438" s="1494" t="s">
        <v>355</v>
      </c>
      <c r="E438" s="2"/>
      <c r="F438" s="152">
        <f t="shared" si="125"/>
        <v>2.5149219191888523</v>
      </c>
      <c r="G438" s="152">
        <f t="shared" si="126"/>
        <v>0</v>
      </c>
      <c r="H438" s="152" t="str">
        <f t="shared" si="123"/>
        <v/>
      </c>
      <c r="I438" s="133" t="str">
        <f t="shared" si="124"/>
        <v/>
      </c>
      <c r="J438" s="1593">
        <v>1000</v>
      </c>
      <c r="K438" s="1593">
        <v>950</v>
      </c>
      <c r="L438" s="1320">
        <f t="shared" si="127"/>
        <v>5</v>
      </c>
      <c r="M438" s="2221" t="s">
        <v>1350</v>
      </c>
      <c r="N438" s="2221"/>
      <c r="O438" s="2221"/>
      <c r="P438" s="2221"/>
      <c r="Q438" s="134" t="s">
        <v>1029</v>
      </c>
      <c r="R438" s="4"/>
      <c r="S438" s="4"/>
      <c r="T438" s="4"/>
      <c r="U438" s="4"/>
      <c r="V438" s="4"/>
      <c r="W438" s="4"/>
      <c r="X438" s="4"/>
      <c r="Y438" s="4"/>
      <c r="Z438" s="4"/>
      <c r="AA438" s="4"/>
      <c r="AB438" s="4"/>
      <c r="AC438" s="4"/>
      <c r="AD438" s="4"/>
      <c r="AE438" s="4"/>
      <c r="AF438" s="4"/>
      <c r="AG438" s="4"/>
      <c r="AH438" s="4"/>
      <c r="AI438" s="4"/>
    </row>
    <row r="439" spans="1:35" ht="14.5" x14ac:dyDescent="0.35">
      <c r="A439" s="4"/>
      <c r="B439" s="2">
        <f t="shared" si="122"/>
        <v>3.5500000000000003</v>
      </c>
      <c r="C439" s="2"/>
      <c r="D439" s="1494" t="s">
        <v>353</v>
      </c>
      <c r="E439" s="2"/>
      <c r="F439" s="152">
        <f t="shared" si="125"/>
        <v>2.5149219191888523</v>
      </c>
      <c r="G439" s="152">
        <f t="shared" si="126"/>
        <v>0</v>
      </c>
      <c r="H439" s="152" t="str">
        <f t="shared" si="123"/>
        <v/>
      </c>
      <c r="I439" s="133" t="str">
        <f t="shared" si="124"/>
        <v/>
      </c>
      <c r="J439" s="1593">
        <v>10</v>
      </c>
      <c r="K439" s="1593">
        <v>1</v>
      </c>
      <c r="L439" s="1320">
        <f t="shared" si="127"/>
        <v>90</v>
      </c>
      <c r="M439" s="2221"/>
      <c r="N439" s="2221"/>
      <c r="O439" s="2221"/>
      <c r="P439" s="2221"/>
      <c r="Q439" s="134"/>
      <c r="R439" s="4"/>
      <c r="S439" s="4"/>
      <c r="T439" s="4"/>
      <c r="U439" s="4"/>
      <c r="V439" s="4"/>
      <c r="W439" s="4"/>
      <c r="X439" s="4"/>
      <c r="Y439" s="4"/>
      <c r="Z439" s="4"/>
      <c r="AA439" s="4"/>
      <c r="AB439" s="4"/>
      <c r="AC439" s="4"/>
      <c r="AD439" s="4"/>
      <c r="AE439" s="4"/>
      <c r="AF439" s="4"/>
      <c r="AG439" s="4"/>
      <c r="AH439" s="4"/>
      <c r="AI439" s="4"/>
    </row>
    <row r="440" spans="1:35" ht="14.5" x14ac:dyDescent="0.35">
      <c r="A440" s="4"/>
      <c r="B440" s="2">
        <f t="shared" si="122"/>
        <v>3.5500000000000003</v>
      </c>
      <c r="C440" s="2"/>
      <c r="D440" s="1494" t="s">
        <v>353</v>
      </c>
      <c r="E440" s="2"/>
      <c r="F440" s="152">
        <f t="shared" si="125"/>
        <v>2.5149219191888523</v>
      </c>
      <c r="G440" s="152">
        <f t="shared" si="126"/>
        <v>0</v>
      </c>
      <c r="H440" s="152" t="str">
        <f t="shared" si="123"/>
        <v/>
      </c>
      <c r="I440" s="133" t="str">
        <f t="shared" si="124"/>
        <v/>
      </c>
      <c r="J440" s="1593">
        <v>10</v>
      </c>
      <c r="K440" s="1593">
        <v>1</v>
      </c>
      <c r="L440" s="1320">
        <f t="shared" si="127"/>
        <v>90</v>
      </c>
      <c r="M440" s="2222"/>
      <c r="N440" s="2222"/>
      <c r="O440" s="2222"/>
      <c r="P440" s="2222"/>
      <c r="Q440" s="134"/>
      <c r="R440" s="4"/>
      <c r="S440" s="4"/>
      <c r="T440" s="4"/>
      <c r="U440" s="4"/>
      <c r="V440" s="4"/>
      <c r="W440" s="4"/>
      <c r="X440" s="4"/>
      <c r="Y440" s="4"/>
      <c r="Z440" s="4"/>
      <c r="AA440" s="4"/>
      <c r="AB440" s="4"/>
      <c r="AC440" s="4"/>
      <c r="AD440" s="4"/>
      <c r="AE440" s="4"/>
      <c r="AF440" s="4"/>
      <c r="AG440" s="4"/>
      <c r="AH440" s="4"/>
      <c r="AI440" s="4"/>
    </row>
    <row r="441" spans="1:35" ht="14.5" x14ac:dyDescent="0.35">
      <c r="A441" s="4"/>
      <c r="B441" s="822" t="str">
        <f t="shared" si="122"/>
        <v/>
      </c>
      <c r="C441" s="822"/>
      <c r="D441" s="1661"/>
      <c r="E441" s="822"/>
      <c r="F441" s="829" t="str">
        <f t="shared" si="125"/>
        <v/>
      </c>
      <c r="G441" s="829" t="str">
        <f t="shared" si="126"/>
        <v/>
      </c>
      <c r="H441" s="829" t="str">
        <f t="shared" si="123"/>
        <v/>
      </c>
      <c r="I441" s="823" t="str">
        <f t="shared" si="124"/>
        <v/>
      </c>
      <c r="J441" s="1662"/>
      <c r="K441" s="1662"/>
      <c r="L441" s="982" t="str">
        <f t="shared" ref="L441" si="128">IF(J441="","",100*(J441-K441)/J441)</f>
        <v/>
      </c>
      <c r="M441" s="2219"/>
      <c r="N441" s="2219"/>
      <c r="O441" s="2219"/>
      <c r="P441" s="2219"/>
      <c r="Q441" s="134"/>
      <c r="R441" s="4"/>
      <c r="S441" s="4"/>
      <c r="T441" s="4"/>
      <c r="U441" s="4"/>
      <c r="V441" s="4"/>
      <c r="W441" s="4"/>
      <c r="X441" s="4"/>
      <c r="Y441" s="4"/>
      <c r="Z441" s="4"/>
      <c r="AA441" s="4"/>
      <c r="AB441" s="4"/>
      <c r="AC441" s="4"/>
      <c r="AD441" s="4"/>
      <c r="AE441" s="4"/>
      <c r="AF441" s="4"/>
      <c r="AG441" s="4"/>
      <c r="AH441" s="4"/>
      <c r="AI441" s="4"/>
    </row>
    <row r="442" spans="1:35" x14ac:dyDescent="0.3">
      <c r="A442" s="4"/>
      <c r="B442" s="32"/>
      <c r="C442" s="159" t="s">
        <v>458</v>
      </c>
      <c r="D442" s="57" t="str">
        <f>D436&amp;" tot "&amp;D440</f>
        <v>A1 tot A1</v>
      </c>
      <c r="E442" s="299">
        <f>IF(SUM(B436:B440)=0,"",AVERAGE(B436:B440))</f>
        <v>3.55</v>
      </c>
      <c r="F442" s="981"/>
      <c r="G442" s="711"/>
      <c r="H442" s="161" t="str">
        <f>IF(SUM(H436:H440)&lt;&gt;0,AVERAGE(H436:H440),"")</f>
        <v/>
      </c>
      <c r="I442" s="131" t="str">
        <f>IF(SUM(I436:I440)&lt;&gt;0,AVERAGE(I436:I440),"")</f>
        <v/>
      </c>
      <c r="J442" s="1663"/>
      <c r="K442" s="1654"/>
      <c r="L442" s="160">
        <f>IF(SUM(L436:L440)&lt;&gt;0,AVERAGE(L436:L440),"")</f>
        <v>57</v>
      </c>
      <c r="M442" s="2224"/>
      <c r="N442" s="2224"/>
      <c r="O442" s="2224"/>
      <c r="P442" s="2224"/>
      <c r="Q442" s="4"/>
      <c r="R442" s="4"/>
      <c r="S442" s="4"/>
      <c r="T442" s="4"/>
      <c r="U442" s="4"/>
      <c r="V442" s="4"/>
      <c r="W442" s="4"/>
      <c r="X442" s="4"/>
      <c r="Y442" s="4"/>
      <c r="Z442" s="4"/>
      <c r="AA442" s="4"/>
      <c r="AB442" s="4"/>
      <c r="AC442" s="4"/>
      <c r="AD442" s="4"/>
      <c r="AE442" s="4"/>
      <c r="AF442" s="4"/>
      <c r="AG442" s="4"/>
      <c r="AH442" s="4"/>
      <c r="AI442" s="4"/>
    </row>
    <row r="443" spans="1:35" ht="14.5" x14ac:dyDescent="0.35">
      <c r="A443" s="4"/>
      <c r="B443" s="2">
        <f t="shared" ref="B443:B448" si="129">IF(D443="","",VLOOKUP(D443,B$38:U$104,3,FALSE))</f>
        <v>3.85</v>
      </c>
      <c r="C443" s="2"/>
      <c r="D443" s="1516" t="s">
        <v>646</v>
      </c>
      <c r="E443" s="43"/>
      <c r="F443" s="712">
        <f t="shared" ref="F443:F448" si="130">IF(D443="","",VLOOKUP(B443,B$146:AB$151,27,FALSE))</f>
        <v>3.0154391189857619</v>
      </c>
      <c r="G443" s="712" t="str">
        <f t="shared" si="126"/>
        <v>C</v>
      </c>
      <c r="H443" s="712">
        <f t="shared" ref="H443:H448" si="131">IF(D443="","",VLOOKUP(D443,D$166:Z$216,23,FALSE))</f>
        <v>2.6780387104261854</v>
      </c>
      <c r="I443" s="132">
        <f t="shared" ref="I443:I448" si="132">IF(OR(F443="",H443=""),"",(F443-H443)/F443*100)</f>
        <v>11.189097018581514</v>
      </c>
      <c r="J443" s="1613">
        <v>10</v>
      </c>
      <c r="K443" s="1613">
        <v>1</v>
      </c>
      <c r="L443" s="1319">
        <f t="shared" ref="L443:L447" si="133">IF(J443="","",100*(J443-K443)/J443)</f>
        <v>90</v>
      </c>
      <c r="M443" s="2223"/>
      <c r="N443" s="2223"/>
      <c r="O443" s="2223"/>
      <c r="P443" s="2223"/>
      <c r="Q443" s="134" t="s">
        <v>1351</v>
      </c>
      <c r="R443" s="4"/>
      <c r="S443" s="4"/>
      <c r="T443" s="4"/>
      <c r="U443" s="4"/>
      <c r="V443" s="4"/>
      <c r="W443" s="4"/>
      <c r="X443" s="4"/>
      <c r="Y443" s="4"/>
      <c r="Z443" s="4"/>
      <c r="AA443" s="4"/>
      <c r="AB443" s="4"/>
      <c r="AC443" s="4"/>
      <c r="AD443" s="4"/>
      <c r="AE443" s="4"/>
      <c r="AF443" s="4"/>
      <c r="AG443" s="4"/>
      <c r="AH443" s="4"/>
      <c r="AI443" s="4"/>
    </row>
    <row r="444" spans="1:35" x14ac:dyDescent="0.3">
      <c r="A444" s="4"/>
      <c r="B444" s="2">
        <f t="shared" si="129"/>
        <v>3.85</v>
      </c>
      <c r="C444" s="2"/>
      <c r="D444" s="1494" t="s">
        <v>646</v>
      </c>
      <c r="E444" s="2"/>
      <c r="F444" s="152">
        <f t="shared" si="130"/>
        <v>3.0154391189857619</v>
      </c>
      <c r="G444" s="152" t="str">
        <f t="shared" si="126"/>
        <v>C</v>
      </c>
      <c r="H444" s="152">
        <f t="shared" si="131"/>
        <v>2.6780387104261854</v>
      </c>
      <c r="I444" s="133">
        <f t="shared" si="132"/>
        <v>11.189097018581514</v>
      </c>
      <c r="J444" s="1593">
        <v>1000</v>
      </c>
      <c r="K444" s="1593">
        <v>900</v>
      </c>
      <c r="L444" s="1320">
        <f t="shared" si="133"/>
        <v>10</v>
      </c>
      <c r="M444" s="2221"/>
      <c r="N444" s="2221"/>
      <c r="O444" s="2221"/>
      <c r="P444" s="2221"/>
      <c r="Q444" s="4"/>
      <c r="R444" s="4"/>
      <c r="S444" s="4"/>
      <c r="T444" s="4"/>
      <c r="U444" s="4"/>
      <c r="V444" s="4"/>
      <c r="W444" s="4"/>
      <c r="X444" s="4"/>
      <c r="Y444" s="4"/>
      <c r="Z444" s="4"/>
      <c r="AA444" s="4"/>
      <c r="AB444" s="4"/>
      <c r="AC444" s="4"/>
      <c r="AD444" s="4"/>
      <c r="AE444" s="4"/>
      <c r="AF444" s="4"/>
      <c r="AG444" s="4"/>
      <c r="AH444" s="4"/>
      <c r="AI444" s="4"/>
    </row>
    <row r="445" spans="1:35" x14ac:dyDescent="0.3">
      <c r="A445" s="4"/>
      <c r="B445" s="2">
        <f t="shared" si="129"/>
        <v>3.85</v>
      </c>
      <c r="C445" s="2"/>
      <c r="D445" s="1494" t="s">
        <v>646</v>
      </c>
      <c r="E445" s="2"/>
      <c r="F445" s="152">
        <f t="shared" si="130"/>
        <v>3.0154391189857619</v>
      </c>
      <c r="G445" s="152" t="str">
        <f t="shared" si="126"/>
        <v>C</v>
      </c>
      <c r="H445" s="152">
        <f t="shared" si="131"/>
        <v>2.6780387104261854</v>
      </c>
      <c r="I445" s="133">
        <f t="shared" si="132"/>
        <v>11.189097018581514</v>
      </c>
      <c r="J445" s="1593">
        <v>10</v>
      </c>
      <c r="K445" s="1593">
        <v>1</v>
      </c>
      <c r="L445" s="1320">
        <f t="shared" si="133"/>
        <v>90</v>
      </c>
      <c r="M445" s="2221"/>
      <c r="N445" s="2221"/>
      <c r="O445" s="2221"/>
      <c r="P445" s="2221"/>
      <c r="Q445" s="4"/>
      <c r="R445" s="4"/>
      <c r="S445" s="4"/>
      <c r="T445" s="4"/>
      <c r="U445" s="4"/>
      <c r="V445" s="4"/>
      <c r="W445" s="4"/>
      <c r="X445" s="4"/>
      <c r="Y445" s="4"/>
      <c r="Z445" s="4"/>
      <c r="AA445" s="4"/>
      <c r="AB445" s="4"/>
      <c r="AC445" s="4"/>
      <c r="AD445" s="4"/>
      <c r="AE445" s="4"/>
      <c r="AF445" s="4"/>
      <c r="AG445" s="4"/>
      <c r="AH445" s="4"/>
      <c r="AI445" s="4"/>
    </row>
    <row r="446" spans="1:35" x14ac:dyDescent="0.3">
      <c r="A446" s="4"/>
      <c r="B446" s="2">
        <f t="shared" si="129"/>
        <v>3.85</v>
      </c>
      <c r="C446" s="2"/>
      <c r="D446" s="1494" t="s">
        <v>646</v>
      </c>
      <c r="E446" s="2"/>
      <c r="F446" s="152">
        <f t="shared" si="130"/>
        <v>3.0154391189857619</v>
      </c>
      <c r="G446" s="152" t="str">
        <f t="shared" si="126"/>
        <v>C</v>
      </c>
      <c r="H446" s="152">
        <f t="shared" si="131"/>
        <v>2.6780387104261854</v>
      </c>
      <c r="I446" s="133">
        <f t="shared" si="132"/>
        <v>11.189097018581514</v>
      </c>
      <c r="J446" s="1593">
        <v>1</v>
      </c>
      <c r="K446" s="1593">
        <v>1</v>
      </c>
      <c r="L446" s="1320">
        <f t="shared" si="133"/>
        <v>0</v>
      </c>
      <c r="M446" s="2221"/>
      <c r="N446" s="2221"/>
      <c r="O446" s="2221"/>
      <c r="P446" s="2221"/>
      <c r="Q446" s="4"/>
      <c r="R446" s="4"/>
      <c r="S446" s="4"/>
      <c r="T446" s="4"/>
      <c r="U446" s="4"/>
      <c r="V446" s="4"/>
      <c r="W446" s="4"/>
      <c r="X446" s="4"/>
      <c r="Y446" s="4"/>
      <c r="Z446" s="4"/>
      <c r="AA446" s="4"/>
      <c r="AB446" s="4"/>
      <c r="AC446" s="4"/>
      <c r="AD446" s="4"/>
      <c r="AE446" s="4"/>
      <c r="AF446" s="4"/>
      <c r="AG446" s="4"/>
      <c r="AH446" s="4"/>
      <c r="AI446" s="4"/>
    </row>
    <row r="447" spans="1:35" x14ac:dyDescent="0.3">
      <c r="A447" s="4"/>
      <c r="B447" s="2">
        <f t="shared" si="129"/>
        <v>3.85</v>
      </c>
      <c r="C447" s="2"/>
      <c r="D447" s="1494" t="s">
        <v>646</v>
      </c>
      <c r="E447" s="2"/>
      <c r="F447" s="152">
        <f t="shared" si="130"/>
        <v>3.0154391189857619</v>
      </c>
      <c r="G447" s="152" t="str">
        <f t="shared" si="126"/>
        <v>C</v>
      </c>
      <c r="H447" s="152">
        <f t="shared" si="131"/>
        <v>2.6780387104261854</v>
      </c>
      <c r="I447" s="133">
        <f t="shared" si="132"/>
        <v>11.189097018581514</v>
      </c>
      <c r="J447" s="1593">
        <v>1</v>
      </c>
      <c r="K447" s="1593">
        <v>1</v>
      </c>
      <c r="L447" s="1320">
        <f t="shared" si="133"/>
        <v>0</v>
      </c>
      <c r="M447" s="2222"/>
      <c r="N447" s="2222"/>
      <c r="O447" s="2222"/>
      <c r="P447" s="2222"/>
      <c r="Q447" s="4"/>
      <c r="R447" s="4"/>
      <c r="S447" s="4"/>
      <c r="T447" s="4"/>
      <c r="U447" s="4"/>
      <c r="V447" s="4"/>
      <c r="W447" s="4"/>
      <c r="X447" s="4"/>
      <c r="Y447" s="4"/>
      <c r="Z447" s="4"/>
      <c r="AA447" s="4"/>
      <c r="AB447" s="4"/>
      <c r="AC447" s="4"/>
      <c r="AD447" s="4"/>
      <c r="AE447" s="4"/>
      <c r="AF447" s="4"/>
      <c r="AG447" s="4"/>
      <c r="AH447" s="4"/>
      <c r="AI447" s="4"/>
    </row>
    <row r="448" spans="1:35" x14ac:dyDescent="0.3">
      <c r="A448" s="4"/>
      <c r="B448" s="822" t="str">
        <f t="shared" si="129"/>
        <v/>
      </c>
      <c r="C448" s="822"/>
      <c r="D448" s="1661"/>
      <c r="E448" s="822"/>
      <c r="F448" s="829" t="str">
        <f t="shared" si="130"/>
        <v/>
      </c>
      <c r="G448" s="829" t="str">
        <f t="shared" si="126"/>
        <v/>
      </c>
      <c r="H448" s="829" t="str">
        <f t="shared" si="131"/>
        <v/>
      </c>
      <c r="I448" s="823" t="str">
        <f t="shared" si="132"/>
        <v/>
      </c>
      <c r="J448" s="1662"/>
      <c r="K448" s="1662"/>
      <c r="L448" s="982" t="str">
        <f t="shared" ref="L448" si="134">IF(J448="","",100*(J448-K448)/J448)</f>
        <v/>
      </c>
      <c r="M448" s="2219"/>
      <c r="N448" s="2219"/>
      <c r="O448" s="2219"/>
      <c r="P448" s="2219"/>
      <c r="Q448" s="4"/>
      <c r="R448" s="4"/>
      <c r="S448" s="4"/>
      <c r="T448" s="4"/>
      <c r="U448" s="4"/>
      <c r="V448" s="4"/>
      <c r="W448" s="4"/>
      <c r="X448" s="4"/>
      <c r="Y448" s="4"/>
      <c r="Z448" s="4"/>
      <c r="AA448" s="4"/>
      <c r="AB448" s="4"/>
      <c r="AC448" s="4"/>
      <c r="AD448" s="4"/>
      <c r="AE448" s="4"/>
      <c r="AF448" s="4"/>
      <c r="AG448" s="4"/>
      <c r="AH448" s="4"/>
      <c r="AI448" s="4"/>
    </row>
    <row r="449" spans="1:35" x14ac:dyDescent="0.3">
      <c r="A449" s="4"/>
      <c r="B449" s="32"/>
      <c r="C449" s="159" t="s">
        <v>458</v>
      </c>
      <c r="D449" s="57" t="str">
        <f>D443&amp;" tot "&amp;D447</f>
        <v>b1 tot b1</v>
      </c>
      <c r="E449" s="299">
        <f>IF(SUM(B443:B447)=0,"",AVERAGE(B443:B447))</f>
        <v>3.85</v>
      </c>
      <c r="F449" s="981"/>
      <c r="G449" s="711"/>
      <c r="H449" s="161">
        <f>IF(SUM(H443:H447)&lt;&gt;0,AVERAGE(H443:H447),"")</f>
        <v>2.6780387104261854</v>
      </c>
      <c r="I449" s="131">
        <f>IF(SUM(I443:I447)&lt;&gt;0,AVERAGE(I443:I447),"")</f>
        <v>11.189097018581514</v>
      </c>
      <c r="J449" s="1654"/>
      <c r="K449" s="1654"/>
      <c r="L449" s="160">
        <f>IF(SUM(L443:L447)&lt;&gt;0,AVERAGE(L443:L447),"")</f>
        <v>38</v>
      </c>
      <c r="M449" s="2224"/>
      <c r="N449" s="2224"/>
      <c r="O449" s="2224"/>
      <c r="P449" s="2224"/>
      <c r="Q449" s="4"/>
      <c r="R449" s="4"/>
      <c r="S449" s="4"/>
      <c r="T449" s="4"/>
      <c r="U449" s="4"/>
      <c r="V449" s="4"/>
      <c r="W449" s="4"/>
      <c r="X449" s="4"/>
      <c r="Y449" s="4"/>
      <c r="Z449" s="4"/>
      <c r="AA449" s="4"/>
      <c r="AB449" s="4"/>
      <c r="AC449" s="4"/>
      <c r="AD449" s="4"/>
      <c r="AE449" s="4"/>
      <c r="AF449" s="4"/>
      <c r="AG449" s="4"/>
      <c r="AH449" s="4"/>
      <c r="AI449" s="4"/>
    </row>
    <row r="450" spans="1:35" x14ac:dyDescent="0.3">
      <c r="A450" s="4"/>
      <c r="B450" s="2">
        <f t="shared" ref="B450:B455" si="135">IF(D450="","",VLOOKUP(D450,B$38:U$104,3,FALSE))</f>
        <v>3.5500000000000003</v>
      </c>
      <c r="C450" s="2"/>
      <c r="D450" s="1516" t="s">
        <v>844</v>
      </c>
      <c r="E450" s="43"/>
      <c r="F450" s="712">
        <f t="shared" ref="F450:F455" si="136">IF(D450="","",VLOOKUP(B450,B$146:AB$151,27,FALSE))</f>
        <v>2.5149219191888523</v>
      </c>
      <c r="G450" s="712">
        <f t="shared" si="126"/>
        <v>0</v>
      </c>
      <c r="H450" s="712" t="str">
        <f t="shared" ref="H450:H455" si="137">IF(D450="","",VLOOKUP(D450,D$166:Z$216,23,FALSE))</f>
        <v/>
      </c>
      <c r="I450" s="132" t="str">
        <f t="shared" ref="I450:I455" si="138">IF(OR(F450="",H450=""),"",(F450-H450)/F450*100)</f>
        <v/>
      </c>
      <c r="J450" s="1613">
        <v>1</v>
      </c>
      <c r="K450" s="1613">
        <v>1</v>
      </c>
      <c r="L450" s="1319">
        <f t="shared" ref="L450:L454" si="139">IF(J450="","",100*(J450-K450)/J450)</f>
        <v>0</v>
      </c>
      <c r="M450" s="2223"/>
      <c r="N450" s="2223"/>
      <c r="O450" s="2223"/>
      <c r="P450" s="2223"/>
      <c r="Q450" s="4"/>
      <c r="R450" s="4"/>
      <c r="S450" s="4"/>
      <c r="T450" s="4"/>
      <c r="U450" s="4"/>
      <c r="V450" s="4"/>
      <c r="W450" s="4"/>
      <c r="X450" s="4"/>
      <c r="Y450" s="4"/>
      <c r="Z450" s="4"/>
      <c r="AA450" s="4"/>
      <c r="AB450" s="4"/>
      <c r="AC450" s="4"/>
      <c r="AD450" s="4"/>
      <c r="AE450" s="4"/>
      <c r="AF450" s="4"/>
      <c r="AG450" s="4"/>
      <c r="AH450" s="4"/>
      <c r="AI450" s="4"/>
    </row>
    <row r="451" spans="1:35" x14ac:dyDescent="0.3">
      <c r="A451" s="4"/>
      <c r="B451" s="2">
        <f t="shared" si="135"/>
        <v>3.5500000000000003</v>
      </c>
      <c r="C451" s="2"/>
      <c r="D451" s="1494" t="s">
        <v>844</v>
      </c>
      <c r="E451" s="2"/>
      <c r="F451" s="152">
        <f t="shared" si="136"/>
        <v>2.5149219191888523</v>
      </c>
      <c r="G451" s="152">
        <f t="shared" si="126"/>
        <v>0</v>
      </c>
      <c r="H451" s="152" t="str">
        <f t="shared" si="137"/>
        <v/>
      </c>
      <c r="I451" s="133" t="str">
        <f t="shared" si="138"/>
        <v/>
      </c>
      <c r="J451" s="1593">
        <v>1</v>
      </c>
      <c r="K451" s="1593">
        <v>1</v>
      </c>
      <c r="L451" s="1320">
        <f t="shared" si="139"/>
        <v>0</v>
      </c>
      <c r="M451" s="2221"/>
      <c r="N451" s="2221"/>
      <c r="O451" s="2221"/>
      <c r="P451" s="2221"/>
      <c r="Q451" s="4"/>
      <c r="R451" s="4"/>
      <c r="S451" s="4"/>
      <c r="T451" s="4"/>
      <c r="U451" s="4"/>
      <c r="V451" s="4"/>
      <c r="W451" s="4"/>
      <c r="X451" s="4"/>
      <c r="Y451" s="4"/>
      <c r="Z451" s="4"/>
      <c r="AA451" s="4"/>
      <c r="AB451" s="4"/>
      <c r="AC451" s="4"/>
      <c r="AD451" s="4"/>
      <c r="AE451" s="4"/>
      <c r="AF451" s="4"/>
      <c r="AG451" s="4"/>
      <c r="AH451" s="4"/>
      <c r="AI451" s="4"/>
    </row>
    <row r="452" spans="1:35" x14ac:dyDescent="0.3">
      <c r="A452" s="4"/>
      <c r="B452" s="2">
        <f t="shared" si="135"/>
        <v>3.5500000000000003</v>
      </c>
      <c r="C452" s="2"/>
      <c r="D452" s="1494" t="s">
        <v>844</v>
      </c>
      <c r="E452" s="2"/>
      <c r="F452" s="152">
        <f t="shared" si="136"/>
        <v>2.5149219191888523</v>
      </c>
      <c r="G452" s="152">
        <f t="shared" si="126"/>
        <v>0</v>
      </c>
      <c r="H452" s="152" t="str">
        <f t="shared" si="137"/>
        <v/>
      </c>
      <c r="I452" s="133" t="str">
        <f t="shared" si="138"/>
        <v/>
      </c>
      <c r="J452" s="1593">
        <v>1</v>
      </c>
      <c r="K452" s="1593">
        <v>1</v>
      </c>
      <c r="L452" s="1320">
        <f t="shared" si="139"/>
        <v>0</v>
      </c>
      <c r="M452" s="2221"/>
      <c r="N452" s="2221"/>
      <c r="O452" s="2221"/>
      <c r="P452" s="2221"/>
      <c r="Q452" s="4"/>
      <c r="R452" s="4"/>
      <c r="S452" s="4"/>
      <c r="T452" s="4"/>
      <c r="U452" s="4"/>
      <c r="V452" s="4"/>
      <c r="W452" s="4"/>
      <c r="X452" s="4"/>
      <c r="Y452" s="4"/>
      <c r="Z452" s="4"/>
      <c r="AA452" s="4"/>
      <c r="AB452" s="4"/>
      <c r="AC452" s="4"/>
      <c r="AD452" s="4"/>
      <c r="AE452" s="4"/>
      <c r="AF452" s="4"/>
      <c r="AG452" s="4"/>
      <c r="AH452" s="4"/>
      <c r="AI452" s="4"/>
    </row>
    <row r="453" spans="1:35" x14ac:dyDescent="0.3">
      <c r="A453" s="4"/>
      <c r="B453" s="2">
        <f t="shared" si="135"/>
        <v>3.5500000000000003</v>
      </c>
      <c r="C453" s="2"/>
      <c r="D453" s="1494" t="s">
        <v>844</v>
      </c>
      <c r="E453" s="2"/>
      <c r="F453" s="152">
        <f t="shared" si="136"/>
        <v>2.5149219191888523</v>
      </c>
      <c r="G453" s="152">
        <f t="shared" si="126"/>
        <v>0</v>
      </c>
      <c r="H453" s="152" t="str">
        <f t="shared" si="137"/>
        <v/>
      </c>
      <c r="I453" s="133" t="str">
        <f t="shared" si="138"/>
        <v/>
      </c>
      <c r="J453" s="1593">
        <v>1</v>
      </c>
      <c r="K453" s="1593">
        <v>1</v>
      </c>
      <c r="L453" s="1320">
        <f t="shared" si="139"/>
        <v>0</v>
      </c>
      <c r="M453" s="2221"/>
      <c r="N453" s="2221"/>
      <c r="O453" s="2221"/>
      <c r="P453" s="2221"/>
      <c r="Q453" s="4"/>
      <c r="R453" s="4"/>
      <c r="S453" s="4"/>
      <c r="T453" s="4"/>
      <c r="U453" s="4"/>
      <c r="V453" s="4"/>
      <c r="W453" s="4"/>
      <c r="X453" s="4"/>
      <c r="Y453" s="4"/>
      <c r="Z453" s="4"/>
      <c r="AA453" s="4"/>
      <c r="AB453" s="4"/>
      <c r="AC453" s="4"/>
      <c r="AD453" s="4"/>
      <c r="AE453" s="4"/>
      <c r="AF453" s="4"/>
      <c r="AG453" s="4"/>
      <c r="AH453" s="4"/>
      <c r="AI453" s="4"/>
    </row>
    <row r="454" spans="1:35" x14ac:dyDescent="0.3">
      <c r="A454" s="4"/>
      <c r="B454" s="2">
        <f t="shared" si="135"/>
        <v>3.5500000000000003</v>
      </c>
      <c r="C454" s="2"/>
      <c r="D454" s="1494" t="s">
        <v>844</v>
      </c>
      <c r="E454" s="2"/>
      <c r="F454" s="152">
        <f t="shared" si="136"/>
        <v>2.5149219191888523</v>
      </c>
      <c r="G454" s="152">
        <f t="shared" si="126"/>
        <v>0</v>
      </c>
      <c r="H454" s="152" t="str">
        <f t="shared" si="137"/>
        <v/>
      </c>
      <c r="I454" s="133" t="str">
        <f t="shared" si="138"/>
        <v/>
      </c>
      <c r="J454" s="1593">
        <v>1000</v>
      </c>
      <c r="K454" s="1593">
        <v>800</v>
      </c>
      <c r="L454" s="1320">
        <f t="shared" si="139"/>
        <v>20</v>
      </c>
      <c r="M454" s="2222"/>
      <c r="N454" s="2222"/>
      <c r="O454" s="2222"/>
      <c r="P454" s="2222"/>
      <c r="Q454" s="4"/>
      <c r="R454" s="4"/>
      <c r="S454" s="4"/>
      <c r="T454" s="4"/>
      <c r="U454" s="4"/>
      <c r="V454" s="4"/>
      <c r="W454" s="4"/>
      <c r="X454" s="4"/>
      <c r="Y454" s="4"/>
      <c r="Z454" s="4"/>
      <c r="AA454" s="4"/>
      <c r="AB454" s="4"/>
      <c r="AC454" s="4"/>
      <c r="AD454" s="4"/>
      <c r="AE454" s="4"/>
      <c r="AF454" s="4"/>
      <c r="AG454" s="4"/>
      <c r="AH454" s="4"/>
      <c r="AI454" s="4"/>
    </row>
    <row r="455" spans="1:35" x14ac:dyDescent="0.3">
      <c r="A455" s="4"/>
      <c r="B455" s="822" t="str">
        <f t="shared" si="135"/>
        <v/>
      </c>
      <c r="C455" s="822"/>
      <c r="D455" s="1661"/>
      <c r="E455" s="822"/>
      <c r="F455" s="829" t="str">
        <f t="shared" si="136"/>
        <v/>
      </c>
      <c r="G455" s="829" t="str">
        <f t="shared" si="126"/>
        <v/>
      </c>
      <c r="H455" s="829" t="str">
        <f t="shared" si="137"/>
        <v/>
      </c>
      <c r="I455" s="823" t="str">
        <f t="shared" si="138"/>
        <v/>
      </c>
      <c r="J455" s="1662">
        <v>1000</v>
      </c>
      <c r="K455" s="1662">
        <v>800</v>
      </c>
      <c r="L455" s="982">
        <f t="shared" ref="L455" si="140">IF(J455="","",100*(J455-K455)/J455)</f>
        <v>20</v>
      </c>
      <c r="M455" s="2219"/>
      <c r="N455" s="2219"/>
      <c r="O455" s="2219"/>
      <c r="P455" s="2219"/>
      <c r="Q455" s="4"/>
      <c r="R455" s="4"/>
      <c r="S455" s="4"/>
      <c r="T455" s="4"/>
      <c r="U455" s="4"/>
      <c r="V455" s="4"/>
      <c r="W455" s="4"/>
      <c r="X455" s="4"/>
      <c r="Y455" s="4"/>
      <c r="Z455" s="4"/>
      <c r="AA455" s="4"/>
      <c r="AB455" s="4"/>
      <c r="AC455" s="4"/>
      <c r="AD455" s="4"/>
      <c r="AE455" s="4"/>
      <c r="AF455" s="4"/>
      <c r="AG455" s="4"/>
      <c r="AH455" s="4"/>
      <c r="AI455" s="4"/>
    </row>
    <row r="456" spans="1:35" x14ac:dyDescent="0.3">
      <c r="A456" s="4"/>
      <c r="B456" s="32"/>
      <c r="C456" s="159" t="s">
        <v>458</v>
      </c>
      <c r="D456" s="57" t="str">
        <f>D450&amp;" tot "&amp;D454</f>
        <v>a1 tot a1</v>
      </c>
      <c r="E456" s="299">
        <f>IF(SUM(B450:B454)=0,"",AVERAGE(B450:B454))</f>
        <v>3.55</v>
      </c>
      <c r="F456" s="981"/>
      <c r="G456" s="981"/>
      <c r="H456" s="161" t="str">
        <f>IF(SUM(H450:H454)&lt;&gt;0,AVERAGE(H450:H454),"")</f>
        <v/>
      </c>
      <c r="I456" s="131" t="str">
        <f>IF(SUM(I450:I454)&lt;&gt;0,AVERAGE(I450:I454),"")</f>
        <v/>
      </c>
      <c r="J456" s="160"/>
      <c r="K456" s="160"/>
      <c r="L456" s="160">
        <f>IF(SUM(L450:L454)&lt;&gt;0,AVERAGE(L450:L454),"")</f>
        <v>4</v>
      </c>
      <c r="M456" s="2220"/>
      <c r="N456" s="2220"/>
      <c r="O456" s="2220"/>
      <c r="P456" s="2220"/>
      <c r="Q456" s="4"/>
      <c r="R456" s="4"/>
      <c r="S456" s="4"/>
      <c r="T456" s="4"/>
      <c r="U456" s="4"/>
      <c r="V456" s="4"/>
      <c r="W456" s="4"/>
      <c r="X456" s="4"/>
      <c r="Y456" s="4"/>
      <c r="Z456" s="4"/>
      <c r="AA456" s="4"/>
      <c r="AB456" s="4"/>
      <c r="AC456" s="4"/>
      <c r="AD456" s="4"/>
      <c r="AE456" s="4"/>
      <c r="AF456" s="4"/>
      <c r="AG456" s="4"/>
      <c r="AH456" s="4"/>
      <c r="AI456" s="4"/>
    </row>
    <row r="457" spans="1:35"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spans="1:35" x14ac:dyDescent="0.3">
      <c r="A458" s="4"/>
      <c r="B458" s="5" t="s">
        <v>640</v>
      </c>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spans="1:35" x14ac:dyDescent="0.3">
      <c r="A459" s="4"/>
      <c r="B459" s="2" t="s">
        <v>625</v>
      </c>
      <c r="C459" s="2"/>
      <c r="D459" s="2"/>
      <c r="E459" s="2" t="s">
        <v>642</v>
      </c>
      <c r="F459" s="2">
        <f>samenstelling!C158</f>
        <v>3.85</v>
      </c>
      <c r="G459" s="2" t="s">
        <v>643</v>
      </c>
      <c r="H459" s="2"/>
      <c r="I459" s="84">
        <f>IF(E421="J",VLOOKUP(F459,E442:L456,8,FALSE),"")</f>
        <v>38</v>
      </c>
      <c r="J459" s="2" t="s">
        <v>182</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spans="1:35"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spans="1:35" ht="14.5" x14ac:dyDescent="0.35">
      <c r="A461" s="4"/>
      <c r="B461" s="5" t="s">
        <v>906</v>
      </c>
      <c r="C461" s="4"/>
      <c r="D461" s="4"/>
      <c r="E461" s="4"/>
      <c r="F461" s="134" t="s">
        <v>1653</v>
      </c>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spans="1:35" ht="14.5" x14ac:dyDescent="0.35">
      <c r="A462" s="4"/>
      <c r="B462" s="2" t="s">
        <v>907</v>
      </c>
      <c r="C462" s="2"/>
      <c r="D462" s="2"/>
      <c r="E462" s="3" t="s">
        <v>1383</v>
      </c>
      <c r="F462" s="1632" t="s">
        <v>917</v>
      </c>
      <c r="G462" s="134" t="s">
        <v>1088</v>
      </c>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spans="1:35"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spans="1:35"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spans="1:35" x14ac:dyDescent="0.3">
      <c r="A465" s="13" t="s">
        <v>918</v>
      </c>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row>
    <row r="466" spans="1:35"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spans="1:35" ht="14.5" x14ac:dyDescent="0.35">
      <c r="A467" s="4"/>
      <c r="B467" s="5" t="s">
        <v>644</v>
      </c>
      <c r="C467" s="4"/>
      <c r="D467" s="4"/>
      <c r="E467" s="1471" t="s">
        <v>56</v>
      </c>
      <c r="F467" s="6" t="s">
        <v>645</v>
      </c>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spans="1:35" x14ac:dyDescent="0.3">
      <c r="A468" s="4"/>
      <c r="B468" s="5" t="s">
        <v>331</v>
      </c>
      <c r="C468" s="4"/>
      <c r="D468" s="4"/>
      <c r="E468" s="2139" t="s">
        <v>941</v>
      </c>
      <c r="F468" s="2139"/>
      <c r="G468" s="2139"/>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spans="1:35"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spans="1:35" x14ac:dyDescent="0.3">
      <c r="A470" s="4"/>
      <c r="B470" s="5" t="s">
        <v>330</v>
      </c>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spans="1:35" ht="14.5" x14ac:dyDescent="0.35">
      <c r="A471" s="4"/>
      <c r="B471" s="2" t="s">
        <v>919</v>
      </c>
      <c r="C471" s="2"/>
      <c r="D471" s="2"/>
      <c r="E471" s="2"/>
      <c r="F471" s="2"/>
      <c r="G471" s="2"/>
      <c r="H471" s="2" t="s">
        <v>503</v>
      </c>
      <c r="I471" s="18"/>
      <c r="J471" s="6"/>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spans="1:35" ht="14.5" x14ac:dyDescent="0.35">
      <c r="A472" s="4"/>
      <c r="B472" s="2" t="s">
        <v>524</v>
      </c>
      <c r="C472" s="2"/>
      <c r="D472" s="2"/>
      <c r="E472" s="2"/>
      <c r="F472" s="2"/>
      <c r="G472" s="2"/>
      <c r="H472" s="2"/>
      <c r="I472" s="1494" t="s">
        <v>528</v>
      </c>
      <c r="J472" s="134" t="s">
        <v>529</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spans="1:35" ht="14.5" x14ac:dyDescent="0.35">
      <c r="A473" s="4"/>
      <c r="B473" s="2" t="s">
        <v>925</v>
      </c>
      <c r="C473" s="2"/>
      <c r="D473" s="2"/>
      <c r="E473" s="2"/>
      <c r="F473" s="2"/>
      <c r="G473" s="2"/>
      <c r="H473" s="3" t="s">
        <v>488</v>
      </c>
      <c r="I473" s="1494">
        <v>180</v>
      </c>
      <c r="J473" s="134"/>
      <c r="K473" s="6"/>
      <c r="L473" s="6"/>
      <c r="M473" s="4"/>
      <c r="N473" s="4"/>
      <c r="O473" s="4"/>
      <c r="P473" s="4"/>
      <c r="Q473" s="4"/>
      <c r="R473" s="4"/>
      <c r="S473" s="4"/>
      <c r="T473" s="4"/>
      <c r="U473" s="4"/>
      <c r="V473" s="4"/>
      <c r="W473" s="4"/>
      <c r="X473" s="4"/>
      <c r="Y473" s="4"/>
      <c r="Z473" s="4"/>
      <c r="AA473" s="4"/>
      <c r="AB473" s="4"/>
      <c r="AC473" s="4"/>
      <c r="AD473" s="4"/>
      <c r="AE473" s="4"/>
      <c r="AF473" s="4"/>
      <c r="AG473" s="4"/>
      <c r="AH473" s="4"/>
      <c r="AI473" s="4"/>
    </row>
    <row r="474" spans="1:35" ht="14.5" x14ac:dyDescent="0.35">
      <c r="A474" s="4"/>
      <c r="B474" s="2" t="s">
        <v>504</v>
      </c>
      <c r="C474" s="2"/>
      <c r="D474" s="2"/>
      <c r="E474" s="2"/>
      <c r="F474" s="2"/>
      <c r="G474" s="2"/>
      <c r="H474" s="3"/>
      <c r="I474" s="1494" t="s">
        <v>428</v>
      </c>
      <c r="J474" s="6" t="s">
        <v>505</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spans="1:35" ht="14.5" x14ac:dyDescent="0.35">
      <c r="A475" s="4"/>
      <c r="B475" s="2" t="s">
        <v>957</v>
      </c>
      <c r="C475" s="2"/>
      <c r="D475" s="2"/>
      <c r="E475" s="2"/>
      <c r="F475" s="2"/>
      <c r="G475" s="2"/>
      <c r="H475" s="3" t="s">
        <v>955</v>
      </c>
      <c r="I475" s="1494">
        <v>500</v>
      </c>
      <c r="J475" s="6" t="s">
        <v>506</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spans="1:35" ht="14.5" x14ac:dyDescent="0.35">
      <c r="A476" s="4"/>
      <c r="B476" s="2" t="s">
        <v>933</v>
      </c>
      <c r="C476" s="2"/>
      <c r="D476" s="2"/>
      <c r="E476" s="2"/>
      <c r="F476" s="2"/>
      <c r="G476" s="2"/>
      <c r="H476" s="3" t="s">
        <v>488</v>
      </c>
      <c r="I476" s="1494">
        <v>40</v>
      </c>
      <c r="J476" s="6" t="s">
        <v>507</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spans="1:35" ht="14.5" x14ac:dyDescent="0.35">
      <c r="A477" s="4"/>
      <c r="B477" s="2" t="s">
        <v>508</v>
      </c>
      <c r="C477" s="2"/>
      <c r="D477" s="2"/>
      <c r="E477" s="2"/>
      <c r="F477" s="2"/>
      <c r="G477" s="2"/>
      <c r="H477" s="2139" t="s">
        <v>509</v>
      </c>
      <c r="I477" s="2139"/>
      <c r="J477" s="189" t="s">
        <v>532</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spans="1:35" ht="14.5" x14ac:dyDescent="0.35">
      <c r="A478" s="4"/>
      <c r="B478" s="2" t="s">
        <v>958</v>
      </c>
      <c r="C478" s="2"/>
      <c r="D478" s="2"/>
      <c r="E478" s="2"/>
      <c r="F478" s="2"/>
      <c r="G478" s="2"/>
      <c r="H478" s="3" t="s">
        <v>956</v>
      </c>
      <c r="I478" s="1664">
        <v>60</v>
      </c>
      <c r="J478" s="189" t="s">
        <v>533</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spans="1:35" ht="14.5" x14ac:dyDescent="0.35">
      <c r="A479" s="4"/>
      <c r="B479" s="2" t="s">
        <v>959</v>
      </c>
      <c r="C479" s="2"/>
      <c r="D479" s="2"/>
      <c r="E479" s="2"/>
      <c r="F479" s="2"/>
      <c r="G479" s="2"/>
      <c r="H479" s="3" t="s">
        <v>956</v>
      </c>
      <c r="I479" s="1664">
        <v>30</v>
      </c>
      <c r="J479" s="6" t="s">
        <v>535</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spans="1:35" ht="14.5" x14ac:dyDescent="0.35">
      <c r="A480" s="4"/>
      <c r="B480" s="2" t="s">
        <v>960</v>
      </c>
      <c r="C480" s="2"/>
      <c r="D480" s="2"/>
      <c r="E480" s="2"/>
      <c r="F480" s="2"/>
      <c r="G480" s="2"/>
      <c r="H480" s="3" t="s">
        <v>956</v>
      </c>
      <c r="I480" s="1664">
        <v>60</v>
      </c>
      <c r="J480" s="6" t="s">
        <v>536</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spans="1:35"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spans="1:35" ht="14.5" x14ac:dyDescent="0.35">
      <c r="A482" s="4"/>
      <c r="B482" s="5" t="s">
        <v>335</v>
      </c>
      <c r="C482" s="4"/>
      <c r="D482" s="4"/>
      <c r="E482" s="4"/>
      <c r="F482" s="134" t="s">
        <v>843</v>
      </c>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spans="1:35" x14ac:dyDescent="0.3">
      <c r="A483" s="4"/>
      <c r="B483" s="2" t="s">
        <v>183</v>
      </c>
      <c r="C483" s="2"/>
      <c r="D483" s="2" t="s">
        <v>336</v>
      </c>
      <c r="E483" s="2"/>
      <c r="F483" s="143" t="s">
        <v>920</v>
      </c>
      <c r="G483" s="143"/>
      <c r="H483" s="143"/>
      <c r="I483" s="143"/>
      <c r="J483" s="143"/>
      <c r="K483" s="143"/>
      <c r="L483" s="143"/>
      <c r="M483" s="143"/>
      <c r="N483" s="143"/>
      <c r="O483" s="4"/>
      <c r="P483" s="4"/>
      <c r="Q483" s="4"/>
      <c r="R483" s="4"/>
      <c r="S483" s="4"/>
      <c r="T483" s="4"/>
      <c r="U483" s="4"/>
      <c r="V483" s="4"/>
      <c r="W483" s="4"/>
      <c r="X483" s="4"/>
      <c r="Y483" s="4"/>
      <c r="Z483" s="4"/>
      <c r="AA483" s="4"/>
      <c r="AB483" s="4"/>
      <c r="AC483" s="4"/>
      <c r="AD483" s="4"/>
      <c r="AE483" s="4"/>
      <c r="AF483" s="4"/>
      <c r="AG483" s="4"/>
      <c r="AH483" s="4"/>
      <c r="AI483" s="4"/>
    </row>
    <row r="484" spans="1:35" x14ac:dyDescent="0.3">
      <c r="A484" s="4"/>
      <c r="B484" s="49" t="s">
        <v>337</v>
      </c>
      <c r="C484" s="49"/>
      <c r="D484" s="47" t="s">
        <v>338</v>
      </c>
      <c r="E484" s="49"/>
      <c r="F484" s="47">
        <v>1</v>
      </c>
      <c r="G484" s="47">
        <v>2</v>
      </c>
      <c r="H484" s="47">
        <v>4</v>
      </c>
      <c r="I484" s="47">
        <v>8</v>
      </c>
      <c r="J484" s="47">
        <v>15</v>
      </c>
      <c r="K484" s="47">
        <v>30</v>
      </c>
      <c r="L484" s="47">
        <v>60</v>
      </c>
      <c r="M484" s="47">
        <v>120</v>
      </c>
      <c r="N484" s="47">
        <v>300</v>
      </c>
      <c r="O484" s="4"/>
      <c r="P484" s="4"/>
      <c r="Q484" s="4"/>
      <c r="R484" s="4"/>
      <c r="S484" s="4"/>
      <c r="T484" s="4"/>
      <c r="U484" s="4"/>
      <c r="V484" s="4"/>
      <c r="W484" s="4"/>
      <c r="X484" s="4"/>
      <c r="Y484" s="4"/>
      <c r="Z484" s="4"/>
      <c r="AA484" s="4"/>
      <c r="AB484" s="4"/>
      <c r="AC484" s="4"/>
      <c r="AD484" s="4"/>
      <c r="AE484" s="4"/>
      <c r="AF484" s="4"/>
      <c r="AG484" s="4"/>
      <c r="AH484" s="4"/>
      <c r="AI484" s="4"/>
    </row>
    <row r="485" spans="1:35" ht="14.5" x14ac:dyDescent="0.35">
      <c r="A485" s="4"/>
      <c r="B485" s="69">
        <f>D38</f>
        <v>3.5500000000000003</v>
      </c>
      <c r="C485" s="2"/>
      <c r="D485" s="1494" t="s">
        <v>475</v>
      </c>
      <c r="E485" s="2"/>
      <c r="F485" s="1593"/>
      <c r="G485" s="1593"/>
      <c r="H485" s="1593"/>
      <c r="I485" s="1665"/>
      <c r="J485" s="1593"/>
      <c r="K485" s="1593">
        <v>8</v>
      </c>
      <c r="L485" s="1593"/>
      <c r="M485" s="1593"/>
      <c r="N485" s="1593"/>
      <c r="O485" s="134" t="s">
        <v>459</v>
      </c>
      <c r="P485" s="4"/>
      <c r="Q485" s="4"/>
      <c r="R485" s="4"/>
      <c r="S485" s="4"/>
      <c r="T485" s="4"/>
      <c r="U485" s="4"/>
      <c r="V485" s="4"/>
      <c r="W485" s="4"/>
      <c r="X485" s="4"/>
      <c r="Y485" s="4"/>
      <c r="Z485" s="4"/>
      <c r="AA485" s="4"/>
      <c r="AB485" s="4"/>
      <c r="AC485" s="4"/>
      <c r="AD485" s="4"/>
      <c r="AE485" s="4"/>
      <c r="AF485" s="4"/>
      <c r="AG485" s="4"/>
      <c r="AH485" s="4"/>
      <c r="AI485" s="4"/>
    </row>
    <row r="486" spans="1:35" ht="14.5" x14ac:dyDescent="0.35">
      <c r="A486" s="4"/>
      <c r="B486" s="2"/>
      <c r="C486" s="2"/>
      <c r="D486" s="1625" t="s">
        <v>476</v>
      </c>
      <c r="E486" s="698"/>
      <c r="F486" s="1631"/>
      <c r="G486" s="1631"/>
      <c r="H486" s="1631"/>
      <c r="I486" s="1666"/>
      <c r="J486" s="1631"/>
      <c r="K486" s="1631">
        <v>9</v>
      </c>
      <c r="L486" s="1631"/>
      <c r="M486" s="1631"/>
      <c r="N486" s="1631"/>
      <c r="O486" s="134" t="s">
        <v>1029</v>
      </c>
      <c r="P486" s="4"/>
      <c r="Q486" s="4"/>
      <c r="R486" s="4"/>
      <c r="S486" s="4"/>
      <c r="T486" s="4"/>
      <c r="U486" s="4"/>
      <c r="V486" s="4"/>
      <c r="W486" s="4"/>
      <c r="X486" s="4"/>
      <c r="Y486" s="4"/>
      <c r="Z486" s="4"/>
      <c r="AA486" s="4"/>
      <c r="AB486" s="4"/>
      <c r="AC486" s="4"/>
      <c r="AD486" s="4"/>
      <c r="AE486" s="4"/>
      <c r="AF486" s="4"/>
      <c r="AG486" s="4"/>
      <c r="AH486" s="4"/>
      <c r="AI486" s="4"/>
    </row>
    <row r="487" spans="1:35" x14ac:dyDescent="0.3">
      <c r="A487" s="4"/>
      <c r="B487" s="2"/>
      <c r="C487" s="2"/>
      <c r="D487" s="1494" t="s">
        <v>477</v>
      </c>
      <c r="E487" s="2"/>
      <c r="F487" s="1593"/>
      <c r="G487" s="1593"/>
      <c r="H487" s="1593"/>
      <c r="I487" s="1665"/>
      <c r="J487" s="1593"/>
      <c r="K487" s="1593"/>
      <c r="L487" s="1593"/>
      <c r="M487" s="1593"/>
      <c r="N487" s="1593"/>
      <c r="O487" s="4"/>
      <c r="P487" s="4"/>
      <c r="Q487" s="4"/>
      <c r="R487" s="4"/>
      <c r="S487" s="4"/>
      <c r="T487" s="4"/>
      <c r="U487" s="4"/>
      <c r="V487" s="4"/>
      <c r="W487" s="4"/>
      <c r="X487" s="4"/>
      <c r="Y487" s="4"/>
      <c r="Z487" s="4"/>
      <c r="AA487" s="4"/>
      <c r="AB487" s="4"/>
      <c r="AC487" s="4"/>
      <c r="AD487" s="4"/>
      <c r="AE487" s="4"/>
      <c r="AF487" s="4"/>
      <c r="AG487" s="4"/>
      <c r="AH487" s="4"/>
      <c r="AI487" s="4"/>
    </row>
    <row r="488" spans="1:35" ht="14.5" x14ac:dyDescent="0.35">
      <c r="A488" s="4"/>
      <c r="B488" s="2"/>
      <c r="C488" s="2"/>
      <c r="D488" s="1494"/>
      <c r="E488" s="2"/>
      <c r="F488" s="1593"/>
      <c r="G488" s="1593"/>
      <c r="H488" s="1593"/>
      <c r="I488" s="1665"/>
      <c r="J488" s="1593"/>
      <c r="K488" s="1593"/>
      <c r="L488" s="1593"/>
      <c r="M488" s="1593"/>
      <c r="N488" s="1593"/>
      <c r="O488" s="134"/>
      <c r="P488" s="4"/>
      <c r="Q488" s="4"/>
      <c r="R488" s="4"/>
      <c r="S488" s="4"/>
      <c r="T488" s="4"/>
      <c r="U488" s="4"/>
      <c r="V488" s="4"/>
      <c r="W488" s="4"/>
      <c r="X488" s="4"/>
      <c r="Y488" s="4"/>
      <c r="Z488" s="4"/>
      <c r="AA488" s="4"/>
      <c r="AB488" s="4"/>
      <c r="AC488" s="4"/>
      <c r="AD488" s="4"/>
      <c r="AE488" s="4"/>
      <c r="AF488" s="4"/>
      <c r="AG488" s="4"/>
      <c r="AH488" s="4"/>
      <c r="AI488" s="4"/>
    </row>
    <row r="489" spans="1:35" ht="14.5" x14ac:dyDescent="0.35">
      <c r="A489" s="4"/>
      <c r="B489" s="2"/>
      <c r="C489" s="2"/>
      <c r="D489" s="1494"/>
      <c r="E489" s="2"/>
      <c r="F489" s="1593"/>
      <c r="G489" s="1593"/>
      <c r="H489" s="1593"/>
      <c r="I489" s="1665"/>
      <c r="J489" s="1593"/>
      <c r="K489" s="1593"/>
      <c r="L489" s="1593"/>
      <c r="M489" s="1593"/>
      <c r="N489" s="1593"/>
      <c r="O489" s="134"/>
      <c r="P489" s="4"/>
      <c r="Q489" s="4"/>
      <c r="R489" s="4"/>
      <c r="S489" s="4"/>
      <c r="T489" s="4"/>
      <c r="U489" s="4"/>
      <c r="V489" s="4"/>
      <c r="W489" s="4"/>
      <c r="X489" s="4"/>
      <c r="Y489" s="4"/>
      <c r="Z489" s="4"/>
      <c r="AA489" s="4"/>
      <c r="AB489" s="4"/>
      <c r="AC489" s="4"/>
      <c r="AD489" s="4"/>
      <c r="AE489" s="4"/>
      <c r="AF489" s="4"/>
      <c r="AG489" s="4"/>
      <c r="AH489" s="4"/>
      <c r="AI489" s="4"/>
    </row>
    <row r="490" spans="1:35" ht="14.5" x14ac:dyDescent="0.35">
      <c r="A490" s="4"/>
      <c r="B490" s="32"/>
      <c r="C490" s="159" t="s">
        <v>458</v>
      </c>
      <c r="D490" s="57" t="str">
        <f>D485&amp;" en "&amp;D486</f>
        <v>a en b</v>
      </c>
      <c r="E490" s="32"/>
      <c r="F490" s="131" t="str">
        <f>IF(SUM(F485:F486)&lt;&gt;0,AVERAGE(F485:F486),"")</f>
        <v/>
      </c>
      <c r="G490" s="131" t="str">
        <f t="shared" ref="G490:N490" si="141">IF(SUM(G485:G486)&lt;&gt;0,AVERAGE(G485:G486),"")</f>
        <v/>
      </c>
      <c r="H490" s="131" t="str">
        <f t="shared" si="141"/>
        <v/>
      </c>
      <c r="I490" s="131" t="str">
        <f t="shared" si="141"/>
        <v/>
      </c>
      <c r="J490" s="131" t="str">
        <f t="shared" si="141"/>
        <v/>
      </c>
      <c r="K490" s="131">
        <f t="shared" si="141"/>
        <v>8.5</v>
      </c>
      <c r="L490" s="131" t="str">
        <f t="shared" si="141"/>
        <v/>
      </c>
      <c r="M490" s="131" t="str">
        <f t="shared" si="141"/>
        <v/>
      </c>
      <c r="N490" s="131" t="str">
        <f t="shared" si="141"/>
        <v/>
      </c>
      <c r="O490" s="134"/>
      <c r="P490" s="4"/>
      <c r="Q490" s="4"/>
      <c r="R490" s="4"/>
      <c r="S490" s="4"/>
      <c r="T490" s="4"/>
      <c r="U490" s="4"/>
      <c r="V490" s="4"/>
      <c r="W490" s="4"/>
      <c r="X490" s="4"/>
      <c r="Y490" s="4"/>
      <c r="Z490" s="4"/>
      <c r="AA490" s="4"/>
      <c r="AB490" s="4"/>
      <c r="AC490" s="4"/>
      <c r="AD490" s="4"/>
      <c r="AE490" s="4"/>
      <c r="AF490" s="4"/>
      <c r="AG490" s="4"/>
      <c r="AH490" s="4"/>
      <c r="AI490" s="4"/>
    </row>
    <row r="491" spans="1:35" x14ac:dyDescent="0.3">
      <c r="A491" s="4"/>
      <c r="B491" s="69">
        <f>D68</f>
        <v>3.85</v>
      </c>
      <c r="C491" s="2"/>
      <c r="D491" s="1494"/>
      <c r="E491" s="2"/>
      <c r="F491" s="1593"/>
      <c r="G491" s="1593"/>
      <c r="H491" s="1593"/>
      <c r="I491" s="1665"/>
      <c r="J491" s="1593">
        <v>16</v>
      </c>
      <c r="K491" s="1593">
        <v>17</v>
      </c>
      <c r="L491" s="1593">
        <v>20</v>
      </c>
      <c r="M491" s="1593"/>
      <c r="N491" s="1593"/>
      <c r="O491" s="4"/>
      <c r="P491" s="4"/>
      <c r="Q491" s="4"/>
      <c r="R491" s="4"/>
      <c r="S491" s="4"/>
      <c r="T491" s="4"/>
      <c r="U491" s="4"/>
      <c r="V491" s="4"/>
      <c r="W491" s="4"/>
      <c r="X491" s="4"/>
      <c r="Y491" s="4"/>
      <c r="Z491" s="4"/>
      <c r="AA491" s="4"/>
      <c r="AB491" s="4"/>
      <c r="AC491" s="4"/>
      <c r="AD491" s="4"/>
      <c r="AE491" s="4"/>
      <c r="AF491" s="4"/>
      <c r="AG491" s="4"/>
      <c r="AH491" s="4"/>
      <c r="AI491" s="4"/>
    </row>
    <row r="492" spans="1:35" x14ac:dyDescent="0.3">
      <c r="A492" s="4"/>
      <c r="B492" s="2"/>
      <c r="C492" s="2"/>
      <c r="D492" s="1625"/>
      <c r="E492" s="698"/>
      <c r="F492" s="1631"/>
      <c r="G492" s="1631"/>
      <c r="H492" s="1631"/>
      <c r="I492" s="1666"/>
      <c r="J492" s="1631">
        <v>18</v>
      </c>
      <c r="K492" s="1631">
        <v>19</v>
      </c>
      <c r="L492" s="1631"/>
      <c r="M492" s="1631"/>
      <c r="N492" s="1631"/>
      <c r="O492" s="4"/>
      <c r="P492" s="4"/>
      <c r="Q492" s="4"/>
      <c r="R492" s="4"/>
      <c r="S492" s="4"/>
      <c r="T492" s="4"/>
      <c r="U492" s="4"/>
      <c r="V492" s="4"/>
      <c r="W492" s="4"/>
      <c r="X492" s="4"/>
      <c r="Y492" s="4"/>
      <c r="Z492" s="4"/>
      <c r="AA492" s="4"/>
      <c r="AB492" s="4"/>
      <c r="AC492" s="4"/>
      <c r="AD492" s="4"/>
      <c r="AE492" s="4"/>
      <c r="AF492" s="4"/>
      <c r="AG492" s="4"/>
      <c r="AH492" s="4"/>
      <c r="AI492" s="4"/>
    </row>
    <row r="493" spans="1:35" x14ac:dyDescent="0.3">
      <c r="A493" s="4"/>
      <c r="B493" s="2"/>
      <c r="C493" s="2"/>
      <c r="D493" s="1494"/>
      <c r="E493" s="2"/>
      <c r="F493" s="1593"/>
      <c r="G493" s="1593"/>
      <c r="H493" s="1593"/>
      <c r="I493" s="1665"/>
      <c r="J493" s="1593"/>
      <c r="K493" s="1593"/>
      <c r="L493" s="1593"/>
      <c r="M493" s="1593"/>
      <c r="N493" s="1593"/>
      <c r="O493" s="4"/>
      <c r="P493" s="4"/>
      <c r="Q493" s="4"/>
      <c r="R493" s="4"/>
      <c r="S493" s="4"/>
      <c r="T493" s="4"/>
      <c r="U493" s="4"/>
      <c r="V493" s="4"/>
      <c r="W493" s="4"/>
      <c r="X493" s="4"/>
      <c r="Y493" s="4"/>
      <c r="Z493" s="4"/>
      <c r="AA493" s="4"/>
      <c r="AB493" s="4"/>
      <c r="AC493" s="4"/>
      <c r="AD493" s="4"/>
      <c r="AE493" s="4"/>
      <c r="AF493" s="4"/>
      <c r="AG493" s="4"/>
      <c r="AH493" s="4"/>
      <c r="AI493" s="4"/>
    </row>
    <row r="494" spans="1:35" x14ac:dyDescent="0.3">
      <c r="A494" s="4"/>
      <c r="B494" s="2"/>
      <c r="C494" s="2"/>
      <c r="D494" s="1494"/>
      <c r="E494" s="2"/>
      <c r="F494" s="1593"/>
      <c r="G494" s="1593"/>
      <c r="H494" s="1593"/>
      <c r="I494" s="1665"/>
      <c r="J494" s="1593"/>
      <c r="K494" s="1593"/>
      <c r="L494" s="1593"/>
      <c r="M494" s="1593"/>
      <c r="N494" s="1593"/>
      <c r="O494" s="4"/>
      <c r="P494" s="4"/>
      <c r="Q494" s="4"/>
      <c r="R494" s="4"/>
      <c r="S494" s="4"/>
      <c r="T494" s="4"/>
      <c r="U494" s="4"/>
      <c r="V494" s="4"/>
      <c r="W494" s="4"/>
      <c r="X494" s="4"/>
      <c r="Y494" s="4"/>
      <c r="Z494" s="4"/>
      <c r="AA494" s="4"/>
      <c r="AB494" s="4"/>
      <c r="AC494" s="4"/>
      <c r="AD494" s="4"/>
      <c r="AE494" s="4"/>
      <c r="AF494" s="4"/>
      <c r="AG494" s="4"/>
      <c r="AH494" s="4"/>
      <c r="AI494" s="4"/>
    </row>
    <row r="495" spans="1:35" x14ac:dyDescent="0.3">
      <c r="A495" s="4"/>
      <c r="B495" s="2"/>
      <c r="C495" s="2"/>
      <c r="D495" s="1494"/>
      <c r="E495" s="2"/>
      <c r="F495" s="1593"/>
      <c r="G495" s="1593"/>
      <c r="H495" s="1593"/>
      <c r="I495" s="1665"/>
      <c r="J495" s="1593"/>
      <c r="K495" s="1593"/>
      <c r="L495" s="1593"/>
      <c r="M495" s="1593"/>
      <c r="N495" s="1593"/>
      <c r="O495" s="4"/>
      <c r="P495" s="4"/>
      <c r="Q495" s="4"/>
      <c r="R495" s="4"/>
      <c r="S495" s="4"/>
      <c r="T495" s="4"/>
      <c r="U495" s="4"/>
      <c r="V495" s="4"/>
      <c r="W495" s="4"/>
      <c r="X495" s="4"/>
      <c r="Y495" s="4"/>
      <c r="Z495" s="4"/>
      <c r="AA495" s="4"/>
      <c r="AB495" s="4"/>
      <c r="AC495" s="4"/>
      <c r="AD495" s="4"/>
      <c r="AE495" s="4"/>
      <c r="AF495" s="4"/>
      <c r="AG495" s="4"/>
      <c r="AH495" s="4"/>
      <c r="AI495" s="4"/>
    </row>
    <row r="496" spans="1:35" x14ac:dyDescent="0.3">
      <c r="A496" s="4"/>
      <c r="B496" s="32"/>
      <c r="C496" s="159" t="s">
        <v>458</v>
      </c>
      <c r="D496" s="57" t="str">
        <f>D491&amp;" en "&amp;D492</f>
        <v xml:space="preserve"> en </v>
      </c>
      <c r="E496" s="32"/>
      <c r="F496" s="131" t="str">
        <f t="shared" ref="F496:N496" si="142">IF(SUM(F491:F492)&lt;&gt;0,AVERAGE(F491:F492),"")</f>
        <v/>
      </c>
      <c r="G496" s="131" t="str">
        <f t="shared" si="142"/>
        <v/>
      </c>
      <c r="H496" s="131" t="str">
        <f t="shared" si="142"/>
        <v/>
      </c>
      <c r="I496" s="131" t="str">
        <f t="shared" si="142"/>
        <v/>
      </c>
      <c r="J496" s="131">
        <f t="shared" si="142"/>
        <v>17</v>
      </c>
      <c r="K496" s="131">
        <f t="shared" si="142"/>
        <v>18</v>
      </c>
      <c r="L496" s="131">
        <f t="shared" si="142"/>
        <v>20</v>
      </c>
      <c r="M496" s="131" t="str">
        <f t="shared" si="142"/>
        <v/>
      </c>
      <c r="N496" s="131" t="str">
        <f t="shared" si="142"/>
        <v/>
      </c>
      <c r="O496" s="4"/>
      <c r="P496" s="4"/>
      <c r="Q496" s="4"/>
      <c r="R496" s="4"/>
      <c r="S496" s="4"/>
      <c r="T496" s="4"/>
      <c r="U496" s="4"/>
      <c r="V496" s="4"/>
      <c r="W496" s="4"/>
      <c r="X496" s="4"/>
      <c r="Y496" s="4"/>
      <c r="Z496" s="4"/>
      <c r="AA496" s="4"/>
      <c r="AB496" s="4"/>
      <c r="AC496" s="4"/>
      <c r="AD496" s="4"/>
      <c r="AE496" s="4"/>
      <c r="AF496" s="4"/>
      <c r="AG496" s="4"/>
      <c r="AH496" s="4"/>
      <c r="AI496" s="4"/>
    </row>
    <row r="497" spans="1:35" x14ac:dyDescent="0.3">
      <c r="A497" s="4"/>
      <c r="B497" s="69">
        <f>D98</f>
        <v>4.1500000000000004</v>
      </c>
      <c r="C497" s="2"/>
      <c r="D497" s="1494"/>
      <c r="E497" s="2"/>
      <c r="F497" s="1593"/>
      <c r="G497" s="1593"/>
      <c r="H497" s="1593"/>
      <c r="I497" s="1665"/>
      <c r="J497" s="1593"/>
      <c r="K497" s="1593"/>
      <c r="L497" s="1593">
        <v>18</v>
      </c>
      <c r="M497" s="1593"/>
      <c r="N497" s="1593"/>
      <c r="O497" s="4"/>
      <c r="P497" s="4"/>
      <c r="Q497" s="4"/>
      <c r="R497" s="4"/>
      <c r="S497" s="4"/>
      <c r="T497" s="4"/>
      <c r="U497" s="4"/>
      <c r="V497" s="4"/>
      <c r="W497" s="4"/>
      <c r="X497" s="4"/>
      <c r="Y497" s="4"/>
      <c r="Z497" s="4"/>
      <c r="AA497" s="4"/>
      <c r="AB497" s="4"/>
      <c r="AC497" s="4"/>
      <c r="AD497" s="4"/>
      <c r="AE497" s="4"/>
      <c r="AF497" s="4"/>
      <c r="AG497" s="4"/>
      <c r="AH497" s="4"/>
      <c r="AI497" s="4"/>
    </row>
    <row r="498" spans="1:35" x14ac:dyDescent="0.3">
      <c r="A498" s="4"/>
      <c r="B498" s="2"/>
      <c r="C498" s="2"/>
      <c r="D498" s="1625"/>
      <c r="E498" s="698"/>
      <c r="F498" s="1631"/>
      <c r="G498" s="1631"/>
      <c r="H498" s="1631"/>
      <c r="I498" s="1666"/>
      <c r="J498" s="1631"/>
      <c r="K498" s="1631"/>
      <c r="L498" s="1631">
        <v>17</v>
      </c>
      <c r="M498" s="1631"/>
      <c r="N498" s="1631"/>
      <c r="O498" s="4"/>
      <c r="P498" s="4"/>
      <c r="Q498" s="4"/>
      <c r="R498" s="4"/>
      <c r="S498" s="4"/>
      <c r="T498" s="4"/>
      <c r="U498" s="4"/>
      <c r="V498" s="4"/>
      <c r="W498" s="4"/>
      <c r="X498" s="4"/>
      <c r="Y498" s="4"/>
      <c r="Z498" s="4"/>
      <c r="AA498" s="4"/>
      <c r="AB498" s="4"/>
      <c r="AC498" s="4"/>
      <c r="AD498" s="4"/>
      <c r="AE498" s="4"/>
      <c r="AF498" s="4"/>
      <c r="AG498" s="4"/>
      <c r="AH498" s="4"/>
      <c r="AI498" s="4"/>
    </row>
    <row r="499" spans="1:35" x14ac:dyDescent="0.3">
      <c r="A499" s="4"/>
      <c r="B499" s="2"/>
      <c r="C499" s="2"/>
      <c r="D499" s="1494"/>
      <c r="E499" s="2"/>
      <c r="F499" s="1593"/>
      <c r="G499" s="1593"/>
      <c r="H499" s="1593"/>
      <c r="I499" s="1665"/>
      <c r="J499" s="1593"/>
      <c r="K499" s="1593"/>
      <c r="L499" s="1593"/>
      <c r="M499" s="1593"/>
      <c r="N499" s="1593"/>
      <c r="O499" s="4"/>
      <c r="P499" s="4"/>
      <c r="Q499" s="4"/>
      <c r="R499" s="4"/>
      <c r="S499" s="4"/>
      <c r="T499" s="4"/>
      <c r="U499" s="4"/>
      <c r="V499" s="4"/>
      <c r="W499" s="4"/>
      <c r="X499" s="4"/>
      <c r="Y499" s="4"/>
      <c r="Z499" s="4"/>
      <c r="AA499" s="4"/>
      <c r="AB499" s="4"/>
      <c r="AC499" s="4"/>
      <c r="AD499" s="4"/>
      <c r="AE499" s="4"/>
      <c r="AF499" s="4"/>
      <c r="AG499" s="4"/>
      <c r="AH499" s="4"/>
      <c r="AI499" s="4"/>
    </row>
    <row r="500" spans="1:35" x14ac:dyDescent="0.3">
      <c r="A500" s="4"/>
      <c r="B500" s="2"/>
      <c r="C500" s="2"/>
      <c r="D500" s="1494"/>
      <c r="E500" s="2"/>
      <c r="F500" s="1593"/>
      <c r="G500" s="1593"/>
      <c r="H500" s="1593"/>
      <c r="I500" s="1665"/>
      <c r="J500" s="1593"/>
      <c r="K500" s="1593"/>
      <c r="L500" s="1593"/>
      <c r="M500" s="1593"/>
      <c r="N500" s="1593"/>
      <c r="O500" s="4"/>
      <c r="P500" s="4"/>
      <c r="Q500" s="4"/>
      <c r="R500" s="4"/>
      <c r="S500" s="4"/>
      <c r="T500" s="4"/>
      <c r="U500" s="4"/>
      <c r="V500" s="4"/>
      <c r="W500" s="4"/>
      <c r="X500" s="4"/>
      <c r="Y500" s="4"/>
      <c r="Z500" s="4"/>
      <c r="AA500" s="4"/>
      <c r="AB500" s="4"/>
      <c r="AC500" s="4"/>
      <c r="AD500" s="4"/>
      <c r="AE500" s="4"/>
      <c r="AF500" s="4"/>
      <c r="AG500" s="4"/>
      <c r="AH500" s="4"/>
      <c r="AI500" s="4"/>
    </row>
    <row r="501" spans="1:35" x14ac:dyDescent="0.3">
      <c r="A501" s="4"/>
      <c r="B501" s="2"/>
      <c r="C501" s="2"/>
      <c r="D501" s="1494"/>
      <c r="E501" s="2"/>
      <c r="F501" s="1593"/>
      <c r="G501" s="1593"/>
      <c r="H501" s="1593"/>
      <c r="I501" s="1665"/>
      <c r="J501" s="1593"/>
      <c r="K501" s="1593"/>
      <c r="L501" s="1593"/>
      <c r="M501" s="1593"/>
      <c r="N501" s="1593"/>
      <c r="O501" s="4"/>
      <c r="P501" s="4"/>
      <c r="Q501" s="4"/>
      <c r="R501" s="4"/>
      <c r="S501" s="4"/>
      <c r="T501" s="4"/>
      <c r="U501" s="4"/>
      <c r="V501" s="4"/>
      <c r="W501" s="4"/>
      <c r="X501" s="4"/>
      <c r="Y501" s="4"/>
      <c r="Z501" s="4"/>
      <c r="AA501" s="4"/>
      <c r="AB501" s="4"/>
      <c r="AC501" s="4"/>
      <c r="AD501" s="4"/>
      <c r="AE501" s="4"/>
      <c r="AF501" s="4"/>
      <c r="AG501" s="4"/>
      <c r="AH501" s="4"/>
      <c r="AI501" s="4"/>
    </row>
    <row r="502" spans="1:35" x14ac:dyDescent="0.3">
      <c r="A502" s="4"/>
      <c r="B502" s="32"/>
      <c r="C502" s="159" t="s">
        <v>458</v>
      </c>
      <c r="D502" s="57" t="str">
        <f>D497&amp;" en "&amp;D498</f>
        <v xml:space="preserve"> en </v>
      </c>
      <c r="E502" s="32"/>
      <c r="F502" s="131" t="str">
        <f t="shared" ref="F502:N502" si="143">IF(SUM(F497:F498)&lt;&gt;0,AVERAGE(F497:F498),"")</f>
        <v/>
      </c>
      <c r="G502" s="131" t="str">
        <f t="shared" si="143"/>
        <v/>
      </c>
      <c r="H502" s="131" t="str">
        <f t="shared" si="143"/>
        <v/>
      </c>
      <c r="I502" s="131" t="str">
        <f t="shared" si="143"/>
        <v/>
      </c>
      <c r="J502" s="131" t="str">
        <f t="shared" si="143"/>
        <v/>
      </c>
      <c r="K502" s="131" t="str">
        <f t="shared" si="143"/>
        <v/>
      </c>
      <c r="L502" s="131">
        <f t="shared" si="143"/>
        <v>17.5</v>
      </c>
      <c r="M502" s="131" t="str">
        <f t="shared" si="143"/>
        <v/>
      </c>
      <c r="N502" s="131" t="str">
        <f t="shared" si="143"/>
        <v/>
      </c>
      <c r="O502" s="4"/>
      <c r="P502" s="4"/>
      <c r="Q502" s="4"/>
      <c r="R502" s="4"/>
      <c r="S502" s="4"/>
      <c r="T502" s="4"/>
      <c r="U502" s="4"/>
      <c r="V502" s="4"/>
      <c r="W502" s="4"/>
      <c r="X502" s="4"/>
      <c r="Y502" s="4"/>
      <c r="Z502" s="4"/>
      <c r="AA502" s="4"/>
      <c r="AB502" s="4"/>
      <c r="AC502" s="4"/>
      <c r="AD502" s="4"/>
      <c r="AE502" s="4"/>
      <c r="AF502" s="4"/>
      <c r="AG502" s="4"/>
      <c r="AH502" s="4"/>
      <c r="AI502" s="4"/>
    </row>
    <row r="503" spans="1:35" x14ac:dyDescent="0.3">
      <c r="A503" s="4"/>
      <c r="B503" s="2" t="str">
        <f>"Indrukking na "&amp;I479&amp;" minuten:"</f>
        <v>Indrukking na 30 minuten:</v>
      </c>
      <c r="C503" s="3"/>
      <c r="D503" s="60"/>
      <c r="E503" s="67">
        <f>IF(HLOOKUP(I479,F484:N502,13,FALSE)="","",HLOOKUP(I479,F484:N502,13,FALSE))</f>
        <v>18</v>
      </c>
      <c r="F503" s="133"/>
      <c r="G503" s="133"/>
      <c r="H503" s="170" t="s">
        <v>921</v>
      </c>
      <c r="I503" s="133"/>
      <c r="J503" s="133"/>
      <c r="K503" s="2"/>
      <c r="L503" s="133">
        <f>IF(OR(E503="",E504=""),"",E504-E503)</f>
        <v>2</v>
      </c>
      <c r="M503" s="133"/>
      <c r="N503" s="133"/>
      <c r="O503" s="4"/>
      <c r="P503" s="4"/>
      <c r="Q503" s="4"/>
      <c r="R503" s="4"/>
      <c r="S503" s="4"/>
      <c r="T503" s="4"/>
      <c r="U503" s="4"/>
      <c r="V503" s="4"/>
      <c r="W503" s="4"/>
      <c r="X503" s="4"/>
      <c r="Y503" s="4"/>
      <c r="Z503" s="4"/>
      <c r="AA503" s="4"/>
      <c r="AB503" s="4"/>
      <c r="AC503" s="4"/>
      <c r="AD503" s="4"/>
      <c r="AE503" s="4"/>
      <c r="AF503" s="4"/>
      <c r="AG503" s="4"/>
      <c r="AH503" s="4"/>
      <c r="AI503" s="4"/>
    </row>
    <row r="504" spans="1:35" x14ac:dyDescent="0.3">
      <c r="A504" s="4"/>
      <c r="B504" s="2" t="str">
        <f>"Indrukking na "&amp;I480&amp;" minuten:"</f>
        <v>Indrukking na 60 minuten:</v>
      </c>
      <c r="C504" s="3"/>
      <c r="D504" s="60"/>
      <c r="E504" s="67">
        <f>IF(I480="","",IF(HLOOKUP(I480,F484:N502,13,FALSE)="","",HLOOKUP(I480,F484:N502,13,FALSE)))</f>
        <v>20</v>
      </c>
      <c r="F504" s="133"/>
      <c r="G504" s="133"/>
      <c r="H504" s="133"/>
      <c r="I504" s="133"/>
      <c r="J504" s="133"/>
      <c r="K504" s="133"/>
      <c r="L504" s="133"/>
      <c r="M504" s="133"/>
      <c r="N504" s="133"/>
      <c r="O504" s="4"/>
      <c r="P504" s="4"/>
      <c r="Q504" s="4"/>
      <c r="R504" s="4"/>
      <c r="S504" s="4"/>
      <c r="T504" s="4"/>
      <c r="U504" s="4"/>
      <c r="V504" s="4"/>
      <c r="W504" s="4"/>
      <c r="X504" s="4"/>
      <c r="Y504" s="4"/>
      <c r="Z504" s="4"/>
      <c r="AA504" s="4"/>
      <c r="AB504" s="4"/>
      <c r="AC504" s="4"/>
      <c r="AD504" s="4"/>
      <c r="AE504" s="4"/>
      <c r="AF504" s="4"/>
      <c r="AG504" s="4"/>
      <c r="AH504" s="4"/>
      <c r="AI504" s="4"/>
    </row>
    <row r="505" spans="1:35"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spans="1:35" ht="14.5" x14ac:dyDescent="0.35">
      <c r="A506" s="4"/>
      <c r="B506" s="5" t="s">
        <v>906</v>
      </c>
      <c r="C506" s="4"/>
      <c r="D506" s="4"/>
      <c r="E506" s="4"/>
      <c r="F506" s="134" t="s">
        <v>1653</v>
      </c>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spans="1:35" ht="14.5" x14ac:dyDescent="0.35">
      <c r="A507" s="4"/>
      <c r="B507" s="2" t="s">
        <v>907</v>
      </c>
      <c r="C507" s="2"/>
      <c r="D507" s="2"/>
      <c r="E507" s="3" t="s">
        <v>1070</v>
      </c>
      <c r="F507" s="1632" t="s">
        <v>1072</v>
      </c>
      <c r="G507" s="134" t="s">
        <v>1089</v>
      </c>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spans="1:35" ht="14.5" x14ac:dyDescent="0.35">
      <c r="A508" s="4"/>
      <c r="B508" s="2"/>
      <c r="C508" s="2"/>
      <c r="D508" s="2"/>
      <c r="E508" s="3" t="s">
        <v>1071</v>
      </c>
      <c r="F508" s="1632" t="s">
        <v>1073</v>
      </c>
      <c r="G508" s="134" t="s">
        <v>1089</v>
      </c>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spans="1:35" ht="14.5" x14ac:dyDescent="0.35">
      <c r="A509" s="4"/>
      <c r="B509" s="2"/>
      <c r="C509" s="2"/>
      <c r="D509" s="2"/>
      <c r="E509" s="3" t="s">
        <v>1377</v>
      </c>
      <c r="F509" s="1632" t="s">
        <v>1074</v>
      </c>
      <c r="G509" s="134" t="s">
        <v>1090</v>
      </c>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spans="1:35"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spans="1:35"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spans="1:35" x14ac:dyDescent="0.3">
      <c r="A512" s="13" t="s">
        <v>516</v>
      </c>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row>
    <row r="513" spans="1:35"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spans="1:35" ht="14.5" x14ac:dyDescent="0.35">
      <c r="A514" s="4"/>
      <c r="B514" s="5" t="s">
        <v>644</v>
      </c>
      <c r="C514" s="4"/>
      <c r="D514" s="4"/>
      <c r="E514" s="1471" t="s">
        <v>56</v>
      </c>
      <c r="F514" s="6" t="s">
        <v>645</v>
      </c>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spans="1:35" x14ac:dyDescent="0.3">
      <c r="A515" s="4"/>
      <c r="B515" s="5" t="s">
        <v>331</v>
      </c>
      <c r="C515" s="4"/>
      <c r="D515" s="4"/>
      <c r="E515" s="2139" t="s">
        <v>941</v>
      </c>
      <c r="F515" s="2139"/>
      <c r="G515" s="2139"/>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spans="1:35"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spans="1:35" x14ac:dyDescent="0.3">
      <c r="A517" s="4"/>
      <c r="B517" s="5" t="s">
        <v>330</v>
      </c>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spans="1:35" ht="14.5" x14ac:dyDescent="0.35">
      <c r="A518" s="4"/>
      <c r="B518" s="1431" t="s">
        <v>511</v>
      </c>
      <c r="C518" s="2"/>
      <c r="D518" s="2"/>
      <c r="E518" s="2"/>
      <c r="F518" s="2"/>
      <c r="G518" s="2"/>
      <c r="H518" s="18"/>
      <c r="I518" s="2"/>
      <c r="J518" s="2"/>
      <c r="K518" s="60"/>
      <c r="L518" s="73" t="s">
        <v>1391</v>
      </c>
      <c r="M518" s="6"/>
      <c r="N518" s="4"/>
      <c r="O518" s="4"/>
      <c r="P518" s="4"/>
      <c r="Q518" s="4"/>
      <c r="R518" s="4"/>
      <c r="S518" s="4"/>
      <c r="T518" s="4"/>
      <c r="U518" s="4"/>
      <c r="V518" s="4"/>
      <c r="W518" s="4"/>
      <c r="X518" s="4"/>
      <c r="Y518" s="4"/>
      <c r="Z518" s="4"/>
      <c r="AA518" s="4"/>
      <c r="AB518" s="4"/>
      <c r="AC518" s="4"/>
      <c r="AD518" s="4"/>
      <c r="AE518" s="4"/>
      <c r="AF518" s="4"/>
      <c r="AG518" s="4"/>
      <c r="AH518" s="4"/>
      <c r="AI518" s="4"/>
    </row>
    <row r="519" spans="1:35" ht="14.5" x14ac:dyDescent="0.35">
      <c r="A519" s="4"/>
      <c r="B519" s="2" t="s">
        <v>517</v>
      </c>
      <c r="C519" s="2"/>
      <c r="D519" s="2"/>
      <c r="E519" s="2" t="s">
        <v>518</v>
      </c>
      <c r="F519" s="2"/>
      <c r="G519" s="2"/>
      <c r="H519" s="143"/>
      <c r="I519" s="143"/>
      <c r="J519" s="143"/>
      <c r="K519" s="60"/>
      <c r="L519" s="876"/>
      <c r="M519" s="6"/>
      <c r="N519" s="4"/>
      <c r="O519" s="4"/>
      <c r="P519" s="4"/>
      <c r="Q519" s="4"/>
      <c r="R519" s="4"/>
      <c r="S519" s="4"/>
      <c r="T519" s="4"/>
      <c r="U519" s="4"/>
      <c r="V519" s="4"/>
      <c r="W519" s="4"/>
      <c r="X519" s="4"/>
      <c r="Y519" s="4"/>
      <c r="Z519" s="4"/>
      <c r="AA519" s="4"/>
      <c r="AB519" s="4"/>
      <c r="AC519" s="4"/>
      <c r="AD519" s="4"/>
      <c r="AE519" s="4"/>
      <c r="AF519" s="4"/>
      <c r="AG519" s="4"/>
      <c r="AH519" s="4"/>
      <c r="AI519" s="4"/>
    </row>
    <row r="520" spans="1:35" ht="14.5" x14ac:dyDescent="0.35">
      <c r="A520" s="4"/>
      <c r="B520" s="2" t="s">
        <v>1021</v>
      </c>
      <c r="C520" s="2"/>
      <c r="D520" s="2"/>
      <c r="E520" s="2"/>
      <c r="F520" s="2"/>
      <c r="G520" s="2"/>
      <c r="H520" s="2"/>
      <c r="I520" s="2"/>
      <c r="J520" s="2"/>
      <c r="K520" s="2"/>
      <c r="L520" s="1494" t="s">
        <v>1635</v>
      </c>
      <c r="M520" s="134" t="s">
        <v>1022</v>
      </c>
      <c r="N520" s="4"/>
      <c r="O520" s="4"/>
      <c r="P520" s="4"/>
      <c r="Q520" s="4"/>
      <c r="R520" s="4"/>
      <c r="S520" s="4"/>
      <c r="T520" s="26"/>
      <c r="U520" s="4"/>
      <c r="V520" s="4"/>
      <c r="W520" s="4"/>
      <c r="X520" s="4"/>
      <c r="Y520" s="4"/>
      <c r="Z520" s="4"/>
      <c r="AA520" s="4"/>
      <c r="AB520" s="4"/>
      <c r="AC520" s="4"/>
      <c r="AD520" s="4"/>
      <c r="AE520" s="4"/>
      <c r="AF520" s="4"/>
      <c r="AG520" s="4"/>
      <c r="AH520" s="4"/>
      <c r="AI520" s="4"/>
    </row>
    <row r="521" spans="1:35" ht="14.5" x14ac:dyDescent="0.35">
      <c r="A521" s="4"/>
      <c r="B521" s="2" t="s">
        <v>1340</v>
      </c>
      <c r="C521" s="2"/>
      <c r="D521" s="2"/>
      <c r="E521" s="2"/>
      <c r="F521" s="2"/>
      <c r="G521" s="2"/>
      <c r="H521" s="2"/>
      <c r="I521" s="2"/>
      <c r="J521" s="2"/>
      <c r="K521" s="3" t="s">
        <v>488</v>
      </c>
      <c r="L521" s="1494">
        <v>180</v>
      </c>
      <c r="M521" s="134"/>
      <c r="N521" s="4"/>
      <c r="O521" s="4"/>
      <c r="P521" s="4"/>
      <c r="Q521" s="4"/>
      <c r="R521" s="4"/>
      <c r="S521" s="4"/>
      <c r="T521" s="26"/>
      <c r="U521" s="4"/>
      <c r="V521" s="4"/>
      <c r="W521" s="4"/>
      <c r="X521" s="4"/>
      <c r="Y521" s="4"/>
      <c r="Z521" s="4"/>
      <c r="AA521" s="4"/>
      <c r="AB521" s="4"/>
      <c r="AC521" s="4"/>
      <c r="AD521" s="4"/>
      <c r="AE521" s="4"/>
      <c r="AF521" s="4"/>
      <c r="AG521" s="4"/>
      <c r="AH521" s="4"/>
      <c r="AI521" s="4"/>
    </row>
    <row r="522" spans="1:35"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spans="1:35" ht="14.5" x14ac:dyDescent="0.35">
      <c r="A523" s="4"/>
      <c r="B523" s="5" t="s">
        <v>335</v>
      </c>
      <c r="C523" s="4"/>
      <c r="D523" s="4"/>
      <c r="E523" s="4"/>
      <c r="F523" s="134"/>
      <c r="G523" s="4"/>
      <c r="H523" s="4"/>
      <c r="I523" s="4"/>
      <c r="J523" s="4"/>
      <c r="K523" s="4"/>
      <c r="L523" s="4"/>
      <c r="M523" s="4"/>
      <c r="N523" s="4"/>
      <c r="O523" s="4"/>
      <c r="P523" s="134"/>
      <c r="Q523" s="4"/>
      <c r="R523" s="4"/>
      <c r="S523" s="4"/>
      <c r="T523" s="4"/>
      <c r="U523" s="4"/>
      <c r="V523" s="4"/>
      <c r="W523" s="4"/>
      <c r="X523" s="4"/>
      <c r="Y523" s="4"/>
      <c r="Z523" s="4"/>
      <c r="AA523" s="4"/>
      <c r="AB523" s="4"/>
      <c r="AC523" s="4"/>
      <c r="AD523" s="4"/>
      <c r="AE523" s="4"/>
      <c r="AF523" s="4"/>
      <c r="AG523" s="4"/>
      <c r="AH523" s="4"/>
      <c r="AI523" s="4"/>
    </row>
    <row r="524" spans="1:35" ht="14.5" x14ac:dyDescent="0.35">
      <c r="A524" s="4"/>
      <c r="B524" s="2" t="s">
        <v>183</v>
      </c>
      <c r="C524" s="2"/>
      <c r="D524" s="2" t="s">
        <v>856</v>
      </c>
      <c r="E524" s="2"/>
      <c r="F524" s="2"/>
      <c r="G524" s="60" t="s">
        <v>487</v>
      </c>
      <c r="H524" s="60"/>
      <c r="I524" s="60" t="s">
        <v>520</v>
      </c>
      <c r="J524" s="60"/>
      <c r="K524" s="60" t="s">
        <v>522</v>
      </c>
      <c r="L524" s="4"/>
      <c r="M524" s="4"/>
      <c r="N524" s="4"/>
      <c r="O524" s="4"/>
      <c r="P524" s="4"/>
      <c r="Q524" s="4"/>
      <c r="R524" s="4"/>
      <c r="S524" s="134"/>
      <c r="T524" s="4"/>
      <c r="U524" s="4"/>
      <c r="V524" s="4"/>
      <c r="W524" s="4"/>
      <c r="X524" s="4"/>
      <c r="Y524" s="4"/>
      <c r="Z524" s="4"/>
      <c r="AA524" s="4"/>
      <c r="AB524" s="4"/>
      <c r="AC524" s="4"/>
      <c r="AD524" s="4"/>
      <c r="AE524" s="4"/>
      <c r="AF524" s="4"/>
      <c r="AG524" s="4"/>
      <c r="AH524" s="4"/>
      <c r="AI524" s="4"/>
    </row>
    <row r="525" spans="1:35" ht="14.5" x14ac:dyDescent="0.35">
      <c r="A525" s="4"/>
      <c r="B525" s="49" t="s">
        <v>337</v>
      </c>
      <c r="C525" s="49"/>
      <c r="D525" s="49" t="s">
        <v>1024</v>
      </c>
      <c r="E525" s="49"/>
      <c r="F525" s="49"/>
      <c r="G525" s="47" t="s">
        <v>488</v>
      </c>
      <c r="H525" s="47"/>
      <c r="I525" s="47" t="s">
        <v>521</v>
      </c>
      <c r="J525" s="47"/>
      <c r="K525" s="47" t="s">
        <v>523</v>
      </c>
      <c r="L525" s="4"/>
      <c r="M525" s="4"/>
      <c r="N525" s="4"/>
      <c r="O525" s="4"/>
      <c r="P525" s="4"/>
      <c r="Q525" s="4"/>
      <c r="R525" s="4"/>
      <c r="S525" s="134"/>
      <c r="T525" s="4"/>
      <c r="U525" s="4"/>
      <c r="V525" s="4"/>
      <c r="W525" s="4"/>
      <c r="X525" s="4"/>
      <c r="Y525" s="4"/>
      <c r="Z525" s="4"/>
      <c r="AA525" s="4"/>
      <c r="AB525" s="4"/>
      <c r="AC525" s="4"/>
      <c r="AD525" s="4"/>
      <c r="AE525" s="4"/>
      <c r="AF525" s="4"/>
      <c r="AG525" s="4"/>
      <c r="AH525" s="4"/>
      <c r="AI525" s="4"/>
    </row>
    <row r="526" spans="1:35" ht="14.5" x14ac:dyDescent="0.35">
      <c r="A526" s="4"/>
      <c r="B526" s="69">
        <f>D68</f>
        <v>3.85</v>
      </c>
      <c r="C526" s="2"/>
      <c r="D526" s="1494" t="s">
        <v>526</v>
      </c>
      <c r="E526" s="1491"/>
      <c r="F526" s="1491"/>
      <c r="G526" s="1494">
        <v>15</v>
      </c>
      <c r="H526" s="1600"/>
      <c r="I526" s="1494">
        <v>10</v>
      </c>
      <c r="J526" s="1600"/>
      <c r="K526" s="1494">
        <v>12000</v>
      </c>
      <c r="L526" s="134" t="s">
        <v>1390</v>
      </c>
      <c r="M526" s="4"/>
      <c r="N526" s="4"/>
      <c r="O526" s="4"/>
      <c r="P526" s="4"/>
      <c r="Q526" s="4"/>
      <c r="R526" s="4"/>
      <c r="S526" s="134"/>
      <c r="T526" s="4"/>
      <c r="U526" s="4"/>
      <c r="V526" s="4"/>
      <c r="W526" s="4"/>
      <c r="X526" s="4"/>
      <c r="Y526" s="4"/>
      <c r="Z526" s="4"/>
      <c r="AA526" s="4"/>
      <c r="AB526" s="4"/>
      <c r="AC526" s="4"/>
      <c r="AD526" s="4"/>
      <c r="AE526" s="4"/>
      <c r="AF526" s="4"/>
      <c r="AG526" s="4"/>
      <c r="AH526" s="4"/>
      <c r="AI526" s="4"/>
    </row>
    <row r="527" spans="1:35" ht="14.5" x14ac:dyDescent="0.35">
      <c r="A527" s="4"/>
      <c r="B527" s="69"/>
      <c r="C527" s="2"/>
      <c r="D527" s="1494"/>
      <c r="E527" s="1491"/>
      <c r="F527" s="1491"/>
      <c r="G527" s="1494"/>
      <c r="H527" s="1600"/>
      <c r="I527" s="1494"/>
      <c r="J527" s="1600"/>
      <c r="K527" s="1494"/>
      <c r="L527" s="4"/>
      <c r="M527" s="4"/>
      <c r="N527" s="4"/>
      <c r="O527" s="4"/>
      <c r="P527" s="4"/>
      <c r="Q527" s="4"/>
      <c r="R527" s="4"/>
      <c r="S527" s="134"/>
      <c r="T527" s="4"/>
      <c r="U527" s="4"/>
      <c r="V527" s="4"/>
      <c r="W527" s="4"/>
      <c r="X527" s="4"/>
      <c r="Y527" s="4"/>
      <c r="Z527" s="4"/>
      <c r="AA527" s="4"/>
      <c r="AB527" s="4"/>
      <c r="AC527" s="4"/>
      <c r="AD527" s="4"/>
      <c r="AE527" s="4"/>
      <c r="AF527" s="4"/>
      <c r="AG527" s="4"/>
      <c r="AH527" s="4"/>
      <c r="AI527" s="4"/>
    </row>
    <row r="528" spans="1:35" ht="14.5" x14ac:dyDescent="0.35">
      <c r="A528" s="4"/>
      <c r="B528" s="5"/>
      <c r="C528" s="4"/>
      <c r="D528" s="134" t="s">
        <v>530</v>
      </c>
      <c r="E528" s="4"/>
      <c r="F528" s="134"/>
      <c r="G528" s="4"/>
      <c r="H528" s="134" t="s">
        <v>540</v>
      </c>
      <c r="I528" s="4"/>
      <c r="J528" s="4"/>
      <c r="K528" s="4"/>
      <c r="L528" s="4"/>
      <c r="M528" s="4"/>
      <c r="N528" s="4"/>
      <c r="O528" s="4"/>
      <c r="P528" s="134"/>
      <c r="Q528" s="4"/>
      <c r="R528" s="4"/>
      <c r="S528" s="4"/>
      <c r="T528" s="4"/>
      <c r="U528" s="4"/>
      <c r="V528" s="4"/>
      <c r="W528" s="4"/>
      <c r="X528" s="4"/>
      <c r="Y528" s="4"/>
      <c r="Z528" s="4"/>
      <c r="AA528" s="4"/>
      <c r="AB528" s="4"/>
      <c r="AC528" s="4"/>
      <c r="AD528" s="4"/>
      <c r="AE528" s="4"/>
      <c r="AF528" s="4"/>
      <c r="AG528" s="4"/>
      <c r="AH528" s="4"/>
      <c r="AI528" s="4"/>
    </row>
    <row r="529" spans="1:35" ht="14.5" x14ac:dyDescent="0.35">
      <c r="A529" s="4"/>
      <c r="B529" s="5"/>
      <c r="C529" s="4"/>
      <c r="D529" s="4"/>
      <c r="E529" s="4"/>
      <c r="F529" s="134"/>
      <c r="G529" s="4"/>
      <c r="H529" s="4"/>
      <c r="I529" s="4"/>
      <c r="J529" s="4"/>
      <c r="K529" s="4"/>
      <c r="L529" s="4"/>
      <c r="M529" s="4"/>
      <c r="N529" s="4"/>
      <c r="O529" s="4"/>
      <c r="P529" s="134"/>
      <c r="Q529" s="4"/>
      <c r="R529" s="4"/>
      <c r="S529" s="4"/>
      <c r="T529" s="4"/>
      <c r="U529" s="4"/>
      <c r="V529" s="4"/>
      <c r="W529" s="4"/>
      <c r="X529" s="4"/>
      <c r="Y529" s="4"/>
      <c r="Z529" s="4"/>
      <c r="AA529" s="4"/>
      <c r="AB529" s="4"/>
      <c r="AC529" s="4"/>
      <c r="AD529" s="4"/>
      <c r="AE529" s="4"/>
      <c r="AF529" s="4"/>
      <c r="AG529" s="4"/>
      <c r="AH529" s="4"/>
      <c r="AI529" s="4"/>
    </row>
    <row r="530" spans="1:35" ht="14.5" x14ac:dyDescent="0.35">
      <c r="A530" s="4"/>
      <c r="B530" s="5" t="s">
        <v>906</v>
      </c>
      <c r="C530" s="4"/>
      <c r="D530" s="4"/>
      <c r="E530" s="4"/>
      <c r="F530" s="134" t="s">
        <v>1653</v>
      </c>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spans="1:35" ht="14.5" x14ac:dyDescent="0.35">
      <c r="A531" s="4"/>
      <c r="B531" s="2" t="s">
        <v>907</v>
      </c>
      <c r="C531" s="2"/>
      <c r="D531" s="2"/>
      <c r="E531" s="3" t="s">
        <v>911</v>
      </c>
      <c r="F531" s="1667">
        <v>9000</v>
      </c>
      <c r="G531" s="134" t="s">
        <v>1251</v>
      </c>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spans="1:35" ht="14.5" x14ac:dyDescent="0.35">
      <c r="A532" s="4"/>
      <c r="B532" s="2"/>
      <c r="C532" s="2"/>
      <c r="D532" s="2"/>
      <c r="E532" s="3" t="s">
        <v>912</v>
      </c>
      <c r="F532" s="1667">
        <v>12000</v>
      </c>
      <c r="G532" s="134" t="s">
        <v>1251</v>
      </c>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spans="1:35"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spans="1:35" ht="14.5" x14ac:dyDescent="0.35">
      <c r="A534" s="4"/>
      <c r="B534" s="5"/>
      <c r="C534" s="4"/>
      <c r="D534" s="4"/>
      <c r="E534" s="4"/>
      <c r="F534" s="134"/>
      <c r="G534" s="4"/>
      <c r="H534" s="4"/>
      <c r="I534" s="4"/>
      <c r="J534" s="4"/>
      <c r="K534" s="4"/>
      <c r="L534" s="4"/>
      <c r="M534" s="4"/>
      <c r="N534" s="4"/>
      <c r="O534" s="4"/>
      <c r="P534" s="134"/>
      <c r="Q534" s="4"/>
      <c r="R534" s="4"/>
      <c r="S534" s="4"/>
      <c r="T534" s="4"/>
      <c r="U534" s="4"/>
      <c r="V534" s="4"/>
      <c r="W534" s="4"/>
      <c r="X534" s="4"/>
      <c r="Y534" s="4"/>
      <c r="Z534" s="4"/>
      <c r="AA534" s="4"/>
      <c r="AB534" s="4"/>
      <c r="AC534" s="4"/>
      <c r="AD534" s="4"/>
      <c r="AE534" s="4"/>
      <c r="AF534" s="4"/>
      <c r="AG534" s="4"/>
      <c r="AH534" s="4"/>
      <c r="AI534" s="4"/>
    </row>
    <row r="535" spans="1:35" x14ac:dyDescent="0.3">
      <c r="A535" s="13" t="s">
        <v>527</v>
      </c>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row>
    <row r="536" spans="1:35"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spans="1:35" ht="14.5" x14ac:dyDescent="0.35">
      <c r="A537" s="4"/>
      <c r="B537" s="5" t="s">
        <v>644</v>
      </c>
      <c r="C537" s="4"/>
      <c r="D537" s="4"/>
      <c r="E537" s="1471" t="s">
        <v>56</v>
      </c>
      <c r="F537" s="6" t="s">
        <v>645</v>
      </c>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spans="1:35" x14ac:dyDescent="0.3">
      <c r="A538" s="4"/>
      <c r="B538" s="5" t="s">
        <v>331</v>
      </c>
      <c r="C538" s="4"/>
      <c r="D538" s="4"/>
      <c r="E538" s="2139" t="s">
        <v>941</v>
      </c>
      <c r="F538" s="2139"/>
      <c r="G538" s="2139"/>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spans="1:35"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spans="1:35" x14ac:dyDescent="0.3">
      <c r="A540" s="4"/>
      <c r="B540" s="5" t="s">
        <v>330</v>
      </c>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spans="1:35" ht="14.5" x14ac:dyDescent="0.35">
      <c r="A541" s="4"/>
      <c r="B541" s="1431" t="s">
        <v>511</v>
      </c>
      <c r="C541" s="2"/>
      <c r="D541" s="2"/>
      <c r="E541" s="2"/>
      <c r="F541" s="2"/>
      <c r="G541" s="2"/>
      <c r="H541" s="18"/>
      <c r="I541" s="2"/>
      <c r="J541" s="2"/>
      <c r="K541" s="60"/>
      <c r="L541" s="73" t="s">
        <v>1392</v>
      </c>
      <c r="M541" s="6"/>
      <c r="N541" s="4"/>
      <c r="O541" s="4"/>
      <c r="P541" s="4"/>
      <c r="Q541" s="4"/>
      <c r="R541" s="4"/>
      <c r="S541" s="4"/>
      <c r="T541" s="4"/>
      <c r="U541" s="4"/>
      <c r="V541" s="4"/>
      <c r="W541" s="4"/>
      <c r="X541" s="4"/>
      <c r="Y541" s="4"/>
      <c r="Z541" s="4"/>
      <c r="AA541" s="4"/>
      <c r="AB541" s="4"/>
      <c r="AC541" s="4"/>
      <c r="AD541" s="4"/>
      <c r="AE541" s="4"/>
      <c r="AF541" s="4"/>
      <c r="AG541" s="4"/>
      <c r="AH541" s="4"/>
      <c r="AI541" s="4"/>
    </row>
    <row r="542" spans="1:35" ht="14.5" x14ac:dyDescent="0.35">
      <c r="A542" s="4"/>
      <c r="B542" s="2" t="s">
        <v>517</v>
      </c>
      <c r="C542" s="2"/>
      <c r="D542" s="2"/>
      <c r="E542" s="2" t="s">
        <v>518</v>
      </c>
      <c r="F542" s="2"/>
      <c r="G542" s="2"/>
      <c r="H542" s="143"/>
      <c r="I542" s="143"/>
      <c r="J542" s="143"/>
      <c r="K542" s="60"/>
      <c r="L542" s="876"/>
      <c r="M542" s="6"/>
      <c r="N542" s="4"/>
      <c r="O542" s="4"/>
      <c r="P542" s="4"/>
      <c r="Q542" s="4"/>
      <c r="R542" s="4"/>
      <c r="S542" s="4"/>
      <c r="T542" s="4"/>
      <c r="U542" s="4"/>
      <c r="V542" s="4"/>
      <c r="W542" s="4"/>
      <c r="X542" s="4"/>
      <c r="Y542" s="4"/>
      <c r="Z542" s="4"/>
      <c r="AA542" s="4"/>
      <c r="AB542" s="4"/>
      <c r="AC542" s="4"/>
      <c r="AD542" s="4"/>
      <c r="AE542" s="4"/>
      <c r="AF542" s="4"/>
      <c r="AG542" s="4"/>
      <c r="AH542" s="4"/>
      <c r="AI542" s="4"/>
    </row>
    <row r="543" spans="1:35" ht="14.5" x14ac:dyDescent="0.35">
      <c r="A543" s="4"/>
      <c r="B543" s="2" t="s">
        <v>1021</v>
      </c>
      <c r="C543" s="2"/>
      <c r="D543" s="2"/>
      <c r="E543" s="2"/>
      <c r="F543" s="2"/>
      <c r="G543" s="2"/>
      <c r="H543" s="2"/>
      <c r="I543" s="2"/>
      <c r="J543" s="2"/>
      <c r="K543" s="2"/>
      <c r="L543" s="1494" t="s">
        <v>1635</v>
      </c>
      <c r="M543" s="134" t="s">
        <v>1022</v>
      </c>
      <c r="N543" s="4"/>
      <c r="O543" s="4"/>
      <c r="P543" s="4"/>
      <c r="Q543" s="4"/>
      <c r="R543" s="4"/>
      <c r="S543" s="4"/>
      <c r="T543" s="26"/>
      <c r="U543" s="4"/>
      <c r="V543" s="4"/>
      <c r="W543" s="4"/>
      <c r="X543" s="4"/>
      <c r="Y543" s="4"/>
      <c r="Z543" s="4"/>
      <c r="AA543" s="4"/>
      <c r="AB543" s="4"/>
      <c r="AC543" s="4"/>
      <c r="AD543" s="4"/>
      <c r="AE543" s="4"/>
      <c r="AF543" s="4"/>
      <c r="AG543" s="4"/>
      <c r="AH543" s="4"/>
      <c r="AI543" s="4"/>
    </row>
    <row r="544" spans="1:35" ht="14.5" x14ac:dyDescent="0.35">
      <c r="A544" s="4"/>
      <c r="B544" s="2" t="s">
        <v>1340</v>
      </c>
      <c r="C544" s="2"/>
      <c r="D544" s="2"/>
      <c r="E544" s="2"/>
      <c r="F544" s="2"/>
      <c r="G544" s="2"/>
      <c r="H544" s="2"/>
      <c r="I544" s="2"/>
      <c r="J544" s="2"/>
      <c r="K544" s="3" t="s">
        <v>488</v>
      </c>
      <c r="L544" s="1494">
        <v>180</v>
      </c>
      <c r="M544" s="134"/>
      <c r="N544" s="4"/>
      <c r="O544" s="4"/>
      <c r="P544" s="4"/>
      <c r="Q544" s="4"/>
      <c r="R544" s="4"/>
      <c r="S544" s="4"/>
      <c r="T544" s="26"/>
      <c r="U544" s="4"/>
      <c r="V544" s="4"/>
      <c r="W544" s="4"/>
      <c r="X544" s="4"/>
      <c r="Y544" s="4"/>
      <c r="Z544" s="4"/>
      <c r="AA544" s="4"/>
      <c r="AB544" s="4"/>
      <c r="AC544" s="4"/>
      <c r="AD544" s="4"/>
      <c r="AE544" s="4"/>
      <c r="AF544" s="4"/>
      <c r="AG544" s="4"/>
      <c r="AH544" s="4"/>
      <c r="AI544" s="4"/>
    </row>
    <row r="545" spans="1:35"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spans="1:35" ht="14.5" x14ac:dyDescent="0.35">
      <c r="A546" s="4"/>
      <c r="B546" s="5" t="s">
        <v>335</v>
      </c>
      <c r="C546" s="4"/>
      <c r="D546" s="4"/>
      <c r="E546" s="4"/>
      <c r="F546" s="134"/>
      <c r="G546" s="4"/>
      <c r="H546" s="4"/>
      <c r="I546" s="4"/>
      <c r="J546" s="4"/>
      <c r="K546" s="4"/>
      <c r="L546" s="4"/>
      <c r="M546" s="4"/>
      <c r="N546" s="4"/>
      <c r="O546" s="4"/>
      <c r="P546" s="134"/>
      <c r="Q546" s="4"/>
      <c r="R546" s="4"/>
      <c r="S546" s="4"/>
      <c r="T546" s="4"/>
      <c r="U546" s="4"/>
      <c r="V546" s="4"/>
      <c r="W546" s="4"/>
      <c r="X546" s="4"/>
      <c r="Y546" s="4"/>
      <c r="Z546" s="4"/>
      <c r="AA546" s="4"/>
      <c r="AB546" s="4"/>
      <c r="AC546" s="4"/>
      <c r="AD546" s="4"/>
      <c r="AE546" s="4"/>
      <c r="AF546" s="4"/>
      <c r="AG546" s="4"/>
      <c r="AH546" s="4"/>
      <c r="AI546" s="4"/>
    </row>
    <row r="547" spans="1:35" ht="14.5" x14ac:dyDescent="0.35">
      <c r="A547" s="4"/>
      <c r="B547" s="2" t="s">
        <v>183</v>
      </c>
      <c r="C547" s="2"/>
      <c r="D547" s="2" t="s">
        <v>856</v>
      </c>
      <c r="E547" s="2"/>
      <c r="F547" s="2"/>
      <c r="G547" s="60" t="s">
        <v>487</v>
      </c>
      <c r="H547" s="60"/>
      <c r="I547" s="60" t="s">
        <v>520</v>
      </c>
      <c r="J547" s="60"/>
      <c r="K547" s="3" t="s">
        <v>541</v>
      </c>
      <c r="L547" s="4"/>
      <c r="M547" s="4"/>
      <c r="N547" s="4"/>
      <c r="O547" s="4"/>
      <c r="P547" s="4"/>
      <c r="Q547" s="4"/>
      <c r="R547" s="4"/>
      <c r="S547" s="134"/>
      <c r="T547" s="4"/>
      <c r="U547" s="4"/>
      <c r="V547" s="4"/>
      <c r="W547" s="4"/>
      <c r="X547" s="4"/>
      <c r="Y547" s="4"/>
      <c r="Z547" s="4"/>
      <c r="AA547" s="4"/>
      <c r="AB547" s="4"/>
      <c r="AC547" s="4"/>
      <c r="AD547" s="4"/>
      <c r="AE547" s="4"/>
      <c r="AF547" s="4"/>
      <c r="AG547" s="4"/>
      <c r="AH547" s="4"/>
      <c r="AI547" s="4"/>
    </row>
    <row r="548" spans="1:35" ht="16" x14ac:dyDescent="0.4">
      <c r="A548" s="4"/>
      <c r="B548" s="49" t="s">
        <v>337</v>
      </c>
      <c r="C548" s="49"/>
      <c r="D548" s="49" t="s">
        <v>1024</v>
      </c>
      <c r="E548" s="49"/>
      <c r="F548" s="49"/>
      <c r="G548" s="47" t="s">
        <v>519</v>
      </c>
      <c r="H548" s="47"/>
      <c r="I548" s="47" t="s">
        <v>521</v>
      </c>
      <c r="J548" s="47"/>
      <c r="K548" s="47" t="s">
        <v>542</v>
      </c>
      <c r="L548" s="4"/>
      <c r="M548" s="4"/>
      <c r="N548" s="4"/>
      <c r="O548" s="4"/>
      <c r="P548" s="4"/>
      <c r="Q548" s="4"/>
      <c r="R548" s="4"/>
      <c r="S548" s="134"/>
      <c r="T548" s="4"/>
      <c r="U548" s="4"/>
      <c r="V548" s="4"/>
      <c r="W548" s="4"/>
      <c r="X548" s="4"/>
      <c r="Y548" s="4"/>
      <c r="Z548" s="4"/>
      <c r="AA548" s="4"/>
      <c r="AB548" s="4"/>
      <c r="AC548" s="4"/>
      <c r="AD548" s="4"/>
      <c r="AE548" s="4"/>
      <c r="AF548" s="4"/>
      <c r="AG548" s="4"/>
      <c r="AH548" s="4"/>
      <c r="AI548" s="4"/>
    </row>
    <row r="549" spans="1:35" ht="14.5" x14ac:dyDescent="0.35">
      <c r="A549" s="4"/>
      <c r="B549" s="69">
        <f>D68</f>
        <v>3.85</v>
      </c>
      <c r="C549" s="2"/>
      <c r="D549" s="1494" t="s">
        <v>1633</v>
      </c>
      <c r="E549" s="1491"/>
      <c r="F549" s="1491"/>
      <c r="G549" s="1494">
        <v>15</v>
      </c>
      <c r="H549" s="1600"/>
      <c r="I549" s="1494">
        <v>10</v>
      </c>
      <c r="J549" s="1600"/>
      <c r="K549" s="1494">
        <v>150</v>
      </c>
      <c r="L549" s="4"/>
      <c r="M549" s="4"/>
      <c r="N549" s="4"/>
      <c r="O549" s="4"/>
      <c r="P549" s="4"/>
      <c r="Q549" s="4"/>
      <c r="R549" s="4"/>
      <c r="S549" s="134"/>
      <c r="T549" s="4"/>
      <c r="U549" s="4"/>
      <c r="V549" s="4"/>
      <c r="W549" s="4"/>
      <c r="X549" s="4"/>
      <c r="Y549" s="4"/>
      <c r="Z549" s="4"/>
      <c r="AA549" s="4"/>
      <c r="AB549" s="4"/>
      <c r="AC549" s="4"/>
      <c r="AD549" s="4"/>
      <c r="AE549" s="4"/>
      <c r="AF549" s="4"/>
      <c r="AG549" s="4"/>
      <c r="AH549" s="4"/>
      <c r="AI549" s="4"/>
    </row>
    <row r="550" spans="1:35" ht="14.5" x14ac:dyDescent="0.35">
      <c r="A550" s="4"/>
      <c r="B550" s="69"/>
      <c r="C550" s="2"/>
      <c r="D550" s="1494"/>
      <c r="E550" s="1491"/>
      <c r="F550" s="1491"/>
      <c r="G550" s="1494"/>
      <c r="H550" s="1600"/>
      <c r="I550" s="1494"/>
      <c r="J550" s="1600"/>
      <c r="K550" s="1494"/>
      <c r="L550" s="4"/>
      <c r="M550" s="4"/>
      <c r="N550" s="4"/>
      <c r="O550" s="4"/>
      <c r="P550" s="4"/>
      <c r="Q550" s="4"/>
      <c r="R550" s="4"/>
      <c r="S550" s="134"/>
      <c r="T550" s="4"/>
      <c r="U550" s="4"/>
      <c r="V550" s="4"/>
      <c r="W550" s="4"/>
      <c r="X550" s="4"/>
      <c r="Y550" s="4"/>
      <c r="Z550" s="4"/>
      <c r="AA550" s="4"/>
      <c r="AB550" s="4"/>
      <c r="AC550" s="4"/>
      <c r="AD550" s="4"/>
      <c r="AE550" s="4"/>
      <c r="AF550" s="4"/>
      <c r="AG550" s="4"/>
      <c r="AH550" s="4"/>
      <c r="AI550" s="4"/>
    </row>
    <row r="551" spans="1:35" ht="14.5" x14ac:dyDescent="0.35">
      <c r="A551" s="4"/>
      <c r="B551" s="5"/>
      <c r="C551" s="4"/>
      <c r="D551" s="134" t="s">
        <v>531</v>
      </c>
      <c r="E551" s="4"/>
      <c r="F551" s="134"/>
      <c r="G551" s="4"/>
      <c r="H551" s="134" t="s">
        <v>1634</v>
      </c>
      <c r="I551" s="4"/>
      <c r="J551" s="4"/>
      <c r="K551" s="4"/>
      <c r="L551" s="4"/>
      <c r="M551" s="4"/>
      <c r="N551" s="4"/>
      <c r="O551" s="4"/>
      <c r="P551" s="134"/>
      <c r="Q551" s="4"/>
      <c r="R551" s="4"/>
      <c r="S551" s="4"/>
      <c r="T551" s="4"/>
      <c r="U551" s="4"/>
      <c r="V551" s="4"/>
      <c r="W551" s="4"/>
      <c r="X551" s="4"/>
      <c r="Y551" s="4"/>
      <c r="Z551" s="4"/>
      <c r="AA551" s="4"/>
      <c r="AB551" s="4"/>
      <c r="AC551" s="4"/>
      <c r="AD551" s="4"/>
      <c r="AE551" s="4"/>
      <c r="AF551" s="4"/>
      <c r="AG551" s="4"/>
      <c r="AH551" s="4"/>
      <c r="AI551" s="4"/>
    </row>
    <row r="552" spans="1:35" ht="14.5" x14ac:dyDescent="0.35">
      <c r="A552" s="4"/>
      <c r="B552" s="5"/>
      <c r="C552" s="4"/>
      <c r="D552" s="4"/>
      <c r="E552" s="4"/>
      <c r="F552" s="134"/>
      <c r="G552" s="4"/>
      <c r="H552" s="4"/>
      <c r="I552" s="4"/>
      <c r="J552" s="4"/>
      <c r="K552" s="4"/>
      <c r="L552" s="4"/>
      <c r="M552" s="4"/>
      <c r="N552" s="4"/>
      <c r="O552" s="4"/>
      <c r="P552" s="134"/>
      <c r="Q552" s="4"/>
      <c r="R552" s="4"/>
      <c r="S552" s="4"/>
      <c r="T552" s="4"/>
      <c r="U552" s="4"/>
      <c r="V552" s="4"/>
      <c r="W552" s="4"/>
      <c r="X552" s="4"/>
      <c r="Y552" s="4"/>
      <c r="Z552" s="4"/>
      <c r="AA552" s="4"/>
      <c r="AB552" s="4"/>
      <c r="AC552" s="4"/>
      <c r="AD552" s="4"/>
      <c r="AE552" s="4"/>
      <c r="AF552" s="4"/>
      <c r="AG552" s="4"/>
      <c r="AH552" s="4"/>
      <c r="AI552" s="4"/>
    </row>
    <row r="553" spans="1:35" ht="14.5" x14ac:dyDescent="0.35">
      <c r="A553" s="4"/>
      <c r="B553" s="5" t="s">
        <v>906</v>
      </c>
      <c r="C553" s="4"/>
      <c r="D553" s="4"/>
      <c r="E553" s="4"/>
      <c r="F553" s="134" t="s">
        <v>1653</v>
      </c>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spans="1:35" ht="20.5" x14ac:dyDescent="0.4">
      <c r="A554" s="4"/>
      <c r="B554" s="2" t="s">
        <v>907</v>
      </c>
      <c r="C554" s="2"/>
      <c r="D554" s="2"/>
      <c r="E554" s="3" t="s">
        <v>913</v>
      </c>
      <c r="F554" s="1667">
        <v>120</v>
      </c>
      <c r="G554" s="134" t="s">
        <v>1252</v>
      </c>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spans="1:35"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spans="1:35" ht="14.5" x14ac:dyDescent="0.35">
      <c r="A556" s="4"/>
      <c r="B556" s="5"/>
      <c r="C556" s="4"/>
      <c r="D556" s="4"/>
      <c r="E556" s="4"/>
      <c r="F556" s="134"/>
      <c r="G556" s="4"/>
      <c r="H556" s="4"/>
      <c r="I556" s="4"/>
      <c r="J556" s="4"/>
      <c r="K556" s="4"/>
      <c r="L556" s="4"/>
      <c r="M556" s="4"/>
      <c r="N556" s="4"/>
      <c r="O556" s="4"/>
      <c r="P556" s="134"/>
      <c r="Q556" s="4"/>
      <c r="R556" s="4"/>
      <c r="S556" s="4"/>
      <c r="T556" s="4"/>
      <c r="U556" s="4"/>
      <c r="V556" s="4"/>
      <c r="W556" s="4"/>
      <c r="X556" s="4"/>
      <c r="Y556" s="4"/>
      <c r="Z556" s="4"/>
      <c r="AA556" s="4"/>
      <c r="AB556" s="4"/>
      <c r="AC556" s="4"/>
      <c r="AD556" s="4"/>
      <c r="AE556" s="4"/>
      <c r="AF556" s="4"/>
      <c r="AG556" s="4"/>
      <c r="AH556" s="4"/>
      <c r="AI556" s="4"/>
    </row>
    <row r="557" spans="1:35" x14ac:dyDescent="0.3">
      <c r="A557" s="13" t="s">
        <v>554</v>
      </c>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row>
    <row r="558" spans="1:35"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spans="1:35" ht="14.5" x14ac:dyDescent="0.35">
      <c r="A559" s="4"/>
      <c r="B559" s="5" t="s">
        <v>644</v>
      </c>
      <c r="C559" s="4"/>
      <c r="D559" s="4"/>
      <c r="E559" s="1471" t="s">
        <v>56</v>
      </c>
      <c r="F559" s="6" t="s">
        <v>645</v>
      </c>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spans="1:35" x14ac:dyDescent="0.3">
      <c r="A560" s="4"/>
      <c r="B560" s="5" t="s">
        <v>331</v>
      </c>
      <c r="C560" s="4"/>
      <c r="D560" s="4"/>
      <c r="E560" s="2139" t="s">
        <v>941</v>
      </c>
      <c r="F560" s="2139"/>
      <c r="G560" s="2139"/>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spans="1:35"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spans="1:35" x14ac:dyDescent="0.3">
      <c r="A562" s="4"/>
      <c r="B562" s="5" t="s">
        <v>330</v>
      </c>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spans="1:35" ht="14.5" x14ac:dyDescent="0.35">
      <c r="A563" s="4"/>
      <c r="B563" s="2" t="s">
        <v>559</v>
      </c>
      <c r="C563" s="2"/>
      <c r="D563" s="2"/>
      <c r="E563" s="2"/>
      <c r="F563" s="2"/>
      <c r="G563" s="2"/>
      <c r="H563" s="18"/>
      <c r="I563" s="2" t="s">
        <v>563</v>
      </c>
      <c r="J563" s="2"/>
      <c r="K563" s="188"/>
      <c r="L563" s="6"/>
      <c r="M563" s="6"/>
      <c r="N563" s="4"/>
      <c r="O563" s="4"/>
      <c r="P563" s="4"/>
      <c r="Q563" s="4"/>
      <c r="R563" s="4"/>
      <c r="S563" s="4"/>
      <c r="T563" s="4"/>
      <c r="U563" s="4"/>
      <c r="V563" s="4"/>
      <c r="W563" s="4"/>
      <c r="X563" s="4"/>
      <c r="Y563" s="4"/>
      <c r="Z563" s="4"/>
      <c r="AA563" s="4"/>
      <c r="AB563" s="4"/>
      <c r="AC563" s="4"/>
      <c r="AD563" s="4"/>
      <c r="AE563" s="4"/>
      <c r="AF563" s="4"/>
      <c r="AG563" s="4"/>
      <c r="AH563" s="4"/>
      <c r="AI563" s="4"/>
    </row>
    <row r="564" spans="1:35" ht="14.5" x14ac:dyDescent="0.35">
      <c r="A564" s="4"/>
      <c r="B564" s="2" t="s">
        <v>1440</v>
      </c>
      <c r="C564" s="2"/>
      <c r="D564" s="2"/>
      <c r="E564" s="2"/>
      <c r="F564" s="2"/>
      <c r="G564" s="2"/>
      <c r="H564" s="18"/>
      <c r="I564" s="2213" t="s">
        <v>561</v>
      </c>
      <c r="J564" s="2213"/>
      <c r="K564" s="194" t="s">
        <v>562</v>
      </c>
      <c r="L564" s="6"/>
      <c r="M564" s="6"/>
      <c r="N564" s="4"/>
      <c r="O564" s="4"/>
      <c r="P564" s="4"/>
      <c r="Q564" s="4"/>
      <c r="R564" s="4"/>
      <c r="S564" s="4"/>
      <c r="T564" s="4"/>
      <c r="U564" s="4"/>
      <c r="V564" s="4"/>
      <c r="W564" s="4"/>
      <c r="X564" s="4"/>
      <c r="Y564" s="4"/>
      <c r="Z564" s="4"/>
      <c r="AA564" s="4"/>
      <c r="AB564" s="4"/>
      <c r="AC564" s="4"/>
      <c r="AD564" s="4"/>
      <c r="AE564" s="4"/>
      <c r="AF564" s="4"/>
      <c r="AG564" s="4"/>
      <c r="AH564" s="4"/>
      <c r="AI564" s="4"/>
    </row>
    <row r="565" spans="1:35" ht="14.5" x14ac:dyDescent="0.35">
      <c r="A565" s="4"/>
      <c r="B565" s="43" t="s">
        <v>560</v>
      </c>
      <c r="C565" s="43"/>
      <c r="D565" s="43"/>
      <c r="E565" s="43"/>
      <c r="F565" s="43"/>
      <c r="G565" s="43"/>
      <c r="H565" s="196"/>
      <c r="I565" s="66" t="s">
        <v>564</v>
      </c>
      <c r="J565" s="66"/>
      <c r="K565" s="188"/>
      <c r="L565" s="6"/>
      <c r="M565" s="6"/>
      <c r="N565" s="4"/>
      <c r="O565" s="4"/>
      <c r="P565" s="4"/>
      <c r="Q565" s="4"/>
      <c r="R565" s="4"/>
      <c r="S565" s="4"/>
      <c r="T565" s="4"/>
      <c r="U565" s="4"/>
      <c r="V565" s="4"/>
      <c r="W565" s="4"/>
      <c r="X565" s="4"/>
      <c r="Y565" s="4"/>
      <c r="Z565" s="4"/>
      <c r="AA565" s="4"/>
      <c r="AB565" s="4"/>
      <c r="AC565" s="4"/>
      <c r="AD565" s="4"/>
      <c r="AE565" s="4"/>
      <c r="AF565" s="4"/>
      <c r="AG565" s="4"/>
      <c r="AH565" s="4"/>
      <c r="AI565" s="4"/>
    </row>
    <row r="566" spans="1:35" ht="14.5" x14ac:dyDescent="0.35">
      <c r="A566" s="4"/>
      <c r="B566" s="2" t="s">
        <v>1441</v>
      </c>
      <c r="C566" s="2"/>
      <c r="D566" s="2"/>
      <c r="E566" s="2"/>
      <c r="F566" s="2"/>
      <c r="G566" s="2"/>
      <c r="H566" s="1637"/>
      <c r="I566" s="1969" t="s">
        <v>567</v>
      </c>
      <c r="J566" s="1969"/>
      <c r="K566" s="194" t="s">
        <v>566</v>
      </c>
      <c r="L566" s="6"/>
      <c r="M566" s="6"/>
      <c r="N566" s="4"/>
      <c r="O566" s="4"/>
      <c r="P566" s="4"/>
      <c r="Q566" s="4"/>
      <c r="R566" s="4"/>
      <c r="S566" s="4"/>
      <c r="T566" s="4"/>
      <c r="U566" s="4"/>
      <c r="V566" s="4"/>
      <c r="W566" s="4"/>
      <c r="X566" s="4"/>
      <c r="Y566" s="4"/>
      <c r="Z566" s="4"/>
      <c r="AA566" s="4"/>
      <c r="AB566" s="4"/>
      <c r="AC566" s="4"/>
      <c r="AD566" s="4"/>
      <c r="AE566" s="4"/>
      <c r="AF566" s="4"/>
      <c r="AG566" s="4"/>
      <c r="AH566" s="4"/>
      <c r="AI566" s="4"/>
    </row>
    <row r="567" spans="1:35" ht="14.5" x14ac:dyDescent="0.35">
      <c r="A567" s="4"/>
      <c r="B567" s="2" t="s">
        <v>878</v>
      </c>
      <c r="C567" s="2"/>
      <c r="D567" s="2"/>
      <c r="E567" s="2"/>
      <c r="F567" s="2"/>
      <c r="G567" s="2"/>
      <c r="H567" s="1637"/>
      <c r="I567" s="1970" t="s">
        <v>568</v>
      </c>
      <c r="J567" s="1970"/>
      <c r="K567" s="194" t="s">
        <v>565</v>
      </c>
      <c r="L567" s="6"/>
      <c r="M567" s="6"/>
      <c r="N567" s="4"/>
      <c r="O567" s="4"/>
      <c r="P567" s="4"/>
      <c r="Q567" s="4"/>
      <c r="R567" s="4"/>
      <c r="S567" s="4"/>
      <c r="T567" s="4"/>
      <c r="U567" s="4"/>
      <c r="V567" s="4"/>
      <c r="W567" s="4"/>
      <c r="X567" s="4"/>
      <c r="Y567" s="4"/>
      <c r="Z567" s="4"/>
      <c r="AA567" s="4"/>
      <c r="AB567" s="4"/>
      <c r="AC567" s="4"/>
      <c r="AD567" s="4"/>
      <c r="AE567" s="4"/>
      <c r="AF567" s="4"/>
      <c r="AG567" s="4"/>
      <c r="AH567" s="4"/>
      <c r="AI567" s="4"/>
    </row>
    <row r="568" spans="1:35" ht="14.5" x14ac:dyDescent="0.35">
      <c r="A568" s="4"/>
      <c r="B568" s="2" t="s">
        <v>780</v>
      </c>
      <c r="C568" s="2"/>
      <c r="D568" s="2"/>
      <c r="E568" s="2"/>
      <c r="F568" s="2"/>
      <c r="G568" s="2"/>
      <c r="H568" s="1491"/>
      <c r="I568" s="1966" t="s">
        <v>326</v>
      </c>
      <c r="J568" s="1966"/>
      <c r="K568" s="6" t="s">
        <v>935</v>
      </c>
      <c r="L568" s="6"/>
      <c r="M568" s="4"/>
      <c r="N568" s="4"/>
      <c r="O568" s="4"/>
      <c r="P568" s="4"/>
      <c r="Q568" s="4"/>
      <c r="R568" s="4"/>
      <c r="S568" s="4"/>
      <c r="T568" s="4"/>
      <c r="U568" s="4"/>
      <c r="V568" s="4"/>
      <c r="W568" s="4"/>
      <c r="X568" s="26"/>
      <c r="Y568" s="6"/>
      <c r="Z568" s="4"/>
      <c r="AA568" s="4"/>
      <c r="AB568" s="4"/>
      <c r="AC568" s="4"/>
      <c r="AD568" s="4"/>
      <c r="AE568" s="4"/>
      <c r="AF568" s="4"/>
      <c r="AG568" s="4"/>
      <c r="AH568" s="4"/>
      <c r="AI568" s="4"/>
    </row>
    <row r="569" spans="1:35" x14ac:dyDescent="0.3">
      <c r="A569" s="4"/>
      <c r="B569" s="2" t="s">
        <v>550</v>
      </c>
      <c r="C569" s="2"/>
      <c r="D569" s="2"/>
      <c r="E569" s="2"/>
      <c r="F569" s="2"/>
      <c r="G569" s="2"/>
      <c r="H569" s="1491"/>
      <c r="I569" s="1491"/>
      <c r="J569" s="1494" t="s">
        <v>551</v>
      </c>
      <c r="K569" s="4"/>
      <c r="L569" s="4"/>
      <c r="M569" s="4"/>
      <c r="N569" s="4"/>
      <c r="O569" s="4"/>
      <c r="P569" s="4"/>
      <c r="Q569" s="4"/>
      <c r="R569" s="4"/>
      <c r="S569" s="4"/>
      <c r="T569" s="4"/>
      <c r="U569" s="4"/>
      <c r="V569" s="4"/>
      <c r="W569" s="4"/>
      <c r="X569" s="26"/>
      <c r="Y569" s="4"/>
      <c r="Z569" s="4"/>
      <c r="AA569" s="4"/>
      <c r="AB569" s="4"/>
      <c r="AC569" s="4"/>
      <c r="AD569" s="4"/>
      <c r="AE569" s="4"/>
      <c r="AF569" s="4"/>
      <c r="AG569" s="4"/>
      <c r="AH569" s="4"/>
      <c r="AI569" s="4"/>
    </row>
    <row r="570" spans="1:35" x14ac:dyDescent="0.3">
      <c r="A570" s="4"/>
      <c r="B570" s="2" t="s">
        <v>552</v>
      </c>
      <c r="C570" s="2"/>
      <c r="D570" s="2"/>
      <c r="E570" s="2"/>
      <c r="F570" s="2"/>
      <c r="G570" s="2"/>
      <c r="H570" s="1971" t="s">
        <v>553</v>
      </c>
      <c r="I570" s="1971"/>
      <c r="J570" s="1971"/>
      <c r="K570" s="4"/>
      <c r="L570" s="4"/>
      <c r="M570" s="4"/>
      <c r="N570" s="4"/>
      <c r="O570" s="4"/>
      <c r="P570" s="4"/>
      <c r="Q570" s="4"/>
      <c r="R570" s="4"/>
      <c r="S570" s="4"/>
      <c r="T570" s="4"/>
      <c r="U570" s="4"/>
      <c r="V570" s="4"/>
      <c r="W570" s="4"/>
      <c r="X570" s="26"/>
      <c r="Y570" s="4"/>
      <c r="Z570" s="4"/>
      <c r="AA570" s="4"/>
      <c r="AB570" s="4"/>
      <c r="AC570" s="4"/>
      <c r="AD570" s="4"/>
      <c r="AE570" s="4"/>
      <c r="AF570" s="4"/>
      <c r="AG570" s="4"/>
      <c r="AH570" s="4"/>
      <c r="AI570" s="4"/>
    </row>
    <row r="571" spans="1:35"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spans="1:35" ht="14.5" x14ac:dyDescent="0.35">
      <c r="A572" s="4"/>
      <c r="B572" s="5" t="s">
        <v>335</v>
      </c>
      <c r="C572" s="4"/>
      <c r="D572" s="4"/>
      <c r="E572" s="4"/>
      <c r="F572" s="134"/>
      <c r="G572" s="4"/>
      <c r="H572" s="4"/>
      <c r="I572" s="4"/>
      <c r="J572" s="4"/>
      <c r="K572" s="4"/>
      <c r="L572" s="4"/>
      <c r="M572" s="4"/>
      <c r="N572" s="4"/>
      <c r="O572" s="4"/>
      <c r="P572" s="134"/>
      <c r="Q572" s="4"/>
      <c r="R572" s="4"/>
      <c r="S572" s="4"/>
      <c r="T572" s="4"/>
      <c r="U572" s="4"/>
      <c r="V572" s="4"/>
      <c r="W572" s="4"/>
      <c r="X572" s="4"/>
      <c r="Y572" s="4"/>
      <c r="Z572" s="4"/>
      <c r="AA572" s="4"/>
      <c r="AB572" s="4"/>
      <c r="AC572" s="4"/>
      <c r="AD572" s="4"/>
      <c r="AE572" s="4"/>
      <c r="AF572" s="4"/>
      <c r="AG572" s="4"/>
      <c r="AH572" s="4"/>
      <c r="AI572" s="4"/>
    </row>
    <row r="573" spans="1:35" ht="14.5" x14ac:dyDescent="0.35">
      <c r="A573" s="4"/>
      <c r="B573" s="2"/>
      <c r="C573" s="2"/>
      <c r="D573" s="2" t="s">
        <v>146</v>
      </c>
      <c r="E573" s="2"/>
      <c r="F573" s="2" t="s">
        <v>558</v>
      </c>
      <c r="G573" s="60"/>
      <c r="H573" s="188"/>
      <c r="I573" s="188"/>
      <c r="J573" s="188"/>
      <c r="K573" s="195"/>
      <c r="L573" s="4"/>
      <c r="M573" s="4"/>
      <c r="N573" s="4"/>
      <c r="O573" s="4"/>
      <c r="P573" s="4"/>
      <c r="Q573" s="4"/>
      <c r="R573" s="4"/>
      <c r="S573" s="134"/>
      <c r="T573" s="4"/>
      <c r="U573" s="4"/>
      <c r="V573" s="4"/>
      <c r="W573" s="4"/>
      <c r="X573" s="4"/>
      <c r="Y573" s="4"/>
      <c r="Z573" s="4"/>
      <c r="AA573" s="4"/>
      <c r="AB573" s="4"/>
      <c r="AC573" s="4"/>
      <c r="AD573" s="4"/>
      <c r="AE573" s="4"/>
      <c r="AF573" s="4"/>
      <c r="AG573" s="4"/>
      <c r="AH573" s="4"/>
      <c r="AI573" s="4"/>
    </row>
    <row r="574" spans="1:35" ht="16" x14ac:dyDescent="0.4">
      <c r="A574" s="4"/>
      <c r="B574" s="49"/>
      <c r="C574" s="49"/>
      <c r="D574" s="49" t="s">
        <v>147</v>
      </c>
      <c r="E574" s="49"/>
      <c r="F574" s="49" t="s">
        <v>1442</v>
      </c>
      <c r="G574" s="47"/>
      <c r="H574" s="26"/>
      <c r="I574" s="907"/>
      <c r="J574" s="188"/>
      <c r="K574" s="188"/>
      <c r="L574" s="188"/>
      <c r="M574" s="188"/>
      <c r="N574" s="188"/>
      <c r="O574" s="4"/>
      <c r="P574" s="4"/>
      <c r="Q574" s="4"/>
      <c r="R574" s="4"/>
      <c r="S574" s="134"/>
      <c r="T574" s="4"/>
      <c r="U574" s="4"/>
      <c r="V574" s="4"/>
      <c r="W574" s="4"/>
      <c r="X574" s="4"/>
      <c r="Y574" s="4"/>
      <c r="Z574" s="4"/>
      <c r="AA574" s="4"/>
      <c r="AB574" s="4"/>
      <c r="AC574" s="4"/>
      <c r="AD574" s="4"/>
      <c r="AE574" s="4"/>
      <c r="AF574" s="4"/>
      <c r="AG574" s="4"/>
      <c r="AH574" s="4"/>
      <c r="AI574" s="4"/>
    </row>
    <row r="575" spans="1:35" ht="14.5" x14ac:dyDescent="0.35">
      <c r="A575" s="4"/>
      <c r="B575" s="69" t="s">
        <v>555</v>
      </c>
      <c r="C575" s="2"/>
      <c r="D575" s="1494">
        <v>10</v>
      </c>
      <c r="E575" s="1491"/>
      <c r="F575" s="1593">
        <v>47.5</v>
      </c>
      <c r="G575" s="18"/>
      <c r="H575" s="26"/>
      <c r="I575" s="26"/>
      <c r="J575" s="26"/>
      <c r="K575" s="26"/>
      <c r="L575" s="4"/>
      <c r="M575" s="4"/>
      <c r="N575" s="4"/>
      <c r="O575" s="4"/>
      <c r="P575" s="4"/>
      <c r="Q575" s="4"/>
      <c r="R575" s="4"/>
      <c r="S575" s="134"/>
      <c r="T575" s="4"/>
      <c r="U575" s="4"/>
      <c r="V575" s="4"/>
      <c r="W575" s="4"/>
      <c r="X575" s="4"/>
      <c r="Y575" s="4"/>
      <c r="Z575" s="4"/>
      <c r="AA575" s="4"/>
      <c r="AB575" s="4"/>
      <c r="AC575" s="4"/>
      <c r="AD575" s="4"/>
      <c r="AE575" s="4"/>
      <c r="AF575" s="4"/>
      <c r="AG575" s="4"/>
      <c r="AH575" s="4"/>
      <c r="AI575" s="4"/>
    </row>
    <row r="576" spans="1:35" ht="14.5" x14ac:dyDescent="0.35">
      <c r="A576" s="4"/>
      <c r="B576" s="69" t="s">
        <v>556</v>
      </c>
      <c r="C576" s="2"/>
      <c r="D576" s="1494">
        <v>11</v>
      </c>
      <c r="E576" s="1491"/>
      <c r="F576" s="1593">
        <v>49</v>
      </c>
      <c r="G576" s="18"/>
      <c r="H576" s="26"/>
      <c r="I576" s="26"/>
      <c r="J576" s="26"/>
      <c r="K576" s="26"/>
      <c r="L576" s="4"/>
      <c r="M576" s="4"/>
      <c r="N576" s="4"/>
      <c r="O576" s="4"/>
      <c r="P576" s="4"/>
      <c r="Q576" s="4"/>
      <c r="R576" s="4"/>
      <c r="S576" s="134"/>
      <c r="T576" s="4"/>
      <c r="U576" s="4"/>
      <c r="V576" s="4"/>
      <c r="W576" s="4"/>
      <c r="X576" s="4"/>
      <c r="Y576" s="4"/>
      <c r="Z576" s="4"/>
      <c r="AA576" s="4"/>
      <c r="AB576" s="4"/>
      <c r="AC576" s="4"/>
      <c r="AD576" s="4"/>
      <c r="AE576" s="4"/>
      <c r="AF576" s="4"/>
      <c r="AG576" s="4"/>
      <c r="AH576" s="4"/>
      <c r="AI576" s="4"/>
    </row>
    <row r="577" spans="1:35" ht="14.5" x14ac:dyDescent="0.35">
      <c r="A577" s="4"/>
      <c r="B577" s="69" t="s">
        <v>557</v>
      </c>
      <c r="C577" s="2"/>
      <c r="D577" s="1494">
        <v>12</v>
      </c>
      <c r="E577" s="1491"/>
      <c r="F577" s="1601"/>
      <c r="G577" s="18"/>
      <c r="H577" s="26"/>
      <c r="I577" s="26"/>
      <c r="J577" s="26"/>
      <c r="K577" s="26"/>
      <c r="L577" s="4"/>
      <c r="M577" s="4"/>
      <c r="N577" s="4"/>
      <c r="O577" s="4"/>
      <c r="P577" s="4"/>
      <c r="Q577" s="4"/>
      <c r="R577" s="4"/>
      <c r="S577" s="134"/>
      <c r="T577" s="4"/>
      <c r="U577" s="4"/>
      <c r="V577" s="4"/>
      <c r="W577" s="4"/>
      <c r="X577" s="4"/>
      <c r="Y577" s="4"/>
      <c r="Z577" s="4"/>
      <c r="AA577" s="4"/>
      <c r="AB577" s="4"/>
      <c r="AC577" s="4"/>
      <c r="AD577" s="4"/>
      <c r="AE577" s="4"/>
      <c r="AF577" s="4"/>
      <c r="AG577" s="4"/>
      <c r="AH577" s="4"/>
      <c r="AI577" s="4"/>
    </row>
    <row r="578" spans="1:35" ht="14.5" x14ac:dyDescent="0.35">
      <c r="A578" s="4"/>
      <c r="B578" s="68" t="s">
        <v>458</v>
      </c>
      <c r="C578" s="43"/>
      <c r="D578" s="42">
        <f>IF(D575="","",ROUND(AVERAGE(D575:D577),0))</f>
        <v>11</v>
      </c>
      <c r="E578" s="43"/>
      <c r="F578" s="132">
        <f>IF(F575="","",ROUND(AVERAGE(F575:F577),1))</f>
        <v>48.3</v>
      </c>
      <c r="G578" s="42"/>
      <c r="H578" s="26"/>
      <c r="I578" s="26"/>
      <c r="J578" s="26"/>
      <c r="K578" s="26"/>
      <c r="L578" s="4"/>
      <c r="M578" s="4"/>
      <c r="N578" s="4"/>
      <c r="O578" s="4"/>
      <c r="P578" s="4"/>
      <c r="Q578" s="4"/>
      <c r="R578" s="4"/>
      <c r="S578" s="134"/>
      <c r="T578" s="4"/>
      <c r="U578" s="4"/>
      <c r="V578" s="4"/>
      <c r="W578" s="4"/>
      <c r="X578" s="4"/>
      <c r="Y578" s="4"/>
      <c r="Z578" s="4"/>
      <c r="AA578" s="4"/>
      <c r="AB578" s="4"/>
      <c r="AC578" s="4"/>
      <c r="AD578" s="4"/>
      <c r="AE578" s="4"/>
      <c r="AF578" s="4"/>
      <c r="AG578" s="4"/>
      <c r="AH578" s="4"/>
      <c r="AI578" s="4"/>
    </row>
    <row r="579" spans="1:35" ht="14.5" x14ac:dyDescent="0.35">
      <c r="A579" s="4"/>
      <c r="B579" s="5"/>
      <c r="C579" s="4"/>
      <c r="D579" s="4"/>
      <c r="E579" s="4"/>
      <c r="F579" s="134"/>
      <c r="G579" s="4"/>
      <c r="H579" s="4"/>
      <c r="I579" s="4"/>
      <c r="J579" s="4"/>
      <c r="K579" s="4"/>
      <c r="L579" s="4"/>
      <c r="M579" s="4"/>
      <c r="N579" s="4"/>
      <c r="O579" s="4"/>
      <c r="P579" s="134"/>
      <c r="Q579" s="4"/>
      <c r="R579" s="4"/>
      <c r="S579" s="4"/>
      <c r="T579" s="4"/>
      <c r="U579" s="4"/>
      <c r="V579" s="4"/>
      <c r="W579" s="4"/>
      <c r="X579" s="4"/>
      <c r="Y579" s="4"/>
      <c r="Z579" s="4"/>
      <c r="AA579" s="4"/>
      <c r="AB579" s="4"/>
      <c r="AC579" s="4"/>
      <c r="AD579" s="4"/>
      <c r="AE579" s="4"/>
      <c r="AF579" s="4"/>
      <c r="AG579" s="4"/>
      <c r="AH579" s="4"/>
      <c r="AI579" s="4"/>
    </row>
    <row r="580" spans="1:35" ht="14.5" x14ac:dyDescent="0.35">
      <c r="A580" s="4"/>
      <c r="B580" s="301" t="s">
        <v>183</v>
      </c>
      <c r="C580" s="301"/>
      <c r="D580" s="301" t="s">
        <v>1443</v>
      </c>
      <c r="E580" s="301"/>
      <c r="F580" s="904"/>
      <c r="G580" s="301"/>
      <c r="H580" s="4"/>
      <c r="I580" s="4"/>
      <c r="J580" s="4"/>
      <c r="K580" s="4"/>
      <c r="L580" s="4"/>
      <c r="M580" s="4"/>
      <c r="N580" s="4"/>
      <c r="O580" s="4"/>
      <c r="P580" s="134"/>
      <c r="Q580" s="4"/>
      <c r="R580" s="4"/>
      <c r="S580" s="4"/>
      <c r="T580" s="4"/>
      <c r="U580" s="4"/>
      <c r="V580" s="4"/>
      <c r="W580" s="4"/>
      <c r="X580" s="4"/>
      <c r="Y580" s="4"/>
      <c r="Z580" s="4"/>
      <c r="AA580" s="4"/>
      <c r="AB580" s="4"/>
      <c r="AC580" s="4"/>
      <c r="AD580" s="4"/>
      <c r="AE580" s="4"/>
      <c r="AF580" s="4"/>
      <c r="AG580" s="4"/>
      <c r="AH580" s="4"/>
      <c r="AI580" s="4"/>
    </row>
    <row r="581" spans="1:35" ht="14.5" x14ac:dyDescent="0.35">
      <c r="A581" s="4"/>
      <c r="B581" s="190" t="s">
        <v>337</v>
      </c>
      <c r="C581" s="190"/>
      <c r="D581" s="190" t="s">
        <v>337</v>
      </c>
      <c r="E581" s="190"/>
      <c r="F581" s="906"/>
      <c r="G581" s="190"/>
      <c r="H581" s="4"/>
      <c r="I581" s="4"/>
      <c r="J581" s="4"/>
      <c r="K581" s="4"/>
      <c r="L581" s="4"/>
      <c r="M581" s="4"/>
      <c r="N581" s="4"/>
      <c r="O581" s="4"/>
      <c r="P581" s="134"/>
      <c r="Q581" s="4"/>
      <c r="R581" s="4"/>
      <c r="S581" s="4"/>
      <c r="T581" s="4"/>
      <c r="U581" s="4"/>
      <c r="V581" s="4"/>
      <c r="W581" s="4"/>
      <c r="X581" s="4"/>
      <c r="Y581" s="4"/>
      <c r="Z581" s="4"/>
      <c r="AA581" s="4"/>
      <c r="AB581" s="4"/>
      <c r="AC581" s="4"/>
      <c r="AD581" s="4"/>
      <c r="AE581" s="4"/>
      <c r="AF581" s="4"/>
      <c r="AG581" s="4"/>
      <c r="AH581" s="4"/>
      <c r="AI581" s="4"/>
    </row>
    <row r="582" spans="1:35" ht="14.5" x14ac:dyDescent="0.35">
      <c r="A582" s="4"/>
      <c r="B582" s="905">
        <f>D38</f>
        <v>3.5500000000000003</v>
      </c>
      <c r="C582" s="301"/>
      <c r="D582" s="1590">
        <v>3.51</v>
      </c>
      <c r="E582" s="301"/>
      <c r="F582" s="904"/>
      <c r="G582" s="301"/>
      <c r="H582" s="4"/>
      <c r="I582" s="4"/>
      <c r="J582" s="4"/>
      <c r="K582" s="4"/>
      <c r="L582" s="4"/>
      <c r="M582" s="4"/>
      <c r="N582" s="4"/>
      <c r="O582" s="4"/>
      <c r="P582" s="134"/>
      <c r="Q582" s="4"/>
      <c r="R582" s="4"/>
      <c r="S582" s="4"/>
      <c r="T582" s="4"/>
      <c r="U582" s="4"/>
      <c r="V582" s="4"/>
      <c r="W582" s="4"/>
      <c r="X582" s="4"/>
      <c r="Y582" s="4"/>
      <c r="Z582" s="4"/>
      <c r="AA582" s="4"/>
      <c r="AB582" s="4"/>
      <c r="AC582" s="4"/>
      <c r="AD582" s="4"/>
      <c r="AE582" s="4"/>
      <c r="AF582" s="4"/>
      <c r="AG582" s="4"/>
      <c r="AH582" s="4"/>
      <c r="AI582" s="4"/>
    </row>
    <row r="583" spans="1:35" ht="14.5" x14ac:dyDescent="0.35">
      <c r="A583" s="4"/>
      <c r="B583" s="905">
        <f>D68</f>
        <v>3.85</v>
      </c>
      <c r="C583" s="301"/>
      <c r="D583" s="1590">
        <v>3.83</v>
      </c>
      <c r="E583" s="301"/>
      <c r="F583" s="904"/>
      <c r="G583" s="301"/>
      <c r="H583" s="4"/>
      <c r="I583" s="4"/>
      <c r="J583" s="4"/>
      <c r="K583" s="4"/>
      <c r="L583" s="4"/>
      <c r="M583" s="4"/>
      <c r="N583" s="4"/>
      <c r="O583" s="4"/>
      <c r="P583" s="134"/>
      <c r="Q583" s="4"/>
      <c r="R583" s="4"/>
      <c r="S583" s="4"/>
      <c r="T583" s="4"/>
      <c r="U583" s="4"/>
      <c r="V583" s="4"/>
      <c r="W583" s="4"/>
      <c r="X583" s="4"/>
      <c r="Y583" s="4"/>
      <c r="Z583" s="4"/>
      <c r="AA583" s="4"/>
      <c r="AB583" s="4"/>
      <c r="AC583" s="4"/>
      <c r="AD583" s="4"/>
      <c r="AE583" s="4"/>
      <c r="AF583" s="4"/>
      <c r="AG583" s="4"/>
      <c r="AH583" s="4"/>
      <c r="AI583" s="4"/>
    </row>
    <row r="584" spans="1:35" ht="14.5" x14ac:dyDescent="0.35">
      <c r="A584" s="4"/>
      <c r="B584" s="905">
        <f>D98</f>
        <v>4.1500000000000004</v>
      </c>
      <c r="C584" s="301"/>
      <c r="D584" s="1590">
        <v>4.12</v>
      </c>
      <c r="E584" s="301"/>
      <c r="F584" s="904"/>
      <c r="G584" s="301"/>
      <c r="H584" s="4"/>
      <c r="I584" s="4"/>
      <c r="J584" s="4"/>
      <c r="K584" s="4"/>
      <c r="L584" s="4"/>
      <c r="M584" s="4"/>
      <c r="N584" s="4"/>
      <c r="O584" s="4"/>
      <c r="P584" s="134"/>
      <c r="Q584" s="4"/>
      <c r="R584" s="4"/>
      <c r="S584" s="4"/>
      <c r="T584" s="4"/>
      <c r="U584" s="4"/>
      <c r="V584" s="4"/>
      <c r="W584" s="4"/>
      <c r="X584" s="4"/>
      <c r="Y584" s="4"/>
      <c r="Z584" s="4"/>
      <c r="AA584" s="4"/>
      <c r="AB584" s="4"/>
      <c r="AC584" s="4"/>
      <c r="AD584" s="4"/>
      <c r="AE584" s="4"/>
      <c r="AF584" s="4"/>
      <c r="AG584" s="4"/>
      <c r="AH584" s="4"/>
      <c r="AI584" s="4"/>
    </row>
    <row r="585" spans="1:35" ht="14.5" x14ac:dyDescent="0.35">
      <c r="A585" s="4"/>
      <c r="B585" s="5"/>
      <c r="C585" s="4"/>
      <c r="D585" s="4"/>
      <c r="E585" s="4"/>
      <c r="F585" s="134"/>
      <c r="G585" s="4"/>
      <c r="H585" s="4"/>
      <c r="I585" s="4"/>
      <c r="J585" s="4"/>
      <c r="K585" s="4"/>
      <c r="L585" s="4"/>
      <c r="M585" s="4"/>
      <c r="N585" s="4"/>
      <c r="O585" s="4"/>
      <c r="P585" s="134"/>
      <c r="Q585" s="4"/>
      <c r="R585" s="4"/>
      <c r="S585" s="4"/>
      <c r="T585" s="4"/>
      <c r="U585" s="4"/>
      <c r="V585" s="4"/>
      <c r="W585" s="4"/>
      <c r="X585" s="4"/>
      <c r="Y585" s="4"/>
      <c r="Z585" s="4"/>
      <c r="AA585" s="4"/>
      <c r="AB585" s="4"/>
      <c r="AC585" s="4"/>
      <c r="AD585" s="4"/>
      <c r="AE585" s="4"/>
      <c r="AF585" s="4"/>
      <c r="AG585" s="4"/>
      <c r="AH585" s="4"/>
      <c r="AI585" s="4"/>
    </row>
    <row r="586" spans="1:35" ht="14.5" x14ac:dyDescent="0.35">
      <c r="A586" s="4"/>
      <c r="B586" s="5"/>
      <c r="C586" s="4"/>
      <c r="D586" s="4"/>
      <c r="E586" s="4"/>
      <c r="F586" s="134"/>
      <c r="G586" s="4"/>
      <c r="H586" s="4"/>
      <c r="I586" s="4"/>
      <c r="J586" s="4"/>
      <c r="K586" s="4"/>
      <c r="L586" s="4"/>
      <c r="M586" s="4"/>
      <c r="N586" s="4"/>
      <c r="O586" s="4"/>
      <c r="P586" s="134"/>
      <c r="Q586" s="4"/>
      <c r="R586" s="4"/>
      <c r="S586" s="4"/>
      <c r="T586" s="4"/>
      <c r="U586" s="4"/>
      <c r="V586" s="4"/>
      <c r="W586" s="4"/>
      <c r="X586" s="4"/>
      <c r="Y586" s="4"/>
      <c r="Z586" s="4"/>
      <c r="AA586" s="4"/>
      <c r="AB586" s="4"/>
      <c r="AC586" s="4"/>
      <c r="AD586" s="4"/>
      <c r="AE586" s="4"/>
      <c r="AF586" s="4"/>
      <c r="AG586" s="4"/>
      <c r="AH586" s="4"/>
      <c r="AI586" s="4"/>
    </row>
    <row r="587" spans="1:35" x14ac:dyDescent="0.3">
      <c r="A587" s="13" t="s">
        <v>922</v>
      </c>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row>
    <row r="588" spans="1:35"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spans="1:35" ht="14.5" x14ac:dyDescent="0.35">
      <c r="A589" s="4"/>
      <c r="B589" s="5" t="s">
        <v>644</v>
      </c>
      <c r="C589" s="4"/>
      <c r="D589" s="4"/>
      <c r="E589" s="1471" t="s">
        <v>56</v>
      </c>
      <c r="F589" s="6" t="s">
        <v>645</v>
      </c>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spans="1:35" x14ac:dyDescent="0.3">
      <c r="A590" s="4"/>
      <c r="B590" s="5" t="s">
        <v>331</v>
      </c>
      <c r="C590" s="4"/>
      <c r="D590" s="4"/>
      <c r="E590" s="2139" t="s">
        <v>941</v>
      </c>
      <c r="F590" s="2139"/>
      <c r="G590" s="2139"/>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spans="1:35"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spans="1:35" x14ac:dyDescent="0.3">
      <c r="A592" s="4"/>
      <c r="B592" s="5" t="s">
        <v>330</v>
      </c>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spans="1:35" ht="14.5" x14ac:dyDescent="0.35">
      <c r="A593" s="4"/>
      <c r="B593" s="1431" t="s">
        <v>511</v>
      </c>
      <c r="C593" s="2"/>
      <c r="D593" s="2"/>
      <c r="E593" s="2"/>
      <c r="F593" s="2"/>
      <c r="G593" s="2"/>
      <c r="H593" s="2"/>
      <c r="I593" s="3" t="s">
        <v>1393</v>
      </c>
      <c r="J593" s="4"/>
      <c r="K593" s="188"/>
      <c r="L593" s="6"/>
      <c r="M593" s="6"/>
      <c r="N593" s="4"/>
      <c r="O593" s="4"/>
      <c r="P593" s="4"/>
      <c r="Q593" s="4"/>
      <c r="R593" s="4"/>
      <c r="S593" s="4"/>
      <c r="T593" s="4"/>
      <c r="U593" s="4"/>
      <c r="V593" s="4"/>
      <c r="W593" s="4"/>
      <c r="X593" s="4"/>
      <c r="Y593" s="4"/>
      <c r="Z593" s="4"/>
      <c r="AA593" s="4"/>
      <c r="AB593" s="4"/>
      <c r="AC593" s="4"/>
      <c r="AD593" s="4"/>
      <c r="AE593" s="4"/>
      <c r="AF593" s="4"/>
      <c r="AG593" s="4"/>
      <c r="AH593" s="4"/>
      <c r="AI593" s="4"/>
    </row>
    <row r="594" spans="1:35" ht="14.5" x14ac:dyDescent="0.35">
      <c r="A594" s="4"/>
      <c r="B594" s="2" t="s">
        <v>1025</v>
      </c>
      <c r="C594" s="2"/>
      <c r="D594" s="2"/>
      <c r="E594" s="2"/>
      <c r="F594" s="2"/>
      <c r="G594" s="2"/>
      <c r="H594" s="2"/>
      <c r="I594" s="1494" t="s">
        <v>569</v>
      </c>
      <c r="J594" s="134" t="s">
        <v>529</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spans="1:35" ht="14.5" x14ac:dyDescent="0.35">
      <c r="A595" s="4"/>
      <c r="B595" s="2" t="s">
        <v>925</v>
      </c>
      <c r="C595" s="2"/>
      <c r="D595" s="2"/>
      <c r="E595" s="2"/>
      <c r="F595" s="2"/>
      <c r="G595" s="2"/>
      <c r="H595" s="3" t="s">
        <v>488</v>
      </c>
      <c r="I595" s="1494">
        <v>220</v>
      </c>
      <c r="J595" s="13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spans="1:35" ht="14.5" x14ac:dyDescent="0.35">
      <c r="A596" s="4"/>
      <c r="B596" s="2" t="s">
        <v>933</v>
      </c>
      <c r="C596" s="2"/>
      <c r="D596" s="2"/>
      <c r="E596" s="2"/>
      <c r="F596" s="2"/>
      <c r="G596" s="2"/>
      <c r="H596" s="3" t="s">
        <v>488</v>
      </c>
      <c r="I596" s="1494">
        <v>50</v>
      </c>
      <c r="J596" s="189" t="s">
        <v>923</v>
      </c>
      <c r="K596" s="194"/>
      <c r="L596" s="6"/>
      <c r="M596" s="6"/>
      <c r="N596" s="4"/>
      <c r="O596" s="4"/>
      <c r="P596" s="4"/>
      <c r="Q596" s="4"/>
      <c r="R596" s="4"/>
      <c r="S596" s="4"/>
      <c r="T596" s="4"/>
      <c r="U596" s="4"/>
      <c r="V596" s="4"/>
      <c r="W596" s="4"/>
      <c r="X596" s="4"/>
      <c r="Y596" s="4"/>
      <c r="Z596" s="4"/>
      <c r="AA596" s="4"/>
      <c r="AB596" s="4"/>
      <c r="AC596" s="4"/>
      <c r="AD596" s="4"/>
      <c r="AE596" s="4"/>
      <c r="AF596" s="4"/>
      <c r="AG596" s="4"/>
      <c r="AH596" s="4"/>
      <c r="AI596" s="4"/>
    </row>
    <row r="597" spans="1:35" ht="14.5" x14ac:dyDescent="0.35">
      <c r="A597" s="4"/>
      <c r="B597" s="2" t="s">
        <v>961</v>
      </c>
      <c r="C597" s="2"/>
      <c r="D597" s="2"/>
      <c r="E597" s="2"/>
      <c r="F597" s="2"/>
      <c r="G597" s="2"/>
      <c r="H597" s="3" t="s">
        <v>852</v>
      </c>
      <c r="I597" s="1494">
        <v>875</v>
      </c>
      <c r="J597" s="1402" t="s">
        <v>924</v>
      </c>
      <c r="K597" s="188"/>
      <c r="L597" s="6"/>
      <c r="M597" s="6"/>
      <c r="N597" s="4"/>
      <c r="O597" s="4"/>
      <c r="P597" s="4"/>
      <c r="Q597" s="4"/>
      <c r="R597" s="4"/>
      <c r="S597" s="4"/>
      <c r="T597" s="4"/>
      <c r="U597" s="4"/>
      <c r="V597" s="4"/>
      <c r="W597" s="4"/>
      <c r="X597" s="4"/>
      <c r="Y597" s="4"/>
      <c r="Z597" s="4"/>
      <c r="AA597" s="4"/>
      <c r="AB597" s="4"/>
      <c r="AC597" s="4"/>
      <c r="AD597" s="4"/>
      <c r="AE597" s="4"/>
      <c r="AF597" s="4"/>
      <c r="AG597" s="4"/>
      <c r="AH597" s="4"/>
      <c r="AI597" s="4"/>
    </row>
    <row r="598" spans="1:35" ht="14.5" x14ac:dyDescent="0.35">
      <c r="A598" s="4"/>
      <c r="B598" s="2" t="s">
        <v>972</v>
      </c>
      <c r="C598" s="2"/>
      <c r="D598" s="2"/>
      <c r="E598" s="2"/>
      <c r="F598" s="2"/>
      <c r="G598" s="2139"/>
      <c r="H598" s="2139"/>
      <c r="I598" s="2139"/>
      <c r="J598" s="194"/>
      <c r="K598" s="188"/>
      <c r="L598" s="6"/>
      <c r="M598" s="6"/>
      <c r="N598" s="4"/>
      <c r="O598" s="4"/>
      <c r="P598" s="4"/>
      <c r="Q598" s="4"/>
      <c r="R598" s="4"/>
      <c r="S598" s="4"/>
      <c r="T598" s="4"/>
      <c r="U598" s="4"/>
      <c r="V598" s="4"/>
      <c r="W598" s="4"/>
      <c r="X598" s="4"/>
      <c r="Y598" s="4"/>
      <c r="Z598" s="4"/>
      <c r="AA598" s="4"/>
      <c r="AB598" s="4"/>
      <c r="AC598" s="4"/>
      <c r="AD598" s="4"/>
      <c r="AE598" s="4"/>
      <c r="AF598" s="4"/>
      <c r="AG598" s="4"/>
      <c r="AH598" s="4"/>
      <c r="AI598" s="4"/>
    </row>
    <row r="599" spans="1:35" ht="14.5" x14ac:dyDescent="0.35">
      <c r="A599" s="4"/>
      <c r="B599" s="2" t="s">
        <v>512</v>
      </c>
      <c r="C599" s="2"/>
      <c r="D599" s="2"/>
      <c r="E599" s="2"/>
      <c r="F599" s="2"/>
      <c r="G599" s="2"/>
      <c r="H599" s="3" t="s">
        <v>1396</v>
      </c>
      <c r="I599" s="1494">
        <v>5000</v>
      </c>
      <c r="J599" s="194"/>
      <c r="K599" s="188"/>
      <c r="L599" s="6"/>
      <c r="M599" s="6"/>
      <c r="N599" s="4"/>
      <c r="O599" s="4"/>
      <c r="P599" s="4"/>
      <c r="Q599" s="4"/>
      <c r="R599" s="4"/>
      <c r="S599" s="4"/>
      <c r="T599" s="4"/>
      <c r="U599" s="4"/>
      <c r="V599" s="4"/>
      <c r="W599" s="4"/>
      <c r="X599" s="4"/>
      <c r="Y599" s="4"/>
      <c r="Z599" s="4"/>
      <c r="AA599" s="4"/>
      <c r="AB599" s="4"/>
      <c r="AC599" s="4"/>
      <c r="AD599" s="4"/>
      <c r="AE599" s="4"/>
      <c r="AF599" s="4"/>
      <c r="AG599" s="4"/>
      <c r="AH599" s="4"/>
      <c r="AI599" s="4"/>
    </row>
    <row r="600" spans="1:35"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spans="1:35" ht="14.5" x14ac:dyDescent="0.35">
      <c r="A601" s="4"/>
      <c r="B601" s="5" t="s">
        <v>335</v>
      </c>
      <c r="C601" s="4"/>
      <c r="D601" s="4"/>
      <c r="E601" s="4"/>
      <c r="F601" s="134"/>
      <c r="G601" s="4"/>
      <c r="H601" s="4"/>
      <c r="I601" s="4"/>
      <c r="J601" s="4"/>
      <c r="K601" s="4"/>
      <c r="L601" s="4"/>
      <c r="M601" s="4"/>
      <c r="N601" s="4"/>
      <c r="O601" s="4"/>
      <c r="P601" s="134"/>
      <c r="Q601" s="4"/>
      <c r="R601" s="4"/>
      <c r="S601" s="4"/>
      <c r="T601" s="4"/>
      <c r="U601" s="4"/>
      <c r="V601" s="4"/>
      <c r="W601" s="4"/>
      <c r="X601" s="4"/>
      <c r="Y601" s="4"/>
      <c r="Z601" s="4"/>
      <c r="AA601" s="4"/>
      <c r="AB601" s="4"/>
      <c r="AC601" s="4"/>
      <c r="AD601" s="4"/>
      <c r="AE601" s="4"/>
      <c r="AF601" s="4"/>
      <c r="AG601" s="4"/>
      <c r="AH601" s="4"/>
      <c r="AI601" s="4"/>
    </row>
    <row r="602" spans="1:35" ht="14.5" x14ac:dyDescent="0.35">
      <c r="A602" s="4"/>
      <c r="B602" s="2" t="s">
        <v>965</v>
      </c>
      <c r="C602" s="2"/>
      <c r="D602" s="2"/>
      <c r="E602" s="2"/>
      <c r="F602" s="2"/>
      <c r="G602" s="2"/>
      <c r="H602" s="3" t="s">
        <v>132</v>
      </c>
      <c r="I602" s="1969">
        <v>1</v>
      </c>
      <c r="J602" s="1969"/>
      <c r="K602" s="194"/>
      <c r="L602" s="6"/>
      <c r="M602" s="6"/>
      <c r="N602" s="4"/>
      <c r="O602" s="4"/>
      <c r="P602" s="4"/>
      <c r="Q602" s="4"/>
      <c r="R602" s="4"/>
      <c r="S602" s="4"/>
      <c r="T602" s="4"/>
      <c r="U602" s="4"/>
      <c r="V602" s="4"/>
      <c r="W602" s="4"/>
      <c r="X602" s="4"/>
      <c r="Y602" s="4"/>
      <c r="Z602" s="4"/>
      <c r="AA602" s="4"/>
      <c r="AB602" s="4"/>
      <c r="AC602" s="4"/>
      <c r="AD602" s="4"/>
      <c r="AE602" s="4"/>
      <c r="AF602" s="4"/>
      <c r="AG602" s="4"/>
      <c r="AH602" s="4"/>
      <c r="AI602" s="4"/>
    </row>
    <row r="603" spans="1:35" ht="14.5" x14ac:dyDescent="0.35">
      <c r="A603" s="4"/>
      <c r="B603" s="2" t="str">
        <f>"Gecumuleerde axiale vervorming na "&amp;I599&amp;" cycli:"</f>
        <v>Gecumuleerde axiale vervorming na 5000 cycli:</v>
      </c>
      <c r="C603" s="2"/>
      <c r="D603" s="2"/>
      <c r="E603" s="2"/>
      <c r="F603" s="2"/>
      <c r="G603" s="2"/>
      <c r="H603" s="3" t="s">
        <v>132</v>
      </c>
      <c r="I603" s="1970">
        <v>2</v>
      </c>
      <c r="J603" s="1970"/>
      <c r="K603" s="194"/>
      <c r="L603" s="6"/>
      <c r="M603" s="6"/>
      <c r="N603" s="4"/>
      <c r="O603" s="4"/>
      <c r="P603" s="4"/>
      <c r="Q603" s="4"/>
      <c r="R603" s="4"/>
      <c r="S603" s="4"/>
      <c r="T603" s="4"/>
      <c r="U603" s="4"/>
      <c r="V603" s="4"/>
      <c r="W603" s="4"/>
      <c r="X603" s="4"/>
      <c r="Y603" s="4"/>
      <c r="Z603" s="4"/>
      <c r="AA603" s="4"/>
      <c r="AB603" s="4"/>
      <c r="AC603" s="4"/>
      <c r="AD603" s="4"/>
      <c r="AE603" s="4"/>
      <c r="AF603" s="4"/>
      <c r="AG603" s="4"/>
      <c r="AH603" s="4"/>
      <c r="AI603" s="4"/>
    </row>
    <row r="604" spans="1:35" ht="14.5" x14ac:dyDescent="0.35">
      <c r="A604" s="4"/>
      <c r="B604" s="2" t="s">
        <v>966</v>
      </c>
      <c r="C604" s="2"/>
      <c r="D604" s="2"/>
      <c r="E604" s="2"/>
      <c r="F604" s="2"/>
      <c r="G604" s="2"/>
      <c r="H604" s="3" t="s">
        <v>963</v>
      </c>
      <c r="I604" s="2192">
        <v>3</v>
      </c>
      <c r="J604" s="2192"/>
      <c r="K604" s="194"/>
      <c r="L604" s="6"/>
      <c r="M604" s="6"/>
      <c r="N604" s="4"/>
      <c r="O604" s="4"/>
      <c r="P604" s="4"/>
      <c r="Q604" s="4"/>
      <c r="R604" s="4"/>
      <c r="S604" s="4"/>
      <c r="T604" s="4"/>
      <c r="U604" s="4"/>
      <c r="V604" s="4"/>
      <c r="W604" s="4"/>
      <c r="X604" s="4"/>
      <c r="Y604" s="4"/>
      <c r="Z604" s="4"/>
      <c r="AA604" s="4"/>
      <c r="AB604" s="4"/>
      <c r="AC604" s="4"/>
      <c r="AD604" s="4"/>
      <c r="AE604" s="4"/>
      <c r="AF604" s="4"/>
      <c r="AG604" s="4"/>
      <c r="AH604" s="4"/>
      <c r="AI604" s="4"/>
    </row>
    <row r="605" spans="1:35" ht="14.5" x14ac:dyDescent="0.35">
      <c r="A605" s="4"/>
      <c r="B605" s="49" t="s">
        <v>967</v>
      </c>
      <c r="C605" s="49"/>
      <c r="D605" s="49"/>
      <c r="E605" s="49"/>
      <c r="F605" s="49"/>
      <c r="G605" s="49"/>
      <c r="H605" s="947" t="s">
        <v>964</v>
      </c>
      <c r="I605" s="2214">
        <v>4</v>
      </c>
      <c r="J605" s="2214"/>
      <c r="K605" s="194"/>
      <c r="L605" s="6"/>
      <c r="M605" s="6"/>
      <c r="N605" s="4"/>
      <c r="O605" s="4"/>
      <c r="P605" s="4"/>
      <c r="Q605" s="4"/>
      <c r="R605" s="4"/>
      <c r="S605" s="4"/>
      <c r="T605" s="4"/>
      <c r="U605" s="4"/>
      <c r="V605" s="4"/>
      <c r="W605" s="4"/>
      <c r="X605" s="4"/>
      <c r="Y605" s="4"/>
      <c r="Z605" s="4"/>
      <c r="AA605" s="4"/>
      <c r="AB605" s="4"/>
      <c r="AC605" s="4"/>
      <c r="AD605" s="4"/>
      <c r="AE605" s="4"/>
      <c r="AF605" s="4"/>
      <c r="AG605" s="4"/>
      <c r="AH605" s="4"/>
      <c r="AI605" s="4"/>
    </row>
    <row r="606" spans="1:35" ht="14.5" x14ac:dyDescent="0.35">
      <c r="A606" s="4"/>
      <c r="B606" s="2" t="s">
        <v>968</v>
      </c>
      <c r="C606" s="2"/>
      <c r="D606" s="2"/>
      <c r="E606" s="2"/>
      <c r="F606" s="2"/>
      <c r="G606" s="2"/>
      <c r="H606" s="3" t="s">
        <v>132</v>
      </c>
      <c r="I606" s="2190">
        <v>5</v>
      </c>
      <c r="J606" s="2190"/>
      <c r="K606" s="2233">
        <v>2.5099999999999998</v>
      </c>
      <c r="L606" s="2233"/>
      <c r="M606" s="6" t="s">
        <v>1648</v>
      </c>
      <c r="N606" s="4"/>
      <c r="O606" s="4"/>
      <c r="P606" s="4"/>
      <c r="Q606" s="4"/>
      <c r="R606" s="4"/>
      <c r="S606" s="4"/>
      <c r="T606" s="4"/>
      <c r="U606" s="4"/>
      <c r="V606" s="4"/>
      <c r="W606" s="4"/>
      <c r="X606" s="4"/>
      <c r="Y606" s="4"/>
      <c r="Z606" s="4"/>
      <c r="AA606" s="4"/>
      <c r="AB606" s="4"/>
      <c r="AC606" s="4"/>
      <c r="AD606" s="4"/>
      <c r="AE606" s="4"/>
      <c r="AF606" s="4"/>
      <c r="AG606" s="4"/>
      <c r="AH606" s="4"/>
      <c r="AI606" s="4"/>
    </row>
    <row r="607" spans="1:35" ht="14.5" x14ac:dyDescent="0.35">
      <c r="A607" s="4"/>
      <c r="B607" s="2" t="str">
        <f>"Gemiddelde blijvende vervorming na "&amp;I599&amp;" cycli:"</f>
        <v>Gemiddelde blijvende vervorming na 5000 cycli:</v>
      </c>
      <c r="C607" s="2"/>
      <c r="D607" s="2"/>
      <c r="E607" s="2"/>
      <c r="F607" s="2"/>
      <c r="G607" s="2"/>
      <c r="H607" s="3" t="s">
        <v>132</v>
      </c>
      <c r="I607" s="2192">
        <v>6</v>
      </c>
      <c r="J607" s="2192"/>
      <c r="K607" s="2234">
        <v>2.34</v>
      </c>
      <c r="L607" s="2234"/>
      <c r="M607" s="6" t="s">
        <v>371</v>
      </c>
      <c r="N607" s="4"/>
      <c r="O607" s="4"/>
      <c r="P607" s="4"/>
      <c r="Q607" s="4"/>
      <c r="R607" s="4"/>
      <c r="S607" s="4"/>
      <c r="T607" s="4"/>
      <c r="U607" s="4"/>
      <c r="V607" s="4"/>
      <c r="W607" s="4"/>
      <c r="X607" s="4"/>
      <c r="Y607" s="4"/>
      <c r="Z607" s="4"/>
      <c r="AA607" s="4"/>
      <c r="AB607" s="4"/>
      <c r="AC607" s="4"/>
      <c r="AD607" s="4"/>
      <c r="AE607" s="4"/>
      <c r="AF607" s="4"/>
      <c r="AG607" s="4"/>
      <c r="AH607" s="4"/>
      <c r="AI607" s="4"/>
    </row>
    <row r="608" spans="1:35" ht="14.5" x14ac:dyDescent="0.35">
      <c r="A608" s="4"/>
      <c r="B608" s="2" t="s">
        <v>969</v>
      </c>
      <c r="C608" s="2"/>
      <c r="D608" s="2"/>
      <c r="E608" s="2"/>
      <c r="F608" s="2"/>
      <c r="G608" s="2"/>
      <c r="H608" s="3" t="s">
        <v>963</v>
      </c>
      <c r="I608" s="2215">
        <v>7</v>
      </c>
      <c r="J608" s="2215"/>
      <c r="K608" s="194"/>
      <c r="L608" s="6"/>
      <c r="M608" s="6"/>
      <c r="N608" s="4"/>
      <c r="O608" s="4"/>
      <c r="P608" s="4"/>
      <c r="Q608" s="4"/>
      <c r="R608" s="4"/>
      <c r="S608" s="4"/>
      <c r="T608" s="4"/>
      <c r="U608" s="4"/>
      <c r="V608" s="4"/>
      <c r="W608" s="4"/>
      <c r="X608" s="4"/>
      <c r="Y608" s="4"/>
      <c r="Z608" s="4"/>
      <c r="AA608" s="4"/>
      <c r="AB608" s="4"/>
      <c r="AC608" s="4"/>
      <c r="AD608" s="4"/>
      <c r="AE608" s="4"/>
      <c r="AF608" s="4"/>
      <c r="AG608" s="4"/>
      <c r="AH608" s="4"/>
      <c r="AI608" s="4"/>
    </row>
    <row r="609" spans="1:35" ht="14.5" x14ac:dyDescent="0.35">
      <c r="A609" s="4"/>
      <c r="B609" s="2" t="s">
        <v>970</v>
      </c>
      <c r="C609" s="2"/>
      <c r="D609" s="2"/>
      <c r="E609" s="2"/>
      <c r="F609" s="2"/>
      <c r="G609" s="2"/>
      <c r="H609" s="3" t="s">
        <v>964</v>
      </c>
      <c r="I609" s="2216">
        <v>8</v>
      </c>
      <c r="J609" s="2216"/>
      <c r="K609" s="194"/>
      <c r="L609" s="6"/>
      <c r="M609" s="6"/>
      <c r="N609" s="4"/>
      <c r="O609" s="4"/>
      <c r="P609" s="4"/>
      <c r="Q609" s="4"/>
      <c r="R609" s="4"/>
      <c r="S609" s="4"/>
      <c r="T609" s="4"/>
      <c r="U609" s="4"/>
      <c r="V609" s="4"/>
      <c r="W609" s="4"/>
      <c r="X609" s="4"/>
      <c r="Y609" s="4"/>
      <c r="Z609" s="4"/>
      <c r="AA609" s="4"/>
      <c r="AB609" s="4"/>
      <c r="AC609" s="4"/>
      <c r="AD609" s="4"/>
      <c r="AE609" s="4"/>
      <c r="AF609" s="4"/>
      <c r="AG609" s="4"/>
      <c r="AH609" s="4"/>
      <c r="AI609" s="4"/>
    </row>
    <row r="610" spans="1:35" ht="14.5" x14ac:dyDescent="0.35">
      <c r="A610" s="4"/>
      <c r="B610" s="5"/>
      <c r="C610" s="4"/>
      <c r="D610" s="4"/>
      <c r="E610" s="4"/>
      <c r="F610" s="134"/>
      <c r="G610" s="4"/>
      <c r="H610" s="4"/>
      <c r="I610" s="4"/>
      <c r="J610" s="4"/>
      <c r="K610" s="4"/>
      <c r="L610" s="4"/>
      <c r="M610" s="4"/>
      <c r="N610" s="4"/>
      <c r="O610" s="4"/>
      <c r="P610" s="134"/>
      <c r="Q610" s="4"/>
      <c r="R610" s="4"/>
      <c r="S610" s="4"/>
      <c r="T610" s="4"/>
      <c r="U610" s="4"/>
      <c r="V610" s="4"/>
      <c r="W610" s="4"/>
      <c r="X610" s="4"/>
      <c r="Y610" s="4"/>
      <c r="Z610" s="4"/>
      <c r="AA610" s="4"/>
      <c r="AB610" s="4"/>
      <c r="AC610" s="4"/>
      <c r="AD610" s="4"/>
      <c r="AE610" s="4"/>
      <c r="AF610" s="4"/>
      <c r="AG610" s="4"/>
      <c r="AH610" s="4"/>
      <c r="AI610" s="4"/>
    </row>
    <row r="611" spans="1:35" ht="14.5" x14ac:dyDescent="0.35">
      <c r="A611" s="4"/>
      <c r="B611" s="5"/>
      <c r="C611" s="4"/>
      <c r="D611" s="4"/>
      <c r="E611" s="4"/>
      <c r="F611" s="134"/>
      <c r="G611" s="4"/>
      <c r="H611" s="4"/>
      <c r="I611" s="4"/>
      <c r="J611" s="4"/>
      <c r="K611" s="4"/>
      <c r="L611" s="4"/>
      <c r="M611" s="4"/>
      <c r="N611" s="4"/>
      <c r="O611" s="4"/>
      <c r="P611" s="134"/>
      <c r="Q611" s="4"/>
      <c r="R611" s="4"/>
      <c r="S611" s="4"/>
      <c r="T611" s="4"/>
      <c r="U611" s="4"/>
      <c r="V611" s="4"/>
      <c r="W611" s="4"/>
      <c r="X611" s="4"/>
      <c r="Y611" s="4"/>
      <c r="Z611" s="4"/>
      <c r="AA611" s="4"/>
      <c r="AB611" s="4"/>
      <c r="AC611" s="4"/>
      <c r="AD611" s="4"/>
      <c r="AE611" s="4"/>
      <c r="AF611" s="4"/>
      <c r="AG611" s="4"/>
      <c r="AH611" s="4"/>
      <c r="AI611" s="4"/>
    </row>
    <row r="612" spans="1:35" x14ac:dyDescent="0.3">
      <c r="A612" s="13" t="s">
        <v>1511</v>
      </c>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row>
    <row r="613" spans="1:35"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spans="1:35" ht="14.5" x14ac:dyDescent="0.35">
      <c r="A614" s="4"/>
      <c r="B614" s="5" t="s">
        <v>644</v>
      </c>
      <c r="C614" s="4"/>
      <c r="D614" s="4"/>
      <c r="E614" s="1471" t="s">
        <v>56</v>
      </c>
      <c r="F614" s="6" t="s">
        <v>645</v>
      </c>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spans="1:35" x14ac:dyDescent="0.3">
      <c r="A615" s="4"/>
      <c r="B615" s="5" t="s">
        <v>331</v>
      </c>
      <c r="C615" s="4"/>
      <c r="D615" s="4"/>
      <c r="E615" s="2139" t="s">
        <v>941</v>
      </c>
      <c r="F615" s="2139"/>
      <c r="G615" s="2139"/>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spans="1:35"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spans="1:35" x14ac:dyDescent="0.3">
      <c r="A617" s="4"/>
      <c r="B617" s="5" t="s">
        <v>330</v>
      </c>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spans="1:35" ht="14.5" x14ac:dyDescent="0.35">
      <c r="A618" s="4"/>
      <c r="B618" s="2" t="s">
        <v>571</v>
      </c>
      <c r="C618" s="2"/>
      <c r="D618" s="2"/>
      <c r="E618" s="2"/>
      <c r="F618" s="2210" t="s">
        <v>572</v>
      </c>
      <c r="G618" s="2210"/>
      <c r="H618" s="2210"/>
      <c r="I618" s="2210"/>
      <c r="J618" s="134" t="s">
        <v>1445</v>
      </c>
      <c r="K618" s="188"/>
      <c r="L618" s="6"/>
      <c r="M618" s="6"/>
      <c r="N618" s="4"/>
      <c r="O618" s="4"/>
      <c r="P618" s="4"/>
      <c r="Q618" s="4"/>
      <c r="R618" s="4"/>
      <c r="S618" s="4"/>
      <c r="T618" s="4"/>
      <c r="U618" s="4"/>
      <c r="V618" s="4"/>
      <c r="W618" s="4"/>
      <c r="X618" s="4"/>
      <c r="Y618" s="4"/>
      <c r="Z618" s="4"/>
      <c r="AA618" s="4"/>
      <c r="AB618" s="4"/>
      <c r="AC618" s="4"/>
      <c r="AD618" s="4"/>
      <c r="AE618" s="4"/>
      <c r="AF618" s="4"/>
      <c r="AG618" s="4"/>
      <c r="AH618" s="4"/>
      <c r="AI618" s="4"/>
    </row>
    <row r="619" spans="1:35" ht="14.5" customHeight="1" x14ac:dyDescent="0.3">
      <c r="A619" s="4"/>
      <c r="B619" s="2" t="s">
        <v>962</v>
      </c>
      <c r="C619" s="2"/>
      <c r="D619" s="2"/>
      <c r="E619" s="3" t="s">
        <v>488</v>
      </c>
      <c r="F619" s="2211" t="s">
        <v>573</v>
      </c>
      <c r="G619" s="2211"/>
      <c r="H619" s="2211"/>
      <c r="I619" s="2211"/>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spans="1:35"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spans="1:35" ht="14.5" x14ac:dyDescent="0.35">
      <c r="A621" s="4"/>
      <c r="B621" s="5" t="s">
        <v>335</v>
      </c>
      <c r="C621" s="4"/>
      <c r="D621" s="4"/>
      <c r="E621" s="4"/>
      <c r="F621" s="134"/>
      <c r="G621" s="4"/>
      <c r="H621" s="4"/>
      <c r="I621" s="4"/>
      <c r="J621" s="4"/>
      <c r="K621" s="4"/>
      <c r="L621" s="4"/>
      <c r="M621" s="4"/>
      <c r="N621" s="4"/>
      <c r="O621" s="4"/>
      <c r="P621" s="134"/>
      <c r="Q621" s="4"/>
      <c r="R621" s="4"/>
      <c r="S621" s="4"/>
      <c r="T621" s="4"/>
      <c r="U621" s="4"/>
      <c r="V621" s="4"/>
      <c r="W621" s="4"/>
      <c r="X621" s="4"/>
      <c r="Y621" s="4"/>
      <c r="Z621" s="4"/>
      <c r="AA621" s="4"/>
      <c r="AB621" s="4"/>
      <c r="AC621" s="4"/>
      <c r="AD621" s="4"/>
      <c r="AE621" s="4"/>
      <c r="AF621" s="4"/>
      <c r="AG621" s="4"/>
      <c r="AH621" s="4"/>
      <c r="AI621" s="4"/>
    </row>
    <row r="622" spans="1:35" ht="14.5" x14ac:dyDescent="0.35">
      <c r="A622" s="4"/>
      <c r="B622" s="2" t="s">
        <v>971</v>
      </c>
      <c r="C622" s="2"/>
      <c r="D622" s="2"/>
      <c r="E622" s="2"/>
      <c r="F622" s="2"/>
      <c r="G622" s="2"/>
      <c r="H622" s="3" t="s">
        <v>488</v>
      </c>
      <c r="I622" s="1467">
        <v>-35</v>
      </c>
      <c r="J622" s="188"/>
      <c r="K622" s="194"/>
      <c r="L622" s="6"/>
      <c r="M622" s="6"/>
      <c r="N622" s="4"/>
      <c r="O622" s="4"/>
      <c r="P622" s="4"/>
      <c r="Q622" s="4"/>
      <c r="R622" s="4"/>
      <c r="S622" s="4"/>
      <c r="T622" s="4"/>
      <c r="U622" s="4"/>
      <c r="V622" s="4"/>
      <c r="W622" s="4"/>
      <c r="X622" s="4"/>
      <c r="Y622" s="4"/>
      <c r="Z622" s="4"/>
      <c r="AA622" s="4"/>
      <c r="AB622" s="4"/>
      <c r="AC622" s="4"/>
      <c r="AD622" s="4"/>
      <c r="AE622" s="4"/>
      <c r="AF622" s="4"/>
      <c r="AG622" s="4"/>
      <c r="AH622" s="4"/>
      <c r="AI622" s="4"/>
    </row>
    <row r="623" spans="1:35" ht="14.5" x14ac:dyDescent="0.35">
      <c r="A623" s="4"/>
      <c r="B623" s="5"/>
      <c r="C623" s="4"/>
      <c r="D623" s="4"/>
      <c r="E623" s="4"/>
      <c r="F623" s="134"/>
      <c r="G623" s="4"/>
      <c r="H623" s="4"/>
      <c r="I623" s="4"/>
      <c r="J623" s="4"/>
      <c r="K623" s="4"/>
      <c r="L623" s="4"/>
      <c r="M623" s="4"/>
      <c r="N623" s="4"/>
      <c r="O623" s="4"/>
      <c r="P623" s="134"/>
      <c r="Q623" s="4"/>
      <c r="R623" s="4"/>
      <c r="S623" s="4"/>
      <c r="T623" s="4"/>
      <c r="U623" s="4"/>
      <c r="V623" s="4"/>
      <c r="W623" s="4"/>
      <c r="X623" s="4"/>
      <c r="Y623" s="4"/>
      <c r="Z623" s="4"/>
      <c r="AA623" s="4"/>
      <c r="AB623" s="4"/>
      <c r="AC623" s="4"/>
      <c r="AD623" s="4"/>
      <c r="AE623" s="4"/>
      <c r="AF623" s="4"/>
      <c r="AG623" s="4"/>
      <c r="AH623" s="4"/>
      <c r="AI623" s="4"/>
    </row>
    <row r="624" spans="1:35" ht="14.5" x14ac:dyDescent="0.35">
      <c r="A624" s="4"/>
      <c r="B624" s="5"/>
      <c r="C624" s="4"/>
      <c r="D624" s="4"/>
      <c r="E624" s="4"/>
      <c r="F624" s="134"/>
      <c r="G624" s="4"/>
      <c r="H624" s="4"/>
      <c r="I624" s="4"/>
      <c r="J624" s="4"/>
      <c r="K624" s="4"/>
      <c r="L624" s="4"/>
      <c r="M624" s="4"/>
      <c r="N624" s="4"/>
      <c r="O624" s="4"/>
      <c r="P624" s="134"/>
      <c r="Q624" s="4"/>
      <c r="R624" s="4"/>
      <c r="S624" s="4"/>
      <c r="T624" s="4"/>
      <c r="U624" s="4"/>
      <c r="V624" s="4"/>
      <c r="W624" s="4"/>
      <c r="X624" s="4"/>
      <c r="Y624" s="4"/>
      <c r="Z624" s="4"/>
      <c r="AA624" s="4"/>
      <c r="AB624" s="4"/>
      <c r="AC624" s="4"/>
      <c r="AD624" s="4"/>
      <c r="AE624" s="4"/>
      <c r="AF624" s="4"/>
      <c r="AG624" s="4"/>
      <c r="AH624" s="4"/>
      <c r="AI624" s="4"/>
    </row>
    <row r="625" spans="1:35" x14ac:dyDescent="0.3">
      <c r="A625" s="13" t="s">
        <v>574</v>
      </c>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row>
    <row r="626" spans="1:35"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spans="1:35" ht="14.5" x14ac:dyDescent="0.35">
      <c r="A627" s="4"/>
      <c r="B627" s="5" t="s">
        <v>644</v>
      </c>
      <c r="C627" s="4"/>
      <c r="D627" s="4"/>
      <c r="E627" s="1471" t="s">
        <v>56</v>
      </c>
      <c r="F627" s="6" t="s">
        <v>645</v>
      </c>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spans="1:35" x14ac:dyDescent="0.3">
      <c r="A628" s="4"/>
      <c r="B628" s="5" t="s">
        <v>331</v>
      </c>
      <c r="C628" s="4"/>
      <c r="D628" s="4"/>
      <c r="E628" s="2139" t="s">
        <v>941</v>
      </c>
      <c r="F628" s="2139"/>
      <c r="G628" s="2139"/>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spans="1:35"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spans="1:35" x14ac:dyDescent="0.3">
      <c r="A630" s="4"/>
      <c r="B630" s="5" t="s">
        <v>330</v>
      </c>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spans="1:35" ht="14.5" x14ac:dyDescent="0.35">
      <c r="A631" s="4"/>
      <c r="B631" s="2" t="s">
        <v>575</v>
      </c>
      <c r="C631" s="2"/>
      <c r="D631" s="2"/>
      <c r="E631" s="2"/>
      <c r="F631" s="2"/>
      <c r="G631" s="2"/>
      <c r="H631" s="60" t="s">
        <v>576</v>
      </c>
      <c r="I631" s="2"/>
      <c r="J631" s="2"/>
      <c r="K631" s="188"/>
      <c r="L631" s="6"/>
      <c r="M631" s="6"/>
      <c r="N631" s="4"/>
      <c r="O631" s="4"/>
      <c r="P631" s="4"/>
      <c r="Q631" s="4"/>
      <c r="R631" s="4"/>
      <c r="S631" s="4"/>
      <c r="T631" s="4"/>
      <c r="U631" s="4"/>
      <c r="V631" s="4"/>
      <c r="W631" s="4"/>
      <c r="X631" s="4"/>
      <c r="Y631" s="4"/>
      <c r="Z631" s="4"/>
      <c r="AA631" s="4"/>
      <c r="AB631" s="4"/>
      <c r="AC631" s="4"/>
      <c r="AD631" s="4"/>
      <c r="AE631" s="4"/>
      <c r="AF631" s="4"/>
      <c r="AG631" s="4"/>
      <c r="AH631" s="4"/>
      <c r="AI631" s="4"/>
    </row>
    <row r="632" spans="1:35" ht="14.5" x14ac:dyDescent="0.35">
      <c r="A632" s="4"/>
      <c r="B632" s="2" t="s">
        <v>473</v>
      </c>
      <c r="C632" s="2"/>
      <c r="D632" s="2"/>
      <c r="E632" s="2"/>
      <c r="F632" s="198"/>
      <c r="G632" s="199"/>
      <c r="H632" s="2212" t="s">
        <v>577</v>
      </c>
      <c r="I632" s="2212"/>
      <c r="J632" s="2212"/>
      <c r="K632" s="134" t="s">
        <v>883</v>
      </c>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spans="1:35" x14ac:dyDescent="0.3">
      <c r="A633" s="4"/>
      <c r="B633" s="2" t="s">
        <v>578</v>
      </c>
      <c r="C633" s="2"/>
      <c r="D633" s="2"/>
      <c r="E633" s="2"/>
      <c r="F633" s="200"/>
      <c r="G633" s="2"/>
      <c r="H633" s="1970" t="s">
        <v>475</v>
      </c>
      <c r="I633" s="1970"/>
      <c r="J633" s="1970"/>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spans="1:35" x14ac:dyDescent="0.3">
      <c r="A634" s="4"/>
      <c r="B634" s="2" t="s">
        <v>579</v>
      </c>
      <c r="C634" s="2"/>
      <c r="D634" s="2"/>
      <c r="E634" s="2"/>
      <c r="F634" s="200"/>
      <c r="G634" s="2"/>
      <c r="H634" s="1970" t="s">
        <v>476</v>
      </c>
      <c r="I634" s="1970"/>
      <c r="J634" s="1970"/>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spans="1:35" x14ac:dyDescent="0.3">
      <c r="A635" s="4"/>
      <c r="B635" s="2" t="s">
        <v>884</v>
      </c>
      <c r="C635" s="2"/>
      <c r="D635" s="2"/>
      <c r="E635" s="2"/>
      <c r="F635" s="200"/>
      <c r="G635" s="2"/>
      <c r="H635" s="1970" t="s">
        <v>477</v>
      </c>
      <c r="I635" s="1970"/>
      <c r="J635" s="1970"/>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spans="1:35" x14ac:dyDescent="0.3">
      <c r="A636" s="4"/>
      <c r="B636" s="2" t="s">
        <v>580</v>
      </c>
      <c r="C636" s="2"/>
      <c r="D636" s="2"/>
      <c r="E636" s="2"/>
      <c r="F636" s="200"/>
      <c r="G636" s="2"/>
      <c r="H636" s="1970" t="s">
        <v>549</v>
      </c>
      <c r="I636" s="1970"/>
      <c r="J636" s="1970"/>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spans="1:35"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spans="1:35" ht="14.5" x14ac:dyDescent="0.35">
      <c r="A638" s="4"/>
      <c r="B638" s="5" t="s">
        <v>335</v>
      </c>
      <c r="C638" s="4"/>
      <c r="D638" s="4"/>
      <c r="E638" s="4"/>
      <c r="F638" s="134"/>
      <c r="G638" s="4"/>
      <c r="H638" s="4"/>
      <c r="I638" s="4"/>
      <c r="J638" s="4"/>
      <c r="K638" s="4"/>
      <c r="L638" s="4"/>
      <c r="M638" s="4"/>
      <c r="N638" s="4"/>
      <c r="O638" s="4"/>
      <c r="P638" s="134"/>
      <c r="Q638" s="4"/>
      <c r="R638" s="4"/>
      <c r="S638" s="4"/>
      <c r="T638" s="4"/>
      <c r="U638" s="4"/>
      <c r="V638" s="4"/>
      <c r="W638" s="4"/>
      <c r="X638" s="4"/>
      <c r="Y638" s="4"/>
      <c r="Z638" s="4"/>
      <c r="AA638" s="4"/>
      <c r="AB638" s="4"/>
      <c r="AC638" s="4"/>
      <c r="AD638" s="4"/>
      <c r="AE638" s="4"/>
      <c r="AF638" s="4"/>
      <c r="AG638" s="4"/>
      <c r="AH638" s="4"/>
      <c r="AI638" s="4"/>
    </row>
    <row r="639" spans="1:35" ht="14.5" x14ac:dyDescent="0.35">
      <c r="A639" s="4"/>
      <c r="B639" s="2"/>
      <c r="C639" s="2"/>
      <c r="D639" s="143" t="s">
        <v>889</v>
      </c>
      <c r="E639" s="143"/>
      <c r="F639" s="201"/>
      <c r="G639" s="143" t="s">
        <v>891</v>
      </c>
      <c r="H639" s="201"/>
      <c r="I639" s="201"/>
      <c r="J639" s="201"/>
      <c r="K639" s="194"/>
      <c r="L639" s="6"/>
      <c r="M639" s="6"/>
      <c r="N639" s="4"/>
      <c r="O639" s="4"/>
      <c r="P639" s="4"/>
      <c r="Q639" s="4"/>
      <c r="R639" s="4"/>
      <c r="S639" s="4"/>
      <c r="T639" s="4"/>
      <c r="U639" s="4"/>
      <c r="V639" s="4"/>
      <c r="W639" s="4"/>
      <c r="X639" s="4"/>
      <c r="Y639" s="4"/>
      <c r="Z639" s="4"/>
      <c r="AA639" s="4"/>
      <c r="AB639" s="4"/>
      <c r="AC639" s="4"/>
      <c r="AD639" s="4"/>
      <c r="AE639" s="4"/>
      <c r="AF639" s="4"/>
      <c r="AG639" s="4"/>
      <c r="AH639" s="4"/>
      <c r="AI639" s="4"/>
    </row>
    <row r="640" spans="1:35" ht="14.5" x14ac:dyDescent="0.35">
      <c r="A640" s="4"/>
      <c r="B640" s="49"/>
      <c r="C640" s="49"/>
      <c r="D640" s="372" t="s">
        <v>890</v>
      </c>
      <c r="E640" s="372"/>
      <c r="F640" s="372"/>
      <c r="G640" s="372" t="s">
        <v>892</v>
      </c>
      <c r="H640" s="372"/>
      <c r="I640" s="372"/>
      <c r="J640" s="372"/>
      <c r="K640" s="194"/>
      <c r="L640" s="6"/>
      <c r="M640" s="6"/>
      <c r="N640" s="4"/>
      <c r="O640" s="4"/>
      <c r="P640" s="4"/>
      <c r="Q640" s="4"/>
      <c r="R640" s="4"/>
      <c r="S640" s="4"/>
      <c r="T640" s="4"/>
      <c r="U640" s="4"/>
      <c r="V640" s="4"/>
      <c r="W640" s="4"/>
      <c r="X640" s="4"/>
      <c r="Y640" s="4"/>
      <c r="Z640" s="4"/>
      <c r="AA640" s="4"/>
      <c r="AB640" s="4"/>
      <c r="AC640" s="4"/>
      <c r="AD640" s="4"/>
      <c r="AE640" s="4"/>
      <c r="AF640" s="4"/>
      <c r="AG640" s="4"/>
      <c r="AH640" s="4"/>
      <c r="AI640" s="4"/>
    </row>
    <row r="641" spans="1:35" ht="15" customHeight="1" x14ac:dyDescent="0.35">
      <c r="A641" s="4"/>
      <c r="B641" s="2" t="s">
        <v>885</v>
      </c>
      <c r="C641" s="2"/>
      <c r="D641" s="2139">
        <v>1</v>
      </c>
      <c r="E641" s="2139"/>
      <c r="F641" s="2139"/>
      <c r="G641" s="2217">
        <v>100</v>
      </c>
      <c r="H641" s="2217"/>
      <c r="I641" s="2217"/>
      <c r="J641" s="2217"/>
      <c r="K641" s="194"/>
      <c r="L641" s="6"/>
      <c r="M641" s="6"/>
      <c r="N641" s="4"/>
      <c r="O641" s="4"/>
      <c r="P641" s="4"/>
      <c r="Q641" s="4"/>
      <c r="R641" s="4"/>
      <c r="S641" s="4"/>
      <c r="T641" s="4"/>
      <c r="U641" s="4"/>
      <c r="V641" s="4"/>
      <c r="W641" s="4"/>
      <c r="X641" s="4"/>
      <c r="Y641" s="4"/>
      <c r="Z641" s="4"/>
      <c r="AA641" s="4"/>
      <c r="AB641" s="4"/>
      <c r="AC641" s="4"/>
      <c r="AD641" s="4"/>
      <c r="AE641" s="4"/>
      <c r="AF641" s="4"/>
      <c r="AG641" s="4"/>
      <c r="AH641" s="4"/>
      <c r="AI641" s="4"/>
    </row>
    <row r="642" spans="1:35" ht="15" customHeight="1" x14ac:dyDescent="0.35">
      <c r="A642" s="4"/>
      <c r="B642" s="2" t="s">
        <v>886</v>
      </c>
      <c r="C642" s="2"/>
      <c r="D642" s="2139">
        <v>2</v>
      </c>
      <c r="E642" s="2139"/>
      <c r="F642" s="2139"/>
      <c r="G642" s="1966">
        <v>95</v>
      </c>
      <c r="H642" s="1966"/>
      <c r="I642" s="1966"/>
      <c r="J642" s="1966"/>
      <c r="K642" s="194"/>
      <c r="L642" s="6"/>
      <c r="M642" s="6"/>
      <c r="N642" s="4"/>
      <c r="O642" s="4"/>
      <c r="P642" s="4"/>
      <c r="Q642" s="4"/>
      <c r="R642" s="4"/>
      <c r="S642" s="4"/>
      <c r="T642" s="4"/>
      <c r="U642" s="4"/>
      <c r="V642" s="4"/>
      <c r="W642" s="4"/>
      <c r="X642" s="4"/>
      <c r="Y642" s="4"/>
      <c r="Z642" s="4"/>
      <c r="AA642" s="4"/>
      <c r="AB642" s="4"/>
      <c r="AC642" s="4"/>
      <c r="AD642" s="4"/>
      <c r="AE642" s="4"/>
      <c r="AF642" s="4"/>
      <c r="AG642" s="4"/>
      <c r="AH642" s="4"/>
      <c r="AI642" s="4"/>
    </row>
    <row r="643" spans="1:35" ht="15" customHeight="1" x14ac:dyDescent="0.35">
      <c r="A643" s="4"/>
      <c r="B643" s="2" t="s">
        <v>887</v>
      </c>
      <c r="C643" s="2"/>
      <c r="D643" s="2139">
        <v>3</v>
      </c>
      <c r="E643" s="2139"/>
      <c r="F643" s="2139"/>
      <c r="G643" s="1966">
        <v>90</v>
      </c>
      <c r="H643" s="1966"/>
      <c r="I643" s="1966"/>
      <c r="J643" s="1966"/>
      <c r="K643" s="194"/>
      <c r="L643" s="6"/>
      <c r="M643" s="6"/>
      <c r="N643" s="4"/>
      <c r="O643" s="4"/>
      <c r="P643" s="4"/>
      <c r="Q643" s="4"/>
      <c r="R643" s="4"/>
      <c r="S643" s="4"/>
      <c r="T643" s="4"/>
      <c r="U643" s="4"/>
      <c r="V643" s="4"/>
      <c r="W643" s="4"/>
      <c r="X643" s="4"/>
      <c r="Y643" s="4"/>
      <c r="Z643" s="4"/>
      <c r="AA643" s="4"/>
      <c r="AB643" s="4"/>
      <c r="AC643" s="4"/>
      <c r="AD643" s="4"/>
      <c r="AE643" s="4"/>
      <c r="AF643" s="4"/>
      <c r="AG643" s="4"/>
      <c r="AH643" s="4"/>
      <c r="AI643" s="4"/>
    </row>
    <row r="644" spans="1:35" ht="15" customHeight="1" x14ac:dyDescent="0.35">
      <c r="A644" s="4"/>
      <c r="B644" s="2" t="s">
        <v>888</v>
      </c>
      <c r="C644" s="2"/>
      <c r="D644" s="2139">
        <v>4</v>
      </c>
      <c r="E644" s="2139"/>
      <c r="F644" s="2139"/>
      <c r="G644" s="1976">
        <v>85</v>
      </c>
      <c r="H644" s="1976"/>
      <c r="I644" s="1976"/>
      <c r="J644" s="1976"/>
      <c r="K644" s="194"/>
      <c r="L644" s="6"/>
      <c r="M644" s="6"/>
      <c r="N644" s="4"/>
      <c r="O644" s="4"/>
      <c r="P644" s="4"/>
      <c r="Q644" s="4"/>
      <c r="R644" s="4"/>
      <c r="S644" s="4"/>
      <c r="T644" s="4"/>
      <c r="U644" s="4"/>
      <c r="V644" s="4"/>
      <c r="W644" s="4"/>
      <c r="X644" s="4"/>
      <c r="Y644" s="4"/>
      <c r="Z644" s="4"/>
      <c r="AA644" s="4"/>
      <c r="AB644" s="4"/>
      <c r="AC644" s="4"/>
      <c r="AD644" s="4"/>
      <c r="AE644" s="4"/>
      <c r="AF644" s="4"/>
      <c r="AG644" s="4"/>
      <c r="AH644" s="4"/>
      <c r="AI644" s="4"/>
    </row>
    <row r="645" spans="1:35" ht="14.5" x14ac:dyDescent="0.35">
      <c r="A645" s="4"/>
      <c r="B645" s="32" t="s">
        <v>897</v>
      </c>
      <c r="C645" s="32"/>
      <c r="D645" s="2189">
        <f>IF(SUM(D641:D644)=0,"",AVERAGE(D641:D644))</f>
        <v>2.5</v>
      </c>
      <c r="E645" s="2189"/>
      <c r="F645" s="2189"/>
      <c r="G645" s="2189">
        <f>IF(SUM(G641:G644)=0,"",AVERAGE(G641:G644))</f>
        <v>92.5</v>
      </c>
      <c r="H645" s="2189"/>
      <c r="I645" s="2189"/>
      <c r="J645" s="2189"/>
      <c r="K645" s="194"/>
      <c r="L645" s="6"/>
      <c r="M645" s="6"/>
      <c r="N645" s="4"/>
      <c r="O645" s="4"/>
      <c r="P645" s="4"/>
      <c r="Q645" s="4"/>
      <c r="R645" s="4"/>
      <c r="S645" s="4"/>
      <c r="T645" s="4"/>
      <c r="U645" s="4"/>
      <c r="V645" s="4"/>
      <c r="W645" s="4"/>
      <c r="X645" s="4"/>
      <c r="Y645" s="4"/>
      <c r="Z645" s="4"/>
      <c r="AA645" s="4"/>
      <c r="AB645" s="4"/>
      <c r="AC645" s="4"/>
      <c r="AD645" s="4"/>
      <c r="AE645" s="4"/>
      <c r="AF645" s="4"/>
      <c r="AG645" s="4"/>
      <c r="AH645" s="4"/>
      <c r="AI645" s="4"/>
    </row>
    <row r="646" spans="1:35" ht="14.5" x14ac:dyDescent="0.35">
      <c r="A646" s="4"/>
      <c r="B646" s="2" t="s">
        <v>581</v>
      </c>
      <c r="C646" s="2"/>
      <c r="D646" s="2139" t="s">
        <v>893</v>
      </c>
      <c r="E646" s="2139"/>
      <c r="F646" s="2139"/>
      <c r="G646" s="2139"/>
      <c r="H646" s="2139"/>
      <c r="I646" s="2139"/>
      <c r="J646" s="2139"/>
      <c r="K646" s="194" t="s">
        <v>896</v>
      </c>
      <c r="L646" s="6"/>
      <c r="M646" s="6"/>
      <c r="N646" s="4"/>
      <c r="O646" s="4"/>
      <c r="P646" s="4"/>
      <c r="Q646" s="4"/>
      <c r="R646" s="4"/>
      <c r="S646" s="4"/>
      <c r="T646" s="4"/>
      <c r="U646" s="4"/>
      <c r="V646" s="4"/>
      <c r="W646" s="4"/>
      <c r="X646" s="4"/>
      <c r="Y646" s="4"/>
      <c r="Z646" s="4"/>
      <c r="AA646" s="4"/>
      <c r="AB646" s="4"/>
      <c r="AC646" s="4"/>
      <c r="AD646" s="4"/>
      <c r="AE646" s="4"/>
      <c r="AF646" s="4"/>
      <c r="AG646" s="4"/>
      <c r="AH646" s="4"/>
      <c r="AI646" s="4"/>
    </row>
    <row r="647" spans="1:35" ht="14.5" x14ac:dyDescent="0.35">
      <c r="A647" s="4"/>
      <c r="B647" s="2" t="s">
        <v>894</v>
      </c>
      <c r="C647" s="2"/>
      <c r="D647" s="2139">
        <v>1</v>
      </c>
      <c r="E647" s="2139"/>
      <c r="F647" s="2139"/>
      <c r="G647" s="2139"/>
      <c r="H647" s="2139"/>
      <c r="I647" s="2139"/>
      <c r="J647" s="2139"/>
      <c r="K647" s="194" t="s">
        <v>895</v>
      </c>
      <c r="L647" s="6"/>
      <c r="M647" s="6"/>
      <c r="N647" s="4"/>
      <c r="O647" s="4"/>
      <c r="P647" s="4"/>
      <c r="Q647" s="4"/>
      <c r="R647" s="4"/>
      <c r="S647" s="4"/>
      <c r="T647" s="4"/>
      <c r="U647" s="4"/>
      <c r="V647" s="4"/>
      <c r="W647" s="4"/>
      <c r="X647" s="4"/>
      <c r="Y647" s="4"/>
      <c r="Z647" s="4"/>
      <c r="AA647" s="4"/>
      <c r="AB647" s="4"/>
      <c r="AC647" s="4"/>
      <c r="AD647" s="4"/>
      <c r="AE647" s="4"/>
      <c r="AF647" s="4"/>
      <c r="AG647" s="4"/>
      <c r="AH647" s="4"/>
      <c r="AI647" s="4"/>
    </row>
    <row r="648" spans="1:35" ht="14.5" x14ac:dyDescent="0.35">
      <c r="A648" s="4"/>
      <c r="B648" s="5"/>
      <c r="C648" s="4"/>
      <c r="D648" s="4"/>
      <c r="E648" s="4"/>
      <c r="F648" s="134"/>
      <c r="G648" s="4"/>
      <c r="H648" s="4"/>
      <c r="I648" s="4"/>
      <c r="J648" s="4"/>
      <c r="K648" s="4"/>
      <c r="L648" s="4"/>
      <c r="M648" s="4"/>
      <c r="N648" s="4"/>
      <c r="O648" s="4"/>
      <c r="P648" s="134"/>
      <c r="Q648" s="4"/>
      <c r="R648" s="4"/>
      <c r="S648" s="4"/>
      <c r="T648" s="4"/>
      <c r="U648" s="4"/>
      <c r="V648" s="4"/>
      <c r="W648" s="4"/>
      <c r="X648" s="4"/>
      <c r="Y648" s="4"/>
      <c r="Z648" s="4"/>
      <c r="AA648" s="4"/>
      <c r="AB648" s="4"/>
      <c r="AC648" s="4"/>
      <c r="AD648" s="4"/>
      <c r="AE648" s="4"/>
      <c r="AF648" s="4"/>
      <c r="AG648" s="4"/>
      <c r="AH648" s="4"/>
      <c r="AI648" s="4"/>
    </row>
    <row r="649" spans="1:35" ht="14.5" x14ac:dyDescent="0.35">
      <c r="A649" s="4"/>
      <c r="B649" s="5" t="s">
        <v>906</v>
      </c>
      <c r="C649" s="4"/>
      <c r="D649" s="4"/>
      <c r="E649" s="4"/>
      <c r="F649" s="134" t="s">
        <v>1653</v>
      </c>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spans="1:35" ht="14.5" x14ac:dyDescent="0.35">
      <c r="A650" s="4"/>
      <c r="B650" s="2" t="s">
        <v>907</v>
      </c>
      <c r="C650" s="2"/>
      <c r="D650" s="2"/>
      <c r="E650" s="3" t="s">
        <v>1382</v>
      </c>
      <c r="F650" s="1632" t="s">
        <v>1143</v>
      </c>
      <c r="G650" s="134" t="s">
        <v>1253</v>
      </c>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spans="1:35" ht="14.5" x14ac:dyDescent="0.35">
      <c r="A651" s="4"/>
      <c r="B651" s="4"/>
      <c r="C651" s="4"/>
      <c r="D651" s="4"/>
      <c r="E651" s="195"/>
      <c r="F651" s="1157"/>
      <c r="G651" s="13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spans="1:35" ht="14.5" x14ac:dyDescent="0.35">
      <c r="A652" s="4"/>
      <c r="B652" s="5"/>
      <c r="C652" s="4"/>
      <c r="D652" s="4"/>
      <c r="E652" s="4"/>
      <c r="F652" s="134"/>
      <c r="G652" s="4"/>
      <c r="H652" s="4"/>
      <c r="I652" s="4"/>
      <c r="J652" s="4"/>
      <c r="K652" s="4"/>
      <c r="L652" s="4"/>
      <c r="M652" s="4"/>
      <c r="N652" s="4"/>
      <c r="O652" s="4"/>
      <c r="P652" s="134"/>
      <c r="Q652" s="4"/>
      <c r="R652" s="4"/>
      <c r="S652" s="4"/>
      <c r="T652" s="4"/>
      <c r="U652" s="4"/>
      <c r="V652" s="4"/>
      <c r="W652" s="4"/>
      <c r="X652" s="4"/>
      <c r="Y652" s="4"/>
      <c r="Z652" s="4"/>
      <c r="AA652" s="4"/>
      <c r="AB652" s="4"/>
      <c r="AC652" s="4"/>
      <c r="AD652" s="4"/>
      <c r="AE652" s="4"/>
      <c r="AF652" s="4"/>
      <c r="AG652" s="4"/>
      <c r="AH652" s="4"/>
      <c r="AI652" s="4"/>
    </row>
    <row r="653" spans="1:35" x14ac:dyDescent="0.3">
      <c r="A653" s="13" t="s">
        <v>708</v>
      </c>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row>
    <row r="654" spans="1:35"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spans="1:35" ht="14.5" x14ac:dyDescent="0.35">
      <c r="A655" s="4"/>
      <c r="B655" s="5" t="s">
        <v>644</v>
      </c>
      <c r="C655" s="4"/>
      <c r="D655" s="4"/>
      <c r="E655" s="1471" t="s">
        <v>56</v>
      </c>
      <c r="F655" s="6" t="s">
        <v>645</v>
      </c>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spans="1:35" x14ac:dyDescent="0.3">
      <c r="A656" s="4"/>
      <c r="B656" s="5" t="s">
        <v>331</v>
      </c>
      <c r="C656" s="4"/>
      <c r="D656" s="4"/>
      <c r="E656" s="2139" t="s">
        <v>941</v>
      </c>
      <c r="F656" s="2139"/>
      <c r="G656" s="2139"/>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spans="1:35"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spans="1:35" x14ac:dyDescent="0.3">
      <c r="A658" s="4"/>
      <c r="B658" s="5" t="s">
        <v>330</v>
      </c>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spans="1:35" ht="14.5" x14ac:dyDescent="0.35">
      <c r="A659" s="4"/>
      <c r="B659" s="2" t="s">
        <v>1021</v>
      </c>
      <c r="C659" s="2"/>
      <c r="D659" s="2"/>
      <c r="E659" s="2"/>
      <c r="F659" s="2"/>
      <c r="G659" s="2"/>
      <c r="H659" s="2"/>
      <c r="I659" s="2"/>
      <c r="J659" s="2"/>
      <c r="K659" s="2"/>
      <c r="L659" s="1494" t="s">
        <v>1023</v>
      </c>
      <c r="M659" s="134" t="s">
        <v>1022</v>
      </c>
      <c r="N659" s="4"/>
      <c r="O659" s="4"/>
      <c r="P659" s="4"/>
      <c r="Q659" s="4"/>
      <c r="R659" s="4"/>
      <c r="S659" s="4"/>
      <c r="T659" s="26"/>
      <c r="U659" s="4"/>
      <c r="V659" s="4"/>
      <c r="W659" s="4"/>
      <c r="X659" s="4"/>
      <c r="Y659" s="4"/>
      <c r="Z659" s="4"/>
      <c r="AA659" s="4"/>
      <c r="AB659" s="4"/>
      <c r="AC659" s="4"/>
      <c r="AD659" s="4"/>
      <c r="AE659" s="4"/>
      <c r="AF659" s="4"/>
      <c r="AG659" s="4"/>
      <c r="AH659" s="4"/>
      <c r="AI659" s="4"/>
    </row>
    <row r="660" spans="1:35" ht="14.5" x14ac:dyDescent="0.35">
      <c r="A660" s="4"/>
      <c r="B660" s="2" t="s">
        <v>1034</v>
      </c>
      <c r="C660" s="2"/>
      <c r="D660" s="2"/>
      <c r="E660" s="2"/>
      <c r="F660" s="2"/>
      <c r="G660" s="2"/>
      <c r="H660" s="2"/>
      <c r="I660" s="2"/>
      <c r="J660" s="2"/>
      <c r="K660" s="2"/>
      <c r="L660" s="152" t="str">
        <f>F672</f>
        <v>C</v>
      </c>
      <c r="M660" s="134"/>
      <c r="N660" s="4"/>
      <c r="O660" s="4"/>
      <c r="P660" s="4"/>
      <c r="Q660" s="4"/>
      <c r="R660" s="4"/>
      <c r="S660" s="4"/>
      <c r="T660" s="4"/>
      <c r="U660" s="4"/>
      <c r="V660" s="4"/>
      <c r="W660" s="26"/>
      <c r="X660" s="4"/>
      <c r="Y660" s="4"/>
      <c r="Z660" s="4"/>
      <c r="AA660" s="4"/>
      <c r="AB660" s="4"/>
      <c r="AC660" s="4"/>
      <c r="AD660" s="4"/>
      <c r="AE660" s="4"/>
      <c r="AF660" s="4"/>
      <c r="AG660" s="4"/>
      <c r="AH660" s="4"/>
      <c r="AI660" s="4"/>
    </row>
    <row r="661" spans="1:35" ht="14.5" x14ac:dyDescent="0.35">
      <c r="A661" s="4"/>
      <c r="B661" s="2" t="s">
        <v>709</v>
      </c>
      <c r="C661" s="2"/>
      <c r="D661" s="2"/>
      <c r="E661" s="2"/>
      <c r="F661" s="2"/>
      <c r="G661" s="2"/>
      <c r="H661" s="2"/>
      <c r="I661" s="60"/>
      <c r="J661" s="2"/>
      <c r="K661" s="60" t="s">
        <v>710</v>
      </c>
      <c r="L661" s="876"/>
      <c r="M661" s="4"/>
      <c r="N661" s="4"/>
      <c r="O661" s="4"/>
      <c r="P661" s="27"/>
      <c r="Q661" s="4"/>
      <c r="R661" s="4"/>
      <c r="S661" s="4"/>
      <c r="T661" s="4"/>
      <c r="U661" s="4"/>
      <c r="V661" s="4"/>
      <c r="W661" s="4"/>
      <c r="X661" s="4"/>
      <c r="Y661" s="4"/>
      <c r="Z661" s="4"/>
      <c r="AA661" s="4"/>
      <c r="AB661" s="4"/>
      <c r="AC661" s="4"/>
      <c r="AD661" s="4"/>
      <c r="AE661" s="4"/>
      <c r="AF661" s="4"/>
      <c r="AG661" s="4"/>
      <c r="AH661" s="4"/>
      <c r="AI661" s="4"/>
    </row>
    <row r="662" spans="1:35"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spans="1:35" ht="14.5" x14ac:dyDescent="0.35">
      <c r="A663" s="4"/>
      <c r="B663" s="5" t="s">
        <v>335</v>
      </c>
      <c r="C663" s="4"/>
      <c r="D663" s="4"/>
      <c r="E663" s="4"/>
      <c r="F663" s="4"/>
      <c r="G663" s="134"/>
      <c r="H663" s="4"/>
      <c r="I663" s="4"/>
      <c r="J663" s="4"/>
      <c r="K663" s="4"/>
      <c r="L663" s="4"/>
      <c r="M663" s="4"/>
      <c r="N663" s="4"/>
      <c r="O663" s="4"/>
      <c r="P663" s="4"/>
      <c r="Q663" s="134"/>
      <c r="R663" s="4"/>
      <c r="S663" s="4"/>
      <c r="T663" s="4"/>
      <c r="U663" s="4"/>
      <c r="V663" s="4"/>
      <c r="W663" s="4"/>
      <c r="X663" s="4"/>
      <c r="Y663" s="4"/>
      <c r="Z663" s="4"/>
      <c r="AA663" s="4"/>
      <c r="AB663" s="4"/>
      <c r="AC663" s="4"/>
      <c r="AD663" s="4"/>
      <c r="AE663" s="4"/>
      <c r="AF663" s="4"/>
      <c r="AG663" s="4"/>
      <c r="AH663" s="4"/>
      <c r="AI663" s="4"/>
    </row>
    <row r="664" spans="1:35" x14ac:dyDescent="0.3">
      <c r="A664" s="4"/>
      <c r="B664" s="2" t="s">
        <v>183</v>
      </c>
      <c r="C664" s="2"/>
      <c r="D664" s="2" t="s">
        <v>336</v>
      </c>
      <c r="E664" s="18"/>
      <c r="F664" s="18" t="s">
        <v>1006</v>
      </c>
      <c r="G664" s="18" t="s">
        <v>432</v>
      </c>
      <c r="H664" s="18" t="s">
        <v>375</v>
      </c>
      <c r="I664" s="143" t="s">
        <v>711</v>
      </c>
      <c r="J664" s="143"/>
      <c r="K664" s="139" t="s">
        <v>713</v>
      </c>
      <c r="L664" s="143"/>
      <c r="M664" s="143"/>
      <c r="N664" s="143"/>
      <c r="O664" s="143"/>
      <c r="P664" s="143"/>
      <c r="Q664" s="144"/>
      <c r="R664" s="143" t="s">
        <v>716</v>
      </c>
      <c r="S664" s="143"/>
      <c r="T664" s="143"/>
      <c r="U664" s="143"/>
      <c r="V664" s="143"/>
      <c r="W664" s="139" t="s">
        <v>717</v>
      </c>
      <c r="X664" s="143"/>
      <c r="Y664" s="4"/>
      <c r="Z664" s="4"/>
      <c r="AA664" s="4"/>
      <c r="AB664" s="4"/>
      <c r="AC664" s="4"/>
      <c r="AD664" s="4"/>
      <c r="AE664" s="4"/>
      <c r="AF664" s="4"/>
      <c r="AG664" s="4"/>
      <c r="AH664" s="4"/>
      <c r="AI664" s="4"/>
    </row>
    <row r="665" spans="1:35" ht="16" x14ac:dyDescent="0.4">
      <c r="A665" s="4"/>
      <c r="B665" s="49" t="s">
        <v>337</v>
      </c>
      <c r="C665" s="49"/>
      <c r="D665" s="47" t="s">
        <v>338</v>
      </c>
      <c r="E665" s="49"/>
      <c r="F665" s="47" t="s">
        <v>432</v>
      </c>
      <c r="G665" s="49" t="s">
        <v>418</v>
      </c>
      <c r="H665" s="47" t="s">
        <v>371</v>
      </c>
      <c r="I665" s="372" t="s">
        <v>712</v>
      </c>
      <c r="J665" s="372"/>
      <c r="K665" s="373" t="s">
        <v>714</v>
      </c>
      <c r="L665" s="372"/>
      <c r="M665" s="372" t="s">
        <v>722</v>
      </c>
      <c r="N665" s="372"/>
      <c r="O665" s="372"/>
      <c r="P665" s="372" t="s">
        <v>715</v>
      </c>
      <c r="Q665" s="374"/>
      <c r="R665" s="372" t="s">
        <v>718</v>
      </c>
      <c r="S665" s="372" t="s">
        <v>721</v>
      </c>
      <c r="T665" s="372" t="s">
        <v>720</v>
      </c>
      <c r="U665" s="372" t="s">
        <v>719</v>
      </c>
      <c r="V665" s="372"/>
      <c r="W665" s="373" t="s">
        <v>723</v>
      </c>
      <c r="X665" s="372"/>
      <c r="Y665" s="4"/>
      <c r="Z665" s="4"/>
      <c r="AA665" s="4"/>
      <c r="AB665" s="4"/>
      <c r="AC665" s="4"/>
      <c r="AD665" s="4"/>
      <c r="AE665" s="4"/>
      <c r="AF665" s="4"/>
      <c r="AG665" s="4"/>
      <c r="AH665" s="4"/>
      <c r="AI665" s="4"/>
    </row>
    <row r="666" spans="1:35" ht="14.5" x14ac:dyDescent="0.35">
      <c r="A666" s="4"/>
      <c r="B666" s="2" t="str">
        <f>IF(D666="","",VLOOKUP(D666,B$38:Y$127,3,FALSE))</f>
        <v/>
      </c>
      <c r="C666" s="2"/>
      <c r="D666" s="1494"/>
      <c r="E666" s="2"/>
      <c r="F666" s="152" t="str">
        <f>IF(D666="","",VLOOKUP(D666,D$166:Z$216,3,FALSE))</f>
        <v/>
      </c>
      <c r="G666" s="152" t="str">
        <f>IF(D666="","",VLOOKUP(D666,D$166:Z$216,23,FALSE))</f>
        <v/>
      </c>
      <c r="H666" s="133" t="str">
        <f>IF(D666="","",VLOOKUP(D666,B$38:Y$127,9,FALSE))</f>
        <v/>
      </c>
      <c r="I666" s="135" t="str">
        <f>IF(H666="","",5.2*EXP(-0.0259*H666))</f>
        <v/>
      </c>
      <c r="J666" s="133"/>
      <c r="K666" s="1668">
        <v>13000</v>
      </c>
      <c r="L666" s="42"/>
      <c r="M666" s="133"/>
      <c r="N666" s="1314" t="str">
        <f>IF(OR(D666="",K666=""),"",K666*I666/1000)</f>
        <v/>
      </c>
      <c r="O666" s="133"/>
      <c r="P666" s="133" t="str">
        <f>IF(N666&lt;&gt;"",(N666/N$671)*100-100,"")</f>
        <v/>
      </c>
      <c r="Q666" s="376"/>
      <c r="R666" s="1673">
        <v>5</v>
      </c>
      <c r="S666" s="1674">
        <v>6</v>
      </c>
      <c r="T666" s="1675">
        <v>7</v>
      </c>
      <c r="U666" s="133">
        <f>IF(R666&lt;&gt;"",(R666/R$671)*100-100,"")</f>
        <v>-47.368421052631582</v>
      </c>
      <c r="V666" s="133"/>
      <c r="W666" s="1321" t="str">
        <f>IF(OR(D666="",R666=""),"",N666/R666)</f>
        <v/>
      </c>
      <c r="X666" s="133"/>
      <c r="Y666" s="134" t="s">
        <v>459</v>
      </c>
      <c r="Z666" s="4"/>
      <c r="AA666" s="4"/>
      <c r="AB666" s="4"/>
      <c r="AC666" s="4"/>
      <c r="AD666" s="4"/>
      <c r="AE666" s="4"/>
      <c r="AF666" s="4"/>
      <c r="AG666" s="4"/>
      <c r="AH666" s="4"/>
      <c r="AI666" s="4"/>
    </row>
    <row r="667" spans="1:35" ht="14.5" x14ac:dyDescent="0.35">
      <c r="A667" s="4"/>
      <c r="B667" s="2">
        <f>IF(D667="","",VLOOKUP(D667,B$38:Y$127,3,FALSE))</f>
        <v>3.5500000000000003</v>
      </c>
      <c r="C667" s="2"/>
      <c r="D667" s="1494" t="s">
        <v>354</v>
      </c>
      <c r="E667" s="2"/>
      <c r="F667" s="18">
        <f t="shared" ref="F667:F669" si="144">IF(D667="","",VLOOKUP(D667,D$166:Z$216,3,FALSE))</f>
        <v>0</v>
      </c>
      <c r="G667" s="152" t="str">
        <f>IF(D667="","",VLOOKUP(D667,D$166:Z$216,23,FALSE))</f>
        <v/>
      </c>
      <c r="H667" s="133">
        <f>IF(D667="","",VLOOKUP(D667,B$38:Y$127,9,FALSE))</f>
        <v>64</v>
      </c>
      <c r="I667" s="135">
        <f t="shared" ref="I667:I670" si="145">IF(H667="","",5.2*EXP(-0.0259*H667))</f>
        <v>0.99109848080032437</v>
      </c>
      <c r="J667" s="133"/>
      <c r="K667" s="1669">
        <v>12000</v>
      </c>
      <c r="L667" s="18"/>
      <c r="M667" s="133"/>
      <c r="N667" s="1314">
        <f t="shared" ref="N667:N670" si="146">IF(OR(D667="",K667=""),"",K667*I667/1000)</f>
        <v>11.893181769603892</v>
      </c>
      <c r="O667" s="133"/>
      <c r="P667" s="133">
        <f t="shared" ref="P667:P670" si="147">IF(N667&lt;&gt;"",(N667/N$671)*100-100,"")</f>
        <v>-25.541637254532489</v>
      </c>
      <c r="Q667" s="376"/>
      <c r="R667" s="1676">
        <v>8</v>
      </c>
      <c r="S667" s="1677">
        <v>9</v>
      </c>
      <c r="T667" s="1678">
        <v>10</v>
      </c>
      <c r="U667" s="133">
        <f t="shared" ref="U667:U670" si="148">IF(R667&lt;&gt;"",(R667/R$671)*100-100,"")</f>
        <v>-15.789473684210535</v>
      </c>
      <c r="V667" s="133"/>
      <c r="W667" s="1321">
        <f t="shared" ref="W667:W670" si="149">IF(OR(D667="",R667=""),"",N667/R667)</f>
        <v>1.4866477212004865</v>
      </c>
      <c r="X667" s="133"/>
      <c r="Y667" s="134" t="s">
        <v>1030</v>
      </c>
      <c r="Z667" s="4"/>
      <c r="AA667" s="4"/>
      <c r="AB667" s="4"/>
      <c r="AC667" s="4"/>
      <c r="AD667" s="4"/>
      <c r="AE667" s="4"/>
      <c r="AF667" s="4"/>
      <c r="AG667" s="4"/>
      <c r="AH667" s="4"/>
      <c r="AI667" s="4"/>
    </row>
    <row r="668" spans="1:35" ht="14.5" x14ac:dyDescent="0.35">
      <c r="A668" s="4"/>
      <c r="B668" s="2">
        <f>IF(D668="","",VLOOKUP(D668,B$38:Y$127,3,FALSE))</f>
        <v>3.5500000000000003</v>
      </c>
      <c r="C668" s="2"/>
      <c r="D668" s="1494" t="s">
        <v>355</v>
      </c>
      <c r="E668" s="2"/>
      <c r="F668" s="18">
        <f t="shared" si="144"/>
        <v>0</v>
      </c>
      <c r="G668" s="152" t="str">
        <f>IF(D668="","",VLOOKUP(D668,D$166:Z$216,23,FALSE))</f>
        <v/>
      </c>
      <c r="H668" s="133">
        <f>IF(D668="","",VLOOKUP(D668,B$38:Y$127,9,FALSE))</f>
        <v>63</v>
      </c>
      <c r="I668" s="135">
        <f t="shared" si="145"/>
        <v>1.0171032394055661</v>
      </c>
      <c r="J668" s="133"/>
      <c r="K668" s="1669">
        <v>19000</v>
      </c>
      <c r="L668" s="18"/>
      <c r="M668" s="133"/>
      <c r="N668" s="1314">
        <f t="shared" si="146"/>
        <v>19.324961548705755</v>
      </c>
      <c r="O668" s="133"/>
      <c r="P668" s="133">
        <f t="shared" si="147"/>
        <v>20.985706340858187</v>
      </c>
      <c r="Q668" s="376"/>
      <c r="R668" s="1676">
        <v>11</v>
      </c>
      <c r="S668" s="1677">
        <v>12</v>
      </c>
      <c r="T668" s="1678">
        <v>13</v>
      </c>
      <c r="U668" s="133">
        <f t="shared" si="148"/>
        <v>15.789473684210535</v>
      </c>
      <c r="V668" s="133"/>
      <c r="W668" s="1321">
        <f t="shared" si="149"/>
        <v>1.7568146862459777</v>
      </c>
      <c r="X668" s="133"/>
      <c r="Y668" s="134" t="s">
        <v>1031</v>
      </c>
      <c r="Z668" s="4"/>
      <c r="AA668" s="4"/>
      <c r="AB668" s="4"/>
      <c r="AC668" s="4"/>
      <c r="AD668" s="4"/>
      <c r="AE668" s="4"/>
      <c r="AF668" s="4"/>
      <c r="AG668" s="4"/>
      <c r="AH668" s="4"/>
      <c r="AI668" s="4"/>
    </row>
    <row r="669" spans="1:35" x14ac:dyDescent="0.3">
      <c r="A669" s="4"/>
      <c r="B669" s="2">
        <f>IF(D669="","",VLOOKUP(D669,B$38:Y$127,3,FALSE))</f>
        <v>3.5500000000000003</v>
      </c>
      <c r="C669" s="2"/>
      <c r="D669" s="1494" t="s">
        <v>356</v>
      </c>
      <c r="E669" s="2"/>
      <c r="F669" s="18" t="str">
        <f t="shared" si="144"/>
        <v>C</v>
      </c>
      <c r="G669" s="152" t="str">
        <f>IF(D669="","",VLOOKUP(D669,D$166:Z$216,23,FALSE))</f>
        <v/>
      </c>
      <c r="H669" s="133">
        <f>IF(D669="","",VLOOKUP(D669,B$38:Y$127,9,FALSE))</f>
        <v>62</v>
      </c>
      <c r="I669" s="135">
        <f t="shared" si="145"/>
        <v>1.0437903191758762</v>
      </c>
      <c r="J669" s="133"/>
      <c r="K669" s="1670">
        <v>16000</v>
      </c>
      <c r="L669" s="18"/>
      <c r="M669" s="133"/>
      <c r="N669" s="1314">
        <f t="shared" si="146"/>
        <v>16.700645106814019</v>
      </c>
      <c r="O669" s="133"/>
      <c r="P669" s="133">
        <f t="shared" si="147"/>
        <v>4.5559309136743025</v>
      </c>
      <c r="Q669" s="376"/>
      <c r="R669" s="1679">
        <v>14</v>
      </c>
      <c r="S669" s="1680">
        <v>15</v>
      </c>
      <c r="T669" s="1681">
        <v>16</v>
      </c>
      <c r="U669" s="133">
        <f t="shared" si="148"/>
        <v>47.368421052631561</v>
      </c>
      <c r="V669" s="133"/>
      <c r="W669" s="1321">
        <f t="shared" si="149"/>
        <v>1.1929032219152871</v>
      </c>
      <c r="X669" s="133"/>
      <c r="Y669" s="4"/>
      <c r="Z669" s="4"/>
      <c r="AA669" s="4"/>
      <c r="AB669" s="4"/>
      <c r="AC669" s="4"/>
      <c r="AD669" s="4"/>
      <c r="AE669" s="4"/>
      <c r="AF669" s="4"/>
      <c r="AG669" s="4"/>
      <c r="AH669" s="4"/>
      <c r="AI669" s="4"/>
    </row>
    <row r="670" spans="1:35" ht="14.5" x14ac:dyDescent="0.35">
      <c r="A670" s="4"/>
      <c r="B670" s="2" t="str">
        <f>IF(D670="","",VLOOKUP(D670,B$38:Y$127,3,FALSE))</f>
        <v/>
      </c>
      <c r="C670" s="2"/>
      <c r="D670" s="1661"/>
      <c r="E670" s="822" t="s">
        <v>725</v>
      </c>
      <c r="F670" s="825"/>
      <c r="G670" s="829" t="str">
        <f>IF(D670="","",VLOOKUP(D670,D$166:Z$216,23,FALSE))</f>
        <v/>
      </c>
      <c r="H670" s="823" t="str">
        <f>IF(D670="","",VLOOKUP(D670,B$38:Y$127,9,FALSE))</f>
        <v/>
      </c>
      <c r="I670" s="824" t="str">
        <f t="shared" si="145"/>
        <v/>
      </c>
      <c r="J670" s="823"/>
      <c r="K670" s="1671"/>
      <c r="L670" s="825"/>
      <c r="M670" s="823"/>
      <c r="N670" s="823" t="str">
        <f t="shared" si="146"/>
        <v/>
      </c>
      <c r="O670" s="823"/>
      <c r="P670" s="823" t="str">
        <f t="shared" si="147"/>
        <v/>
      </c>
      <c r="Q670" s="826"/>
      <c r="R670" s="1682"/>
      <c r="S670" s="1683"/>
      <c r="T670" s="1684"/>
      <c r="U670" s="823" t="str">
        <f t="shared" si="148"/>
        <v/>
      </c>
      <c r="V670" s="823"/>
      <c r="W670" s="827" t="str">
        <f t="shared" si="149"/>
        <v/>
      </c>
      <c r="X670" s="823"/>
      <c r="Y670" s="134" t="s">
        <v>724</v>
      </c>
      <c r="Z670" s="4"/>
      <c r="AA670" s="4"/>
      <c r="AB670" s="4"/>
      <c r="AC670" s="4"/>
      <c r="AD670" s="4"/>
      <c r="AE670" s="4"/>
      <c r="AF670" s="4"/>
      <c r="AG670" s="4"/>
      <c r="AH670" s="4"/>
      <c r="AI670" s="4"/>
    </row>
    <row r="671" spans="1:35" x14ac:dyDescent="0.3">
      <c r="A671" s="4"/>
      <c r="B671" s="32"/>
      <c r="C671" s="159" t="s">
        <v>458</v>
      </c>
      <c r="D671" s="57" t="str">
        <f>IF(D669="",D666&amp;" tot "&amp;D668,D666&amp;" tot "&amp;D669)</f>
        <v xml:space="preserve"> tot A4</v>
      </c>
      <c r="E671" s="299"/>
      <c r="F671" s="299">
        <f>IF(SUM(B666:B669)=0,"",AVERAGE(B666:B669))</f>
        <v>3.5500000000000003</v>
      </c>
      <c r="G671" s="161" t="str">
        <f>IF(SUM(G666:G669)&lt;&gt;0,AVERAGE(G666:G669),"")</f>
        <v/>
      </c>
      <c r="H671" s="131"/>
      <c r="I671" s="158"/>
      <c r="J671" s="131"/>
      <c r="K671" s="1672"/>
      <c r="L671" s="131"/>
      <c r="M671" s="131"/>
      <c r="N671" s="131">
        <f>IF(SUM(N666:N669)&lt;&gt;0,AVERAGE(N666:N669),"")</f>
        <v>15.972929475041221</v>
      </c>
      <c r="O671" s="131"/>
      <c r="P671" s="131"/>
      <c r="Q671" s="375"/>
      <c r="R671" s="131">
        <f>IF(SUM(R666:R669)&lt;&gt;0,AVERAGE(R666:R669),"")</f>
        <v>9.5</v>
      </c>
      <c r="S671" s="131"/>
      <c r="T671" s="131"/>
      <c r="U671" s="131"/>
      <c r="V671" s="131"/>
      <c r="W671" s="162">
        <f>IF(SUM(W666:W669)&lt;&gt;0,AVERAGE(W666:W669),"")</f>
        <v>1.4787885431205838</v>
      </c>
      <c r="X671" s="131"/>
      <c r="Y671" s="4"/>
      <c r="Z671" s="4"/>
      <c r="AA671" s="4"/>
      <c r="AB671" s="4"/>
      <c r="AC671" s="4"/>
      <c r="AD671" s="4"/>
      <c r="AE671" s="4"/>
      <c r="AF671" s="4"/>
      <c r="AG671" s="4"/>
      <c r="AH671" s="4"/>
      <c r="AI671" s="4"/>
    </row>
    <row r="672" spans="1:35" ht="14.5" x14ac:dyDescent="0.35">
      <c r="A672" s="4"/>
      <c r="B672" s="69">
        <f>IF(D672="","",VLOOKUP(D672,B$38:Y$127,3,FALSE))</f>
        <v>3.85</v>
      </c>
      <c r="C672" s="2"/>
      <c r="D672" s="1494" t="s">
        <v>358</v>
      </c>
      <c r="E672" s="2"/>
      <c r="F672" s="18" t="str">
        <f t="shared" ref="F672:F675" si="150">IF(D672="","",VLOOKUP(D672,D$166:Z$216,3,FALSE))</f>
        <v>C</v>
      </c>
      <c r="G672" s="152">
        <f>IF(D672="","",VLOOKUP(D672,D$166:Z$216,23,FALSE))</f>
        <v>2.6780387104261854</v>
      </c>
      <c r="H672" s="133">
        <f>IF(D672="","",VLOOKUP(D672,B$38:Y$127,9,FALSE))</f>
        <v>75</v>
      </c>
      <c r="I672" s="135">
        <f t="shared" ref="I672:I676" si="151">IF(H672="","",5.2*EXP(-0.0259*H672))</f>
        <v>0.74539472074135371</v>
      </c>
      <c r="J672" s="133"/>
      <c r="K672" s="1668">
        <v>17000</v>
      </c>
      <c r="L672" s="42"/>
      <c r="M672" s="133"/>
      <c r="N672" s="1314">
        <f t="shared" ref="N672:N676" si="152">IF(OR(D672="",K672=""),"",K672*I672/1000)</f>
        <v>12.671710252603013</v>
      </c>
      <c r="O672" s="133"/>
      <c r="P672" s="133">
        <f>IF(N672&lt;&gt;"",(N672/N$677)*100-100,"")</f>
        <v>5.6746237565369171</v>
      </c>
      <c r="Q672" s="376"/>
      <c r="R672" s="1673">
        <v>1</v>
      </c>
      <c r="S672" s="1674">
        <v>2</v>
      </c>
      <c r="T672" s="1675">
        <v>3</v>
      </c>
      <c r="U672" s="133">
        <f>IF(R672&lt;&gt;"",(R672/R$677)*100-100,"")</f>
        <v>-81.818181818181813</v>
      </c>
      <c r="V672" s="133"/>
      <c r="W672" s="1321">
        <f t="shared" ref="W672:W676" si="153">IF(OR(D672="",R672=""),"",N672/R672)</f>
        <v>12.671710252603013</v>
      </c>
      <c r="X672" s="133"/>
      <c r="Y672" s="134"/>
      <c r="Z672" s="4"/>
      <c r="AA672" s="4"/>
      <c r="AB672" s="4"/>
      <c r="AC672" s="4"/>
      <c r="AD672" s="4"/>
      <c r="AE672" s="4"/>
      <c r="AF672" s="4"/>
      <c r="AG672" s="4"/>
      <c r="AH672" s="4"/>
      <c r="AI672" s="4"/>
    </row>
    <row r="673" spans="1:35" ht="14.5" x14ac:dyDescent="0.35">
      <c r="A673" s="4"/>
      <c r="B673" s="2">
        <f>IF(D673="","",VLOOKUP(D673,B$38:Y$127,3,FALSE))</f>
        <v>3.85</v>
      </c>
      <c r="C673" s="2"/>
      <c r="D673" s="1494" t="s">
        <v>359</v>
      </c>
      <c r="E673" s="2"/>
      <c r="F673" s="18" t="str">
        <f t="shared" si="150"/>
        <v>C</v>
      </c>
      <c r="G673" s="152">
        <f>IF(D673="","",VLOOKUP(D673,D$166:Z$216,23,FALSE))</f>
        <v>2.67251739289294</v>
      </c>
      <c r="H673" s="133">
        <f>IF(D673="","",VLOOKUP(D673,B$38:Y$127,9,FALSE))</f>
        <v>74</v>
      </c>
      <c r="I673" s="135">
        <f t="shared" si="151"/>
        <v>0.76495262558532828</v>
      </c>
      <c r="J673" s="133"/>
      <c r="K673" s="1669">
        <v>16000</v>
      </c>
      <c r="L673" s="18"/>
      <c r="M673" s="133"/>
      <c r="N673" s="1314">
        <f t="shared" si="152"/>
        <v>12.239242009365253</v>
      </c>
      <c r="O673" s="133"/>
      <c r="P673" s="133">
        <f t="shared" ref="P673:P676" si="154">IF(N673&lt;&gt;"",(N673/N$677)*100-100,"")</f>
        <v>2.0680925164927402</v>
      </c>
      <c r="Q673" s="376"/>
      <c r="R673" s="1676">
        <v>4</v>
      </c>
      <c r="S673" s="1677">
        <v>5</v>
      </c>
      <c r="T673" s="1678">
        <v>6</v>
      </c>
      <c r="U673" s="133">
        <f t="shared" ref="U673:U676" si="155">IF(R673&lt;&gt;"",(R673/R$677)*100-100,"")</f>
        <v>-27.272727272727266</v>
      </c>
      <c r="V673" s="133"/>
      <c r="W673" s="1321">
        <f t="shared" si="153"/>
        <v>3.0598105023413131</v>
      </c>
      <c r="X673" s="133"/>
      <c r="Y673" s="134"/>
      <c r="Z673" s="4"/>
      <c r="AA673" s="4"/>
      <c r="AB673" s="4"/>
      <c r="AC673" s="4"/>
      <c r="AD673" s="4"/>
      <c r="AE673" s="4"/>
      <c r="AF673" s="4"/>
      <c r="AG673" s="4"/>
      <c r="AH673" s="4"/>
      <c r="AI673" s="4"/>
    </row>
    <row r="674" spans="1:35" x14ac:dyDescent="0.3">
      <c r="A674" s="4"/>
      <c r="B674" s="2">
        <f>IF(D674="","",VLOOKUP(D674,B$38:Y$127,3,FALSE))</f>
        <v>3.85</v>
      </c>
      <c r="C674" s="2"/>
      <c r="D674" s="1494" t="s">
        <v>360</v>
      </c>
      <c r="E674" s="2"/>
      <c r="F674" s="18" t="str">
        <f t="shared" si="150"/>
        <v>C</v>
      </c>
      <c r="G674" s="152">
        <f>IF(D674="","",VLOOKUP(D674,D$166:Z$216,23,FALSE))</f>
        <v>2.7017756740237067</v>
      </c>
      <c r="H674" s="133">
        <f>IF(D674="","",VLOOKUP(D674,B$38:Y$127,9,FALSE))</f>
        <v>73</v>
      </c>
      <c r="I674" s="135">
        <f t="shared" si="151"/>
        <v>0.78502369698554775</v>
      </c>
      <c r="J674" s="133"/>
      <c r="K674" s="1669">
        <v>15000</v>
      </c>
      <c r="L674" s="18"/>
      <c r="M674" s="133"/>
      <c r="N674" s="1314">
        <f t="shared" si="152"/>
        <v>11.775355454783215</v>
      </c>
      <c r="O674" s="133"/>
      <c r="P674" s="133">
        <f t="shared" si="154"/>
        <v>-1.8004489940033039</v>
      </c>
      <c r="Q674" s="376"/>
      <c r="R674" s="1676">
        <v>7</v>
      </c>
      <c r="S674" s="1677">
        <v>8</v>
      </c>
      <c r="T674" s="1678">
        <v>9</v>
      </c>
      <c r="U674" s="133">
        <f t="shared" si="155"/>
        <v>27.272727272727266</v>
      </c>
      <c r="V674" s="133"/>
      <c r="W674" s="1321">
        <f t="shared" si="153"/>
        <v>1.6821936363976022</v>
      </c>
      <c r="X674" s="133"/>
      <c r="Y674" s="4"/>
      <c r="Z674" s="4"/>
      <c r="AA674" s="4"/>
      <c r="AB674" s="4"/>
      <c r="AC674" s="4"/>
      <c r="AD674" s="4"/>
      <c r="AE674" s="4"/>
      <c r="AF674" s="4"/>
      <c r="AG674" s="4"/>
      <c r="AH674" s="4"/>
      <c r="AI674" s="4"/>
    </row>
    <row r="675" spans="1:35" x14ac:dyDescent="0.3">
      <c r="A675" s="4"/>
      <c r="B675" s="2">
        <f>IF(D675="","",VLOOKUP(D675,B$38:Y$127,3,FALSE))</f>
        <v>3.85</v>
      </c>
      <c r="C675" s="2"/>
      <c r="D675" s="1494" t="s">
        <v>361</v>
      </c>
      <c r="E675" s="2"/>
      <c r="F675" s="18" t="str">
        <f t="shared" si="150"/>
        <v>C</v>
      </c>
      <c r="G675" s="152" t="str">
        <f>IF(D675="","",VLOOKUP(D675,D$166:Z$216,23,FALSE))</f>
        <v/>
      </c>
      <c r="H675" s="133">
        <f>IF(D675="","",VLOOKUP(D675,B$38:Y$127,9,FALSE))</f>
        <v>72</v>
      </c>
      <c r="I675" s="135">
        <f t="shared" si="151"/>
        <v>0.80562139957007683</v>
      </c>
      <c r="J675" s="133"/>
      <c r="K675" s="1670">
        <v>14000</v>
      </c>
      <c r="L675" s="18"/>
      <c r="M675" s="133"/>
      <c r="N675" s="1314">
        <f t="shared" si="152"/>
        <v>11.278699593981075</v>
      </c>
      <c r="O675" s="133"/>
      <c r="P675" s="133">
        <f t="shared" si="154"/>
        <v>-5.9422672790263391</v>
      </c>
      <c r="Q675" s="376"/>
      <c r="R675" s="1679">
        <v>10</v>
      </c>
      <c r="S675" s="1680">
        <v>11</v>
      </c>
      <c r="T675" s="1681">
        <v>12</v>
      </c>
      <c r="U675" s="133">
        <f t="shared" si="155"/>
        <v>81.818181818181813</v>
      </c>
      <c r="V675" s="133"/>
      <c r="W675" s="1321">
        <f t="shared" si="153"/>
        <v>1.1278699593981076</v>
      </c>
      <c r="X675" s="133"/>
      <c r="Y675" s="4"/>
      <c r="Z675" s="4"/>
      <c r="AA675" s="4"/>
      <c r="AB675" s="4"/>
      <c r="AC675" s="4"/>
      <c r="AD675" s="4"/>
      <c r="AE675" s="4"/>
      <c r="AF675" s="4"/>
      <c r="AG675" s="4"/>
      <c r="AH675" s="4"/>
      <c r="AI675" s="4"/>
    </row>
    <row r="676" spans="1:35" x14ac:dyDescent="0.3">
      <c r="A676" s="4"/>
      <c r="B676" s="2" t="str">
        <f>IF(D676="","",VLOOKUP(D676,B$38:Y$127,3,FALSE))</f>
        <v/>
      </c>
      <c r="C676" s="2"/>
      <c r="D676" s="1661"/>
      <c r="E676" s="822" t="s">
        <v>725</v>
      </c>
      <c r="F676" s="825"/>
      <c r="G676" s="829" t="str">
        <f>IF(D676="","",VLOOKUP(D676,D$166:Z$216,23,FALSE))</f>
        <v/>
      </c>
      <c r="H676" s="823" t="str">
        <f>IF(D676="","",VLOOKUP(D676,B$38:Y$127,9,FALSE))</f>
        <v/>
      </c>
      <c r="I676" s="824" t="str">
        <f t="shared" si="151"/>
        <v/>
      </c>
      <c r="J676" s="823"/>
      <c r="K676" s="1671"/>
      <c r="L676" s="825"/>
      <c r="M676" s="823"/>
      <c r="N676" s="823" t="str">
        <f t="shared" si="152"/>
        <v/>
      </c>
      <c r="O676" s="823"/>
      <c r="P676" s="823" t="str">
        <f t="shared" si="154"/>
        <v/>
      </c>
      <c r="Q676" s="826"/>
      <c r="R676" s="1682"/>
      <c r="S676" s="1683"/>
      <c r="T676" s="1684"/>
      <c r="U676" s="823" t="str">
        <f t="shared" si="155"/>
        <v/>
      </c>
      <c r="V676" s="823"/>
      <c r="W676" s="827" t="str">
        <f t="shared" si="153"/>
        <v/>
      </c>
      <c r="X676" s="823"/>
      <c r="Y676" s="4"/>
      <c r="Z676" s="4"/>
      <c r="AA676" s="4"/>
      <c r="AB676" s="4"/>
      <c r="AC676" s="4"/>
      <c r="AD676" s="4"/>
      <c r="AE676" s="4"/>
      <c r="AF676" s="4"/>
      <c r="AG676" s="4"/>
      <c r="AH676" s="4"/>
      <c r="AI676" s="4"/>
    </row>
    <row r="677" spans="1:35" x14ac:dyDescent="0.3">
      <c r="A677" s="4"/>
      <c r="B677" s="32"/>
      <c r="C677" s="159" t="s">
        <v>458</v>
      </c>
      <c r="D677" s="57" t="str">
        <f>IF(D675="",D672&amp;" tot "&amp;D674,D672&amp;" tot "&amp;D675)</f>
        <v>B1 tot B4</v>
      </c>
      <c r="E677" s="299"/>
      <c r="F677" s="299">
        <f>IF(SUM(B672:B675)=0,"",AVERAGE(B672:B675))</f>
        <v>3.85</v>
      </c>
      <c r="G677" s="161">
        <f>IF(SUM(G672:G675)&lt;&gt;0,AVERAGE(G672:G675),"")</f>
        <v>2.684110592447611</v>
      </c>
      <c r="H677" s="131"/>
      <c r="I677" s="158"/>
      <c r="J677" s="131"/>
      <c r="K677" s="1672"/>
      <c r="L677" s="131"/>
      <c r="M677" s="131"/>
      <c r="N677" s="131">
        <f>IF(SUM(N672:N675)&lt;&gt;0,AVERAGE(N672:N675),"")</f>
        <v>11.991251827683138</v>
      </c>
      <c r="O677" s="131"/>
      <c r="P677" s="131"/>
      <c r="Q677" s="375"/>
      <c r="R677" s="131">
        <f>IF(SUM(R672:R675)&lt;&gt;0,AVERAGE(R672:R675),"")</f>
        <v>5.5</v>
      </c>
      <c r="S677" s="131"/>
      <c r="T677" s="131"/>
      <c r="U677" s="131"/>
      <c r="V677" s="131"/>
      <c r="W677" s="162">
        <f>IF(SUM(W672:W675)&lt;&gt;0,AVERAGE(W672:W675),"")</f>
        <v>4.6353960876850095</v>
      </c>
      <c r="X677" s="131"/>
      <c r="Y677" s="4"/>
      <c r="Z677" s="4"/>
      <c r="AA677" s="4"/>
      <c r="AB677" s="4"/>
      <c r="AC677" s="4"/>
      <c r="AD677" s="4"/>
      <c r="AE677" s="4"/>
      <c r="AF677" s="4"/>
      <c r="AG677" s="4"/>
      <c r="AH677" s="4"/>
      <c r="AI677" s="4"/>
    </row>
    <row r="678" spans="1:35" x14ac:dyDescent="0.3">
      <c r="A678" s="4"/>
      <c r="B678" s="69">
        <f>IF(D678="","",VLOOKUP(D678,B$38:Y$127,3,FALSE))</f>
        <v>4.1500000000000004</v>
      </c>
      <c r="C678" s="2"/>
      <c r="D678" s="1494" t="s">
        <v>364</v>
      </c>
      <c r="E678" s="2"/>
      <c r="F678" s="18" t="str">
        <f t="shared" ref="F678:F681" si="156">IF(D678="","",VLOOKUP(D678,D$166:Z$216,3,FALSE))</f>
        <v>C</v>
      </c>
      <c r="G678" s="152">
        <f>IF(D678="","",VLOOKUP(D678,D$166:Z$216,23,FALSE))</f>
        <v>2.1136997780986331</v>
      </c>
      <c r="H678" s="133">
        <f>IF(D678="","",VLOOKUP(D678,B$38:Y$127,9,FALSE))</f>
        <v>85</v>
      </c>
      <c r="I678" s="135">
        <f t="shared" ref="I678:I682" si="157">IF(H678="","",5.2*EXP(-0.0259*H678))</f>
        <v>0.57531280672340879</v>
      </c>
      <c r="J678" s="133"/>
      <c r="K678" s="1668">
        <v>20000</v>
      </c>
      <c r="L678" s="42"/>
      <c r="M678" s="133"/>
      <c r="N678" s="1314">
        <f t="shared" ref="N678:N682" si="158">IF(OR(D678="",K678=""),"",K678*I678/1000)</f>
        <v>11.506256134468176</v>
      </c>
      <c r="O678" s="133"/>
      <c r="P678" s="133">
        <f>IF(N678&lt;&gt;"",(N678/N$683)*100-100,"")</f>
        <v>-7.2938662212854553</v>
      </c>
      <c r="Q678" s="376"/>
      <c r="R678" s="1673">
        <v>20</v>
      </c>
      <c r="S678" s="1674">
        <v>21</v>
      </c>
      <c r="T678" s="1675">
        <v>22</v>
      </c>
      <c r="U678" s="133">
        <f>IF(R678&lt;&gt;"",(R678/R$683)*100-100,"")</f>
        <v>-18.367346938775512</v>
      </c>
      <c r="V678" s="133"/>
      <c r="W678" s="1321">
        <f t="shared" ref="W678:W682" si="159">IF(OR(D678="",R678=""),"",N678/R678)</f>
        <v>0.57531280672340879</v>
      </c>
      <c r="X678" s="133"/>
      <c r="Y678" s="4"/>
      <c r="Z678" s="4"/>
      <c r="AA678" s="4"/>
      <c r="AB678" s="4"/>
      <c r="AC678" s="4"/>
      <c r="AD678" s="4"/>
      <c r="AE678" s="4"/>
      <c r="AF678" s="4"/>
      <c r="AG678" s="4"/>
      <c r="AH678" s="4"/>
      <c r="AI678" s="4"/>
    </row>
    <row r="679" spans="1:35" x14ac:dyDescent="0.3">
      <c r="A679" s="4"/>
      <c r="B679" s="2">
        <f>IF(D679="","",VLOOKUP(D679,B$38:Y$127,3,FALSE))</f>
        <v>4.1500000000000004</v>
      </c>
      <c r="C679" s="2"/>
      <c r="D679" s="1494" t="s">
        <v>365</v>
      </c>
      <c r="E679" s="2"/>
      <c r="F679" s="18" t="str">
        <f t="shared" si="156"/>
        <v>C</v>
      </c>
      <c r="G679" s="152">
        <f>IF(D679="","",VLOOKUP(D679,D$166:Z$216,23,FALSE))</f>
        <v>2.1141069463050117</v>
      </c>
      <c r="H679" s="133">
        <f>IF(D679="","",VLOOKUP(D679,B$38:Y$127,9,FALSE))</f>
        <v>84</v>
      </c>
      <c r="I679" s="135">
        <f t="shared" si="157"/>
        <v>0.59040804796448643</v>
      </c>
      <c r="J679" s="133"/>
      <c r="K679" s="1669">
        <v>21000</v>
      </c>
      <c r="L679" s="18"/>
      <c r="M679" s="133"/>
      <c r="N679" s="1314">
        <f t="shared" si="158"/>
        <v>12.398569007254215</v>
      </c>
      <c r="O679" s="133"/>
      <c r="P679" s="133">
        <f t="shared" ref="P679:P682" si="160">IF(N679&lt;&gt;"",(N679/N$683)*100-100,"")</f>
        <v>-0.1044837157833598</v>
      </c>
      <c r="Q679" s="376"/>
      <c r="R679" s="1676">
        <v>23</v>
      </c>
      <c r="S679" s="1677">
        <v>24</v>
      </c>
      <c r="T679" s="1678">
        <v>25</v>
      </c>
      <c r="U679" s="133">
        <f t="shared" ref="U679:U682" si="161">IF(R679&lt;&gt;"",(R679/R$683)*100-100,"")</f>
        <v>-6.1224489795918373</v>
      </c>
      <c r="V679" s="133"/>
      <c r="W679" s="1321">
        <f t="shared" si="159"/>
        <v>0.53906821770670499</v>
      </c>
      <c r="X679" s="133"/>
      <c r="Y679" s="4"/>
      <c r="Z679" s="4"/>
      <c r="AA679" s="4"/>
      <c r="AB679" s="4"/>
      <c r="AC679" s="4"/>
      <c r="AD679" s="4"/>
      <c r="AE679" s="4"/>
      <c r="AF679" s="4"/>
      <c r="AG679" s="4"/>
      <c r="AH679" s="4"/>
      <c r="AI679" s="4"/>
    </row>
    <row r="680" spans="1:35" x14ac:dyDescent="0.3">
      <c r="A680" s="4"/>
      <c r="B680" s="2">
        <f>IF(D680="","",VLOOKUP(D680,B$38:Y$127,3,FALSE))</f>
        <v>4.1500000000000004</v>
      </c>
      <c r="C680" s="2"/>
      <c r="D680" s="1494" t="s">
        <v>366</v>
      </c>
      <c r="E680" s="2"/>
      <c r="F680" s="18" t="str">
        <f t="shared" si="156"/>
        <v>C</v>
      </c>
      <c r="G680" s="152">
        <f>IF(D680="","",VLOOKUP(D680,D$166:Z$216,23,FALSE))</f>
        <v>2.1296180395475877</v>
      </c>
      <c r="H680" s="133">
        <f>IF(D680="","",VLOOKUP(D680,B$38:Y$127,9,FALSE))</f>
        <v>83</v>
      </c>
      <c r="I680" s="135">
        <f t="shared" si="157"/>
        <v>0.60589936296832969</v>
      </c>
      <c r="J680" s="133"/>
      <c r="K680" s="1669">
        <v>22000</v>
      </c>
      <c r="L680" s="18"/>
      <c r="M680" s="133"/>
      <c r="N680" s="1314">
        <f t="shared" si="158"/>
        <v>13.329785985303253</v>
      </c>
      <c r="O680" s="133"/>
      <c r="P680" s="133">
        <f t="shared" si="160"/>
        <v>7.3983499370688008</v>
      </c>
      <c r="Q680" s="376"/>
      <c r="R680" s="1676">
        <v>26</v>
      </c>
      <c r="S680" s="1677">
        <v>27</v>
      </c>
      <c r="T680" s="1678">
        <v>28</v>
      </c>
      <c r="U680" s="133">
        <f t="shared" si="161"/>
        <v>6.1224489795918373</v>
      </c>
      <c r="V680" s="133"/>
      <c r="W680" s="1321">
        <f t="shared" si="159"/>
        <v>0.51268407635781743</v>
      </c>
      <c r="X680" s="133"/>
      <c r="Y680" s="4"/>
      <c r="Z680" s="4"/>
      <c r="AA680" s="4"/>
      <c r="AB680" s="4"/>
      <c r="AC680" s="4"/>
      <c r="AD680" s="4"/>
      <c r="AE680" s="4"/>
      <c r="AF680" s="4"/>
      <c r="AG680" s="4"/>
      <c r="AH680" s="4"/>
      <c r="AI680" s="4"/>
    </row>
    <row r="681" spans="1:35" x14ac:dyDescent="0.3">
      <c r="A681" s="4"/>
      <c r="B681" s="2" t="str">
        <f>IF(D681="","",VLOOKUP(D681,B$38:Y$127,3,FALSE))</f>
        <v/>
      </c>
      <c r="C681" s="2"/>
      <c r="D681" s="1494"/>
      <c r="E681" s="2"/>
      <c r="F681" s="18" t="str">
        <f t="shared" si="156"/>
        <v/>
      </c>
      <c r="G681" s="152" t="str">
        <f>IF(D681="","",VLOOKUP(D681,D$166:Z$216,23,FALSE))</f>
        <v/>
      </c>
      <c r="H681" s="133" t="str">
        <f>IF(D681="","",VLOOKUP(D681,B$38:Y$127,9,FALSE))</f>
        <v/>
      </c>
      <c r="I681" s="135" t="str">
        <f t="shared" si="157"/>
        <v/>
      </c>
      <c r="J681" s="133"/>
      <c r="K681" s="1670"/>
      <c r="L681" s="18"/>
      <c r="M681" s="133"/>
      <c r="N681" s="1314" t="str">
        <f t="shared" si="158"/>
        <v/>
      </c>
      <c r="O681" s="133"/>
      <c r="P681" s="133" t="str">
        <f t="shared" si="160"/>
        <v/>
      </c>
      <c r="Q681" s="376"/>
      <c r="R681" s="1679">
        <v>29</v>
      </c>
      <c r="S681" s="1680">
        <v>30</v>
      </c>
      <c r="T681" s="1681">
        <v>31</v>
      </c>
      <c r="U681" s="133">
        <f t="shared" si="161"/>
        <v>18.367346938775512</v>
      </c>
      <c r="V681" s="133"/>
      <c r="W681" s="1321" t="str">
        <f t="shared" si="159"/>
        <v/>
      </c>
      <c r="X681" s="133"/>
      <c r="Y681" s="4"/>
      <c r="Z681" s="4"/>
      <c r="AA681" s="4"/>
      <c r="AB681" s="4"/>
      <c r="AC681" s="4"/>
      <c r="AD681" s="4"/>
      <c r="AE681" s="4"/>
      <c r="AF681" s="4"/>
      <c r="AG681" s="4"/>
      <c r="AH681" s="4"/>
      <c r="AI681" s="4"/>
    </row>
    <row r="682" spans="1:35" x14ac:dyDescent="0.3">
      <c r="A682" s="4"/>
      <c r="B682" s="2" t="str">
        <f>IF(D682="","",VLOOKUP(D682,B$38:Y$127,3,FALSE))</f>
        <v/>
      </c>
      <c r="C682" s="2"/>
      <c r="D682" s="1661"/>
      <c r="E682" s="822" t="s">
        <v>725</v>
      </c>
      <c r="F682" s="825"/>
      <c r="G682" s="829" t="str">
        <f>IF(D682="","",VLOOKUP(D682,D$166:Z$216,23,FALSE))</f>
        <v/>
      </c>
      <c r="H682" s="823" t="str">
        <f>IF(D682="","",VLOOKUP(D682,B$38:Y$127,9,FALSE))</f>
        <v/>
      </c>
      <c r="I682" s="824" t="str">
        <f t="shared" si="157"/>
        <v/>
      </c>
      <c r="J682" s="823"/>
      <c r="K682" s="1671"/>
      <c r="L682" s="825"/>
      <c r="M682" s="823"/>
      <c r="N682" s="823" t="str">
        <f t="shared" si="158"/>
        <v/>
      </c>
      <c r="O682" s="823"/>
      <c r="P682" s="823" t="str">
        <f t="shared" si="160"/>
        <v/>
      </c>
      <c r="Q682" s="826"/>
      <c r="R682" s="1682"/>
      <c r="S682" s="1683"/>
      <c r="T682" s="1684"/>
      <c r="U682" s="823" t="str">
        <f t="shared" si="161"/>
        <v/>
      </c>
      <c r="V682" s="823"/>
      <c r="W682" s="827" t="str">
        <f t="shared" si="159"/>
        <v/>
      </c>
      <c r="X682" s="823"/>
      <c r="Y682" s="4"/>
      <c r="Z682" s="4"/>
      <c r="AA682" s="4"/>
      <c r="AB682" s="4"/>
      <c r="AC682" s="4"/>
      <c r="AD682" s="4"/>
      <c r="AE682" s="4"/>
      <c r="AF682" s="4"/>
      <c r="AG682" s="4"/>
      <c r="AH682" s="4"/>
      <c r="AI682" s="4"/>
    </row>
    <row r="683" spans="1:35" x14ac:dyDescent="0.3">
      <c r="A683" s="4"/>
      <c r="B683" s="32"/>
      <c r="C683" s="159" t="s">
        <v>458</v>
      </c>
      <c r="D683" s="57" t="str">
        <f>IF(D681="",D678&amp;" tot "&amp;D680,D678&amp;" tot "&amp;D681)</f>
        <v>C1 tot C3</v>
      </c>
      <c r="E683" s="299"/>
      <c r="F683" s="299">
        <f>IF(SUM(B678:B681)=0,"",AVERAGE(B678:B681))</f>
        <v>4.1500000000000004</v>
      </c>
      <c r="G683" s="161">
        <f>IF(SUM(G678:G681)&lt;&gt;0,AVERAGE(G678:G681),"")</f>
        <v>2.1191415879837443</v>
      </c>
      <c r="H683" s="131"/>
      <c r="I683" s="158"/>
      <c r="J683" s="131"/>
      <c r="K683" s="162"/>
      <c r="L683" s="131"/>
      <c r="M683" s="131"/>
      <c r="N683" s="131">
        <f>IF(SUM(N678:N681)&lt;&gt;0,AVERAGE(N678:N681),"")</f>
        <v>12.411537042341882</v>
      </c>
      <c r="O683" s="131"/>
      <c r="P683" s="131"/>
      <c r="Q683" s="375"/>
      <c r="R683" s="131">
        <f>IF(SUM(R678:R681)&lt;&gt;0,AVERAGE(R678:R681),"")</f>
        <v>24.5</v>
      </c>
      <c r="S683" s="131"/>
      <c r="T683" s="131"/>
      <c r="U683" s="131"/>
      <c r="V683" s="131"/>
      <c r="W683" s="162">
        <f>IF(SUM(W678:W681)&lt;&gt;0,AVERAGE(W678:W681),"")</f>
        <v>0.54235503359597714</v>
      </c>
      <c r="X683" s="131"/>
      <c r="Y683" s="4"/>
      <c r="Z683" s="4"/>
      <c r="AA683" s="4"/>
      <c r="AB683" s="4"/>
      <c r="AC683" s="4"/>
      <c r="AD683" s="4"/>
      <c r="AE683" s="4"/>
      <c r="AF683" s="4"/>
      <c r="AG683" s="4"/>
      <c r="AH683" s="4"/>
      <c r="AI683" s="4"/>
    </row>
    <row r="684" spans="1:35" x14ac:dyDescent="0.3">
      <c r="A684" s="4"/>
      <c r="B684" s="378" t="str">
        <f>IF(berekeningen!D93=0,"","De spreiding op de stabiliteit is te groot.")</f>
        <v>De spreiding op de stabiliteit is te groot.</v>
      </c>
      <c r="C684" s="3"/>
      <c r="D684" s="60"/>
      <c r="E684" s="67"/>
      <c r="F684" s="67"/>
      <c r="G684" s="67"/>
      <c r="H684" s="133"/>
      <c r="I684" s="133"/>
      <c r="J684" s="170"/>
      <c r="K684" s="133"/>
      <c r="L684" s="133"/>
      <c r="M684" s="133"/>
      <c r="N684" s="133"/>
      <c r="O684" s="133"/>
      <c r="P684" s="133"/>
      <c r="Q684" s="133"/>
      <c r="R684" s="133"/>
      <c r="S684" s="133"/>
      <c r="T684" s="133"/>
      <c r="U684" s="133"/>
      <c r="V684" s="133"/>
      <c r="W684" s="133"/>
      <c r="X684" s="133"/>
      <c r="Y684" s="4"/>
      <c r="Z684" s="4"/>
      <c r="AA684" s="4"/>
      <c r="AB684" s="4"/>
      <c r="AC684" s="4"/>
      <c r="AD684" s="4"/>
      <c r="AE684" s="4"/>
      <c r="AF684" s="4"/>
      <c r="AG684" s="4"/>
      <c r="AH684" s="4"/>
      <c r="AI684" s="4"/>
    </row>
    <row r="685" spans="1:35" x14ac:dyDescent="0.3">
      <c r="A685" s="4"/>
      <c r="B685" s="378" t="str">
        <f>IF(berekeningen!G93=0,"","De spreiding op de vloei is te groot.")</f>
        <v>De spreiding op de vloei is te groot.</v>
      </c>
      <c r="C685" s="3"/>
      <c r="D685" s="60"/>
      <c r="E685" s="67"/>
      <c r="F685" s="67"/>
      <c r="G685" s="67"/>
      <c r="H685" s="133"/>
      <c r="I685" s="133"/>
      <c r="J685" s="133"/>
      <c r="K685" s="133"/>
      <c r="L685" s="133"/>
      <c r="M685" s="133"/>
      <c r="N685" s="133"/>
      <c r="O685" s="133"/>
      <c r="P685" s="133"/>
      <c r="Q685" s="133"/>
      <c r="R685" s="133"/>
      <c r="S685" s="133"/>
      <c r="T685" s="133"/>
      <c r="U685" s="133"/>
      <c r="V685" s="133"/>
      <c r="W685" s="133"/>
      <c r="X685" s="133"/>
      <c r="Y685" s="4"/>
      <c r="Z685" s="4"/>
      <c r="AA685" s="4"/>
      <c r="AB685" s="4"/>
      <c r="AC685" s="4"/>
      <c r="AD685" s="4"/>
      <c r="AE685" s="4"/>
      <c r="AF685" s="4"/>
      <c r="AG685" s="4"/>
      <c r="AH685" s="4"/>
      <c r="AI685" s="4"/>
    </row>
    <row r="686" spans="1:35" ht="14.5" x14ac:dyDescent="0.35">
      <c r="A686" s="4"/>
      <c r="B686" s="5"/>
      <c r="C686" s="4"/>
      <c r="D686" s="4"/>
      <c r="E686" s="4"/>
      <c r="F686" s="134"/>
      <c r="G686" s="4"/>
      <c r="H686" s="4"/>
      <c r="I686" s="4"/>
      <c r="J686" s="4"/>
      <c r="K686" s="4"/>
      <c r="L686" s="4"/>
      <c r="M686" s="4"/>
      <c r="N686" s="4"/>
      <c r="O686" s="4"/>
      <c r="P686" s="134"/>
      <c r="Q686" s="4"/>
      <c r="R686" s="4"/>
      <c r="S686" s="4"/>
      <c r="T686" s="4"/>
      <c r="U686" s="4"/>
      <c r="V686" s="4"/>
      <c r="W686" s="4"/>
      <c r="X686" s="4"/>
      <c r="Y686" s="4"/>
      <c r="Z686" s="4"/>
      <c r="AA686" s="4"/>
      <c r="AB686" s="4"/>
      <c r="AC686" s="4"/>
      <c r="AD686" s="4"/>
      <c r="AE686" s="4"/>
      <c r="AF686" s="4"/>
      <c r="AG686" s="4"/>
      <c r="AH686" s="4"/>
      <c r="AI686" s="4"/>
    </row>
    <row r="687" spans="1:35" x14ac:dyDescent="0.3">
      <c r="A687" s="4"/>
      <c r="B687" s="5" t="s">
        <v>640</v>
      </c>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spans="1:35" x14ac:dyDescent="0.3">
      <c r="A688" s="4"/>
      <c r="B688" s="2" t="s">
        <v>713</v>
      </c>
      <c r="C688" s="2"/>
      <c r="D688" s="2" t="s">
        <v>642</v>
      </c>
      <c r="E688" s="2">
        <f>samenstelling!$C$158</f>
        <v>3.85</v>
      </c>
      <c r="F688" s="2" t="s">
        <v>643</v>
      </c>
      <c r="G688" s="2"/>
      <c r="H688" s="67">
        <f>IF(E$655="J",VLOOKUP(E688,F$671:X$683,9,FALSE),"")</f>
        <v>11.991251827683138</v>
      </c>
      <c r="I688" s="84" t="s">
        <v>1050</v>
      </c>
      <c r="J688" s="2"/>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spans="1:35" x14ac:dyDescent="0.3">
      <c r="A689" s="4"/>
      <c r="B689" s="2" t="s">
        <v>716</v>
      </c>
      <c r="C689" s="2"/>
      <c r="D689" s="2" t="s">
        <v>642</v>
      </c>
      <c r="E689" s="2">
        <f>samenstelling!$C$158</f>
        <v>3.85</v>
      </c>
      <c r="F689" s="2" t="s">
        <v>643</v>
      </c>
      <c r="G689" s="2"/>
      <c r="H689" s="67">
        <f>IF(E$655="J",VLOOKUP(E689,F$671:X$683,13,FALSE),"")</f>
        <v>5.5</v>
      </c>
      <c r="I689" s="84" t="s">
        <v>626</v>
      </c>
      <c r="J689" s="2"/>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spans="1:35" x14ac:dyDescent="0.3">
      <c r="A690" s="4"/>
      <c r="B690" s="2" t="s">
        <v>717</v>
      </c>
      <c r="C690" s="2"/>
      <c r="D690" s="2" t="s">
        <v>642</v>
      </c>
      <c r="E690" s="2">
        <f>samenstelling!$C$158</f>
        <v>3.85</v>
      </c>
      <c r="F690" s="2" t="s">
        <v>643</v>
      </c>
      <c r="G690" s="2"/>
      <c r="H690" s="67">
        <f>IF(E$655="J",VLOOKUP(E690,F$671:X$683,18,FALSE),"")</f>
        <v>4.6353960876850095</v>
      </c>
      <c r="I690" s="84" t="s">
        <v>1051</v>
      </c>
      <c r="J690" s="2"/>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spans="1:35"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spans="1:35" ht="14.5" x14ac:dyDescent="0.35">
      <c r="A692" s="4"/>
      <c r="B692" s="5" t="s">
        <v>906</v>
      </c>
      <c r="C692" s="4"/>
      <c r="D692" s="4"/>
      <c r="E692" s="4"/>
      <c r="F692" s="134" t="s">
        <v>1653</v>
      </c>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spans="1:35" ht="14.5" x14ac:dyDescent="0.35">
      <c r="A693" s="4"/>
      <c r="B693" s="2" t="s">
        <v>907</v>
      </c>
      <c r="C693" s="2"/>
      <c r="D693" s="2"/>
      <c r="E693" s="3" t="s">
        <v>1380</v>
      </c>
      <c r="F693" s="1632">
        <v>15</v>
      </c>
      <c r="G693" s="134" t="s">
        <v>1092</v>
      </c>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spans="1:35" ht="14.5" x14ac:dyDescent="0.35">
      <c r="A694" s="4"/>
      <c r="B694" s="2"/>
      <c r="C694" s="2"/>
      <c r="D694" s="2"/>
      <c r="E694" s="3" t="s">
        <v>1381</v>
      </c>
      <c r="F694" s="1632">
        <v>10</v>
      </c>
      <c r="G694" s="134" t="s">
        <v>1092</v>
      </c>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spans="1:35" ht="14.5" x14ac:dyDescent="0.35">
      <c r="A695" s="4"/>
      <c r="B695" s="2"/>
      <c r="C695" s="2"/>
      <c r="D695" s="2"/>
      <c r="E695" s="3" t="s">
        <v>1137</v>
      </c>
      <c r="F695" s="1632">
        <v>1</v>
      </c>
      <c r="G695" s="134" t="s">
        <v>1092</v>
      </c>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spans="1:35" ht="14.5" x14ac:dyDescent="0.35">
      <c r="A696" s="4"/>
      <c r="B696" s="2"/>
      <c r="C696" s="2"/>
      <c r="D696" s="2"/>
      <c r="E696" s="3" t="s">
        <v>1136</v>
      </c>
      <c r="F696" s="1632">
        <v>2.5</v>
      </c>
      <c r="G696" s="134" t="s">
        <v>1092</v>
      </c>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spans="1:35" ht="14.5" x14ac:dyDescent="0.35">
      <c r="A697" s="4"/>
      <c r="B697" s="2"/>
      <c r="C697" s="2"/>
      <c r="D697" s="2"/>
      <c r="E697" s="3" t="s">
        <v>1052</v>
      </c>
      <c r="F697" s="1632">
        <v>2.5</v>
      </c>
      <c r="G697" s="134" t="s">
        <v>1092</v>
      </c>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spans="1:35" ht="14.5" x14ac:dyDescent="0.35">
      <c r="A698" s="4"/>
      <c r="B698" s="4"/>
      <c r="C698" s="4"/>
      <c r="D698" s="4"/>
      <c r="E698" s="195"/>
      <c r="F698" s="1157"/>
      <c r="G698" s="13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spans="1:35" ht="14.5" x14ac:dyDescent="0.35">
      <c r="A699" s="4"/>
      <c r="B699" s="5"/>
      <c r="C699" s="4"/>
      <c r="D699" s="4"/>
      <c r="E699" s="4"/>
      <c r="F699" s="134"/>
      <c r="G699" s="4"/>
      <c r="H699" s="4"/>
      <c r="I699" s="4"/>
      <c r="J699" s="4"/>
      <c r="K699" s="4"/>
      <c r="L699" s="4"/>
      <c r="M699" s="4"/>
      <c r="N699" s="4"/>
      <c r="O699" s="4"/>
      <c r="P699" s="134"/>
      <c r="Q699" s="4"/>
      <c r="R699" s="4"/>
      <c r="S699" s="4"/>
      <c r="T699" s="4"/>
      <c r="U699" s="4"/>
      <c r="V699" s="4"/>
      <c r="W699" s="4"/>
      <c r="X699" s="4"/>
      <c r="Y699" s="4"/>
      <c r="Z699" s="4"/>
      <c r="AA699" s="4"/>
      <c r="AB699" s="4"/>
      <c r="AC699" s="4"/>
      <c r="AD699" s="4"/>
      <c r="AE699" s="4"/>
      <c r="AF699" s="4"/>
      <c r="AG699" s="4"/>
      <c r="AH699" s="4"/>
      <c r="AI699" s="4"/>
    </row>
    <row r="700" spans="1:35" x14ac:dyDescent="0.3">
      <c r="A700" s="13" t="s">
        <v>1257</v>
      </c>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row>
    <row r="701" spans="1:35"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spans="1:35" ht="14.5" x14ac:dyDescent="0.35">
      <c r="A702" s="4"/>
      <c r="B702" s="5" t="s">
        <v>644</v>
      </c>
      <c r="C702" s="4"/>
      <c r="D702" s="4"/>
      <c r="E702" s="1471" t="s">
        <v>56</v>
      </c>
      <c r="F702" s="6" t="s">
        <v>645</v>
      </c>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spans="1:35"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spans="1:35" x14ac:dyDescent="0.3">
      <c r="A704" s="4"/>
      <c r="B704" s="5" t="s">
        <v>330</v>
      </c>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spans="1:35" ht="14.5" x14ac:dyDescent="0.35">
      <c r="A705" s="4"/>
      <c r="B705" s="2" t="s">
        <v>1258</v>
      </c>
      <c r="C705" s="2"/>
      <c r="D705" s="2"/>
      <c r="E705" s="2"/>
      <c r="F705" s="2"/>
      <c r="G705" s="2"/>
      <c r="H705" s="2"/>
      <c r="I705" s="2139" t="s">
        <v>1259</v>
      </c>
      <c r="J705" s="2139"/>
      <c r="K705" s="2139"/>
      <c r="L705" s="194" t="s">
        <v>1405</v>
      </c>
      <c r="M705" s="6"/>
      <c r="N705" s="4"/>
      <c r="O705" s="4"/>
      <c r="P705" s="4"/>
      <c r="Q705" s="4"/>
      <c r="R705" s="4"/>
      <c r="S705" s="4"/>
      <c r="T705" s="4"/>
      <c r="U705" s="4"/>
      <c r="V705" s="4"/>
      <c r="W705" s="4"/>
      <c r="X705" s="4"/>
      <c r="Y705" s="4"/>
      <c r="Z705" s="4"/>
      <c r="AA705" s="4"/>
      <c r="AB705" s="4"/>
      <c r="AC705" s="4"/>
      <c r="AD705" s="4"/>
      <c r="AE705" s="4"/>
      <c r="AF705" s="4"/>
      <c r="AG705" s="4"/>
      <c r="AH705" s="4"/>
      <c r="AI705" s="4"/>
    </row>
    <row r="706" spans="1:35"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spans="1:35" ht="14.5" x14ac:dyDescent="0.35">
      <c r="A707" s="4"/>
      <c r="B707" s="5" t="s">
        <v>335</v>
      </c>
      <c r="C707" s="1338"/>
      <c r="D707" s="1338"/>
      <c r="E707" s="1338"/>
      <c r="F707" s="1339"/>
      <c r="G707" s="1338"/>
      <c r="H707" s="1338"/>
      <c r="I707" s="1338"/>
      <c r="J707" s="1338"/>
      <c r="K707" s="4"/>
      <c r="L707" s="4"/>
      <c r="M707" s="4"/>
      <c r="N707" s="4"/>
      <c r="O707" s="4"/>
      <c r="P707" s="134"/>
      <c r="Q707" s="4"/>
      <c r="R707" s="4"/>
      <c r="S707" s="4"/>
      <c r="T707" s="4"/>
      <c r="U707" s="4"/>
      <c r="V707" s="4"/>
      <c r="W707" s="4"/>
      <c r="X707" s="4"/>
      <c r="Y707" s="4"/>
      <c r="Z707" s="4"/>
      <c r="AA707" s="4"/>
      <c r="AB707" s="4"/>
      <c r="AC707" s="4"/>
      <c r="AD707" s="4"/>
      <c r="AE707" s="4"/>
      <c r="AF707" s="4"/>
      <c r="AG707" s="4"/>
      <c r="AH707" s="4"/>
      <c r="AI707" s="4"/>
    </row>
    <row r="708" spans="1:35" ht="15" customHeight="1" x14ac:dyDescent="0.35">
      <c r="A708" s="4"/>
      <c r="B708" s="301" t="s">
        <v>1446</v>
      </c>
      <c r="C708" s="1340"/>
      <c r="D708" s="2"/>
      <c r="E708" s="905">
        <f>berekeningen!G127</f>
        <v>0.56352961960663328</v>
      </c>
      <c r="F708" s="301" t="s">
        <v>626</v>
      </c>
      <c r="G708" s="1338"/>
      <c r="H708" s="1338"/>
      <c r="I708" s="1338"/>
      <c r="J708" s="1338"/>
      <c r="K708" s="194"/>
      <c r="L708" s="6"/>
      <c r="M708" s="6"/>
      <c r="N708" s="4"/>
      <c r="O708" s="4"/>
      <c r="P708" s="4"/>
      <c r="Q708" s="4"/>
      <c r="R708" s="4"/>
      <c r="S708" s="4"/>
      <c r="T708" s="4"/>
      <c r="U708" s="4"/>
      <c r="V708" s="4"/>
      <c r="W708" s="4"/>
      <c r="X708" s="4"/>
      <c r="Y708" s="4"/>
      <c r="Z708" s="4"/>
      <c r="AA708" s="4"/>
      <c r="AB708" s="4"/>
      <c r="AC708" s="4"/>
      <c r="AD708" s="4"/>
      <c r="AE708" s="4"/>
      <c r="AF708" s="4"/>
      <c r="AG708" s="4"/>
      <c r="AH708" s="4"/>
      <c r="AI708" s="4"/>
    </row>
    <row r="709" spans="1:35" ht="14.5" x14ac:dyDescent="0.35">
      <c r="A709" s="4"/>
      <c r="B709" s="5"/>
      <c r="C709" s="4"/>
      <c r="D709" s="4"/>
      <c r="E709" s="4"/>
      <c r="F709" s="134"/>
      <c r="G709" s="4"/>
      <c r="H709" s="4"/>
      <c r="I709" s="4"/>
      <c r="J709" s="4"/>
      <c r="K709" s="4"/>
      <c r="L709" s="4"/>
      <c r="M709" s="4"/>
      <c r="N709" s="4"/>
      <c r="O709" s="4"/>
      <c r="P709" s="134"/>
      <c r="Q709" s="4"/>
      <c r="R709" s="4"/>
      <c r="S709" s="4"/>
      <c r="T709" s="4"/>
      <c r="U709" s="4"/>
      <c r="V709" s="4"/>
      <c r="W709" s="4"/>
      <c r="X709" s="4"/>
      <c r="Y709" s="4"/>
      <c r="Z709" s="4"/>
      <c r="AA709" s="4"/>
      <c r="AB709" s="4"/>
      <c r="AC709" s="4"/>
      <c r="AD709" s="4"/>
      <c r="AE709" s="4"/>
      <c r="AF709" s="4"/>
      <c r="AG709" s="4"/>
      <c r="AH709" s="4"/>
      <c r="AI709" s="4"/>
    </row>
    <row r="710" spans="1:35" ht="14.5" x14ac:dyDescent="0.35">
      <c r="A710" s="4"/>
      <c r="B710" s="5"/>
      <c r="C710" s="4"/>
      <c r="D710" s="4"/>
      <c r="E710" s="4"/>
      <c r="F710" s="134"/>
      <c r="G710" s="4"/>
      <c r="H710" s="4"/>
      <c r="I710" s="4"/>
      <c r="J710" s="4"/>
      <c r="K710" s="4"/>
      <c r="L710" s="4"/>
      <c r="M710" s="4"/>
      <c r="N710" s="4"/>
      <c r="O710" s="4"/>
      <c r="P710" s="134"/>
      <c r="Q710" s="4"/>
      <c r="R710" s="4"/>
      <c r="S710" s="4"/>
      <c r="T710" s="4"/>
      <c r="U710" s="4"/>
      <c r="V710" s="4"/>
      <c r="W710" s="4"/>
      <c r="X710" s="4"/>
      <c r="Y710" s="4"/>
      <c r="Z710" s="4"/>
      <c r="AA710" s="4"/>
      <c r="AB710" s="4"/>
      <c r="AC710" s="4"/>
      <c r="AD710" s="4"/>
      <c r="AE710" s="4"/>
      <c r="AF710" s="4"/>
      <c r="AG710" s="4"/>
      <c r="AH710" s="4"/>
      <c r="AI710" s="4"/>
    </row>
    <row r="711" spans="1:35" x14ac:dyDescent="0.3">
      <c r="A711" s="13" t="s">
        <v>627</v>
      </c>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row>
    <row r="712" spans="1:35"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spans="1:35" x14ac:dyDescent="0.3">
      <c r="A713" s="4"/>
      <c r="B713" s="290" t="s">
        <v>628</v>
      </c>
      <c r="C713" s="290"/>
      <c r="D713" s="290"/>
      <c r="E713" s="1104" t="s">
        <v>629</v>
      </c>
      <c r="F713" s="1103" t="s">
        <v>630</v>
      </c>
      <c r="G713" s="2227" t="s">
        <v>1341</v>
      </c>
      <c r="H713" s="2228"/>
      <c r="I713" s="2229"/>
      <c r="J713" s="1392" t="s">
        <v>1342</v>
      </c>
      <c r="K713" s="1392"/>
      <c r="L713" s="49"/>
      <c r="M713" s="49"/>
      <c r="N713" s="49"/>
      <c r="O713" s="49"/>
      <c r="P713" s="4"/>
      <c r="Q713" s="4"/>
      <c r="R713" s="4"/>
      <c r="S713" s="4"/>
      <c r="T713" s="4"/>
      <c r="U713" s="4"/>
      <c r="V713" s="4"/>
      <c r="W713" s="4"/>
      <c r="X713" s="4"/>
      <c r="Y713" s="4"/>
      <c r="Z713" s="4"/>
      <c r="AA713" s="4"/>
      <c r="AB713" s="4"/>
      <c r="AC713" s="4"/>
      <c r="AD713" s="4"/>
      <c r="AE713" s="4"/>
      <c r="AF713" s="4"/>
      <c r="AG713" s="4"/>
      <c r="AH713" s="4"/>
      <c r="AI713" s="4"/>
    </row>
    <row r="714" spans="1:35" ht="14.5" x14ac:dyDescent="0.35">
      <c r="A714" s="4"/>
      <c r="B714" s="2190" t="s">
        <v>631</v>
      </c>
      <c r="C714" s="2190"/>
      <c r="D714" s="2191"/>
      <c r="E714" s="1685" t="s">
        <v>633</v>
      </c>
      <c r="F714" s="1686" t="s">
        <v>626</v>
      </c>
      <c r="G714" s="2230">
        <v>130</v>
      </c>
      <c r="H714" s="2231"/>
      <c r="I714" s="2232"/>
      <c r="J714" s="2225" t="s">
        <v>828</v>
      </c>
      <c r="K714" s="2226"/>
      <c r="L714" s="2226"/>
      <c r="M714" s="2226"/>
      <c r="N714" s="2226"/>
      <c r="O714" s="2226"/>
      <c r="P714" s="134" t="s">
        <v>1343</v>
      </c>
      <c r="Q714" s="4"/>
      <c r="R714" s="4"/>
      <c r="S714" s="4"/>
      <c r="T714" s="4"/>
      <c r="U714" s="4"/>
      <c r="V714" s="4"/>
      <c r="W714" s="4"/>
      <c r="X714" s="4"/>
      <c r="Y714" s="4"/>
      <c r="Z714" s="4"/>
      <c r="AA714" s="4"/>
      <c r="AB714" s="4"/>
      <c r="AC714" s="4"/>
      <c r="AD714" s="4"/>
      <c r="AE714" s="4"/>
      <c r="AF714" s="4"/>
      <c r="AG714" s="4"/>
      <c r="AH714" s="4"/>
      <c r="AI714" s="4"/>
    </row>
    <row r="715" spans="1:35" ht="14.5" x14ac:dyDescent="0.35">
      <c r="A715" s="4"/>
      <c r="B715" s="2192" t="s">
        <v>632</v>
      </c>
      <c r="C715" s="2192"/>
      <c r="D715" s="2193"/>
      <c r="E715" s="1687" t="s">
        <v>634</v>
      </c>
      <c r="F715" s="1688" t="s">
        <v>519</v>
      </c>
      <c r="G715" s="2218">
        <v>140</v>
      </c>
      <c r="H715" s="2139"/>
      <c r="I715" s="2202"/>
      <c r="J715" s="2187" t="s">
        <v>288</v>
      </c>
      <c r="K715" s="1960"/>
      <c r="L715" s="1960"/>
      <c r="M715" s="1960"/>
      <c r="N715" s="1960"/>
      <c r="O715" s="1960"/>
      <c r="P715" s="134" t="s">
        <v>1647</v>
      </c>
      <c r="Q715" s="4"/>
      <c r="R715" s="4"/>
      <c r="S715" s="4"/>
      <c r="T715" s="4"/>
      <c r="U715" s="4"/>
      <c r="V715" s="4"/>
      <c r="W715" s="4"/>
      <c r="X715" s="4"/>
      <c r="Y715" s="4"/>
      <c r="Z715" s="4"/>
      <c r="AA715" s="4"/>
      <c r="AB715" s="4"/>
      <c r="AC715" s="4"/>
      <c r="AD715" s="4"/>
      <c r="AE715" s="4"/>
      <c r="AF715" s="4"/>
      <c r="AG715" s="4"/>
      <c r="AH715" s="4"/>
      <c r="AI715" s="4"/>
    </row>
    <row r="716" spans="1:35" x14ac:dyDescent="0.3">
      <c r="A716" s="4"/>
      <c r="B716" s="2194" t="s">
        <v>635</v>
      </c>
      <c r="C716" s="2194"/>
      <c r="D716" s="2195"/>
      <c r="E716" s="1689" t="s">
        <v>639</v>
      </c>
      <c r="F716" s="1690" t="s">
        <v>638</v>
      </c>
      <c r="G716" s="2218">
        <v>150</v>
      </c>
      <c r="H716" s="2139"/>
      <c r="I716" s="2202"/>
      <c r="J716" s="2187" t="s">
        <v>428</v>
      </c>
      <c r="K716" s="1960"/>
      <c r="L716" s="1960"/>
      <c r="M716" s="1960"/>
      <c r="N716" s="1960"/>
      <c r="O716" s="1960"/>
      <c r="P716" s="4"/>
      <c r="Q716" s="4"/>
      <c r="R716" s="4"/>
      <c r="S716" s="4"/>
      <c r="T716" s="4"/>
      <c r="U716" s="4"/>
      <c r="V716" s="4"/>
      <c r="W716" s="4"/>
      <c r="X716" s="4"/>
      <c r="Y716" s="4"/>
      <c r="Z716" s="4"/>
      <c r="AA716" s="4"/>
      <c r="AB716" s="4"/>
      <c r="AC716" s="4"/>
      <c r="AD716" s="4"/>
      <c r="AE716" s="4"/>
      <c r="AF716" s="4"/>
      <c r="AG716" s="4"/>
      <c r="AH716" s="4"/>
      <c r="AI716" s="4"/>
    </row>
    <row r="717" spans="1:35" x14ac:dyDescent="0.3">
      <c r="A717" s="4"/>
      <c r="B717" s="1971" t="s">
        <v>636</v>
      </c>
      <c r="C717" s="1971"/>
      <c r="D717" s="2196"/>
      <c r="E717" s="1691" t="s">
        <v>637</v>
      </c>
      <c r="F717" s="1466" t="s">
        <v>57</v>
      </c>
      <c r="G717" s="2218">
        <v>160</v>
      </c>
      <c r="H717" s="2139"/>
      <c r="I717" s="2202"/>
      <c r="J717" s="2187" t="s">
        <v>915</v>
      </c>
      <c r="K717" s="1960"/>
      <c r="L717" s="1960"/>
      <c r="M717" s="1960"/>
      <c r="N717" s="1960"/>
      <c r="O717" s="1960"/>
      <c r="P717" s="4"/>
      <c r="Q717" s="4"/>
      <c r="R717" s="4"/>
      <c r="S717" s="4"/>
      <c r="T717" s="4"/>
      <c r="U717" s="4"/>
      <c r="V717" s="4"/>
      <c r="W717" s="4"/>
      <c r="X717" s="4"/>
      <c r="Y717" s="4"/>
      <c r="Z717" s="4"/>
      <c r="AA717" s="4"/>
      <c r="AB717" s="4"/>
      <c r="AC717" s="4"/>
      <c r="AD717" s="4"/>
      <c r="AE717" s="4"/>
      <c r="AF717" s="4"/>
      <c r="AG717" s="4"/>
      <c r="AH717" s="4"/>
      <c r="AI717" s="4"/>
    </row>
    <row r="718" spans="1:35"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spans="1:35"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spans="1:35" x14ac:dyDescent="0.3">
      <c r="A720" s="13" t="s">
        <v>1056</v>
      </c>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row>
    <row r="721" spans="1:35"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spans="1:35" ht="14.5" x14ac:dyDescent="0.35">
      <c r="A722" s="4"/>
      <c r="B722" s="4"/>
      <c r="C722" s="4"/>
      <c r="D722" s="4"/>
      <c r="E722" s="4"/>
      <c r="F722" s="4"/>
      <c r="G722" s="4"/>
      <c r="H722" s="4"/>
      <c r="I722" s="4"/>
      <c r="J722" s="4"/>
      <c r="K722" s="134" t="s">
        <v>1653</v>
      </c>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spans="1:35" x14ac:dyDescent="0.3">
      <c r="A723" s="4"/>
      <c r="B723" s="1106" t="s">
        <v>1057</v>
      </c>
      <c r="C723" s="290"/>
      <c r="D723" s="290"/>
      <c r="E723" s="290"/>
      <c r="F723" s="290"/>
      <c r="G723" s="290"/>
      <c r="H723" s="290"/>
      <c r="I723" s="1145" t="s">
        <v>1058</v>
      </c>
      <c r="J723" s="1146"/>
      <c r="K723" s="1383" t="s">
        <v>872</v>
      </c>
      <c r="L723" s="2185" t="s">
        <v>1301</v>
      </c>
      <c r="M723" s="2186"/>
      <c r="N723" s="2186"/>
      <c r="O723" s="2186"/>
      <c r="P723" s="2227" t="s">
        <v>1341</v>
      </c>
      <c r="Q723" s="2228"/>
      <c r="R723" s="2229"/>
      <c r="S723" s="1392" t="s">
        <v>1342</v>
      </c>
      <c r="T723" s="1392"/>
      <c r="U723" s="49"/>
      <c r="V723" s="49"/>
      <c r="W723" s="49"/>
      <c r="X723" s="49"/>
      <c r="Y723" s="4"/>
      <c r="Z723" s="4"/>
      <c r="AA723" s="4"/>
      <c r="AB723" s="4"/>
      <c r="AC723" s="4"/>
      <c r="AD723" s="4"/>
      <c r="AE723" s="4"/>
      <c r="AF723" s="4"/>
      <c r="AG723" s="4"/>
      <c r="AH723" s="4"/>
      <c r="AI723" s="4"/>
    </row>
    <row r="724" spans="1:35" ht="14.5" x14ac:dyDescent="0.35">
      <c r="A724" s="4"/>
      <c r="B724" s="1107" t="s">
        <v>1059</v>
      </c>
      <c r="C724" s="1108"/>
      <c r="D724" s="1108"/>
      <c r="E724" s="1108"/>
      <c r="F724" s="1108"/>
      <c r="G724" s="1108"/>
      <c r="H724" s="1108"/>
      <c r="I724" s="1147"/>
      <c r="J724" s="1148" t="s">
        <v>1374</v>
      </c>
      <c r="K724" s="1692">
        <v>40</v>
      </c>
      <c r="L724" s="60"/>
      <c r="M724" s="60"/>
      <c r="N724" s="60"/>
      <c r="O724" s="60"/>
      <c r="P724" s="2230">
        <v>130</v>
      </c>
      <c r="Q724" s="2231"/>
      <c r="R724" s="2232"/>
      <c r="S724" s="2225" t="s">
        <v>828</v>
      </c>
      <c r="T724" s="2226"/>
      <c r="U724" s="2226"/>
      <c r="V724" s="2226"/>
      <c r="W724" s="2226"/>
      <c r="X724" s="2226"/>
      <c r="Y724" s="134" t="s">
        <v>1146</v>
      </c>
      <c r="Z724" s="4"/>
      <c r="AA724" s="4"/>
      <c r="AB724" s="4"/>
      <c r="AC724" s="4"/>
      <c r="AD724" s="4"/>
      <c r="AE724" s="4"/>
      <c r="AF724" s="4"/>
      <c r="AG724" s="4"/>
      <c r="AH724" s="4"/>
      <c r="AI724" s="4"/>
    </row>
    <row r="725" spans="1:35" ht="15" customHeight="1" x14ac:dyDescent="0.3">
      <c r="A725" s="4"/>
      <c r="B725" s="1109" t="s">
        <v>1060</v>
      </c>
      <c r="C725" s="1110"/>
      <c r="D725" s="1110"/>
      <c r="E725" s="1110"/>
      <c r="F725" s="1110"/>
      <c r="G725" s="1110"/>
      <c r="H725" s="1110"/>
      <c r="I725" s="2179" t="s">
        <v>1061</v>
      </c>
      <c r="J725" s="2180"/>
      <c r="K725" s="1693" t="s">
        <v>1062</v>
      </c>
      <c r="L725" s="60"/>
      <c r="M725" s="60"/>
      <c r="N725" s="60"/>
      <c r="O725" s="60"/>
      <c r="P725" s="2218">
        <v>140</v>
      </c>
      <c r="Q725" s="2139"/>
      <c r="R725" s="2202"/>
      <c r="S725" s="2187" t="s">
        <v>288</v>
      </c>
      <c r="T725" s="1960"/>
      <c r="U725" s="1960"/>
      <c r="V725" s="1960"/>
      <c r="W725" s="1960"/>
      <c r="X725" s="1960"/>
      <c r="Y725" s="4"/>
      <c r="Z725" s="4"/>
      <c r="AA725" s="4"/>
      <c r="AB725" s="4"/>
      <c r="AC725" s="4"/>
      <c r="AD725" s="4"/>
      <c r="AE725" s="4"/>
      <c r="AF725" s="4"/>
      <c r="AG725" s="4"/>
      <c r="AH725" s="4"/>
      <c r="AI725" s="4"/>
    </row>
    <row r="726" spans="1:35" ht="14.5" x14ac:dyDescent="0.35">
      <c r="A726" s="4"/>
      <c r="B726" s="1111" t="s">
        <v>1063</v>
      </c>
      <c r="C726" s="1112"/>
      <c r="D726" s="1112"/>
      <c r="E726" s="1112"/>
      <c r="F726" s="1112"/>
      <c r="G726" s="1112"/>
      <c r="H726" s="1112"/>
      <c r="I726" s="1149"/>
      <c r="J726" s="1150" t="s">
        <v>1064</v>
      </c>
      <c r="K726" s="1693">
        <v>1.4</v>
      </c>
      <c r="L726" s="60"/>
      <c r="M726" s="60"/>
      <c r="N726" s="60"/>
      <c r="O726" s="60"/>
      <c r="P726" s="2218">
        <v>150</v>
      </c>
      <c r="Q726" s="2139"/>
      <c r="R726" s="2202"/>
      <c r="S726" s="2187" t="s">
        <v>428</v>
      </c>
      <c r="T726" s="1960"/>
      <c r="U726" s="1960"/>
      <c r="V726" s="1960"/>
      <c r="W726" s="1960"/>
      <c r="X726" s="1960"/>
      <c r="Y726" s="134" t="s">
        <v>1091</v>
      </c>
      <c r="Z726" s="4"/>
      <c r="AA726" s="4"/>
      <c r="AB726" s="4"/>
      <c r="AC726" s="4"/>
      <c r="AD726" s="4"/>
      <c r="AE726" s="4"/>
      <c r="AF726" s="4"/>
      <c r="AG726" s="4"/>
      <c r="AH726" s="4"/>
      <c r="AI726" s="4"/>
    </row>
    <row r="727" spans="1:35" ht="14.5" x14ac:dyDescent="0.35">
      <c r="A727" s="4"/>
      <c r="B727" s="60" t="s">
        <v>1076</v>
      </c>
      <c r="C727" s="2"/>
      <c r="D727" s="2"/>
      <c r="E727" s="2"/>
      <c r="F727" s="2"/>
      <c r="G727" s="2"/>
      <c r="H727" s="2"/>
      <c r="I727" s="153"/>
      <c r="J727" s="1151" t="s">
        <v>1069</v>
      </c>
      <c r="K727" s="1693">
        <v>13.5</v>
      </c>
      <c r="L727" s="60"/>
      <c r="M727" s="60"/>
      <c r="N727" s="60"/>
      <c r="O727" s="60"/>
      <c r="P727" s="2218">
        <v>160</v>
      </c>
      <c r="Q727" s="2139"/>
      <c r="R727" s="2202"/>
      <c r="S727" s="2187" t="s">
        <v>915</v>
      </c>
      <c r="T727" s="1960"/>
      <c r="U727" s="1960"/>
      <c r="V727" s="1960"/>
      <c r="W727" s="1960"/>
      <c r="X727" s="1960"/>
      <c r="Y727" s="134" t="s">
        <v>1085</v>
      </c>
      <c r="Z727" s="4"/>
      <c r="AA727" s="4"/>
      <c r="AB727" s="4"/>
      <c r="AC727" s="4"/>
      <c r="AD727" s="4"/>
      <c r="AE727" s="4"/>
      <c r="AF727" s="4"/>
      <c r="AG727" s="4"/>
      <c r="AH727" s="4"/>
      <c r="AI727" s="4"/>
    </row>
    <row r="728" spans="1:35" ht="14.5" x14ac:dyDescent="0.35">
      <c r="A728" s="4"/>
      <c r="B728" s="60" t="s">
        <v>1075</v>
      </c>
      <c r="C728" s="2"/>
      <c r="D728" s="2"/>
      <c r="E728" s="2"/>
      <c r="F728" s="2"/>
      <c r="G728" s="2"/>
      <c r="H728" s="3" t="s">
        <v>1077</v>
      </c>
      <c r="I728" s="1152"/>
      <c r="J728" s="1151" t="s">
        <v>1378</v>
      </c>
      <c r="K728" s="1693">
        <v>2.5</v>
      </c>
      <c r="L728" s="60"/>
      <c r="M728" s="60"/>
      <c r="N728" s="60"/>
      <c r="O728" s="60"/>
      <c r="P728" s="2218">
        <v>130</v>
      </c>
      <c r="Q728" s="2139"/>
      <c r="R728" s="2202"/>
      <c r="S728" s="2187" t="s">
        <v>828</v>
      </c>
      <c r="T728" s="1960"/>
      <c r="U728" s="1960"/>
      <c r="V728" s="1960"/>
      <c r="W728" s="1960"/>
      <c r="X728" s="1960"/>
      <c r="Y728" s="134" t="s">
        <v>1088</v>
      </c>
      <c r="Z728" s="4"/>
      <c r="AA728" s="4"/>
      <c r="AB728" s="4"/>
      <c r="AC728" s="4"/>
      <c r="AD728" s="4"/>
      <c r="AE728" s="4"/>
      <c r="AF728" s="4"/>
      <c r="AG728" s="4"/>
      <c r="AH728" s="4"/>
      <c r="AI728" s="4"/>
    </row>
    <row r="729" spans="1:35" ht="14.5" x14ac:dyDescent="0.35">
      <c r="A729" s="4"/>
      <c r="B729" s="60"/>
      <c r="C729" s="2"/>
      <c r="D729" s="2"/>
      <c r="E729" s="2"/>
      <c r="F729" s="2"/>
      <c r="G729" s="2"/>
      <c r="H729" s="3" t="s">
        <v>1078</v>
      </c>
      <c r="I729" s="1152"/>
      <c r="J729" s="1151" t="s">
        <v>1379</v>
      </c>
      <c r="K729" s="1693">
        <v>1</v>
      </c>
      <c r="L729" s="60"/>
      <c r="M729" s="60"/>
      <c r="N729" s="60"/>
      <c r="O729" s="60"/>
      <c r="P729" s="2218">
        <v>140</v>
      </c>
      <c r="Q729" s="2139"/>
      <c r="R729" s="2202"/>
      <c r="S729" s="2187" t="s">
        <v>288</v>
      </c>
      <c r="T729" s="1960"/>
      <c r="U729" s="1960"/>
      <c r="V729" s="1960"/>
      <c r="W729" s="1960"/>
      <c r="X729" s="1960"/>
      <c r="Y729" s="134" t="s">
        <v>1088</v>
      </c>
      <c r="Z729" s="4"/>
      <c r="AA729" s="4"/>
      <c r="AB729" s="4"/>
      <c r="AC729" s="4"/>
      <c r="AD729" s="4"/>
      <c r="AE729" s="4"/>
      <c r="AF729" s="4"/>
      <c r="AG729" s="4"/>
      <c r="AH729" s="4"/>
      <c r="AI729" s="4"/>
    </row>
    <row r="730" spans="1:35" ht="14.5" x14ac:dyDescent="0.35">
      <c r="A730" s="4"/>
      <c r="B730" s="60" t="s">
        <v>1299</v>
      </c>
      <c r="C730" s="2"/>
      <c r="D730" s="2"/>
      <c r="E730" s="2"/>
      <c r="F730" s="2"/>
      <c r="G730" s="2"/>
      <c r="H730" s="3"/>
      <c r="I730" s="1152"/>
      <c r="J730" s="1151" t="s">
        <v>1300</v>
      </c>
      <c r="K730" s="1693">
        <v>40</v>
      </c>
      <c r="L730" s="60"/>
      <c r="M730" s="60"/>
      <c r="N730" s="60"/>
      <c r="O730" s="60"/>
      <c r="P730" s="2218">
        <v>150</v>
      </c>
      <c r="Q730" s="2139"/>
      <c r="R730" s="2202"/>
      <c r="S730" s="2187" t="s">
        <v>428</v>
      </c>
      <c r="T730" s="1960"/>
      <c r="U730" s="1960"/>
      <c r="V730" s="1960"/>
      <c r="W730" s="1960"/>
      <c r="X730" s="1960"/>
      <c r="Y730" s="134" t="s">
        <v>1298</v>
      </c>
      <c r="Z730" s="4"/>
      <c r="AA730" s="4"/>
      <c r="AB730" s="4"/>
      <c r="AC730" s="4"/>
      <c r="AD730" s="4"/>
      <c r="AE730" s="4"/>
      <c r="AF730" s="4"/>
      <c r="AG730" s="4"/>
      <c r="AH730" s="4"/>
      <c r="AI730" s="4"/>
    </row>
    <row r="731" spans="1:35" ht="14.5" x14ac:dyDescent="0.35">
      <c r="A731" s="4"/>
      <c r="B731" s="60" t="s">
        <v>1138</v>
      </c>
      <c r="C731" s="2"/>
      <c r="D731" s="2"/>
      <c r="E731" s="2"/>
      <c r="F731" s="2"/>
      <c r="G731" s="2"/>
      <c r="H731" s="3"/>
      <c r="I731" s="1152"/>
      <c r="J731" s="1151" t="s">
        <v>1373</v>
      </c>
      <c r="K731" s="1693">
        <v>50</v>
      </c>
      <c r="L731" s="60"/>
      <c r="M731" s="60"/>
      <c r="N731" s="60"/>
      <c r="O731" s="60"/>
      <c r="P731" s="2218">
        <v>160</v>
      </c>
      <c r="Q731" s="2139"/>
      <c r="R731" s="2202"/>
      <c r="S731" s="2187" t="s">
        <v>915</v>
      </c>
      <c r="T731" s="1960"/>
      <c r="U731" s="1960"/>
      <c r="V731" s="1960"/>
      <c r="W731" s="1960"/>
      <c r="X731" s="1960"/>
      <c r="Y731" s="134" t="s">
        <v>1298</v>
      </c>
      <c r="Z731" s="4"/>
      <c r="AA731" s="4"/>
      <c r="AB731" s="4"/>
      <c r="AC731" s="4"/>
      <c r="AD731" s="4"/>
      <c r="AE731" s="4"/>
      <c r="AF731" s="4"/>
      <c r="AG731" s="4"/>
      <c r="AH731" s="4"/>
      <c r="AI731" s="4"/>
    </row>
    <row r="732" spans="1:35" ht="14.5" x14ac:dyDescent="0.35">
      <c r="A732" s="4"/>
      <c r="B732" s="60" t="s">
        <v>1139</v>
      </c>
      <c r="C732" s="2"/>
      <c r="D732" s="2"/>
      <c r="E732" s="2"/>
      <c r="F732" s="2"/>
      <c r="G732" s="2"/>
      <c r="H732" s="3"/>
      <c r="I732" s="1152"/>
      <c r="J732" s="1151" t="s">
        <v>1140</v>
      </c>
      <c r="K732" s="1693">
        <v>22.5</v>
      </c>
      <c r="L732" s="60"/>
      <c r="M732" s="60"/>
      <c r="N732" s="60"/>
      <c r="O732" s="60"/>
      <c r="P732" s="2218">
        <v>130</v>
      </c>
      <c r="Q732" s="2139"/>
      <c r="R732" s="2202"/>
      <c r="S732" s="2187" t="s">
        <v>828</v>
      </c>
      <c r="T732" s="1960"/>
      <c r="U732" s="1960"/>
      <c r="V732" s="1960"/>
      <c r="W732" s="1960"/>
      <c r="X732" s="1960"/>
      <c r="Y732" s="134" t="s">
        <v>1147</v>
      </c>
      <c r="Z732" s="4"/>
      <c r="AA732" s="4"/>
      <c r="AB732" s="4"/>
      <c r="AC732" s="4"/>
      <c r="AD732" s="4"/>
      <c r="AE732" s="4"/>
      <c r="AF732" s="4"/>
      <c r="AG732" s="4"/>
      <c r="AH732" s="4"/>
      <c r="AI732" s="4"/>
    </row>
    <row r="733" spans="1:35" ht="14.5" x14ac:dyDescent="0.35">
      <c r="A733" s="4"/>
      <c r="B733" s="60" t="s">
        <v>1141</v>
      </c>
      <c r="C733" s="2"/>
      <c r="D733" s="2"/>
      <c r="E733" s="2"/>
      <c r="F733" s="2"/>
      <c r="G733" s="2"/>
      <c r="H733" s="3"/>
      <c r="I733" s="1152"/>
      <c r="J733" s="1151" t="s">
        <v>1372</v>
      </c>
      <c r="K733" s="1693">
        <v>45</v>
      </c>
      <c r="L733" s="60"/>
      <c r="M733" s="60"/>
      <c r="N733" s="60"/>
      <c r="O733" s="60"/>
      <c r="P733" s="2218">
        <v>140</v>
      </c>
      <c r="Q733" s="2139"/>
      <c r="R733" s="2202"/>
      <c r="S733" s="2187" t="s">
        <v>288</v>
      </c>
      <c r="T733" s="1960"/>
      <c r="U733" s="1960"/>
      <c r="V733" s="1960"/>
      <c r="W733" s="1960"/>
      <c r="X733" s="1960"/>
      <c r="Y733" s="134" t="s">
        <v>1254</v>
      </c>
      <c r="Z733" s="4"/>
      <c r="AA733" s="4"/>
      <c r="AB733" s="4"/>
      <c r="AC733" s="4"/>
      <c r="AD733" s="4"/>
      <c r="AE733" s="4"/>
      <c r="AF733" s="4"/>
      <c r="AG733" s="4"/>
      <c r="AH733" s="4"/>
      <c r="AI733" s="4"/>
    </row>
    <row r="734" spans="1:35" ht="14.5" x14ac:dyDescent="0.35">
      <c r="A734" s="4"/>
      <c r="B734" s="60" t="s">
        <v>1093</v>
      </c>
      <c r="C734" s="2"/>
      <c r="D734" s="2"/>
      <c r="E734" s="2"/>
      <c r="F734" s="2"/>
      <c r="G734" s="2"/>
      <c r="H734" s="3"/>
      <c r="I734" s="1152"/>
      <c r="J734" s="1151" t="s">
        <v>1375</v>
      </c>
      <c r="K734" s="1693">
        <v>8</v>
      </c>
      <c r="L734" s="60"/>
      <c r="M734" s="60"/>
      <c r="N734" s="60"/>
      <c r="O734" s="60"/>
      <c r="P734" s="2218">
        <v>150</v>
      </c>
      <c r="Q734" s="2139"/>
      <c r="R734" s="2202"/>
      <c r="S734" s="2187" t="s">
        <v>428</v>
      </c>
      <c r="T734" s="1960"/>
      <c r="U734" s="1960"/>
      <c r="V734" s="1960"/>
      <c r="W734" s="1960"/>
      <c r="X734" s="1960"/>
      <c r="Y734" s="134" t="s">
        <v>1255</v>
      </c>
      <c r="Z734" s="4"/>
      <c r="AA734" s="4"/>
      <c r="AB734" s="4"/>
      <c r="AC734" s="4"/>
      <c r="AD734" s="4"/>
      <c r="AE734" s="4"/>
      <c r="AF734" s="4"/>
      <c r="AG734" s="4"/>
      <c r="AH734" s="4"/>
      <c r="AI734" s="4"/>
    </row>
    <row r="735" spans="1:35" ht="14.5" x14ac:dyDescent="0.35">
      <c r="A735" s="4"/>
      <c r="B735" s="60" t="s">
        <v>1094</v>
      </c>
      <c r="C735" s="2"/>
      <c r="D735" s="2"/>
      <c r="E735" s="2"/>
      <c r="F735" s="2"/>
      <c r="G735" s="2"/>
      <c r="H735" s="3"/>
      <c r="I735" s="1152"/>
      <c r="J735" s="1153" t="s">
        <v>1376</v>
      </c>
      <c r="K735" s="1693">
        <v>50</v>
      </c>
      <c r="L735" s="60"/>
      <c r="M735" s="60"/>
      <c r="N735" s="60"/>
      <c r="O735" s="60"/>
      <c r="P735" s="2218">
        <v>160</v>
      </c>
      <c r="Q735" s="2139"/>
      <c r="R735" s="2202"/>
      <c r="S735" s="2187" t="s">
        <v>915</v>
      </c>
      <c r="T735" s="1960"/>
      <c r="U735" s="1960"/>
      <c r="V735" s="1960"/>
      <c r="W735" s="1960"/>
      <c r="X735" s="1960"/>
      <c r="Y735" s="134" t="s">
        <v>1255</v>
      </c>
      <c r="Z735" s="4"/>
      <c r="AA735" s="4"/>
      <c r="AB735" s="4"/>
      <c r="AC735" s="4"/>
      <c r="AD735" s="4"/>
      <c r="AE735" s="4"/>
      <c r="AF735" s="4"/>
      <c r="AG735" s="4"/>
      <c r="AH735" s="4"/>
      <c r="AI735" s="4"/>
    </row>
    <row r="736" spans="1:35" ht="15" customHeight="1" x14ac:dyDescent="0.3">
      <c r="A736" s="4"/>
      <c r="B736" s="2188" t="s">
        <v>1100</v>
      </c>
      <c r="C736" s="2188"/>
      <c r="D736" s="2188"/>
      <c r="E736" s="2188"/>
      <c r="F736" s="2188"/>
      <c r="G736" s="2188"/>
      <c r="H736" s="2188"/>
      <c r="I736" s="2181" t="s">
        <v>828</v>
      </c>
      <c r="J736" s="2182"/>
      <c r="K736" s="1693">
        <v>1</v>
      </c>
      <c r="L736" s="2187">
        <v>6</v>
      </c>
      <c r="M736" s="1960"/>
      <c r="N736" s="1960"/>
      <c r="O736" s="1960"/>
      <c r="P736" s="2218">
        <v>130</v>
      </c>
      <c r="Q736" s="2139"/>
      <c r="R736" s="2202"/>
      <c r="S736" s="2187" t="s">
        <v>828</v>
      </c>
      <c r="T736" s="1960"/>
      <c r="U736" s="1960"/>
      <c r="V736" s="1960"/>
      <c r="W736" s="1960"/>
      <c r="X736" s="1960"/>
      <c r="Y736" s="4"/>
      <c r="Z736" s="4"/>
      <c r="AA736" s="4"/>
      <c r="AB736" s="4"/>
      <c r="AC736" s="4"/>
      <c r="AD736" s="4"/>
      <c r="AE736" s="4"/>
      <c r="AF736" s="4"/>
      <c r="AG736" s="4"/>
      <c r="AH736" s="4"/>
      <c r="AI736" s="4"/>
    </row>
    <row r="737" spans="1:35" ht="15" customHeight="1" x14ac:dyDescent="0.3">
      <c r="A737" s="4"/>
      <c r="B737" s="1960" t="s">
        <v>1101</v>
      </c>
      <c r="C737" s="1960"/>
      <c r="D737" s="1960"/>
      <c r="E737" s="1960"/>
      <c r="F737" s="1960"/>
      <c r="G737" s="1960"/>
      <c r="H737" s="1960"/>
      <c r="I737" s="2183" t="s">
        <v>288</v>
      </c>
      <c r="J737" s="2184"/>
      <c r="K737" s="1693">
        <v>2</v>
      </c>
      <c r="L737" s="2187">
        <v>7</v>
      </c>
      <c r="M737" s="1960"/>
      <c r="N737" s="1960"/>
      <c r="O737" s="1960"/>
      <c r="P737" s="2218">
        <v>140</v>
      </c>
      <c r="Q737" s="2139"/>
      <c r="R737" s="2202"/>
      <c r="S737" s="2187" t="s">
        <v>288</v>
      </c>
      <c r="T737" s="1960"/>
      <c r="U737" s="1960"/>
      <c r="V737" s="1960"/>
      <c r="W737" s="1960"/>
      <c r="X737" s="1960"/>
      <c r="Y737" s="4"/>
      <c r="Z737" s="4"/>
      <c r="AA737" s="4"/>
      <c r="AB737" s="4"/>
      <c r="AC737" s="4"/>
      <c r="AD737" s="4"/>
      <c r="AE737" s="4"/>
      <c r="AF737" s="4"/>
      <c r="AG737" s="4"/>
      <c r="AH737" s="4"/>
      <c r="AI737" s="4"/>
    </row>
    <row r="738" spans="1:35" ht="15" customHeight="1" x14ac:dyDescent="0.3">
      <c r="A738" s="4"/>
      <c r="B738" s="1960" t="s">
        <v>1102</v>
      </c>
      <c r="C738" s="1960"/>
      <c r="D738" s="1960"/>
      <c r="E738" s="1960"/>
      <c r="F738" s="1960"/>
      <c r="G738" s="1960"/>
      <c r="H738" s="1960"/>
      <c r="I738" s="2183" t="s">
        <v>428</v>
      </c>
      <c r="J738" s="2184"/>
      <c r="K738" s="1693">
        <v>3</v>
      </c>
      <c r="L738" s="2187">
        <v>8</v>
      </c>
      <c r="M738" s="1960"/>
      <c r="N738" s="1960"/>
      <c r="O738" s="1960"/>
      <c r="P738" s="2218">
        <v>150</v>
      </c>
      <c r="Q738" s="2139"/>
      <c r="R738" s="2202"/>
      <c r="S738" s="2187" t="s">
        <v>428</v>
      </c>
      <c r="T738" s="1960"/>
      <c r="U738" s="1960"/>
      <c r="V738" s="1960"/>
      <c r="W738" s="1960"/>
      <c r="X738" s="1960"/>
      <c r="Y738" s="4"/>
      <c r="Z738" s="4"/>
      <c r="AA738" s="4"/>
      <c r="AB738" s="4"/>
      <c r="AC738" s="4"/>
      <c r="AD738" s="4"/>
      <c r="AE738" s="4"/>
      <c r="AF738" s="4"/>
      <c r="AG738" s="4"/>
      <c r="AH738" s="4"/>
      <c r="AI738" s="4"/>
    </row>
    <row r="739" spans="1:35" ht="15" customHeight="1" x14ac:dyDescent="0.3">
      <c r="A739" s="4"/>
      <c r="B739" s="1960" t="s">
        <v>1103</v>
      </c>
      <c r="C739" s="1960"/>
      <c r="D739" s="1960"/>
      <c r="E739" s="1960"/>
      <c r="F739" s="1960"/>
      <c r="G739" s="1960"/>
      <c r="H739" s="1960"/>
      <c r="I739" s="2183" t="s">
        <v>915</v>
      </c>
      <c r="J739" s="2184"/>
      <c r="K739" s="1693">
        <v>4</v>
      </c>
      <c r="L739" s="2187">
        <v>9</v>
      </c>
      <c r="M739" s="1960"/>
      <c r="N739" s="1960"/>
      <c r="O739" s="1960"/>
      <c r="P739" s="2218">
        <v>160</v>
      </c>
      <c r="Q739" s="2139"/>
      <c r="R739" s="2202"/>
      <c r="S739" s="2187" t="s">
        <v>915</v>
      </c>
      <c r="T739" s="1960"/>
      <c r="U739" s="1960"/>
      <c r="V739" s="1960"/>
      <c r="W739" s="1960"/>
      <c r="X739" s="1960"/>
      <c r="Y739" s="4"/>
      <c r="Z739" s="4"/>
      <c r="AA739" s="4"/>
      <c r="AB739" s="4"/>
      <c r="AC739" s="4"/>
      <c r="AD739" s="4"/>
      <c r="AE739" s="4"/>
      <c r="AF739" s="4"/>
      <c r="AG739" s="4"/>
      <c r="AH739" s="4"/>
      <c r="AI739" s="4"/>
    </row>
    <row r="740" spans="1:35" ht="14.5" x14ac:dyDescent="0.35">
      <c r="A740" s="4"/>
      <c r="B740" s="134" t="s">
        <v>1447</v>
      </c>
      <c r="C740" s="4"/>
      <c r="D740" s="4"/>
      <c r="E740" s="4"/>
      <c r="F740" s="4"/>
      <c r="G740" s="4"/>
      <c r="H740" s="4"/>
      <c r="I740" s="4"/>
      <c r="J740" s="4"/>
      <c r="K740" s="4"/>
      <c r="L740" s="4"/>
      <c r="M740" s="4"/>
      <c r="N740" s="4"/>
      <c r="O740" s="4"/>
      <c r="P740" s="4"/>
      <c r="Q740" s="4"/>
      <c r="R740" s="4"/>
      <c r="S740" s="134" t="s">
        <v>1343</v>
      </c>
      <c r="T740" s="4"/>
      <c r="U740" s="4"/>
      <c r="V740" s="4"/>
      <c r="W740" s="4"/>
      <c r="X740" s="4"/>
      <c r="Y740" s="4"/>
      <c r="Z740" s="4"/>
      <c r="AA740" s="4"/>
      <c r="AB740" s="4"/>
      <c r="AC740" s="4"/>
      <c r="AD740" s="4"/>
      <c r="AE740" s="4"/>
      <c r="AF740" s="4"/>
      <c r="AG740" s="4"/>
      <c r="AH740" s="4"/>
      <c r="AI740" s="4"/>
    </row>
    <row r="741" spans="1:35" ht="14.5" x14ac:dyDescent="0.35">
      <c r="A741" s="4"/>
      <c r="B741" s="134" t="s">
        <v>1448</v>
      </c>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spans="1:35" ht="14.5" x14ac:dyDescent="0.35">
      <c r="A742" s="4"/>
      <c r="B742" s="134" t="s">
        <v>1397</v>
      </c>
      <c r="C742" s="4"/>
      <c r="D742" s="4"/>
      <c r="E742" s="4"/>
      <c r="F742" s="4"/>
      <c r="G742" s="4"/>
      <c r="H742" s="4"/>
      <c r="I742" s="4"/>
      <c r="J742" s="4"/>
      <c r="K742" s="4"/>
      <c r="L742" s="134" t="s">
        <v>1449</v>
      </c>
      <c r="M742" s="4"/>
      <c r="N742" s="4"/>
      <c r="O742" s="4"/>
      <c r="P742" s="4"/>
      <c r="Q742" s="4"/>
      <c r="R742" s="4"/>
      <c r="S742" s="4"/>
      <c r="T742" s="4"/>
      <c r="U742" s="4"/>
      <c r="V742" s="4"/>
      <c r="W742" s="4"/>
      <c r="X742" s="4"/>
      <c r="Y742" s="4"/>
      <c r="Z742" s="4"/>
      <c r="AA742" s="4"/>
      <c r="AB742" s="4"/>
      <c r="AC742" s="4"/>
      <c r="AD742" s="4"/>
      <c r="AE742" s="4"/>
      <c r="AF742" s="4"/>
      <c r="AG742" s="4"/>
      <c r="AH742" s="4"/>
      <c r="AI742" s="4"/>
    </row>
    <row r="743" spans="1:35"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spans="1:35"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sheetData>
  <sheetProtection algorithmName="SHA-512" hashValue="H6QhQwMOetIRjEGmWf9ra+7bok4+Gz/CQ0FkxVAl0d9uQBUP1WwmjbNxZp/a1RREPRLiBvjBOjRDyWMnouxZFg==" saltValue="0vs7rRTI4lpfTmTUkYFcvA==" spinCount="100000" sheet="1" objects="1" scenarios="1"/>
  <mergeCells count="160">
    <mergeCell ref="K606:L606"/>
    <mergeCell ref="K607:L607"/>
    <mergeCell ref="P733:R733"/>
    <mergeCell ref="S733:X733"/>
    <mergeCell ref="P734:R734"/>
    <mergeCell ref="S734:X734"/>
    <mergeCell ref="P735:R735"/>
    <mergeCell ref="S735:X735"/>
    <mergeCell ref="P730:R730"/>
    <mergeCell ref="S730:X730"/>
    <mergeCell ref="P731:R731"/>
    <mergeCell ref="S731:X731"/>
    <mergeCell ref="P732:R732"/>
    <mergeCell ref="S732:X732"/>
    <mergeCell ref="P727:R727"/>
    <mergeCell ref="S727:X727"/>
    <mergeCell ref="P728:R728"/>
    <mergeCell ref="S728:X728"/>
    <mergeCell ref="P729:R729"/>
    <mergeCell ref="S729:X729"/>
    <mergeCell ref="S724:X724"/>
    <mergeCell ref="P725:R725"/>
    <mergeCell ref="S725:X725"/>
    <mergeCell ref="P726:R726"/>
    <mergeCell ref="S726:X726"/>
    <mergeCell ref="J717:O717"/>
    <mergeCell ref="H27:I27"/>
    <mergeCell ref="H28:I28"/>
    <mergeCell ref="D29:I29"/>
    <mergeCell ref="P723:R723"/>
    <mergeCell ref="P724:R724"/>
    <mergeCell ref="M440:P440"/>
    <mergeCell ref="M443:P443"/>
    <mergeCell ref="M444:P444"/>
    <mergeCell ref="M442:P442"/>
    <mergeCell ref="M445:P445"/>
    <mergeCell ref="M434:P434"/>
    <mergeCell ref="M436:P436"/>
    <mergeCell ref="M437:P437"/>
    <mergeCell ref="M438:P438"/>
    <mergeCell ref="M439:P439"/>
    <mergeCell ref="G713:I713"/>
    <mergeCell ref="G714:I714"/>
    <mergeCell ref="G715:I715"/>
    <mergeCell ref="G716:I716"/>
    <mergeCell ref="G717:I717"/>
    <mergeCell ref="D646:J646"/>
    <mergeCell ref="D647:J647"/>
    <mergeCell ref="G641:J641"/>
    <mergeCell ref="H635:J635"/>
    <mergeCell ref="H636:J636"/>
    <mergeCell ref="P738:R738"/>
    <mergeCell ref="S738:X738"/>
    <mergeCell ref="P739:R739"/>
    <mergeCell ref="S739:X739"/>
    <mergeCell ref="M441:P441"/>
    <mergeCell ref="M448:P448"/>
    <mergeCell ref="M456:P456"/>
    <mergeCell ref="M455:P455"/>
    <mergeCell ref="M446:P446"/>
    <mergeCell ref="M447:P447"/>
    <mergeCell ref="M450:P450"/>
    <mergeCell ref="M449:P449"/>
    <mergeCell ref="M451:P451"/>
    <mergeCell ref="M452:P452"/>
    <mergeCell ref="M453:P453"/>
    <mergeCell ref="M454:P454"/>
    <mergeCell ref="P736:R736"/>
    <mergeCell ref="S736:X736"/>
    <mergeCell ref="P737:R737"/>
    <mergeCell ref="S737:X737"/>
    <mergeCell ref="J714:O714"/>
    <mergeCell ref="J715:O715"/>
    <mergeCell ref="F618:I618"/>
    <mergeCell ref="F619:I619"/>
    <mergeCell ref="H632:J632"/>
    <mergeCell ref="H633:J633"/>
    <mergeCell ref="H634:J634"/>
    <mergeCell ref="E628:G628"/>
    <mergeCell ref="I135:J135"/>
    <mergeCell ref="I564:J564"/>
    <mergeCell ref="I566:J566"/>
    <mergeCell ref="I567:J567"/>
    <mergeCell ref="H570:J570"/>
    <mergeCell ref="E615:G615"/>
    <mergeCell ref="G598:I598"/>
    <mergeCell ref="I602:J602"/>
    <mergeCell ref="I603:J603"/>
    <mergeCell ref="I604:J604"/>
    <mergeCell ref="I605:J605"/>
    <mergeCell ref="I606:J606"/>
    <mergeCell ref="I607:J607"/>
    <mergeCell ref="I608:J608"/>
    <mergeCell ref="I609:J609"/>
    <mergeCell ref="I568:J568"/>
    <mergeCell ref="E590:G590"/>
    <mergeCell ref="E468:G468"/>
    <mergeCell ref="E515:G515"/>
    <mergeCell ref="E538:G538"/>
    <mergeCell ref="E560:G560"/>
    <mergeCell ref="U14:V14"/>
    <mergeCell ref="U15:V15"/>
    <mergeCell ref="U16:V16"/>
    <mergeCell ref="U17:V17"/>
    <mergeCell ref="M150:N150"/>
    <mergeCell ref="U18:V18"/>
    <mergeCell ref="U19:V19"/>
    <mergeCell ref="M148:N148"/>
    <mergeCell ref="M149:N149"/>
    <mergeCell ref="M146:N146"/>
    <mergeCell ref="M147:N147"/>
    <mergeCell ref="H477:I477"/>
    <mergeCell ref="B716:D716"/>
    <mergeCell ref="G643:J643"/>
    <mergeCell ref="J716:O716"/>
    <mergeCell ref="G642:J642"/>
    <mergeCell ref="B717:D717"/>
    <mergeCell ref="E656:G656"/>
    <mergeCell ref="I7:J7"/>
    <mergeCell ref="I10:J10"/>
    <mergeCell ref="E4:G4"/>
    <mergeCell ref="D645:F645"/>
    <mergeCell ref="K427:L427"/>
    <mergeCell ref="J229:L229"/>
    <mergeCell ref="J230:L230"/>
    <mergeCell ref="E223:G223"/>
    <mergeCell ref="K228:L228"/>
    <mergeCell ref="E14:T14"/>
    <mergeCell ref="E276:G276"/>
    <mergeCell ref="E326:G326"/>
    <mergeCell ref="F36:J36"/>
    <mergeCell ref="K36:Q36"/>
    <mergeCell ref="M151:N151"/>
    <mergeCell ref="D355:F355"/>
    <mergeCell ref="D384:F384"/>
    <mergeCell ref="E422:G422"/>
    <mergeCell ref="I705:K705"/>
    <mergeCell ref="H9:J9"/>
    <mergeCell ref="B739:H739"/>
    <mergeCell ref="I725:J725"/>
    <mergeCell ref="I736:J736"/>
    <mergeCell ref="I737:J737"/>
    <mergeCell ref="I738:J738"/>
    <mergeCell ref="I739:J739"/>
    <mergeCell ref="L723:O723"/>
    <mergeCell ref="L736:O736"/>
    <mergeCell ref="L737:O737"/>
    <mergeCell ref="L738:O738"/>
    <mergeCell ref="L739:O739"/>
    <mergeCell ref="B736:H736"/>
    <mergeCell ref="B737:H737"/>
    <mergeCell ref="B738:H738"/>
    <mergeCell ref="G644:J644"/>
    <mergeCell ref="G645:J645"/>
    <mergeCell ref="D641:F641"/>
    <mergeCell ref="D642:F642"/>
    <mergeCell ref="D643:F643"/>
    <mergeCell ref="D644:F644"/>
    <mergeCell ref="B714:D714"/>
    <mergeCell ref="B715:D715"/>
  </mergeCells>
  <conditionalFormatting sqref="L292:L309">
    <cfRule type="cellIs" dxfId="8" priority="1" operator="notBetween">
      <formula>-17</formula>
      <formula>17</formula>
    </cfRule>
  </conditionalFormatting>
  <conditionalFormatting sqref="L310:L311">
    <cfRule type="expression" dxfId="7" priority="378">
      <formula>ABS(K310:K363)&gt;17</formula>
    </cfRule>
  </conditionalFormatting>
  <conditionalFormatting sqref="P666:P683 U666:U683">
    <cfRule type="cellIs" dxfId="6" priority="11" operator="notBetween">
      <formula>20</formula>
      <formula>-20</formula>
    </cfRule>
  </conditionalFormatting>
  <conditionalFormatting sqref="V297 V303 V309">
    <cfRule type="cellIs" dxfId="5" priority="17" operator="greaterThan">
      <formula>5</formula>
    </cfRule>
  </conditionalFormatting>
  <conditionalFormatting sqref="Y297 Y303 Y309">
    <cfRule type="cellIs" dxfId="4" priority="21" operator="greaterThan">
      <formula>$L$286</formula>
    </cfRule>
  </conditionalFormatting>
  <conditionalFormatting sqref="AH292:AH309">
    <cfRule type="cellIs" dxfId="3" priority="3" operator="notBetween">
      <formula>2.4</formula>
      <formula>-2.4</formula>
    </cfRule>
  </conditionalFormatting>
  <conditionalFormatting sqref="AR292:AR309">
    <cfRule type="cellIs" dxfId="2" priority="2" operator="notBetween">
      <formula>17</formula>
      <formula>-17</formula>
    </cfRule>
  </conditionalFormatting>
  <conditionalFormatting sqref="AR310:AR311">
    <cfRule type="expression" dxfId="1" priority="377">
      <formula>ABS(W313:W362)&gt;17</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22">
        <x14:dataValidation type="list" allowBlank="1" showInputMessage="1" showErrorMessage="1" xr:uid="{00000000-0002-0000-0300-000000000000}">
          <x14:formula1>
            <xm:f>berekeningen!$H$98:$H$105</xm:f>
          </x14:formula1>
          <xm:sqref>H27:I27</xm:sqref>
        </x14:dataValidation>
        <x14:dataValidation type="list" allowBlank="1" showInputMessage="1" showErrorMessage="1" xr:uid="{00000000-0002-0000-0300-000001000000}">
          <x14:formula1>
            <xm:f>berekeningen!B98:B105</xm:f>
          </x14:formula1>
          <xm:sqref>E560:G560</xm:sqref>
        </x14:dataValidation>
        <x14:dataValidation type="list" allowBlank="1" showInputMessage="1" showErrorMessage="1" xr:uid="{00000000-0002-0000-0300-000002000000}">
          <x14:formula1>
            <xm:f>berekeningen!B98:B105</xm:f>
          </x14:formula1>
          <xm:sqref>E615:G615</xm:sqref>
        </x14:dataValidation>
        <x14:dataValidation type="list" allowBlank="1" showInputMessage="1" showErrorMessage="1" xr:uid="{00000000-0002-0000-0300-000003000000}">
          <x14:formula1>
            <xm:f>berekeningen!B98:B105</xm:f>
          </x14:formula1>
          <xm:sqref>E656:G656</xm:sqref>
        </x14:dataValidation>
        <x14:dataValidation type="list" allowBlank="1" showInputMessage="1" showErrorMessage="1" xr:uid="{00000000-0002-0000-0300-000004000000}">
          <x14:formula1>
            <xm:f>berekeningen!B98:B105</xm:f>
          </x14:formula1>
          <xm:sqref>E628:G628</xm:sqref>
        </x14:dataValidation>
        <x14:dataValidation type="list" allowBlank="1" showInputMessage="1" showErrorMessage="1" xr:uid="{00000000-0002-0000-0300-000005000000}">
          <x14:formula1>
            <xm:f>berekeningen!B98:B105</xm:f>
          </x14:formula1>
          <xm:sqref>E538:G538</xm:sqref>
        </x14:dataValidation>
        <x14:dataValidation type="list" allowBlank="1" showInputMessage="1" showErrorMessage="1" xr:uid="{00000000-0002-0000-0300-000006000000}">
          <x14:formula1>
            <xm:f>berekeningen!B98:B105</xm:f>
          </x14:formula1>
          <xm:sqref>E515:G515</xm:sqref>
        </x14:dataValidation>
        <x14:dataValidation type="list" allowBlank="1" showInputMessage="1" showErrorMessage="1" xr:uid="{00000000-0002-0000-0300-000007000000}">
          <x14:formula1>
            <xm:f>berekeningen!I110:I117</xm:f>
          </x14:formula1>
          <xm:sqref>L734:O734</xm:sqref>
        </x14:dataValidation>
        <x14:dataValidation type="list" allowBlank="1" showInputMessage="1" showErrorMessage="1" xr:uid="{00000000-0002-0000-0300-000008000000}">
          <x14:formula1>
            <xm:f>berekeningen!B98:B105</xm:f>
          </x14:formula1>
          <xm:sqref>E590:G590</xm:sqref>
        </x14:dataValidation>
        <x14:dataValidation type="list" allowBlank="1" showInputMessage="1" showErrorMessage="1" xr:uid="{00000000-0002-0000-0300-000009000000}">
          <x14:formula1>
            <xm:f>berekeningen!D621:D628</xm:f>
          </x14:formula1>
          <xm:sqref>I568</xm:sqref>
        </x14:dataValidation>
        <x14:dataValidation type="list" allowBlank="1" showInputMessage="1" showErrorMessage="1" xr:uid="{00000000-0002-0000-0300-00000A000000}">
          <x14:formula1>
            <xm:f>berekeningen!I110:I117</xm:f>
          </x14:formula1>
          <xm:sqref>E344</xm:sqref>
        </x14:dataValidation>
        <x14:dataValidation type="list" allowBlank="1" showInputMessage="1" showErrorMessage="1" xr:uid="{00000000-0002-0000-0300-00000B000000}">
          <x14:formula1>
            <xm:f>berekeningen!B98:B105</xm:f>
          </x14:formula1>
          <xm:sqref>E326:G326</xm:sqref>
        </x14:dataValidation>
        <x14:dataValidation type="list" allowBlank="1" showInputMessage="1" showErrorMessage="1" xr:uid="{00000000-0002-0000-0300-00000C000000}">
          <x14:formula1>
            <xm:f>berekeningen!B98:B105</xm:f>
          </x14:formula1>
          <xm:sqref>D355:F355</xm:sqref>
        </x14:dataValidation>
        <x14:dataValidation type="list" allowBlank="1" showInputMessage="1" showErrorMessage="1" xr:uid="{00000000-0002-0000-0300-00000D000000}">
          <x14:formula1>
            <xm:f>berekeningen!B98:B105</xm:f>
          </x14:formula1>
          <xm:sqref>D384:F384</xm:sqref>
        </x14:dataValidation>
        <x14:dataValidation type="list" allowBlank="1" showInputMessage="1" showErrorMessage="1" xr:uid="{00000000-0002-0000-0300-00000E000000}">
          <x14:formula1>
            <xm:f>berekeningen!B98:B105</xm:f>
          </x14:formula1>
          <xm:sqref>E422:G422</xm:sqref>
        </x14:dataValidation>
        <x14:dataValidation type="list" allowBlank="1" showInputMessage="1" showErrorMessage="1" xr:uid="{00000000-0002-0000-0300-00000F000000}">
          <x14:formula1>
            <xm:f>berekeningen!B98:B105</xm:f>
          </x14:formula1>
          <xm:sqref>E468:G468</xm:sqref>
        </x14:dataValidation>
        <x14:dataValidation type="list" allowBlank="1" showInputMessage="1" showErrorMessage="1" xr:uid="{00000000-0002-0000-0300-000010000000}">
          <x14:formula1>
            <xm:f>berekeningen!B98:B105</xm:f>
          </x14:formula1>
          <xm:sqref>E276:G276</xm:sqref>
        </x14:dataValidation>
        <x14:dataValidation type="list" allowBlank="1" showInputMessage="1" showErrorMessage="1" xr:uid="{00000000-0002-0000-0300-000011000000}">
          <x14:formula1>
            <xm:f>berekeningen!G98:G105</xm:f>
          </x14:formula1>
          <xm:sqref>K228:L228</xm:sqref>
        </x14:dataValidation>
        <x14:dataValidation type="list" allowBlank="1" showInputMessage="1" showErrorMessage="1" xr:uid="{00000000-0002-0000-0300-000012000000}">
          <x14:formula1>
            <xm:f>berekeningen!B98:B105</xm:f>
          </x14:formula1>
          <xm:sqref>E223:G223</xm:sqref>
        </x14:dataValidation>
        <x14:dataValidation type="list" allowBlank="1" showInputMessage="1" showErrorMessage="1" xr:uid="{00000000-0002-0000-0300-000013000000}">
          <x14:formula1>
            <xm:f>berekeningen!B98:B105</xm:f>
          </x14:formula1>
          <xm:sqref>E4:G4</xm:sqref>
        </x14:dataValidation>
        <x14:dataValidation type="list" allowBlank="1" showInputMessage="1" showErrorMessage="1" xr:uid="{00000000-0002-0000-0300-000014000000}">
          <x14:formula1>
            <xm:f>berekeningen!D98:D105</xm:f>
          </x14:formula1>
          <xm:sqref>I7</xm:sqref>
        </x14:dataValidation>
        <x14:dataValidation type="list" allowBlank="1" showInputMessage="1" showErrorMessage="1" xr:uid="{00000000-0002-0000-0300-000015000000}">
          <x14:formula1>
            <xm:f>berekeningen!F98:F105</xm:f>
          </x14:formula1>
          <xm:sqref>I10:J10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3"/>
  <sheetViews>
    <sheetView topLeftCell="A18" workbookViewId="0">
      <selection activeCell="C29" sqref="C29"/>
    </sheetView>
  </sheetViews>
  <sheetFormatPr defaultRowHeight="14.5" x14ac:dyDescent="0.35"/>
  <cols>
    <col min="1" max="26" width="4.7265625" customWidth="1"/>
  </cols>
  <sheetData>
    <row r="1" spans="1:20" s="206" customFormat="1" ht="19" thickTop="1" x14ac:dyDescent="0.35">
      <c r="A1" s="211" t="s">
        <v>595</v>
      </c>
      <c r="B1" s="212"/>
      <c r="C1" s="212"/>
      <c r="D1" s="212"/>
      <c r="E1" s="212"/>
      <c r="F1" s="212"/>
      <c r="G1" s="212"/>
      <c r="H1" s="212"/>
      <c r="I1" s="212"/>
      <c r="J1" s="212"/>
      <c r="K1" s="212"/>
      <c r="L1" s="212"/>
      <c r="M1" s="212"/>
      <c r="N1" s="212"/>
      <c r="O1" s="212"/>
      <c r="P1" s="212"/>
      <c r="Q1" s="212"/>
      <c r="R1" s="212"/>
      <c r="S1" s="212"/>
      <c r="T1" s="213"/>
    </row>
    <row r="2" spans="1:20" s="206" customFormat="1" ht="18.5" x14ac:dyDescent="0.35">
      <c r="A2" s="214" t="str">
        <f>algemeen!E4</f>
        <v>ASFALT PRODUCTIE BEDRIJF nv</v>
      </c>
      <c r="B2" s="215"/>
      <c r="C2" s="215"/>
      <c r="D2" s="215"/>
      <c r="E2" s="215"/>
      <c r="F2" s="215"/>
      <c r="G2" s="216"/>
      <c r="H2" s="215"/>
      <c r="I2" s="217" t="str">
        <f>IF(algemeen!$E$62="N","",berekeningen!D5&amp;"/")</f>
        <v>801/64/</v>
      </c>
      <c r="J2" s="218" t="str">
        <f>IF(algemeen!$E$62="N","",algemeen!J66)</f>
        <v>2010/13RE-1234/0</v>
      </c>
      <c r="K2" s="215"/>
      <c r="L2" s="215"/>
      <c r="M2" s="215"/>
      <c r="N2" s="215"/>
      <c r="O2" s="219" t="str">
        <f>IF(algemeen!$E$62="N","","vanuit")</f>
        <v>vanuit</v>
      </c>
      <c r="P2" s="215"/>
      <c r="Q2" s="220" t="str">
        <f>IF(algemeen!$E$62="N","",algemeen!E24)</f>
        <v>Gaurain-Ramecroix</v>
      </c>
      <c r="R2" s="215"/>
      <c r="S2" s="215"/>
      <c r="T2" s="221"/>
    </row>
    <row r="3" spans="1:20" s="206" customFormat="1" ht="18.5" x14ac:dyDescent="0.35">
      <c r="A3" s="222" t="str">
        <f>algemeen!E5</f>
        <v>Dendermondsesteenweg 123</v>
      </c>
      <c r="B3" s="223"/>
      <c r="C3" s="223"/>
      <c r="D3" s="223"/>
      <c r="E3" s="223"/>
      <c r="F3" s="223"/>
      <c r="G3" s="224"/>
      <c r="H3" s="223"/>
      <c r="I3" s="225" t="str">
        <f>IF(algemeen!$F$62="N","",berekeningen!G5&amp;"/")</f>
        <v>802/64/</v>
      </c>
      <c r="J3" s="226" t="str">
        <f>IF(algemeen!$F$62="N","",algemeen!J66)</f>
        <v>2010/13RE-1234/0</v>
      </c>
      <c r="K3" s="223"/>
      <c r="L3" s="223"/>
      <c r="M3" s="223"/>
      <c r="N3" s="223"/>
      <c r="O3" s="227" t="str">
        <f>IF(algemeen!$F$62="N","","vanuit")</f>
        <v>vanuit</v>
      </c>
      <c r="P3" s="223"/>
      <c r="Q3" s="228" t="str">
        <f>IF(algemeen!$F$62="N","",algemeen!H24)</f>
        <v>Antwerpen</v>
      </c>
      <c r="R3" s="223"/>
      <c r="S3" s="223"/>
      <c r="T3" s="229"/>
    </row>
    <row r="4" spans="1:20" s="206" customFormat="1" ht="18.5" x14ac:dyDescent="0.35">
      <c r="A4" s="230" t="str">
        <f>algemeen!E6</f>
        <v>1234 Brussel</v>
      </c>
      <c r="B4" s="231"/>
      <c r="C4" s="231"/>
      <c r="D4" s="231"/>
      <c r="E4" s="231"/>
      <c r="F4" s="231"/>
      <c r="G4" s="232"/>
      <c r="H4" s="231"/>
      <c r="I4" s="233" t="str">
        <f>IF(algemeen!$G$62="N","",berekeningen!J5&amp;"/")</f>
        <v>8031/64/</v>
      </c>
      <c r="J4" s="234" t="str">
        <f>IF(algemeen!$G$62="N","",algemeen!J66)</f>
        <v>2010/13RE-1234/0</v>
      </c>
      <c r="K4" s="231"/>
      <c r="L4" s="231"/>
      <c r="M4" s="231"/>
      <c r="N4" s="231"/>
      <c r="O4" s="235" t="str">
        <f>IF(algemeen!$G$62="N","","vanuit")</f>
        <v>vanuit</v>
      </c>
      <c r="P4" s="231"/>
      <c r="Q4" s="236" t="str">
        <f>IF(algemeen!$G$62="N","",algemeen!K24)</f>
        <v>Hasselt</v>
      </c>
      <c r="R4" s="231"/>
      <c r="S4" s="231"/>
      <c r="T4" s="237"/>
    </row>
    <row r="5" spans="1:20" s="206" customFormat="1" x14ac:dyDescent="0.35">
      <c r="A5" s="238" t="s">
        <v>607</v>
      </c>
      <c r="B5" s="223"/>
      <c r="C5" s="223"/>
      <c r="D5" s="239" t="str">
        <f>IF(algemeen!$F$40="","",algemeen!F40)</f>
        <v>AB-3A1</v>
      </c>
      <c r="E5" s="223"/>
      <c r="F5" s="223"/>
      <c r="G5" s="223"/>
      <c r="H5" s="223"/>
      <c r="I5" s="223"/>
      <c r="J5" s="223"/>
      <c r="K5" s="223"/>
      <c r="L5" s="227" t="str">
        <f>IF(algemeen!$F$40="","","volgens")</f>
        <v>volgens</v>
      </c>
      <c r="M5" s="223"/>
      <c r="N5" s="227" t="str">
        <f>IF(algemeen!$F$40="","",algemeen!D47)</f>
        <v>SB 250 (5.0)</v>
      </c>
      <c r="O5" s="223"/>
      <c r="P5" s="223"/>
      <c r="Q5" s="223"/>
      <c r="R5" s="223"/>
      <c r="S5" s="223"/>
      <c r="T5" s="229"/>
    </row>
    <row r="6" spans="1:20" s="206" customFormat="1" x14ac:dyDescent="0.35">
      <c r="A6" s="238"/>
      <c r="B6" s="223"/>
      <c r="C6" s="223"/>
      <c r="D6" s="239" t="str">
        <f>IF(algemeen!$F$41="","",algemeen!F41)</f>
        <v>AC 20 onderlaag 50/70</v>
      </c>
      <c r="E6" s="223"/>
      <c r="F6" s="223"/>
      <c r="G6" s="223"/>
      <c r="H6" s="223"/>
      <c r="I6" s="223"/>
      <c r="J6" s="223"/>
      <c r="K6" s="223"/>
      <c r="L6" s="227" t="str">
        <f>IF(algemeen!$D$48="","","volgens")</f>
        <v>volgens</v>
      </c>
      <c r="M6" s="223"/>
      <c r="N6" s="227" t="str">
        <f>IF(algemeen!$F$41="","",IF(algemeen!D48="","",algemeen!D48))</f>
        <v xml:space="preserve">EN 13108-1 (2006) + EN 13108-1/AC (2008) </v>
      </c>
      <c r="O6" s="223"/>
      <c r="P6" s="223"/>
      <c r="Q6" s="223"/>
      <c r="R6" s="223"/>
      <c r="S6" s="223"/>
      <c r="T6" s="229"/>
    </row>
    <row r="7" spans="1:20" s="206" customFormat="1" x14ac:dyDescent="0.35">
      <c r="A7" s="238"/>
      <c r="B7" s="223"/>
      <c r="C7" s="223"/>
      <c r="D7" s="239" t="str">
        <f>IF(algemeen!$F$42="","",algemeen!F42)</f>
        <v>toplaag 0/10</v>
      </c>
      <c r="E7" s="223"/>
      <c r="F7" s="223"/>
      <c r="G7" s="223"/>
      <c r="H7" s="223"/>
      <c r="I7" s="223"/>
      <c r="J7" s="223"/>
      <c r="K7" s="223"/>
      <c r="L7" s="239"/>
      <c r="M7" s="223"/>
      <c r="N7" s="223"/>
      <c r="O7" s="223"/>
      <c r="P7" s="223"/>
      <c r="Q7" s="223"/>
      <c r="R7" s="223"/>
      <c r="S7" s="223"/>
      <c r="T7" s="229"/>
    </row>
    <row r="8" spans="1:20" s="206" customFormat="1" ht="15" thickBot="1" x14ac:dyDescent="0.4">
      <c r="A8" s="240" t="s">
        <v>42</v>
      </c>
      <c r="B8" s="241"/>
      <c r="C8" s="241"/>
      <c r="D8" s="242" t="str">
        <f>IF(algemeen!F44="","",algemeen!F44)</f>
        <v>voor onderlagen van asfaltverhardingen</v>
      </c>
      <c r="E8" s="241"/>
      <c r="F8" s="241"/>
      <c r="G8" s="241"/>
      <c r="H8" s="241"/>
      <c r="I8" s="241"/>
      <c r="J8" s="241"/>
      <c r="K8" s="241"/>
      <c r="L8" s="241"/>
      <c r="M8" s="241"/>
      <c r="N8" s="241"/>
      <c r="O8" s="241"/>
      <c r="P8" s="241"/>
      <c r="Q8" s="241"/>
      <c r="R8" s="241"/>
      <c r="S8" s="241"/>
      <c r="T8" s="243"/>
    </row>
    <row r="9" spans="1:20" s="206" customFormat="1" ht="14.15" customHeight="1" thickTop="1" thickBot="1" x14ac:dyDescent="0.4">
      <c r="A9" s="208"/>
      <c r="B9" s="208"/>
      <c r="C9" s="208"/>
      <c r="D9" s="208"/>
      <c r="E9" s="208"/>
      <c r="F9" s="208"/>
      <c r="G9" s="208"/>
      <c r="H9" s="208"/>
      <c r="I9" s="208"/>
      <c r="J9" s="208"/>
      <c r="K9" s="208"/>
      <c r="L9" s="208"/>
      <c r="M9" s="208"/>
      <c r="N9" s="208"/>
      <c r="O9" s="208"/>
      <c r="P9" s="208"/>
      <c r="Q9" s="208"/>
      <c r="R9" s="208"/>
      <c r="S9" s="208"/>
      <c r="T9" s="208"/>
    </row>
    <row r="10" spans="1:20" s="206" customFormat="1" ht="14.15" customHeight="1" x14ac:dyDescent="0.35">
      <c r="A10" s="244" t="s">
        <v>666</v>
      </c>
      <c r="B10" s="245"/>
      <c r="C10" s="245"/>
      <c r="D10" s="245"/>
      <c r="E10" s="245"/>
      <c r="F10" s="245"/>
      <c r="G10" s="246"/>
      <c r="H10" s="208"/>
      <c r="I10" s="208"/>
      <c r="J10" s="208"/>
      <c r="K10" s="208"/>
      <c r="L10" s="257" t="s">
        <v>665</v>
      </c>
      <c r="M10" s="258"/>
      <c r="N10" s="258"/>
      <c r="O10" s="258"/>
      <c r="P10" s="258"/>
      <c r="Q10" s="258"/>
      <c r="R10" s="258"/>
      <c r="S10" s="258"/>
      <c r="T10" s="259"/>
    </row>
    <row r="11" spans="1:20" s="206" customFormat="1" ht="14.15" customHeight="1" x14ac:dyDescent="0.35">
      <c r="A11" s="247" t="s">
        <v>611</v>
      </c>
      <c r="B11" s="248"/>
      <c r="C11" s="248"/>
      <c r="D11" s="248"/>
      <c r="E11" s="248"/>
      <c r="F11" s="248"/>
      <c r="G11" s="249"/>
      <c r="H11" s="208"/>
      <c r="I11" s="208"/>
      <c r="J11" s="208"/>
      <c r="K11" s="208"/>
      <c r="L11" s="270" t="s">
        <v>617</v>
      </c>
      <c r="M11" s="209"/>
      <c r="N11" s="209"/>
      <c r="O11" s="209"/>
      <c r="P11" s="209"/>
      <c r="Q11" s="209"/>
      <c r="R11" s="2239">
        <f>samenstelling!G176</f>
        <v>3.805679</v>
      </c>
      <c r="S11" s="2240"/>
      <c r="T11" s="271" t="s">
        <v>182</v>
      </c>
    </row>
    <row r="12" spans="1:20" s="206" customFormat="1" ht="14.15" customHeight="1" x14ac:dyDescent="0.35">
      <c r="A12" s="250" t="s">
        <v>612</v>
      </c>
      <c r="B12" s="208"/>
      <c r="C12" s="208"/>
      <c r="D12" s="208"/>
      <c r="E12" s="208"/>
      <c r="F12" s="2259">
        <f>ROUND(samenstelling!N167,1)</f>
        <v>71.2</v>
      </c>
      <c r="G12" s="2260"/>
      <c r="H12" s="208"/>
      <c r="I12" s="208"/>
      <c r="J12" s="208"/>
      <c r="K12" s="208"/>
      <c r="L12" s="251" t="s">
        <v>618</v>
      </c>
      <c r="M12" s="252"/>
      <c r="N12" s="252"/>
      <c r="O12" s="252"/>
      <c r="P12" s="252"/>
      <c r="Q12" s="252"/>
      <c r="R12" s="272"/>
      <c r="S12" s="252">
        <f>samenstelling!AC143</f>
        <v>38.961038961038966</v>
      </c>
      <c r="T12" s="261" t="s">
        <v>182</v>
      </c>
    </row>
    <row r="13" spans="1:20" s="206" customFormat="1" ht="14.15" customHeight="1" x14ac:dyDescent="0.35">
      <c r="A13" s="251" t="s">
        <v>613</v>
      </c>
      <c r="B13" s="252"/>
      <c r="C13" s="252"/>
      <c r="D13" s="252"/>
      <c r="E13" s="252"/>
      <c r="F13" s="2261">
        <f>ROUND(samenstelling!N168,1)</f>
        <v>22</v>
      </c>
      <c r="G13" s="2262"/>
      <c r="H13" s="208"/>
      <c r="I13" s="208"/>
      <c r="J13" s="208"/>
      <c r="K13" s="208"/>
      <c r="L13" s="275" t="s">
        <v>622</v>
      </c>
      <c r="M13" s="207"/>
      <c r="N13" s="207"/>
      <c r="O13" s="207"/>
      <c r="P13" s="207">
        <f>IF(berekeningen!D$9=0,"",berekeningen!D$9)</f>
        <v>40</v>
      </c>
      <c r="Q13" s="276" t="str">
        <f>IF(P13="","","mm")</f>
        <v>mm</v>
      </c>
      <c r="R13" s="272"/>
      <c r="S13" s="274">
        <f>IF(P13="","",samenstelling!K$109)</f>
        <v>99.999735647425894</v>
      </c>
      <c r="T13" s="261" t="str">
        <f>IF(P13="","","%")</f>
        <v>%</v>
      </c>
    </row>
    <row r="14" spans="1:20" s="206" customFormat="1" ht="14.15" customHeight="1" x14ac:dyDescent="0.35">
      <c r="A14" s="250" t="s">
        <v>178</v>
      </c>
      <c r="B14" s="208"/>
      <c r="C14" s="208"/>
      <c r="D14" s="208"/>
      <c r="E14" s="208"/>
      <c r="F14" s="2263">
        <f>100-F12-F13</f>
        <v>6.7999999999999972</v>
      </c>
      <c r="G14" s="2264"/>
      <c r="H14" s="208"/>
      <c r="I14" s="208"/>
      <c r="J14" s="208"/>
      <c r="K14" s="208"/>
      <c r="L14" s="250"/>
      <c r="M14" s="208"/>
      <c r="N14" s="208"/>
      <c r="O14" s="208"/>
      <c r="P14" s="208">
        <f>IF(berekeningen!E$9=0,"",berekeningen!E$9)</f>
        <v>31.5</v>
      </c>
      <c r="Q14" s="287" t="str">
        <f t="shared" ref="Q14:Q26" si="0">IF(P14="","","mm")</f>
        <v>mm</v>
      </c>
      <c r="R14" s="272"/>
      <c r="S14" s="274">
        <f>IF(P14="","",samenstelling!L$109)</f>
        <v>99.999735647425894</v>
      </c>
      <c r="T14" s="261" t="str">
        <f t="shared" ref="T14:T26" si="1">IF(P14="","","%")</f>
        <v>%</v>
      </c>
    </row>
    <row r="15" spans="1:20" s="206" customFormat="1" ht="14.15" customHeight="1" x14ac:dyDescent="0.35">
      <c r="A15" s="253"/>
      <c r="B15" s="254"/>
      <c r="C15" s="254"/>
      <c r="D15" s="254"/>
      <c r="E15" s="254"/>
      <c r="F15" s="2265">
        <v>100</v>
      </c>
      <c r="G15" s="2266"/>
      <c r="H15" s="208"/>
      <c r="I15" s="208"/>
      <c r="J15" s="208"/>
      <c r="K15" s="208"/>
      <c r="L15" s="250"/>
      <c r="M15" s="208"/>
      <c r="N15" s="208"/>
      <c r="O15" s="208"/>
      <c r="P15" s="208">
        <f>IF(berekeningen!F$9=0,"",berekeningen!F$9)</f>
        <v>20</v>
      </c>
      <c r="Q15" s="287" t="str">
        <f t="shared" si="0"/>
        <v>mm</v>
      </c>
      <c r="R15" s="272"/>
      <c r="S15" s="274">
        <f>IF(P15="","",samenstelling!M$109)</f>
        <v>99.948735647425877</v>
      </c>
      <c r="T15" s="261" t="str">
        <f t="shared" si="1"/>
        <v>%</v>
      </c>
    </row>
    <row r="16" spans="1:20" s="206" customFormat="1" ht="14.15" customHeight="1" thickBot="1" x14ac:dyDescent="0.4">
      <c r="A16" s="255" t="s">
        <v>614</v>
      </c>
      <c r="B16" s="256"/>
      <c r="C16" s="256"/>
      <c r="D16" s="256"/>
      <c r="E16" s="256"/>
      <c r="F16" s="2267">
        <f>samenstelling!N177</f>
        <v>4.1924204280590098</v>
      </c>
      <c r="G16" s="2268"/>
      <c r="H16" s="208"/>
      <c r="I16" s="208"/>
      <c r="J16" s="208"/>
      <c r="K16" s="208"/>
      <c r="L16" s="250"/>
      <c r="M16" s="208"/>
      <c r="N16" s="208"/>
      <c r="O16" s="208"/>
      <c r="P16" s="208">
        <f>IF(berekeningen!G$9=0,"",berekeningen!G$9)</f>
        <v>16</v>
      </c>
      <c r="Q16" s="287" t="str">
        <f t="shared" si="0"/>
        <v>mm</v>
      </c>
      <c r="R16" s="272"/>
      <c r="S16" s="274">
        <f>IF(P16="","",samenstelling!N$109)</f>
        <v>97.500735647425884</v>
      </c>
      <c r="T16" s="261" t="str">
        <f t="shared" si="1"/>
        <v>%</v>
      </c>
    </row>
    <row r="17" spans="1:20" s="206" customFormat="1" ht="14.15" customHeight="1" thickBot="1" x14ac:dyDescent="0.4">
      <c r="A17" s="208"/>
      <c r="B17" s="208"/>
      <c r="C17" s="208"/>
      <c r="D17" s="208"/>
      <c r="E17" s="208"/>
      <c r="F17" s="208"/>
      <c r="G17" s="208"/>
      <c r="H17" s="208"/>
      <c r="I17" s="208"/>
      <c r="J17" s="208"/>
      <c r="K17" s="208"/>
      <c r="L17" s="250"/>
      <c r="M17" s="208"/>
      <c r="N17" s="208"/>
      <c r="O17" s="208"/>
      <c r="P17" s="208">
        <f>IF(berekeningen!H$9=0,"",berekeningen!H$9)</f>
        <v>14</v>
      </c>
      <c r="Q17" s="287" t="str">
        <f t="shared" si="0"/>
        <v>mm</v>
      </c>
      <c r="R17" s="272"/>
      <c r="S17" s="274">
        <f>IF(P17="","",samenstelling!O$109)</f>
        <v>95.868735647425879</v>
      </c>
      <c r="T17" s="261" t="str">
        <f t="shared" si="1"/>
        <v>%</v>
      </c>
    </row>
    <row r="18" spans="1:20" s="206" customFormat="1" ht="14.15" customHeight="1" x14ac:dyDescent="0.35">
      <c r="A18" s="257" t="s">
        <v>667</v>
      </c>
      <c r="B18" s="258"/>
      <c r="C18" s="258"/>
      <c r="D18" s="258"/>
      <c r="E18" s="258"/>
      <c r="F18" s="258"/>
      <c r="G18" s="258"/>
      <c r="H18" s="258"/>
      <c r="I18" s="258"/>
      <c r="J18" s="259"/>
      <c r="K18" s="208"/>
      <c r="L18" s="250"/>
      <c r="M18" s="208"/>
      <c r="N18" s="208"/>
      <c r="O18" s="208"/>
      <c r="P18" s="208">
        <f>IF(berekeningen!I$9=0,"",berekeningen!I$9)</f>
        <v>12.5</v>
      </c>
      <c r="Q18" s="287" t="str">
        <f t="shared" si="0"/>
        <v>mm</v>
      </c>
      <c r="R18" s="272"/>
      <c r="S18" s="274">
        <f>IF(P18="","",samenstelling!P$109)</f>
        <v>92.553735647425881</v>
      </c>
      <c r="T18" s="261" t="str">
        <f t="shared" si="1"/>
        <v>%</v>
      </c>
    </row>
    <row r="19" spans="1:20" s="206" customFormat="1" ht="14.15" customHeight="1" x14ac:dyDescent="0.35">
      <c r="A19" s="2247">
        <f>IF(samenstelling!C8=0,"",samenstelling!C8)</f>
        <v>5.0999999999999996</v>
      </c>
      <c r="B19" s="2248"/>
      <c r="C19" s="209" t="str">
        <f>IF(samenstelling!C8=0,"",samenstelling!E8)</f>
        <v>Kalksteen</v>
      </c>
      <c r="D19" s="209"/>
      <c r="E19" s="209"/>
      <c r="F19" s="209"/>
      <c r="G19" s="265" t="str">
        <f>IF(samenstelling!C8=0,"",samenstelling!H8)</f>
        <v>14/20</v>
      </c>
      <c r="H19" s="209" t="str">
        <f>IF(samenstelling!C8=0,"",samenstelling!I8)</f>
        <v>Aa1 I f1</v>
      </c>
      <c r="I19" s="209"/>
      <c r="J19" s="260"/>
      <c r="K19" s="208"/>
      <c r="L19" s="250"/>
      <c r="M19" s="208"/>
      <c r="N19" s="208"/>
      <c r="O19" s="208"/>
      <c r="P19" s="208">
        <f>IF(berekeningen!J$9=0,"",berekeningen!J$9)</f>
        <v>10</v>
      </c>
      <c r="Q19" s="287" t="str">
        <f t="shared" si="0"/>
        <v>mm</v>
      </c>
      <c r="R19" s="272"/>
      <c r="S19" s="274">
        <f>IF(P19="","",samenstelling!Q$109)</f>
        <v>89.666735647425881</v>
      </c>
      <c r="T19" s="261" t="str">
        <f t="shared" si="1"/>
        <v>%</v>
      </c>
    </row>
    <row r="20" spans="1:20" s="206" customFormat="1" ht="14.15" customHeight="1" x14ac:dyDescent="0.35">
      <c r="A20" s="2249">
        <f>IF(samenstelling!C9=0,"",samenstelling!C9)</f>
        <v>10.199999999999999</v>
      </c>
      <c r="B20" s="2250"/>
      <c r="C20" s="252" t="str">
        <f>IF(samenstelling!C9=0,"",samenstelling!E9)</f>
        <v>Porfier</v>
      </c>
      <c r="D20" s="252"/>
      <c r="E20" s="252"/>
      <c r="F20" s="252"/>
      <c r="G20" s="266" t="str">
        <f>IF(samenstelling!C9=0,"",samenstelling!H9)</f>
        <v>6/14</v>
      </c>
      <c r="H20" s="252" t="str">
        <f>IF(samenstelling!C9=0,"",samenstelling!I9)</f>
        <v>BB2 II f2</v>
      </c>
      <c r="I20" s="252"/>
      <c r="J20" s="261"/>
      <c r="K20" s="208"/>
      <c r="L20" s="250"/>
      <c r="M20" s="208"/>
      <c r="N20" s="208"/>
      <c r="O20" s="208"/>
      <c r="P20" s="208">
        <f>IF(berekeningen!K$9=0,"",berekeningen!K$9)</f>
        <v>8</v>
      </c>
      <c r="Q20" s="287" t="str">
        <f t="shared" si="0"/>
        <v>mm</v>
      </c>
      <c r="R20" s="272"/>
      <c r="S20" s="274">
        <f>IF(P20="","",samenstelling!R$109)</f>
        <v>68.318617082683289</v>
      </c>
      <c r="T20" s="261" t="str">
        <f t="shared" si="1"/>
        <v>%</v>
      </c>
    </row>
    <row r="21" spans="1:20" s="206" customFormat="1" ht="14.15" customHeight="1" x14ac:dyDescent="0.35">
      <c r="A21" s="2249">
        <f>IF(samenstelling!C10=0,"",samenstelling!C10)</f>
        <v>15.3</v>
      </c>
      <c r="B21" s="2250"/>
      <c r="C21" s="252" t="str">
        <f>IF(samenstelling!C10=0,"",samenstelling!E10)</f>
        <v>Rode zandsteen</v>
      </c>
      <c r="D21" s="252"/>
      <c r="E21" s="252"/>
      <c r="F21" s="252"/>
      <c r="G21" s="266" t="str">
        <f>IF(samenstelling!C10=0,"",samenstelling!H10)</f>
        <v>0/2 (0/0,05)</v>
      </c>
      <c r="H21" s="252" t="str">
        <f>IF(samenstelling!C10=0,"",samenstelling!I10)</f>
        <v>Af22aPA Ecs30</v>
      </c>
      <c r="I21" s="252"/>
      <c r="J21" s="261"/>
      <c r="K21" s="208"/>
      <c r="L21" s="250"/>
      <c r="M21" s="208"/>
      <c r="N21" s="208"/>
      <c r="O21" s="208"/>
      <c r="P21" s="208">
        <f>IF(berekeningen!L$9=0,"",berekeningen!L$9)</f>
        <v>6.3</v>
      </c>
      <c r="Q21" s="287" t="str">
        <f t="shared" si="0"/>
        <v>mm</v>
      </c>
      <c r="R21" s="272"/>
      <c r="S21" s="274">
        <f>IF(P21="","",samenstelling!S$109)</f>
        <v>47.600398517940718</v>
      </c>
      <c r="T21" s="261" t="str">
        <f t="shared" si="1"/>
        <v>%</v>
      </c>
    </row>
    <row r="22" spans="1:20" s="206" customFormat="1" ht="14.15" customHeight="1" x14ac:dyDescent="0.35">
      <c r="A22" s="2249" t="str">
        <f>IF(samenstelling!C11=0,"",samenstelling!C11)</f>
        <v/>
      </c>
      <c r="B22" s="2250"/>
      <c r="C22" s="252" t="str">
        <f>IF(samenstelling!C11=0,"",samenstelling!E11)</f>
        <v/>
      </c>
      <c r="D22" s="252"/>
      <c r="E22" s="252"/>
      <c r="F22" s="252"/>
      <c r="G22" s="266" t="str">
        <f>IF(samenstelling!C11=0,"",samenstelling!H11)</f>
        <v/>
      </c>
      <c r="H22" s="252" t="str">
        <f>IF(samenstelling!C11=0,"",samenstelling!I11)</f>
        <v/>
      </c>
      <c r="I22" s="252"/>
      <c r="J22" s="261"/>
      <c r="K22" s="208"/>
      <c r="L22" s="250"/>
      <c r="M22" s="208"/>
      <c r="N22" s="208"/>
      <c r="O22" s="208"/>
      <c r="P22" s="208">
        <f>IF(berekeningen!M$9=0,"",berekeningen!M$9)</f>
        <v>4</v>
      </c>
      <c r="Q22" s="287" t="str">
        <f t="shared" si="0"/>
        <v>mm</v>
      </c>
      <c r="R22" s="272"/>
      <c r="S22" s="274">
        <f>IF(P22="","",samenstelling!T$109)</f>
        <v>38.531179953198126</v>
      </c>
      <c r="T22" s="261" t="str">
        <f t="shared" si="1"/>
        <v>%</v>
      </c>
    </row>
    <row r="23" spans="1:20" s="206" customFormat="1" ht="14.15" customHeight="1" x14ac:dyDescent="0.35">
      <c r="A23" s="2249" t="str">
        <f>IF(samenstelling!C12=0,"",samenstelling!C12)</f>
        <v/>
      </c>
      <c r="B23" s="2250"/>
      <c r="C23" s="252" t="str">
        <f>IF(samenstelling!C12=0,"",samenstelling!E12)</f>
        <v/>
      </c>
      <c r="D23" s="252"/>
      <c r="E23" s="252"/>
      <c r="F23" s="252"/>
      <c r="G23" s="266" t="str">
        <f>IF(samenstelling!C12=0,"",samenstelling!H12)</f>
        <v/>
      </c>
      <c r="H23" s="252" t="str">
        <f>IF(samenstelling!C12=0,"",samenstelling!I12)</f>
        <v/>
      </c>
      <c r="I23" s="252"/>
      <c r="J23" s="261"/>
      <c r="K23" s="208"/>
      <c r="L23" s="250"/>
      <c r="M23" s="208"/>
      <c r="N23" s="208"/>
      <c r="O23" s="208"/>
      <c r="P23" s="208">
        <f>IF(berekeningen!N$9=0,"",berekeningen!N$9)</f>
        <v>2</v>
      </c>
      <c r="Q23" s="287" t="str">
        <f t="shared" si="0"/>
        <v>mm</v>
      </c>
      <c r="R23" s="272"/>
      <c r="S23" s="274">
        <f>IF(P23="","",samenstelling!U$109)</f>
        <v>28.32396138845554</v>
      </c>
      <c r="T23" s="261" t="str">
        <f t="shared" si="1"/>
        <v>%</v>
      </c>
    </row>
    <row r="24" spans="1:20" s="206" customFormat="1" ht="14.15" customHeight="1" x14ac:dyDescent="0.35">
      <c r="A24" s="2249">
        <f>IF(samenstelling!C13=0,"",samenstelling!C13)</f>
        <v>35.299999999999997</v>
      </c>
      <c r="B24" s="2250"/>
      <c r="C24" s="252" t="str">
        <f>IF(samenstelling!C13=0,"",samenstelling!E13)</f>
        <v>Slakken</v>
      </c>
      <c r="D24" s="252"/>
      <c r="E24" s="252"/>
      <c r="F24" s="252"/>
      <c r="G24" s="266" t="str">
        <f>IF(samenstelling!C13=0,"",samenstelling!H13)</f>
        <v>6/10</v>
      </c>
      <c r="H24" s="252" t="str">
        <f>IF(samenstelling!C13=0,"",samenstelling!I13)</f>
        <v>Dd4 IV f4</v>
      </c>
      <c r="I24" s="252"/>
      <c r="J24" s="261"/>
      <c r="K24" s="208"/>
      <c r="L24" s="250"/>
      <c r="M24" s="208"/>
      <c r="N24" s="208"/>
      <c r="O24" s="208"/>
      <c r="P24" s="208">
        <f>IF(berekeningen!O$9=0,"",berekeningen!O$9)</f>
        <v>1</v>
      </c>
      <c r="Q24" s="287" t="str">
        <f t="shared" si="0"/>
        <v>mm</v>
      </c>
      <c r="R24" s="272"/>
      <c r="S24" s="274">
        <f>IF(P24="","",samenstelling!V$109)</f>
        <v>23.058242823712948</v>
      </c>
      <c r="T24" s="261" t="str">
        <f t="shared" si="1"/>
        <v>%</v>
      </c>
    </row>
    <row r="25" spans="1:20" s="206" customFormat="1" ht="14.15" customHeight="1" x14ac:dyDescent="0.35">
      <c r="A25" s="2249" t="str">
        <f>IF(samenstelling!C14=0,"",samenstelling!C14)</f>
        <v/>
      </c>
      <c r="B25" s="2250"/>
      <c r="C25" s="252" t="str">
        <f>IF(samenstelling!C14=0,"",samenstelling!E14)</f>
        <v/>
      </c>
      <c r="D25" s="252"/>
      <c r="E25" s="252"/>
      <c r="F25" s="252"/>
      <c r="G25" s="266" t="str">
        <f>IF(samenstelling!C14=0,"",samenstelling!H14)</f>
        <v/>
      </c>
      <c r="H25" s="252" t="str">
        <f>IF(samenstelling!C14=0,"",samenstelling!I14)</f>
        <v/>
      </c>
      <c r="I25" s="252"/>
      <c r="J25" s="261"/>
      <c r="K25" s="208"/>
      <c r="L25" s="250"/>
      <c r="M25" s="208"/>
      <c r="N25" s="208"/>
      <c r="O25" s="208"/>
      <c r="P25" s="208">
        <f>IF(berekeningen!P$9=0,"",berekeningen!P$9)</f>
        <v>0.5</v>
      </c>
      <c r="Q25" s="287" t="str">
        <f t="shared" si="0"/>
        <v>mm</v>
      </c>
      <c r="R25" s="272"/>
      <c r="S25" s="274">
        <f>IF(P25="","",samenstelling!W$109)</f>
        <v>18.557524258970361</v>
      </c>
      <c r="T25" s="261" t="str">
        <f t="shared" si="1"/>
        <v>%</v>
      </c>
    </row>
    <row r="26" spans="1:20" s="206" customFormat="1" ht="14.15" customHeight="1" x14ac:dyDescent="0.35">
      <c r="A26" s="2249" t="str">
        <f>IF(samenstelling!C15=0,"",samenstelling!C15)</f>
        <v/>
      </c>
      <c r="B26" s="2250"/>
      <c r="C26" s="252" t="str">
        <f>IF(samenstelling!C15=0,"",samenstelling!E15)</f>
        <v/>
      </c>
      <c r="D26" s="252"/>
      <c r="E26" s="252"/>
      <c r="F26" s="252"/>
      <c r="G26" s="266" t="str">
        <f>IF(samenstelling!C15=0,"",samenstelling!H15)</f>
        <v/>
      </c>
      <c r="H26" s="252" t="str">
        <f>IF(samenstelling!C15=0,"",samenstelling!I15)</f>
        <v/>
      </c>
      <c r="I26" s="252"/>
      <c r="J26" s="261"/>
      <c r="K26" s="208"/>
      <c r="L26" s="250"/>
      <c r="M26" s="208"/>
      <c r="N26" s="208"/>
      <c r="O26" s="208"/>
      <c r="P26" s="208">
        <f>IF(berekeningen!Q$9=0,"",berekeningen!Q$9)</f>
        <v>0.25</v>
      </c>
      <c r="Q26" s="287" t="str">
        <f t="shared" si="0"/>
        <v>mm</v>
      </c>
      <c r="R26" s="272"/>
      <c r="S26" s="274">
        <f>IF(P26="","",samenstelling!X$109)</f>
        <v>14.974805694227769</v>
      </c>
      <c r="T26" s="261" t="str">
        <f t="shared" si="1"/>
        <v>%</v>
      </c>
    </row>
    <row r="27" spans="1:20" s="206" customFormat="1" ht="14.15" customHeight="1" x14ac:dyDescent="0.35">
      <c r="A27" s="2249" t="str">
        <f>IF(samenstelling!C16=0,"",samenstelling!C16)</f>
        <v/>
      </c>
      <c r="B27" s="2250"/>
      <c r="C27" s="252" t="str">
        <f>IF(samenstelling!C16=0,"",samenstelling!E16)</f>
        <v/>
      </c>
      <c r="D27" s="252"/>
      <c r="E27" s="252"/>
      <c r="F27" s="252"/>
      <c r="G27" s="266" t="str">
        <f>IF(samenstelling!C16=0,"",samenstelling!H16)</f>
        <v/>
      </c>
      <c r="H27" s="252" t="str">
        <f>IF(samenstelling!C16=0,"",samenstelling!I16)</f>
        <v/>
      </c>
      <c r="I27" s="252"/>
      <c r="J27" s="261"/>
      <c r="K27" s="208"/>
      <c r="L27" s="250"/>
      <c r="M27" s="208"/>
      <c r="N27" s="208"/>
      <c r="O27" s="2242">
        <f>IF(berekeningen!R$9=0,"",berekeningen!R$9)</f>
        <v>0.125</v>
      </c>
      <c r="P27" s="2242"/>
      <c r="Q27" s="287" t="str">
        <f>IF(O27="","","mm")</f>
        <v>mm</v>
      </c>
      <c r="R27" s="272"/>
      <c r="S27" s="274">
        <f>IF(O27="","",samenstelling!Y$109)</f>
        <v>11.405659629485179</v>
      </c>
      <c r="T27" s="261" t="str">
        <f>IF(O27="","","%")</f>
        <v>%</v>
      </c>
    </row>
    <row r="28" spans="1:20" s="206" customFormat="1" ht="14.15" customHeight="1" x14ac:dyDescent="0.35">
      <c r="A28" s="2271" t="str">
        <f>IF(samenstelling!C17=0,"",samenstelling!C17)</f>
        <v/>
      </c>
      <c r="B28" s="2272"/>
      <c r="C28" s="207" t="str">
        <f>IF(samenstelling!C17=0,"",samenstelling!E17)</f>
        <v/>
      </c>
      <c r="D28" s="207"/>
      <c r="E28" s="207"/>
      <c r="F28" s="207"/>
      <c r="G28" s="283" t="str">
        <f>IF(samenstelling!C17=0,"",samenstelling!H17)</f>
        <v/>
      </c>
      <c r="H28" s="207" t="str">
        <f>IF(samenstelling!C17=0,"",samenstelling!I17)</f>
        <v/>
      </c>
      <c r="I28" s="207"/>
      <c r="J28" s="280"/>
      <c r="K28" s="208"/>
      <c r="L28" s="270"/>
      <c r="M28" s="209"/>
      <c r="N28" s="209"/>
      <c r="O28" s="2241">
        <f>IF(berekeningen!S$9=0,"",berekeningen!S$9)</f>
        <v>6.3E-2</v>
      </c>
      <c r="P28" s="2241"/>
      <c r="Q28" s="288" t="str">
        <f>IF(O28="","","mm")</f>
        <v>mm</v>
      </c>
      <c r="R28" s="272"/>
      <c r="S28" s="286">
        <f>IF(O28="","",samenstelling!Z$109)</f>
        <v>7.8679135647425893</v>
      </c>
      <c r="T28" s="261" t="str">
        <f>IF(O28="","","%")</f>
        <v>%</v>
      </c>
    </row>
    <row r="29" spans="1:20" s="206" customFormat="1" ht="14.15" customHeight="1" x14ac:dyDescent="0.35">
      <c r="A29" s="2255">
        <f>IF(samenstelling!C26=0,"",samenstelling!C26)</f>
        <v>0.55000000000000004</v>
      </c>
      <c r="B29" s="2256"/>
      <c r="C29" s="264" t="str">
        <f>IF(samenstelling!C26=0,"",samenstelling!E26)</f>
        <v>Aanvoervulstof</v>
      </c>
      <c r="D29" s="264"/>
      <c r="E29" s="264"/>
      <c r="F29" s="264"/>
      <c r="G29" s="264" t="str">
        <f>IF(samenstelling!C26=0,"",samenstelling!H26)</f>
        <v>IIa</v>
      </c>
      <c r="H29" s="264"/>
      <c r="I29" s="264"/>
      <c r="J29" s="271"/>
      <c r="K29" s="208"/>
      <c r="L29" s="275" t="s">
        <v>619</v>
      </c>
      <c r="M29" s="207"/>
      <c r="N29" s="207"/>
      <c r="O29" s="207"/>
      <c r="P29" s="207"/>
      <c r="Q29" s="276"/>
      <c r="R29" s="279"/>
      <c r="S29" s="207"/>
      <c r="T29" s="280"/>
    </row>
    <row r="30" spans="1:20" s="206" customFormat="1" ht="14.15" customHeight="1" x14ac:dyDescent="0.35">
      <c r="A30" s="2245" t="str">
        <f>IF(samenstelling!C27=0,"",samenstelling!C27)</f>
        <v/>
      </c>
      <c r="B30" s="2246"/>
      <c r="C30" s="252" t="str">
        <f>IF(samenstelling!C27=0,"",samenstelling!E27)</f>
        <v/>
      </c>
      <c r="D30" s="252"/>
      <c r="E30" s="252"/>
      <c r="F30" s="252"/>
      <c r="G30" s="252" t="str">
        <f>IF(samenstelling!C27=0,"",samenstelling!H27)</f>
        <v/>
      </c>
      <c r="H30" s="252"/>
      <c r="I30" s="252"/>
      <c r="J30" s="261"/>
      <c r="K30" s="208"/>
      <c r="L30" s="250" t="s">
        <v>591</v>
      </c>
      <c r="M30" s="208"/>
      <c r="N30" s="208"/>
      <c r="O30" s="208"/>
      <c r="P30" s="208"/>
      <c r="Q30" s="277" t="s">
        <v>620</v>
      </c>
      <c r="R30" s="281"/>
      <c r="S30" s="282">
        <f>samenstelling!AA128</f>
        <v>63.8</v>
      </c>
      <c r="T30" s="260" t="str">
        <f>IF(S30="","","%")</f>
        <v>%</v>
      </c>
    </row>
    <row r="31" spans="1:20" s="206" customFormat="1" ht="14.15" customHeight="1" x14ac:dyDescent="0.35">
      <c r="A31" s="2257">
        <f>IF(samenstelling!C29=0,"",samenstelling!C29)</f>
        <v>1</v>
      </c>
      <c r="B31" s="2258"/>
      <c r="C31" s="284" t="str">
        <f>IF(samenstelling!C29="","",samenstelling!E29)</f>
        <v>Extra teruggew. stof</v>
      </c>
      <c r="D31" s="284"/>
      <c r="E31" s="284"/>
      <c r="F31" s="284"/>
      <c r="G31" s="284"/>
      <c r="H31" s="284"/>
      <c r="I31" s="284"/>
      <c r="J31" s="285"/>
      <c r="K31" s="208"/>
      <c r="L31" s="270"/>
      <c r="M31" s="209"/>
      <c r="N31" s="209"/>
      <c r="O31" s="209"/>
      <c r="P31" s="209"/>
      <c r="Q31" s="278" t="s">
        <v>621</v>
      </c>
      <c r="R31" s="272"/>
      <c r="S31" s="274">
        <f>samenstelling!AA129</f>
        <v>100</v>
      </c>
      <c r="T31" s="260" t="str">
        <f>IF(S31="","","%")</f>
        <v>%</v>
      </c>
    </row>
    <row r="32" spans="1:20" s="206" customFormat="1" ht="14.15" customHeight="1" x14ac:dyDescent="0.35">
      <c r="A32" s="2253">
        <f>IF(samenstelling!C43=0,"",samenstelling!C43)</f>
        <v>2.2160500000000001</v>
      </c>
      <c r="B32" s="2254"/>
      <c r="C32" s="209" t="str">
        <f>IF(samenstelling!C43=0,"",samenstelling!E43)</f>
        <v>synthetisch pigmenteerbaar bindmiddel</v>
      </c>
      <c r="D32" s="209"/>
      <c r="E32" s="209"/>
      <c r="F32" s="209"/>
      <c r="G32" s="209" t="str">
        <f>IF(samenstelling!C43=0,"",samenstelling!H43)</f>
        <v>Mexphalte CLT50/70</v>
      </c>
      <c r="H32" s="209"/>
      <c r="I32" s="209"/>
      <c r="J32" s="260"/>
      <c r="K32" s="208"/>
      <c r="L32" s="251" t="str">
        <f>IF(S32="","","Watergevoeligheid")</f>
        <v>Watergevoeligheid</v>
      </c>
      <c r="M32" s="252"/>
      <c r="N32" s="252"/>
      <c r="O32" s="252"/>
      <c r="P32" s="252"/>
      <c r="Q32" s="252"/>
      <c r="R32" s="272"/>
      <c r="S32" s="274">
        <f>studie!I317</f>
        <v>62.7</v>
      </c>
      <c r="T32" s="260" t="str">
        <f>IF(S32="","","%")</f>
        <v>%</v>
      </c>
    </row>
    <row r="33" spans="1:20" s="206" customFormat="1" ht="14.15" customHeight="1" x14ac:dyDescent="0.35">
      <c r="A33" s="2245" t="str">
        <f>IF(samenstelling!C44=0,"",samenstelling!C44)</f>
        <v/>
      </c>
      <c r="B33" s="2246"/>
      <c r="C33" s="252" t="str">
        <f>IF(samenstelling!C44=0,"",samenstelling!E44)</f>
        <v/>
      </c>
      <c r="D33" s="252"/>
      <c r="E33" s="252"/>
      <c r="F33" s="252"/>
      <c r="G33" s="252" t="str">
        <f>IF(samenstelling!C44=0,"",samenstelling!H44)</f>
        <v/>
      </c>
      <c r="H33" s="252"/>
      <c r="I33" s="252"/>
      <c r="J33" s="261"/>
      <c r="K33" s="208"/>
      <c r="L33" s="251" t="str">
        <f>IF(R33="","","Holle ruimte")</f>
        <v>Holle ruimte</v>
      </c>
      <c r="M33" s="252"/>
      <c r="N33" s="252"/>
      <c r="O33" s="252"/>
      <c r="P33" s="252"/>
      <c r="Q33" s="252"/>
      <c r="R33" s="2243">
        <f>IF(studie!H258="","",studie!H258)</f>
        <v>15.5</v>
      </c>
      <c r="S33" s="2244"/>
      <c r="T33" s="260" t="str">
        <f>IF(R33="","","%")</f>
        <v>%</v>
      </c>
    </row>
    <row r="34" spans="1:20" s="206" customFormat="1" ht="14.15" customHeight="1" x14ac:dyDescent="0.35">
      <c r="A34" s="2269" t="str">
        <f>IF(samenstelling!C45=0,"",samenstelling!C45)</f>
        <v/>
      </c>
      <c r="B34" s="2270"/>
      <c r="C34" s="207" t="str">
        <f>IF(samenstelling!C45=0,"",samenstelling!E45)</f>
        <v/>
      </c>
      <c r="D34" s="207"/>
      <c r="E34" s="207"/>
      <c r="F34" s="207"/>
      <c r="G34" s="207" t="str">
        <f>IF(samenstelling!C45=0,"",samenstelling!H45)</f>
        <v/>
      </c>
      <c r="H34" s="207"/>
      <c r="I34" s="207"/>
      <c r="J34" s="280"/>
      <c r="K34" s="208"/>
      <c r="L34" s="251" t="str">
        <f>IF(R34="","","Schijnbare volumemassa")</f>
        <v>Schijnbare volumemassa</v>
      </c>
      <c r="M34" s="252"/>
      <c r="N34" s="252"/>
      <c r="O34" s="252"/>
      <c r="P34" s="252"/>
      <c r="Q34" s="252"/>
      <c r="R34" s="2237">
        <f>studie!H257</f>
        <v>2.684110592447611</v>
      </c>
      <c r="S34" s="2238"/>
      <c r="T34" s="300" t="str">
        <f>IF(R34="","","Mg/m³")</f>
        <v>Mg/m³</v>
      </c>
    </row>
    <row r="35" spans="1:20" s="206" customFormat="1" ht="14.15" customHeight="1" x14ac:dyDescent="0.35">
      <c r="A35" s="2247">
        <f>IF(samenstelling!C56=0,"",samenstelling!C56)</f>
        <v>30</v>
      </c>
      <c r="B35" s="2248"/>
      <c r="C35" s="264" t="str">
        <f>IF(samenstelling!C56=0,"","Stapel "&amp;samenstelling!K56)</f>
        <v>Stapel onderlaag 14/2</v>
      </c>
      <c r="D35" s="264"/>
      <c r="E35" s="264"/>
      <c r="F35" s="264"/>
      <c r="G35" s="264" t="str">
        <f>IF(samenstelling!C56=0,"",samenstelling!H56)</f>
        <v>40 RA 0/14mm HE</v>
      </c>
      <c r="H35" s="264"/>
      <c r="I35" s="264"/>
      <c r="J35" s="271"/>
      <c r="K35" s="208"/>
      <c r="L35" s="251" t="str">
        <f>IF(R35="","","Maximale volumemassa")</f>
        <v>Maximale volumemassa</v>
      </c>
      <c r="M35" s="252"/>
      <c r="N35" s="252"/>
      <c r="O35" s="252"/>
      <c r="P35" s="252"/>
      <c r="Q35" s="252"/>
      <c r="R35" s="2237">
        <f>studie!H154</f>
        <v>3.0154391189857619</v>
      </c>
      <c r="S35" s="2238"/>
      <c r="T35" s="300" t="str">
        <f>IF(R35="","","Mg/m³")</f>
        <v>Mg/m³</v>
      </c>
    </row>
    <row r="36" spans="1:20" s="206" customFormat="1" ht="14.15" customHeight="1" x14ac:dyDescent="0.35">
      <c r="A36" s="2249" t="str">
        <f>IF(samenstelling!C57=0,"",samenstelling!C57)</f>
        <v/>
      </c>
      <c r="B36" s="2250"/>
      <c r="C36" s="252" t="str">
        <f>IF(samenstelling!C57=0,"","Stapel "&amp;samenstelling!K57)</f>
        <v/>
      </c>
      <c r="D36" s="252"/>
      <c r="E36" s="252"/>
      <c r="F36" s="252"/>
      <c r="G36" s="252" t="str">
        <f>IF(samenstelling!C57=0,"",samenstelling!H57)</f>
        <v/>
      </c>
      <c r="H36" s="252"/>
      <c r="I36" s="252"/>
      <c r="J36" s="261"/>
      <c r="K36" s="208"/>
      <c r="L36" s="275" t="str">
        <f>IF(AND(R36="",R37=""),"","Stijfheid:")</f>
        <v>Stijfheid:</v>
      </c>
      <c r="M36" s="207"/>
      <c r="N36" s="207"/>
      <c r="O36" s="207"/>
      <c r="P36" s="207"/>
      <c r="Q36" s="289" t="str">
        <f>IF(R36="","","15 °C, 10 Hz")</f>
        <v>15 °C, 10 Hz</v>
      </c>
      <c r="R36" s="2235">
        <f>IF(studie!E514="J",studie!K526,"")</f>
        <v>12000</v>
      </c>
      <c r="S36" s="2236"/>
      <c r="T36" s="260" t="str">
        <f>IF(R36="","","MPa")</f>
        <v>MPa</v>
      </c>
    </row>
    <row r="37" spans="1:20" s="206" customFormat="1" ht="14.15" customHeight="1" x14ac:dyDescent="0.35">
      <c r="A37" s="2251" t="str">
        <f>IF(samenstelling!C58=0,"",samenstelling!C58)</f>
        <v/>
      </c>
      <c r="B37" s="2252"/>
      <c r="C37" s="284" t="str">
        <f>IF(samenstelling!C58=0,"","Stapel "&amp;samenstelling!K58)</f>
        <v/>
      </c>
      <c r="D37" s="284"/>
      <c r="E37" s="284"/>
      <c r="F37" s="284"/>
      <c r="G37" s="284" t="str">
        <f>IF(samenstelling!C58=0,"",samenstelling!H58)</f>
        <v/>
      </c>
      <c r="H37" s="284"/>
      <c r="I37" s="284"/>
      <c r="J37" s="285"/>
      <c r="K37" s="208"/>
      <c r="L37" s="270"/>
      <c r="M37" s="209"/>
      <c r="N37" s="209"/>
      <c r="O37" s="209"/>
      <c r="P37" s="209"/>
      <c r="Q37" s="278" t="str">
        <f>IF(R37="","","30 °C, 10 Hz")</f>
        <v/>
      </c>
      <c r="R37" s="2235" t="str">
        <f>IF(studie!E514="J",IF(studie!K527="","",studie!K527),"")</f>
        <v/>
      </c>
      <c r="S37" s="2236"/>
      <c r="T37" s="260" t="str">
        <f>IF(R37="","","MPa")</f>
        <v/>
      </c>
    </row>
    <row r="38" spans="1:20" s="206" customFormat="1" ht="14.15" customHeight="1" x14ac:dyDescent="0.35">
      <c r="A38" s="2253">
        <f>IF(samenstelling!C68=0,"",samenstelling!C68)</f>
        <v>0.33</v>
      </c>
      <c r="B38" s="2254"/>
      <c r="C38" s="209" t="str">
        <f>IF(samenstelling!C68=0,"",samenstelling!E68)</f>
        <v>Afdruipremmer</v>
      </c>
      <c r="D38" s="209"/>
      <c r="E38" s="209"/>
      <c r="F38" s="209"/>
      <c r="G38" s="209"/>
      <c r="H38" s="209"/>
      <c r="I38" s="209"/>
      <c r="J38" s="260"/>
      <c r="K38" s="208"/>
      <c r="L38" s="251" t="str">
        <f>IF(R38="","","Vermoeiingsweerstand")</f>
        <v>Vermoeiingsweerstand</v>
      </c>
      <c r="M38" s="252"/>
      <c r="N38" s="252"/>
      <c r="O38" s="252"/>
      <c r="P38" s="252"/>
      <c r="Q38" s="252"/>
      <c r="R38" s="2235">
        <f>IF(studie!E537="J",studie!K549,"")</f>
        <v>150</v>
      </c>
      <c r="S38" s="2236"/>
      <c r="T38" s="260" t="str">
        <f>IF(R38="","","µS")</f>
        <v>µS</v>
      </c>
    </row>
    <row r="39" spans="1:20" s="206" customFormat="1" ht="14.15" customHeight="1" x14ac:dyDescent="0.35">
      <c r="A39" s="2245" t="str">
        <f>IF(samenstelling!C69=0,"",samenstelling!C69)</f>
        <v/>
      </c>
      <c r="B39" s="2246"/>
      <c r="C39" s="252" t="str">
        <f>IF(samenstelling!C69=0,"",samenstelling!E69)</f>
        <v/>
      </c>
      <c r="D39" s="252"/>
      <c r="E39" s="252"/>
      <c r="F39" s="252"/>
      <c r="G39" s="252"/>
      <c r="H39" s="252"/>
      <c r="I39" s="252"/>
      <c r="J39" s="261"/>
      <c r="K39" s="208"/>
      <c r="L39" s="251" t="str">
        <f>IF(S39="","","Spoorvorming")</f>
        <v>Spoorvorming</v>
      </c>
      <c r="M39" s="252"/>
      <c r="N39" s="252"/>
      <c r="O39" s="252"/>
      <c r="P39" s="252"/>
      <c r="Q39" s="252"/>
      <c r="R39" s="272"/>
      <c r="S39" s="286">
        <f>IF(studie!E325="J",studie!D341,"")</f>
        <v>7.2</v>
      </c>
      <c r="T39" s="260" t="str">
        <f>IF(S39="","","%")</f>
        <v>%</v>
      </c>
    </row>
    <row r="40" spans="1:20" s="206" customFormat="1" ht="14.15" customHeight="1" x14ac:dyDescent="0.35">
      <c r="A40" s="2245">
        <f>IF(samenstelling!C70=0,"",samenstelling!C70)</f>
        <v>2.82</v>
      </c>
      <c r="B40" s="2246"/>
      <c r="C40" s="252" t="str">
        <f>IF(samenstelling!C70=0,"",samenstelling!E70)</f>
        <v>Rode kleurstof</v>
      </c>
      <c r="D40" s="252"/>
      <c r="E40" s="252"/>
      <c r="F40" s="252"/>
      <c r="G40" s="252"/>
      <c r="H40" s="252"/>
      <c r="I40" s="252"/>
      <c r="J40" s="261"/>
      <c r="K40" s="208"/>
      <c r="L40" s="275" t="str">
        <f>IF(AND(S40="",S41=""),"","Afdruip:")</f>
        <v/>
      </c>
      <c r="M40" s="207"/>
      <c r="N40" s="283" t="str">
        <f>IF(S40="","","bij")</f>
        <v/>
      </c>
      <c r="O40" s="309" t="str">
        <f>IF(S40="","",studie!E358)</f>
        <v/>
      </c>
      <c r="Q40" s="289" t="str">
        <f>IF(S40="","","% vezels")</f>
        <v/>
      </c>
      <c r="R40" s="272"/>
      <c r="S40" s="286" t="str">
        <f>studie!J412</f>
        <v/>
      </c>
      <c r="T40" s="260" t="str">
        <f>IF(S40="","","%")</f>
        <v/>
      </c>
    </row>
    <row r="41" spans="1:20" s="206" customFormat="1" ht="14.15" customHeight="1" x14ac:dyDescent="0.35">
      <c r="A41" s="2245" t="str">
        <f>IF(samenstelling!C71=0,"",samenstelling!C71)</f>
        <v/>
      </c>
      <c r="B41" s="2246"/>
      <c r="C41" s="252" t="str">
        <f>IF(samenstelling!C71=0,"",samenstelling!E71)</f>
        <v/>
      </c>
      <c r="D41" s="252"/>
      <c r="E41" s="252"/>
      <c r="F41" s="252"/>
      <c r="G41" s="252"/>
      <c r="H41" s="252"/>
      <c r="I41" s="252"/>
      <c r="J41" s="261"/>
      <c r="K41" s="208"/>
      <c r="L41" s="270"/>
      <c r="M41" s="209"/>
      <c r="N41" s="265" t="str">
        <f>IF(S41="","","bij")</f>
        <v/>
      </c>
      <c r="O41" s="209" t="str">
        <f>IF(S41="","",studie!E387)</f>
        <v/>
      </c>
      <c r="Q41" s="278" t="str">
        <f>IF(S41="","","% vezels")</f>
        <v/>
      </c>
      <c r="R41" s="272"/>
      <c r="S41" s="286" t="str">
        <f>studie!J413</f>
        <v/>
      </c>
      <c r="T41" s="260" t="str">
        <f>IF(S41="","","%")</f>
        <v/>
      </c>
    </row>
    <row r="42" spans="1:20" s="206" customFormat="1" ht="14.15" customHeight="1" x14ac:dyDescent="0.35">
      <c r="A42" s="2245" t="str">
        <f>IF(samenstelling!C72=0,"",samenstelling!C72)</f>
        <v/>
      </c>
      <c r="B42" s="2246"/>
      <c r="C42" s="252" t="str">
        <f>IF(samenstelling!C72=0,"",samenstelling!E72)</f>
        <v/>
      </c>
      <c r="D42" s="252"/>
      <c r="E42" s="252"/>
      <c r="F42" s="252"/>
      <c r="G42" s="252"/>
      <c r="H42" s="252"/>
      <c r="I42" s="252"/>
      <c r="J42" s="261"/>
      <c r="K42" s="208"/>
      <c r="L42" s="251" t="str">
        <f>IF(S42="","","Deeltjesverlies (Cantabro)")</f>
        <v>Deeltjesverlies (Cantabro)</v>
      </c>
      <c r="M42" s="252"/>
      <c r="N42" s="252"/>
      <c r="O42" s="252"/>
      <c r="P42" s="252"/>
      <c r="Q42" s="252"/>
      <c r="R42" s="272"/>
      <c r="S42" s="274">
        <f>studie!I459</f>
        <v>38</v>
      </c>
      <c r="T42" s="260" t="str">
        <f>IF(S42="","","%")</f>
        <v>%</v>
      </c>
    </row>
    <row r="43" spans="1:20" s="206" customFormat="1" ht="14.15" customHeight="1" x14ac:dyDescent="0.35">
      <c r="A43" s="2245">
        <f>IF(samenstelling!C73=0,IF(samenstelling!D73=0,"",samenstelling!C153),samenstelling!C73)</f>
        <v>0.10395</v>
      </c>
      <c r="B43" s="2246"/>
      <c r="C43" s="252" t="str">
        <f>IF(AND(samenstelling!C73=0,samenstelling!D73=0),"",samenstelling!E73)</f>
        <v>Trinidad</v>
      </c>
      <c r="D43" s="252"/>
      <c r="E43" s="252"/>
      <c r="F43" s="252"/>
      <c r="G43" s="252"/>
      <c r="H43" s="252"/>
      <c r="I43" s="252"/>
      <c r="J43" s="261"/>
      <c r="K43" s="208"/>
      <c r="L43" s="275" t="str">
        <f>IF(S43="","","Indrukking:")</f>
        <v>Indrukking:</v>
      </c>
      <c r="M43" s="207"/>
      <c r="N43" s="207"/>
      <c r="O43" s="207"/>
      <c r="P43" s="207">
        <f>IF(S43="","",studie!I479)</f>
        <v>30</v>
      </c>
      <c r="Q43" s="289" t="str">
        <f>IF(S43="","","min")</f>
        <v>min</v>
      </c>
      <c r="R43" s="272"/>
      <c r="S43" s="252">
        <f>IF(studie!E467="J",studie!E503,"")</f>
        <v>18</v>
      </c>
      <c r="T43" s="260" t="str">
        <f>IF(S43="","","mm")</f>
        <v>mm</v>
      </c>
    </row>
    <row r="44" spans="1:20" s="206" customFormat="1" ht="14.15" customHeight="1" x14ac:dyDescent="0.35">
      <c r="A44" s="2245" t="str">
        <f>IF(samenstelling!C74=0,IF(samenstelling!D74=0,"",samenstelling!C154),samenstelling!C74)</f>
        <v/>
      </c>
      <c r="B44" s="2246"/>
      <c r="C44" s="252" t="str">
        <f>IF(AND(samenstelling!C74=0,samenstelling!D74=0),"",samenstelling!E74)</f>
        <v/>
      </c>
      <c r="D44" s="252"/>
      <c r="E44" s="252"/>
      <c r="F44" s="252"/>
      <c r="G44" s="252"/>
      <c r="H44" s="252"/>
      <c r="I44" s="252"/>
      <c r="J44" s="261"/>
      <c r="K44" s="208"/>
      <c r="L44" s="270"/>
      <c r="M44" s="209"/>
      <c r="O44" s="265" t="str">
        <f>IF(S44="","","toename (na")</f>
        <v>toename (na</v>
      </c>
      <c r="P44" s="209">
        <f>IF(S44="","",studie!I480)</f>
        <v>60</v>
      </c>
      <c r="Q44" s="278" t="str">
        <f>IF(S44="","","min)")</f>
        <v>min)</v>
      </c>
      <c r="R44" s="272"/>
      <c r="S44" s="252">
        <f>IF(studie!E467="J",studie!E504,"")</f>
        <v>20</v>
      </c>
      <c r="T44" s="260" t="str">
        <f>IF(S44="","","mm")</f>
        <v>mm</v>
      </c>
    </row>
    <row r="45" spans="1:20" s="206" customFormat="1" ht="14.15" customHeight="1" x14ac:dyDescent="0.35">
      <c r="A45" s="2245">
        <f>IF(samenstelling!C75=0,IF(samenstelling!D75=0,"",samenstelling!C155),samenstelling!C75)</f>
        <v>0.03</v>
      </c>
      <c r="B45" s="2246"/>
      <c r="C45" s="252" t="str">
        <f>IF(AND(samenstelling!C75=0,samenstelling!D75=0),"",samenstelling!E75)</f>
        <v>Uintah</v>
      </c>
      <c r="D45" s="252"/>
      <c r="E45" s="252"/>
      <c r="F45" s="252"/>
      <c r="G45" s="252"/>
      <c r="H45" s="252"/>
      <c r="I45" s="252"/>
      <c r="J45" s="261"/>
      <c r="K45" s="208"/>
      <c r="L45" s="251" t="str">
        <f>IF(S45="","","Verhinderde krimp")</f>
        <v>Verhinderde krimp</v>
      </c>
      <c r="M45" s="252"/>
      <c r="N45" s="252"/>
      <c r="O45" s="252"/>
      <c r="P45" s="252"/>
      <c r="Q45" s="252"/>
      <c r="R45" s="272"/>
      <c r="S45" s="252">
        <f>IF(studie!E614="J",studie!I622,"")</f>
        <v>-35</v>
      </c>
      <c r="T45" s="260" t="str">
        <f>IF(S45="","","°C")</f>
        <v>°C</v>
      </c>
    </row>
    <row r="46" spans="1:20" s="206" customFormat="1" ht="14.15" customHeight="1" x14ac:dyDescent="0.35">
      <c r="A46" s="2245" t="str">
        <f>IF(samenstelling!C76=0,IF(samenstelling!D76=0,"",samenstelling!C156),samenstelling!C76)</f>
        <v/>
      </c>
      <c r="B46" s="2246"/>
      <c r="C46" s="252" t="str">
        <f>IF(AND(samenstelling!C76=0,samenstelling!D76=0),"",samenstelling!E76)</f>
        <v/>
      </c>
      <c r="D46" s="252"/>
      <c r="E46" s="252"/>
      <c r="F46" s="252"/>
      <c r="G46" s="252"/>
      <c r="H46" s="252"/>
      <c r="I46" s="252"/>
      <c r="J46" s="261"/>
      <c r="K46" s="208"/>
      <c r="L46" s="292" t="str">
        <f>IF(studie!E589="J","Dynamische indeuking na 2500 cycli",IF(studie!E714="","",studie!B714))</f>
        <v>Dynamische indeuking na 2500 cycli</v>
      </c>
      <c r="M46" s="252"/>
      <c r="N46" s="252"/>
      <c r="O46" s="252"/>
      <c r="P46" s="252"/>
      <c r="Q46" s="252"/>
      <c r="R46" s="2273">
        <f>IF(studie!E589="J",studie!K606,IF(studie!E714="","",studie!E714))</f>
        <v>2.5099999999999998</v>
      </c>
      <c r="S46" s="2274"/>
      <c r="T46" s="293" t="str">
        <f>IF(studie!E589="J","mm",IF(studie!E714="","",studie!F714))</f>
        <v>mm</v>
      </c>
    </row>
    <row r="47" spans="1:20" s="206" customFormat="1" ht="14.15" customHeight="1" thickBot="1" x14ac:dyDescent="0.4">
      <c r="A47" s="2278" t="str">
        <f>IF(samenstelling!C77=0,IF(samenstelling!D77=0,"",samenstelling!C157),samenstelling!C77)</f>
        <v/>
      </c>
      <c r="B47" s="2279"/>
      <c r="C47" s="262" t="str">
        <f>IF(AND(samenstelling!C77=0,samenstelling!D77=0),"",samenstelling!E77)</f>
        <v/>
      </c>
      <c r="D47" s="262"/>
      <c r="E47" s="262"/>
      <c r="F47" s="262"/>
      <c r="G47" s="262"/>
      <c r="H47" s="262"/>
      <c r="I47" s="262"/>
      <c r="J47" s="263"/>
      <c r="K47" s="208"/>
      <c r="L47" s="292" t="str">
        <f>IF(studie!E589="J","                                          na "&amp;studie!I599&amp;" cycli",IF(studie!E715="","",studie!B715))</f>
        <v xml:space="preserve">                                          na 5000 cycli</v>
      </c>
      <c r="M47" s="252"/>
      <c r="N47" s="252"/>
      <c r="O47" s="252"/>
      <c r="P47" s="252"/>
      <c r="Q47" s="252"/>
      <c r="R47" s="2273">
        <f>IF(studie!E589="J",studie!K607,IF(studie!E715="","",studie!E715))</f>
        <v>2.34</v>
      </c>
      <c r="S47" s="2274"/>
      <c r="T47" s="293" t="str">
        <f>IF(studie!E589="J","mm",IF(studie!E715="","",studie!F715))</f>
        <v>mm</v>
      </c>
    </row>
    <row r="48" spans="1:20" s="206" customFormat="1" ht="14.15" customHeight="1" x14ac:dyDescent="0.35">
      <c r="A48" s="310" t="s">
        <v>647</v>
      </c>
      <c r="B48" s="296"/>
      <c r="C48" s="208"/>
      <c r="D48" s="208"/>
      <c r="E48" s="208"/>
      <c r="F48" s="208"/>
      <c r="G48" s="208"/>
      <c r="H48" s="291"/>
      <c r="I48" s="291"/>
      <c r="J48" s="291"/>
      <c r="K48" s="208"/>
      <c r="L48" s="292" t="str">
        <f>IF(studie!E716="","",studie!B716)</f>
        <v>proef 3</v>
      </c>
      <c r="M48" s="252"/>
      <c r="N48" s="252"/>
      <c r="O48" s="252"/>
      <c r="P48" s="252"/>
      <c r="Q48" s="252"/>
      <c r="R48" s="2235" t="str">
        <f>IF(studie!E716="","",studie!E716)</f>
        <v>3,00</v>
      </c>
      <c r="S48" s="2236"/>
      <c r="T48" s="293" t="str">
        <f>IF(studie!E716="","",studie!F716)</f>
        <v>hPa</v>
      </c>
    </row>
    <row r="49" spans="1:20" s="206" customFormat="1" ht="14.15" customHeight="1" thickBot="1" x14ac:dyDescent="0.4">
      <c r="A49" s="310" t="str">
        <f>IF(algemeen!E62="J",berekeningen!E7,"")</f>
        <v>0801/1234</v>
      </c>
      <c r="B49" s="296"/>
      <c r="C49" s="208"/>
      <c r="D49" s="310" t="str">
        <f>IF(algemeen!F62="J",berekeningen!H7,"")</f>
        <v>0802/1234</v>
      </c>
      <c r="E49" s="208"/>
      <c r="F49" s="208"/>
      <c r="G49" s="310" t="str">
        <f>IF(algemeen!G62="J",berekeningen!K7,"")</f>
        <v>8031/1234</v>
      </c>
      <c r="H49" s="208"/>
      <c r="I49" s="208"/>
      <c r="J49" s="208"/>
      <c r="K49" s="208"/>
      <c r="L49" s="294" t="str">
        <f>IF(studie!E717="","",studie!B717)</f>
        <v>proef 4</v>
      </c>
      <c r="M49" s="262"/>
      <c r="N49" s="262"/>
      <c r="O49" s="262"/>
      <c r="P49" s="262"/>
      <c r="Q49" s="262"/>
      <c r="R49" s="2275" t="str">
        <f>IF(studie!E717="","",studie!E717)</f>
        <v>4</v>
      </c>
      <c r="S49" s="2276"/>
      <c r="T49" s="295" t="str">
        <f>IF(studie!E717="","",studie!F717)</f>
        <v>N</v>
      </c>
    </row>
    <row r="50" spans="1:20" s="206" customFormat="1" ht="13.15" customHeight="1" x14ac:dyDescent="0.35">
      <c r="H50" s="208"/>
      <c r="I50" s="208"/>
      <c r="J50" s="208"/>
      <c r="K50" s="208"/>
      <c r="L50" s="311"/>
      <c r="M50" s="208"/>
      <c r="N50" s="208"/>
      <c r="O50" s="208"/>
      <c r="P50" s="208"/>
      <c r="Q50" s="208"/>
      <c r="R50" s="312"/>
      <c r="S50" s="312"/>
      <c r="T50" s="311"/>
    </row>
    <row r="51" spans="1:20" s="206" customFormat="1" ht="14.15" customHeight="1" x14ac:dyDescent="0.35">
      <c r="A51" s="208" t="s">
        <v>1256</v>
      </c>
      <c r="B51" s="208"/>
      <c r="C51" s="208"/>
      <c r="D51" s="208"/>
      <c r="E51" s="208"/>
      <c r="F51" s="208"/>
      <c r="G51" s="208" t="str">
        <f>algemeen!E7</f>
        <v>Elfver Vandenbraembussche</v>
      </c>
      <c r="H51" s="208"/>
      <c r="I51" s="208"/>
      <c r="J51" s="208"/>
      <c r="K51" s="208"/>
      <c r="L51" s="208" t="str">
        <f>algemeen!E8</f>
        <v>02 345 67 89</v>
      </c>
      <c r="N51" s="208"/>
      <c r="O51" s="208" t="str">
        <f>algemeen!E9</f>
        <v>tom.christianen@apb.be</v>
      </c>
      <c r="Q51" s="208"/>
      <c r="R51" s="208"/>
      <c r="S51" s="208"/>
      <c r="T51" s="208"/>
    </row>
    <row r="52" spans="1:20" s="206" customFormat="1" ht="13.15" customHeight="1" x14ac:dyDescent="0.35">
      <c r="H52" s="208"/>
      <c r="I52" s="208"/>
      <c r="J52" s="208"/>
      <c r="K52" s="208"/>
      <c r="L52" s="311"/>
      <c r="M52" s="208"/>
      <c r="N52" s="208"/>
      <c r="O52" s="208"/>
      <c r="P52" s="208"/>
      <c r="Q52" s="208"/>
      <c r="R52" s="312"/>
      <c r="S52" s="312"/>
      <c r="T52" s="311"/>
    </row>
    <row r="53" spans="1:20" s="210" customFormat="1" ht="10.5" x14ac:dyDescent="0.35">
      <c r="A53" s="2277" t="str">
        <f>IF(I$2="",IF(I$3="",I$4,I$3),I$2)</f>
        <v>801/64/</v>
      </c>
      <c r="B53" s="2277"/>
      <c r="C53" s="267" t="str">
        <f>algemeen!J$66</f>
        <v>2010/13RE-1234/0</v>
      </c>
      <c r="D53" s="267"/>
      <c r="E53" s="268"/>
      <c r="F53" s="268"/>
      <c r="G53" s="268"/>
      <c r="H53" s="268"/>
      <c r="I53" s="269" t="s">
        <v>609</v>
      </c>
      <c r="J53" s="267">
        <f>berekeningen!O$2</f>
        <v>19</v>
      </c>
      <c r="K53" s="268"/>
      <c r="L53" s="268"/>
      <c r="M53" s="268" t="s">
        <v>610</v>
      </c>
      <c r="N53" s="268"/>
      <c r="O53" s="268"/>
      <c r="P53" s="268"/>
      <c r="Q53" s="268"/>
      <c r="R53" s="268"/>
      <c r="S53" s="268"/>
      <c r="T53" s="268"/>
    </row>
  </sheetData>
  <sheetProtection algorithmName="SHA-512" hashValue="oyyOhdnd/PtQndqIr8lRGnGRl2VjUXTcctChjeA054Z4gsNHdCb45ZwinVX1QbH8KmeGrevU/NNOoij3oGvBeA==" saltValue="dX7YvNECF8n5pT99E9Sm4w==" spinCount="100000" sheet="1" objects="1" scenarios="1"/>
  <mergeCells count="48">
    <mergeCell ref="R46:S46"/>
    <mergeCell ref="R47:S47"/>
    <mergeCell ref="R48:S48"/>
    <mergeCell ref="R49:S49"/>
    <mergeCell ref="A53:B53"/>
    <mergeCell ref="A47:B47"/>
    <mergeCell ref="A43:B43"/>
    <mergeCell ref="A44:B44"/>
    <mergeCell ref="A45:B45"/>
    <mergeCell ref="A46:B46"/>
    <mergeCell ref="F12:G12"/>
    <mergeCell ref="F13:G13"/>
    <mergeCell ref="F14:G14"/>
    <mergeCell ref="F15:G15"/>
    <mergeCell ref="F16:G16"/>
    <mergeCell ref="A19:B19"/>
    <mergeCell ref="A20:B20"/>
    <mergeCell ref="A21:B21"/>
    <mergeCell ref="A22:B22"/>
    <mergeCell ref="A34:B34"/>
    <mergeCell ref="A33:B33"/>
    <mergeCell ref="A28:B28"/>
    <mergeCell ref="A29:B29"/>
    <mergeCell ref="A30:B30"/>
    <mergeCell ref="A31:B31"/>
    <mergeCell ref="A32:B32"/>
    <mergeCell ref="A23:B23"/>
    <mergeCell ref="A24:B24"/>
    <mergeCell ref="A25:B25"/>
    <mergeCell ref="A26:B26"/>
    <mergeCell ref="A27:B27"/>
    <mergeCell ref="A41:B41"/>
    <mergeCell ref="A42:B42"/>
    <mergeCell ref="A35:B35"/>
    <mergeCell ref="A36:B36"/>
    <mergeCell ref="A37:B37"/>
    <mergeCell ref="A38:B38"/>
    <mergeCell ref="A39:B39"/>
    <mergeCell ref="A40:B40"/>
    <mergeCell ref="R37:S37"/>
    <mergeCell ref="R38:S38"/>
    <mergeCell ref="R34:S34"/>
    <mergeCell ref="R11:S11"/>
    <mergeCell ref="O28:P28"/>
    <mergeCell ref="O27:P27"/>
    <mergeCell ref="R35:S35"/>
    <mergeCell ref="R36:S36"/>
    <mergeCell ref="R33:S33"/>
  </mergeCells>
  <pageMargins left="0.59055118110236227" right="0.23622047244094491" top="0.39370078740157483" bottom="0.59055118110236227"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8"/>
  <sheetViews>
    <sheetView workbookViewId="0">
      <selection activeCell="F32" sqref="F32"/>
    </sheetView>
  </sheetViews>
  <sheetFormatPr defaultColWidth="9.1796875" defaultRowHeight="13" x14ac:dyDescent="0.3"/>
  <cols>
    <col min="1" max="2" width="2.7265625" style="318" customWidth="1"/>
    <col min="3" max="25" width="5.7265625" style="318" customWidth="1"/>
    <col min="26" max="26" width="3.7265625" style="318" customWidth="1"/>
    <col min="27" max="31" width="5.7265625" style="318" customWidth="1"/>
    <col min="32" max="16384" width="9.1796875" style="318"/>
  </cols>
  <sheetData>
    <row r="1" spans="1:26" ht="14.9" customHeight="1" x14ac:dyDescent="0.3">
      <c r="A1" s="2281" t="str">
        <f>'VN1'!A53</f>
        <v>801/64/</v>
      </c>
      <c r="C1" s="389" t="s">
        <v>113</v>
      </c>
      <c r="D1" s="390"/>
      <c r="E1" s="390"/>
      <c r="F1" s="390"/>
      <c r="G1" s="390"/>
      <c r="H1" s="390"/>
      <c r="I1" s="390"/>
      <c r="J1" s="390"/>
      <c r="K1" s="390"/>
      <c r="L1" s="390"/>
      <c r="M1" s="390"/>
      <c r="N1" s="390"/>
      <c r="O1" s="390"/>
      <c r="P1" s="390"/>
      <c r="Q1" s="390"/>
      <c r="R1" s="390"/>
      <c r="S1" s="390"/>
      <c r="T1" s="390"/>
      <c r="U1" s="390"/>
      <c r="V1" s="390"/>
      <c r="W1" s="390"/>
      <c r="X1" s="390"/>
      <c r="Y1" s="391"/>
      <c r="Z1" s="2280" t="s">
        <v>699</v>
      </c>
    </row>
    <row r="2" spans="1:26" ht="14.9" customHeight="1" x14ac:dyDescent="0.3">
      <c r="A2" s="2281"/>
      <c r="C2" s="413" t="s">
        <v>114</v>
      </c>
      <c r="D2" s="414" t="s">
        <v>182</v>
      </c>
      <c r="E2" s="415" t="s">
        <v>115</v>
      </c>
      <c r="F2" s="415"/>
      <c r="G2" s="414" t="s">
        <v>116</v>
      </c>
      <c r="H2" s="427"/>
      <c r="I2" s="415" t="s">
        <v>1413</v>
      </c>
      <c r="J2" s="415"/>
      <c r="K2" s="415" t="s">
        <v>119</v>
      </c>
      <c r="L2" s="415"/>
      <c r="M2" s="415"/>
      <c r="N2" s="415" t="s">
        <v>120</v>
      </c>
      <c r="O2" s="415"/>
      <c r="P2" s="415"/>
      <c r="Q2" s="414" t="s">
        <v>121</v>
      </c>
      <c r="R2" s="415" t="s">
        <v>122</v>
      </c>
      <c r="S2" s="415"/>
      <c r="T2" s="415" t="s">
        <v>700</v>
      </c>
      <c r="U2" s="415" t="s">
        <v>428</v>
      </c>
      <c r="V2" s="415" t="s">
        <v>702</v>
      </c>
      <c r="W2" s="415" t="s">
        <v>703</v>
      </c>
      <c r="X2" s="415" t="s">
        <v>704</v>
      </c>
      <c r="Y2" s="903" t="s">
        <v>876</v>
      </c>
      <c r="Z2" s="2280"/>
    </row>
    <row r="3" spans="1:26" ht="14.9" customHeight="1" x14ac:dyDescent="0.3">
      <c r="A3" s="2281"/>
      <c r="C3" s="413"/>
      <c r="D3" s="414"/>
      <c r="E3" s="415"/>
      <c r="F3" s="415"/>
      <c r="G3" s="415"/>
      <c r="H3" s="434"/>
      <c r="I3" s="415" t="s">
        <v>118</v>
      </c>
      <c r="J3" s="415"/>
      <c r="K3" s="415"/>
      <c r="L3" s="415"/>
      <c r="M3" s="415"/>
      <c r="N3" s="415"/>
      <c r="O3" s="415"/>
      <c r="P3" s="415"/>
      <c r="Q3" s="414"/>
      <c r="R3" s="415"/>
      <c r="S3" s="415" t="s">
        <v>418</v>
      </c>
      <c r="T3" s="415"/>
      <c r="U3" s="415"/>
      <c r="V3" s="415"/>
      <c r="W3" s="415"/>
      <c r="X3" s="415"/>
      <c r="Y3" s="416"/>
      <c r="Z3" s="2280"/>
    </row>
    <row r="4" spans="1:26" ht="14.9" customHeight="1" x14ac:dyDescent="0.3">
      <c r="A4" s="2282" t="str">
        <f>algemeen!J66</f>
        <v>2010/13RE-1234/0</v>
      </c>
      <c r="C4" s="398">
        <f>IF(samenstelling!$B8="","",samenstelling!B8)</f>
        <v>1</v>
      </c>
      <c r="D4" s="402">
        <f>IF(samenstelling!$B8="","",samenstelling!C8)</f>
        <v>5.0999999999999996</v>
      </c>
      <c r="E4" s="395" t="str">
        <f>IF(samenstelling!$B8="","",samenstelling!E8)</f>
        <v>Kalksteen</v>
      </c>
      <c r="F4" s="395"/>
      <c r="G4" s="395" t="str">
        <f>IF(samenstelling!$B8="","",samenstelling!H8)</f>
        <v>14/20</v>
      </c>
      <c r="H4" s="449"/>
      <c r="I4" s="395" t="str">
        <f>IF(samenstelling!$B8="","",samenstelling!I8)</f>
        <v>Aa1 I f1</v>
      </c>
      <c r="J4" s="395"/>
      <c r="K4" s="395" t="str">
        <f>IF(samenstelling!$B8="","",samenstelling!K8)</f>
        <v>Gralex</v>
      </c>
      <c r="L4" s="395"/>
      <c r="M4" s="395"/>
      <c r="N4" s="395" t="str">
        <f>IF(samenstelling!$B8="","",samenstelling!N8)</f>
        <v>Beez</v>
      </c>
      <c r="O4" s="395"/>
      <c r="P4" s="395"/>
      <c r="Q4" s="395" t="str">
        <f>IF(samenstelling!$B8="","",samenstelling!Q8)</f>
        <v>BENOR</v>
      </c>
      <c r="R4" s="473"/>
      <c r="S4" s="813">
        <f>IF(samenstelling!$B8="","",samenstelling!S8)</f>
        <v>2.7890000000000001</v>
      </c>
      <c r="T4" s="395">
        <f>IF(samenstelling!$B8="","",samenstelling!AM8)</f>
        <v>15</v>
      </c>
      <c r="U4" s="395" t="str">
        <f>IF(samenstelling!$B8="","",samenstelling!AN8)</f>
        <v>100/0</v>
      </c>
      <c r="V4" s="410">
        <f>IF(samenstelling!$B8="","",samenstelling!AO8)</f>
        <v>25</v>
      </c>
      <c r="W4" s="395">
        <f>IF(samenstelling!$B8="","",samenstelling!AP8)</f>
        <v>10</v>
      </c>
      <c r="X4" s="395">
        <f>IF(samenstelling!$B8="","",samenstelling!AQ8)</f>
        <v>35</v>
      </c>
      <c r="Y4" s="399">
        <f>IF(samenstelling!$B8="","",samenstelling!AR8)</f>
        <v>50</v>
      </c>
      <c r="Z4" s="2280"/>
    </row>
    <row r="5" spans="1:26" ht="14.9" customHeight="1" x14ac:dyDescent="0.3">
      <c r="A5" s="2282"/>
      <c r="C5" s="292">
        <f>IF(samenstelling!$B9="","",samenstelling!B9)</f>
        <v>2</v>
      </c>
      <c r="D5" s="403">
        <f>IF(samenstelling!$B9="","",samenstelling!C9)</f>
        <v>10.199999999999999</v>
      </c>
      <c r="E5" s="396" t="str">
        <f>IF(samenstelling!$B9="","",samenstelling!E9)</f>
        <v>Porfier</v>
      </c>
      <c r="F5" s="396"/>
      <c r="G5" s="396" t="str">
        <f>IF(samenstelling!$B9="","",samenstelling!H9)</f>
        <v>6/14</v>
      </c>
      <c r="H5" s="438"/>
      <c r="I5" s="396" t="str">
        <f>IF(samenstelling!$B9="","",samenstelling!I9)</f>
        <v>BB2 II f2</v>
      </c>
      <c r="J5" s="396"/>
      <c r="K5" s="396" t="str">
        <f>IF(samenstelling!$B9="","",samenstelling!K9)</f>
        <v>Holcim</v>
      </c>
      <c r="L5" s="396"/>
      <c r="M5" s="396"/>
      <c r="N5" s="396" t="str">
        <f>IF(samenstelling!$B9="","",samenstelling!N9)</f>
        <v>Soignies</v>
      </c>
      <c r="O5" s="396"/>
      <c r="P5" s="396"/>
      <c r="Q5" s="396" t="str">
        <f>IF(samenstelling!$B9="","",samenstelling!Q9)</f>
        <v>BENOR</v>
      </c>
      <c r="R5" s="438"/>
      <c r="S5" s="1253">
        <f>IF(samenstelling!$B9="","",samenstelling!S9)</f>
        <v>2.7879999999999998</v>
      </c>
      <c r="T5" s="396">
        <f>IF(samenstelling!$B9="","",samenstelling!AM9)</f>
        <v>20</v>
      </c>
      <c r="U5" s="396" t="str">
        <f>IF(samenstelling!$B9="","",samenstelling!AN9)</f>
        <v>100/0</v>
      </c>
      <c r="V5" s="411">
        <f>IF(samenstelling!$B9="","",samenstelling!AO9)</f>
        <v>30</v>
      </c>
      <c r="W5" s="396">
        <f>IF(samenstelling!$B9="","",samenstelling!AP9)</f>
        <v>15</v>
      </c>
      <c r="X5" s="396">
        <f>IF(samenstelling!$B9="","",samenstelling!AQ9)</f>
        <v>40</v>
      </c>
      <c r="Y5" s="293">
        <f>IF(samenstelling!$B9="","",samenstelling!AR9)</f>
        <v>52</v>
      </c>
      <c r="Z5" s="2280"/>
    </row>
    <row r="6" spans="1:26" ht="14.9" customHeight="1" x14ac:dyDescent="0.3">
      <c r="A6" s="2282"/>
      <c r="C6" s="292">
        <f>IF(samenstelling!$B10="","",samenstelling!B10)</f>
        <v>3</v>
      </c>
      <c r="D6" s="403">
        <f>IF(samenstelling!$B10="","",samenstelling!C10)</f>
        <v>15.3</v>
      </c>
      <c r="E6" s="396" t="str">
        <f>IF(samenstelling!$B10="","",samenstelling!E10)</f>
        <v>Rode zandsteen</v>
      </c>
      <c r="F6" s="396"/>
      <c r="G6" s="396" t="str">
        <f>IF(samenstelling!$B10="","",samenstelling!H10)</f>
        <v>0/2 (0/0,05)</v>
      </c>
      <c r="H6" s="438"/>
      <c r="I6" s="396" t="str">
        <f>IF(samenstelling!$B10="","",samenstelling!I10)</f>
        <v>Af22aPA Ecs30</v>
      </c>
      <c r="J6" s="396"/>
      <c r="K6" s="396" t="str">
        <f>IF(samenstelling!$B10="","",samenstelling!K10)</f>
        <v>Porfibel</v>
      </c>
      <c r="L6" s="396"/>
      <c r="M6" s="396"/>
      <c r="N6" s="396" t="str">
        <f>IF(samenstelling!$B10="","",samenstelling!N10)</f>
        <v>Neufvilles</v>
      </c>
      <c r="O6" s="396"/>
      <c r="P6" s="396"/>
      <c r="Q6" s="396" t="str">
        <f>IF(samenstelling!$B10="","",samenstelling!Q10)</f>
        <v>BENOR</v>
      </c>
      <c r="R6" s="438"/>
      <c r="S6" s="1253">
        <f>IF(samenstelling!$B10="","",samenstelling!S10)</f>
        <v>2.786</v>
      </c>
      <c r="T6" s="396">
        <f>IF(samenstelling!$B10="","",samenstelling!AM10)</f>
        <v>25</v>
      </c>
      <c r="U6" s="396" t="str">
        <f>IF(samenstelling!$B10="","",samenstelling!AN10)</f>
        <v>95/3</v>
      </c>
      <c r="V6" s="411">
        <f>IF(samenstelling!$B10="","",samenstelling!AO10)</f>
        <v>35</v>
      </c>
      <c r="W6" s="396">
        <f>IF(samenstelling!$B10="","",samenstelling!AP10)</f>
        <v>20</v>
      </c>
      <c r="X6" s="396">
        <f>IF(samenstelling!$B10="","",samenstelling!AQ10)</f>
        <v>45</v>
      </c>
      <c r="Y6" s="293">
        <f>IF(samenstelling!$B10="","",samenstelling!AR10)</f>
        <v>54</v>
      </c>
      <c r="Z6" s="2280"/>
    </row>
    <row r="7" spans="1:26" ht="14.9" customHeight="1" x14ac:dyDescent="0.3">
      <c r="A7" s="2282"/>
      <c r="C7" s="292" t="str">
        <f>IF(samenstelling!$B11="","",samenstelling!B11)</f>
        <v/>
      </c>
      <c r="D7" s="403" t="str">
        <f>IF(samenstelling!$B11="","",samenstelling!C11)</f>
        <v/>
      </c>
      <c r="E7" s="396" t="str">
        <f>IF(samenstelling!$B11="","",samenstelling!E11)</f>
        <v/>
      </c>
      <c r="F7" s="396"/>
      <c r="G7" s="396" t="str">
        <f>IF(samenstelling!$B11="","",samenstelling!H11)</f>
        <v/>
      </c>
      <c r="H7" s="438"/>
      <c r="I7" s="396" t="str">
        <f>IF(samenstelling!$B11="","",samenstelling!I11)</f>
        <v/>
      </c>
      <c r="J7" s="396"/>
      <c r="K7" s="396" t="str">
        <f>IF(samenstelling!$B11="","",samenstelling!K11)</f>
        <v/>
      </c>
      <c r="L7" s="396"/>
      <c r="M7" s="396"/>
      <c r="N7" s="396" t="str">
        <f>IF(samenstelling!$B11="","",samenstelling!N11)</f>
        <v/>
      </c>
      <c r="O7" s="396"/>
      <c r="P7" s="396"/>
      <c r="Q7" s="396" t="str">
        <f>IF(samenstelling!$B11="","",samenstelling!Q11)</f>
        <v/>
      </c>
      <c r="R7" s="438"/>
      <c r="S7" s="1253" t="str">
        <f>IF(samenstelling!$B11="","",samenstelling!S11)</f>
        <v/>
      </c>
      <c r="T7" s="396" t="str">
        <f>IF(samenstelling!$B11="","",samenstelling!AM11)</f>
        <v/>
      </c>
      <c r="U7" s="396" t="str">
        <f>IF(samenstelling!$B11="","",samenstelling!AN11)</f>
        <v/>
      </c>
      <c r="V7" s="411" t="str">
        <f>IF(samenstelling!$B11="","",samenstelling!AO11)</f>
        <v/>
      </c>
      <c r="W7" s="396" t="str">
        <f>IF(samenstelling!$B11="","",samenstelling!AP11)</f>
        <v/>
      </c>
      <c r="X7" s="396" t="str">
        <f>IF(samenstelling!$B11="","",samenstelling!AQ11)</f>
        <v/>
      </c>
      <c r="Y7" s="293" t="str">
        <f>IF(samenstelling!$B11="","",samenstelling!AR11)</f>
        <v/>
      </c>
      <c r="Z7" s="2280"/>
    </row>
    <row r="8" spans="1:26" ht="14.9" customHeight="1" x14ac:dyDescent="0.3">
      <c r="A8" s="2282"/>
      <c r="C8" s="292" t="str">
        <f>IF(samenstelling!$B12="","",samenstelling!B12)</f>
        <v/>
      </c>
      <c r="D8" s="403" t="str">
        <f>IF(samenstelling!$B12="","",samenstelling!C12)</f>
        <v/>
      </c>
      <c r="E8" s="396" t="str">
        <f>IF(samenstelling!$B12="","",samenstelling!E12)</f>
        <v/>
      </c>
      <c r="F8" s="396"/>
      <c r="G8" s="396" t="str">
        <f>IF(samenstelling!$B12="","",samenstelling!H12)</f>
        <v/>
      </c>
      <c r="H8" s="438"/>
      <c r="I8" s="396" t="str">
        <f>IF(samenstelling!$B12="","",samenstelling!I12)</f>
        <v/>
      </c>
      <c r="J8" s="396"/>
      <c r="K8" s="396" t="str">
        <f>IF(samenstelling!$B12="","",samenstelling!K12)</f>
        <v/>
      </c>
      <c r="L8" s="396"/>
      <c r="M8" s="396"/>
      <c r="N8" s="396" t="str">
        <f>IF(samenstelling!$B12="","",samenstelling!N12)</f>
        <v/>
      </c>
      <c r="O8" s="396"/>
      <c r="P8" s="396"/>
      <c r="Q8" s="396" t="str">
        <f>IF(samenstelling!$B12="","",samenstelling!Q12)</f>
        <v/>
      </c>
      <c r="R8" s="438"/>
      <c r="S8" s="1253" t="str">
        <f>IF(samenstelling!$B12="","",samenstelling!S12)</f>
        <v/>
      </c>
      <c r="T8" s="396" t="str">
        <f>IF(samenstelling!$B12="","",samenstelling!AM12)</f>
        <v/>
      </c>
      <c r="U8" s="396" t="str">
        <f>IF(samenstelling!$B12="","",samenstelling!AN12)</f>
        <v/>
      </c>
      <c r="V8" s="411" t="str">
        <f>IF(samenstelling!$B12="","",samenstelling!AO12)</f>
        <v/>
      </c>
      <c r="W8" s="396" t="str">
        <f>IF(samenstelling!$B12="","",samenstelling!AP12)</f>
        <v/>
      </c>
      <c r="X8" s="396" t="str">
        <f>IF(samenstelling!$B12="","",samenstelling!AQ12)</f>
        <v/>
      </c>
      <c r="Y8" s="293" t="str">
        <f>IF(samenstelling!$B12="","",samenstelling!AR12)</f>
        <v/>
      </c>
      <c r="Z8" s="2280"/>
    </row>
    <row r="9" spans="1:26" ht="14.9" customHeight="1" x14ac:dyDescent="0.3">
      <c r="A9" s="2282"/>
      <c r="C9" s="292">
        <f>IF(samenstelling!$B13="","",samenstelling!B13)</f>
        <v>6</v>
      </c>
      <c r="D9" s="403">
        <f>IF(samenstelling!$B13="","",samenstelling!C13)</f>
        <v>35.299999999999997</v>
      </c>
      <c r="E9" s="396" t="str">
        <f>IF(samenstelling!$B13="","",samenstelling!E13)</f>
        <v>Slakken</v>
      </c>
      <c r="F9" s="396"/>
      <c r="G9" s="396" t="str">
        <f>IF(samenstelling!$B13="","",samenstelling!H13)</f>
        <v>6/10</v>
      </c>
      <c r="H9" s="438"/>
      <c r="I9" s="396" t="str">
        <f>IF(samenstelling!$B13="","",samenstelling!I13)</f>
        <v>Dd4 IV f4</v>
      </c>
      <c r="J9" s="396"/>
      <c r="K9" s="396" t="str">
        <f>IF(samenstelling!$B13="","",samenstelling!K13)</f>
        <v>SDF</v>
      </c>
      <c r="L9" s="396"/>
      <c r="M9" s="396"/>
      <c r="N9" s="396" t="str">
        <f>IF(samenstelling!$B13="","",samenstelling!N13)</f>
        <v>Genk</v>
      </c>
      <c r="O9" s="396"/>
      <c r="P9" s="396"/>
      <c r="Q9" s="396" t="str">
        <f>IF(samenstelling!$B13="","",samenstelling!Q13)</f>
        <v>intern</v>
      </c>
      <c r="R9" s="438"/>
      <c r="S9" s="1253">
        <f>IF(samenstelling!$B13="","",samenstelling!S13)</f>
        <v>3.21</v>
      </c>
      <c r="T9" s="396">
        <f>IF(samenstelling!$B13="","",samenstelling!AM13)</f>
        <v>30</v>
      </c>
      <c r="U9" s="396" t="str">
        <f>IF(samenstelling!$B13="","",samenstelling!AN13)</f>
        <v>100/0</v>
      </c>
      <c r="V9" s="411">
        <f>IF(samenstelling!$B13="","",samenstelling!AO13)</f>
        <v>38</v>
      </c>
      <c r="W9" s="396">
        <f>IF(samenstelling!$B13="","",samenstelling!AP13)</f>
        <v>25</v>
      </c>
      <c r="X9" s="396">
        <f>IF(samenstelling!$B13="","",samenstelling!AQ13)</f>
        <v>50</v>
      </c>
      <c r="Y9" s="293">
        <f>IF(samenstelling!$B13="","",samenstelling!AR13)</f>
        <v>56</v>
      </c>
    </row>
    <row r="10" spans="1:26" ht="14.9" customHeight="1" x14ac:dyDescent="0.3">
      <c r="A10" s="2282"/>
      <c r="C10" s="292">
        <f>IF(samenstelling!$B14="","",samenstelling!B14)</f>
        <v>11</v>
      </c>
      <c r="D10" s="403">
        <f>IF(samenstelling!$B14="","",samenstelling!C14)</f>
        <v>0</v>
      </c>
      <c r="E10" s="396" t="str">
        <f>IF(samenstelling!$B14="","",samenstelling!E14)</f>
        <v>Kalksteen</v>
      </c>
      <c r="F10" s="396"/>
      <c r="G10" s="396" t="str">
        <f>IF(samenstelling!$B14="","",samenstelling!H14)</f>
        <v>14/20</v>
      </c>
      <c r="H10" s="438"/>
      <c r="I10" s="396" t="str">
        <f>IF(samenstelling!$B14="","",samenstelling!I14)</f>
        <v>Aa1 I f1</v>
      </c>
      <c r="J10" s="396"/>
      <c r="K10" s="396" t="str">
        <f>IF(samenstelling!$B14="","",samenstelling!K14)</f>
        <v>Gralex</v>
      </c>
      <c r="L10" s="396"/>
      <c r="M10" s="396"/>
      <c r="N10" s="396" t="str">
        <f>IF(samenstelling!$B14="","",samenstelling!N14)</f>
        <v>Beez</v>
      </c>
      <c r="O10" s="396"/>
      <c r="P10" s="396"/>
      <c r="Q10" s="396" t="str">
        <f>IF(samenstelling!$B14="","",samenstelling!Q14)</f>
        <v>BENOR</v>
      </c>
      <c r="R10" s="438"/>
      <c r="S10" s="1253">
        <f>IF(samenstelling!$B14="","",samenstelling!S14)</f>
        <v>2.7789999999999999</v>
      </c>
      <c r="T10" s="396">
        <f>IF(samenstelling!$B14="","",samenstelling!AM14)</f>
        <v>15</v>
      </c>
      <c r="U10" s="396" t="str">
        <f>IF(samenstelling!$B14="","",samenstelling!AN14)</f>
        <v>100/0</v>
      </c>
      <c r="V10" s="411">
        <f>IF(samenstelling!$B14="","",samenstelling!AO14)</f>
        <v>25</v>
      </c>
      <c r="W10" s="396">
        <f>IF(samenstelling!$B14="","",samenstelling!AP14)</f>
        <v>10</v>
      </c>
      <c r="X10" s="396">
        <f>IF(samenstelling!$B14="","",samenstelling!AQ14)</f>
        <v>35</v>
      </c>
      <c r="Y10" s="293">
        <f>IF(samenstelling!$B14="","",samenstelling!AR14)</f>
        <v>58</v>
      </c>
    </row>
    <row r="11" spans="1:26" ht="14.9" customHeight="1" x14ac:dyDescent="0.3">
      <c r="A11" s="2282"/>
      <c r="C11" s="292">
        <f>IF(samenstelling!$B15="","",samenstelling!B15)</f>
        <v>12</v>
      </c>
      <c r="D11" s="403">
        <f>IF(samenstelling!$B15="","",samenstelling!C15)</f>
        <v>0</v>
      </c>
      <c r="E11" s="396" t="str">
        <f>IF(samenstelling!$B15="","",samenstelling!E15)</f>
        <v>Porfier</v>
      </c>
      <c r="F11" s="396"/>
      <c r="G11" s="396" t="str">
        <f>IF(samenstelling!$B15="","",samenstelling!H15)</f>
        <v>6/14</v>
      </c>
      <c r="H11" s="438"/>
      <c r="I11" s="396" t="str">
        <f>IF(samenstelling!$B15="","",samenstelling!I15)</f>
        <v>BB2 II f2</v>
      </c>
      <c r="J11" s="396"/>
      <c r="K11" s="396" t="str">
        <f>IF(samenstelling!$B15="","",samenstelling!K15)</f>
        <v>Holcim</v>
      </c>
      <c r="L11" s="396"/>
      <c r="M11" s="396"/>
      <c r="N11" s="396" t="str">
        <f>IF(samenstelling!$B15="","",samenstelling!N15)</f>
        <v>Soignies</v>
      </c>
      <c r="O11" s="396"/>
      <c r="P11" s="396"/>
      <c r="Q11" s="396" t="str">
        <f>IF(samenstelling!$B15="","",samenstelling!Q15)</f>
        <v>BENOR</v>
      </c>
      <c r="R11" s="438"/>
      <c r="S11" s="1253">
        <f>IF(samenstelling!$B15="","",samenstelling!S15)</f>
        <v>2.778</v>
      </c>
      <c r="T11" s="396">
        <f>IF(samenstelling!$B15="","",samenstelling!AM15)</f>
        <v>20</v>
      </c>
      <c r="U11" s="396" t="str">
        <f>IF(samenstelling!$B15="","",samenstelling!AN15)</f>
        <v>100/0</v>
      </c>
      <c r="V11" s="411">
        <f>IF(samenstelling!$B15="","",samenstelling!AO15)</f>
        <v>30</v>
      </c>
      <c r="W11" s="396">
        <f>IF(samenstelling!$B15="","",samenstelling!AP15)</f>
        <v>15</v>
      </c>
      <c r="X11" s="396">
        <f>IF(samenstelling!$B15="","",samenstelling!AQ15)</f>
        <v>40</v>
      </c>
      <c r="Y11" s="293">
        <f>IF(samenstelling!$B15="","",samenstelling!AR15)</f>
        <v>60</v>
      </c>
    </row>
    <row r="12" spans="1:26" ht="14.9" customHeight="1" x14ac:dyDescent="0.3">
      <c r="A12" s="2282"/>
      <c r="C12" s="292">
        <f>IF(samenstelling!$B16="","",samenstelling!B16)</f>
        <v>16</v>
      </c>
      <c r="D12" s="403">
        <f>IF(samenstelling!$B16="","",samenstelling!C16)</f>
        <v>0</v>
      </c>
      <c r="E12" s="396" t="str">
        <f>IF(samenstelling!$B16="","",samenstelling!E16)</f>
        <v>Slakken</v>
      </c>
      <c r="F12" s="396"/>
      <c r="G12" s="396" t="str">
        <f>IF(samenstelling!$B16="","",samenstelling!H16)</f>
        <v>6/10</v>
      </c>
      <c r="H12" s="438"/>
      <c r="I12" s="396" t="str">
        <f>IF(samenstelling!$B16="","",samenstelling!I16)</f>
        <v>Dd4 IV f4</v>
      </c>
      <c r="J12" s="396"/>
      <c r="K12" s="396" t="str">
        <f>IF(samenstelling!$B16="","",samenstelling!K16)</f>
        <v>SDF</v>
      </c>
      <c r="L12" s="396"/>
      <c r="M12" s="396"/>
      <c r="N12" s="396" t="str">
        <f>IF(samenstelling!$B16="","",samenstelling!N16)</f>
        <v>Genk</v>
      </c>
      <c r="O12" s="396"/>
      <c r="P12" s="396"/>
      <c r="Q12" s="396" t="str">
        <f>IF(samenstelling!$B16="","",samenstelling!Q16)</f>
        <v>intern</v>
      </c>
      <c r="R12" s="438"/>
      <c r="S12" s="1253">
        <f>IF(samenstelling!$B16="","",samenstelling!S16)</f>
        <v>3.2</v>
      </c>
      <c r="T12" s="396">
        <f>IF(samenstelling!$B16="","",samenstelling!AM16)</f>
        <v>30</v>
      </c>
      <c r="U12" s="396" t="str">
        <f>IF(samenstelling!$B16="","",samenstelling!AN16)</f>
        <v>100/0</v>
      </c>
      <c r="V12" s="411">
        <f>IF(samenstelling!$B16="","",samenstelling!AO16)</f>
        <v>38</v>
      </c>
      <c r="W12" s="396">
        <f>IF(samenstelling!$B16="","",samenstelling!AP16)</f>
        <v>25</v>
      </c>
      <c r="X12" s="396">
        <f>IF(samenstelling!$B16="","",samenstelling!AQ16)</f>
        <v>50</v>
      </c>
      <c r="Y12" s="293">
        <f>IF(samenstelling!$B16="","",samenstelling!AR16)</f>
        <v>64</v>
      </c>
    </row>
    <row r="13" spans="1:26" ht="14.9" customHeight="1" thickBot="1" x14ac:dyDescent="0.35">
      <c r="A13" s="2282"/>
      <c r="C13" s="294" t="str">
        <f>IF(samenstelling!$B17="","",samenstelling!B17)</f>
        <v/>
      </c>
      <c r="D13" s="404" t="str">
        <f>IF(samenstelling!$B17="","",samenstelling!C17)</f>
        <v/>
      </c>
      <c r="E13" s="397" t="str">
        <f>IF(samenstelling!$B17="","",samenstelling!E17)</f>
        <v/>
      </c>
      <c r="F13" s="397"/>
      <c r="G13" s="397" t="str">
        <f>IF(samenstelling!$B17="","",samenstelling!H17)</f>
        <v/>
      </c>
      <c r="H13" s="444"/>
      <c r="I13" s="397" t="str">
        <f>IF(samenstelling!$B17="","",samenstelling!I17)</f>
        <v/>
      </c>
      <c r="J13" s="397"/>
      <c r="K13" s="397" t="str">
        <f>IF(samenstelling!$B17="","",samenstelling!K17)</f>
        <v/>
      </c>
      <c r="L13" s="397"/>
      <c r="M13" s="397"/>
      <c r="N13" s="397" t="str">
        <f>IF(samenstelling!$B17="","",samenstelling!N17)</f>
        <v/>
      </c>
      <c r="O13" s="397"/>
      <c r="P13" s="397"/>
      <c r="Q13" s="397" t="str">
        <f>IF(samenstelling!$B17="","",samenstelling!Q17)</f>
        <v/>
      </c>
      <c r="R13" s="444"/>
      <c r="S13" s="1254" t="str">
        <f>IF(samenstelling!$B17="","",samenstelling!S17)</f>
        <v/>
      </c>
      <c r="T13" s="397" t="str">
        <f>IF(samenstelling!$B17="","",samenstelling!AM17)</f>
        <v/>
      </c>
      <c r="U13" s="397" t="str">
        <f>IF(samenstelling!$B17="","",samenstelling!AN17)</f>
        <v/>
      </c>
      <c r="V13" s="412" t="str">
        <f>IF(samenstelling!$B17="","",samenstelling!AO17)</f>
        <v/>
      </c>
      <c r="W13" s="397" t="str">
        <f>IF(samenstelling!$B17="","",samenstelling!AP17)</f>
        <v/>
      </c>
      <c r="X13" s="397" t="str">
        <f>IF(samenstelling!$B17="","",samenstelling!AQ17)</f>
        <v/>
      </c>
      <c r="Y13" s="295" t="str">
        <f>IF(samenstelling!$B17="","",samenstelling!AR17)</f>
        <v/>
      </c>
    </row>
    <row r="14" spans="1:26" ht="14.9" customHeight="1" x14ac:dyDescent="0.3">
      <c r="A14" s="422"/>
      <c r="C14" s="392" t="s">
        <v>130</v>
      </c>
      <c r="D14" s="393"/>
      <c r="E14" s="393"/>
      <c r="F14" s="393"/>
      <c r="G14" s="393"/>
      <c r="H14" s="393"/>
      <c r="I14" s="393"/>
      <c r="J14" s="393"/>
      <c r="K14" s="393"/>
      <c r="L14" s="393"/>
      <c r="M14" s="393"/>
      <c r="N14" s="393"/>
      <c r="O14" s="393"/>
      <c r="P14" s="393"/>
      <c r="Q14" s="393"/>
      <c r="R14" s="393"/>
      <c r="S14" s="393"/>
      <c r="T14" s="393"/>
      <c r="U14" s="393"/>
      <c r="V14" s="393"/>
      <c r="W14" s="393"/>
      <c r="X14" s="393"/>
      <c r="Y14" s="394"/>
    </row>
    <row r="15" spans="1:26" ht="14.9" customHeight="1" x14ac:dyDescent="0.3">
      <c r="A15" s="422"/>
      <c r="C15" s="413" t="s">
        <v>114</v>
      </c>
      <c r="D15" s="414" t="s">
        <v>182</v>
      </c>
      <c r="E15" s="415" t="s">
        <v>131</v>
      </c>
      <c r="F15" s="415"/>
      <c r="G15" s="415"/>
      <c r="H15" s="415" t="s">
        <v>139</v>
      </c>
      <c r="I15" s="415"/>
      <c r="J15" s="415"/>
      <c r="K15" s="415" t="s">
        <v>224</v>
      </c>
      <c r="L15" s="415"/>
      <c r="M15" s="415"/>
      <c r="N15" s="415" t="s">
        <v>119</v>
      </c>
      <c r="O15" s="415"/>
      <c r="P15" s="415"/>
      <c r="Q15" s="415" t="s">
        <v>121</v>
      </c>
      <c r="R15" s="415"/>
      <c r="S15" s="415" t="s">
        <v>122</v>
      </c>
      <c r="T15" s="415"/>
      <c r="U15" s="415" t="s">
        <v>133</v>
      </c>
      <c r="V15" s="415"/>
      <c r="W15" s="415" t="s">
        <v>1222</v>
      </c>
      <c r="X15" s="415"/>
      <c r="Y15" s="417"/>
    </row>
    <row r="16" spans="1:26" ht="14.9" customHeight="1" x14ac:dyDescent="0.3">
      <c r="A16" s="2283" t="s">
        <v>654</v>
      </c>
      <c r="C16" s="413"/>
      <c r="D16" s="414"/>
      <c r="E16" s="415"/>
      <c r="F16" s="415"/>
      <c r="G16" s="415"/>
      <c r="H16" s="415"/>
      <c r="I16" s="415"/>
      <c r="J16" s="415"/>
      <c r="K16" s="415"/>
      <c r="L16" s="415"/>
      <c r="M16" s="415"/>
      <c r="N16" s="415" t="s">
        <v>137</v>
      </c>
      <c r="O16" s="415"/>
      <c r="P16" s="415"/>
      <c r="Q16" s="415"/>
      <c r="R16" s="415"/>
      <c r="S16" s="415" t="s">
        <v>418</v>
      </c>
      <c r="T16" s="415"/>
      <c r="U16" s="415" t="s">
        <v>132</v>
      </c>
      <c r="V16" s="415"/>
      <c r="W16" s="415" t="s">
        <v>132</v>
      </c>
      <c r="X16" s="415"/>
      <c r="Y16" s="417"/>
    </row>
    <row r="17" spans="1:25" ht="14.9" customHeight="1" x14ac:dyDescent="0.3">
      <c r="A17" s="2283"/>
      <c r="C17" s="398">
        <f>IF(samenstelling!$B26="","",samenstelling!B26)</f>
        <v>41</v>
      </c>
      <c r="D17" s="377">
        <f>IF(samenstelling!$B26="","",samenstelling!C26)</f>
        <v>0.55000000000000004</v>
      </c>
      <c r="E17" s="395" t="str">
        <f>IF(samenstelling!$B26="","",samenstelling!E26)</f>
        <v>Aanvoervulstof</v>
      </c>
      <c r="F17" s="395"/>
      <c r="G17" s="395"/>
      <c r="H17" s="395" t="str">
        <f>IF(samenstelling!$B26="","",samenstelling!H26)</f>
        <v>IIa</v>
      </c>
      <c r="I17" s="395"/>
      <c r="J17" s="395"/>
      <c r="K17" s="395" t="str">
        <f>IF(samenstelling!$B26="","",samenstelling!K26)</f>
        <v>Duras filler 2</v>
      </c>
      <c r="L17" s="395"/>
      <c r="M17" s="395"/>
      <c r="N17" s="395" t="str">
        <f>IF(samenstelling!$B26="","",samenstelling!N26)</f>
        <v>Ankersmit Maastricht</v>
      </c>
      <c r="O17" s="395"/>
      <c r="P17" s="395"/>
      <c r="Q17" s="395" t="str">
        <f>IF(samenstelling!$B26="","",samenstelling!Q26)</f>
        <v>BENOR</v>
      </c>
      <c r="R17" s="395"/>
      <c r="S17" s="813">
        <f>IF(samenstelling!$B26="","",samenstelling!S26)</f>
        <v>2.7</v>
      </c>
      <c r="T17" s="395"/>
      <c r="U17" s="395">
        <f>IF(samenstelling!$B26="","",samenstelling!U26)</f>
        <v>45</v>
      </c>
      <c r="V17" s="395"/>
      <c r="W17" s="395" t="str">
        <f>IF(samenstelling!$B26="","",samenstelling!AM26)</f>
        <v>17,5</v>
      </c>
      <c r="X17" s="395"/>
      <c r="Y17" s="399"/>
    </row>
    <row r="18" spans="1:25" ht="14.9" customHeight="1" x14ac:dyDescent="0.3">
      <c r="A18" s="1258">
        <f>berekeningen!O2</f>
        <v>19</v>
      </c>
      <c r="C18" s="292" t="str">
        <f>IF(samenstelling!$B27="","",samenstelling!B27)</f>
        <v/>
      </c>
      <c r="D18" s="266" t="str">
        <f>IF(samenstelling!$B27="","",samenstelling!C27)</f>
        <v/>
      </c>
      <c r="E18" s="396" t="str">
        <f>IF(samenstelling!$B27="","",samenstelling!E27)</f>
        <v/>
      </c>
      <c r="F18" s="396"/>
      <c r="G18" s="396"/>
      <c r="H18" s="396" t="str">
        <f>IF(samenstelling!$B27="","",samenstelling!H27)</f>
        <v/>
      </c>
      <c r="I18" s="396"/>
      <c r="J18" s="396"/>
      <c r="K18" s="396" t="str">
        <f>IF(samenstelling!$B27="","",samenstelling!K27)</f>
        <v/>
      </c>
      <c r="L18" s="396"/>
      <c r="M18" s="396"/>
      <c r="N18" s="396" t="str">
        <f>IF(samenstelling!$B27="","",samenstelling!N27)</f>
        <v/>
      </c>
      <c r="O18" s="396"/>
      <c r="P18" s="396"/>
      <c r="Q18" s="396" t="str">
        <f>IF(samenstelling!$B27="","",samenstelling!Q27)</f>
        <v/>
      </c>
      <c r="R18" s="396"/>
      <c r="S18" s="1253" t="str">
        <f>IF(samenstelling!$B27="","",samenstelling!S27)</f>
        <v/>
      </c>
      <c r="T18" s="396"/>
      <c r="U18" s="396" t="str">
        <f>IF(samenstelling!$B27="","",samenstelling!U27)</f>
        <v/>
      </c>
      <c r="V18" s="396"/>
      <c r="W18" s="396" t="str">
        <f>IF(samenstelling!$B27="","",samenstelling!AM27)</f>
        <v/>
      </c>
      <c r="X18" s="396"/>
      <c r="Y18" s="293"/>
    </row>
    <row r="19" spans="1:25" ht="14.9" customHeight="1" x14ac:dyDescent="0.3">
      <c r="A19" s="422"/>
      <c r="C19" s="292"/>
      <c r="D19" s="400">
        <f>IF(samenstelling!C128=0,"",samenstelling!C128)</f>
        <v>0.53659999999999997</v>
      </c>
      <c r="E19" s="396" t="str">
        <f>IF(samenstelling!C128=0,"",samenstelling!E28)</f>
        <v>Teruggewonnen stof</v>
      </c>
      <c r="F19" s="396"/>
      <c r="G19" s="396"/>
      <c r="H19" s="396"/>
      <c r="I19" s="396"/>
      <c r="J19" s="396"/>
      <c r="K19" s="396"/>
      <c r="L19" s="396"/>
      <c r="M19" s="396"/>
      <c r="N19" s="396" t="str">
        <f>IF(samenstelling!C128=0,"",samenstelling!N28)</f>
        <v>Productieproces</v>
      </c>
      <c r="O19" s="396"/>
      <c r="P19" s="396"/>
      <c r="Q19" s="396" t="str">
        <f>IF(OR(samenstelling!C128=0,samenstelling!Q28=""),"",samenstelling!Q28)</f>
        <v/>
      </c>
      <c r="R19" s="396"/>
      <c r="S19" s="1253">
        <f>IF(samenstelling!C128=0,"",samenstelling!S28)</f>
        <v>3.05122851704447</v>
      </c>
      <c r="T19" s="396"/>
      <c r="U19" s="396">
        <f>IF(OR(samenstelling!C128=0,samenstelling!U28=""),"",samenstelling!U28)</f>
        <v>38</v>
      </c>
      <c r="V19" s="396"/>
      <c r="W19" s="396"/>
      <c r="X19" s="396"/>
      <c r="Y19" s="293"/>
    </row>
    <row r="20" spans="1:25" ht="14.9" customHeight="1" thickBot="1" x14ac:dyDescent="0.35">
      <c r="A20" s="422"/>
      <c r="C20" s="294" t="str">
        <f>IF(samenstelling!$B29="","",samenstelling!B29)</f>
        <v/>
      </c>
      <c r="D20" s="401">
        <f>IF(samenstelling!$C29="","",samenstelling!C29)</f>
        <v>1</v>
      </c>
      <c r="E20" s="397" t="str">
        <f>IF(samenstelling!$C29="","",samenstelling!E29)</f>
        <v>Extra teruggew. stof</v>
      </c>
      <c r="F20" s="397"/>
      <c r="G20" s="397"/>
      <c r="H20" s="397"/>
      <c r="I20" s="397"/>
      <c r="J20" s="397"/>
      <c r="K20" s="397"/>
      <c r="L20" s="397"/>
      <c r="M20" s="397"/>
      <c r="N20" s="397" t="str">
        <f>IF(samenstelling!$C29="","",samenstelling!N29)</f>
        <v>Productieproces</v>
      </c>
      <c r="O20" s="397"/>
      <c r="P20" s="397"/>
      <c r="Q20" s="397" t="str">
        <f>IF(OR(samenstelling!C29="",samenstelling!Q29=""),"",samenstelling!Q29)</f>
        <v/>
      </c>
      <c r="R20" s="397"/>
      <c r="S20" s="1254">
        <f>IF(samenstelling!$C29="","",samenstelling!S29)</f>
        <v>3.05122851704447</v>
      </c>
      <c r="T20" s="397"/>
      <c r="U20" s="397" t="str">
        <f>IF(OR(samenstelling!C29="",samenstelling!U29=""),"",samenstelling!U29)</f>
        <v/>
      </c>
      <c r="V20" s="397"/>
      <c r="W20" s="397"/>
      <c r="X20" s="397"/>
      <c r="Y20" s="407"/>
    </row>
    <row r="21" spans="1:25" ht="14.9" customHeight="1" x14ac:dyDescent="0.3">
      <c r="A21" s="2282" t="s">
        <v>610</v>
      </c>
      <c r="C21" s="392" t="s">
        <v>142</v>
      </c>
      <c r="D21" s="393"/>
      <c r="E21" s="393"/>
      <c r="F21" s="393"/>
      <c r="G21" s="393"/>
      <c r="H21" s="393"/>
      <c r="I21" s="393"/>
      <c r="J21" s="393"/>
      <c r="K21" s="393"/>
      <c r="L21" s="393"/>
      <c r="M21" s="393"/>
      <c r="N21" s="393"/>
      <c r="O21" s="393"/>
      <c r="P21" s="393"/>
      <c r="Q21" s="393"/>
      <c r="R21" s="393"/>
      <c r="S21" s="393"/>
      <c r="T21" s="393"/>
      <c r="U21" s="393"/>
      <c r="V21" s="393"/>
      <c r="W21" s="393"/>
      <c r="X21" s="393"/>
      <c r="Y21" s="394"/>
    </row>
    <row r="22" spans="1:25" ht="14.9" customHeight="1" x14ac:dyDescent="0.3">
      <c r="A22" s="2282"/>
      <c r="C22" s="418" t="s">
        <v>182</v>
      </c>
      <c r="D22" s="415" t="s">
        <v>224</v>
      </c>
      <c r="E22" s="415"/>
      <c r="F22" s="415"/>
      <c r="G22" s="415" t="s">
        <v>119</v>
      </c>
      <c r="H22" s="415"/>
      <c r="I22" s="415"/>
      <c r="J22" s="415"/>
      <c r="K22" s="415" t="s">
        <v>121</v>
      </c>
      <c r="L22" s="415"/>
      <c r="M22" s="415" t="s">
        <v>122</v>
      </c>
      <c r="N22" s="415"/>
      <c r="O22" s="415" t="s">
        <v>146</v>
      </c>
      <c r="P22" s="415"/>
      <c r="Q22" s="415" t="s">
        <v>148</v>
      </c>
      <c r="R22" s="415"/>
      <c r="S22" s="415" t="s">
        <v>732</v>
      </c>
      <c r="T22" s="415"/>
      <c r="U22" s="415" t="s">
        <v>1646</v>
      </c>
      <c r="V22" s="415"/>
      <c r="W22" s="415"/>
      <c r="X22" s="415" t="s">
        <v>737</v>
      </c>
      <c r="Y22" s="417"/>
    </row>
    <row r="23" spans="1:25" ht="14.9" customHeight="1" x14ac:dyDescent="0.3">
      <c r="A23" s="2282"/>
      <c r="C23" s="418"/>
      <c r="D23" s="415"/>
      <c r="E23" s="415"/>
      <c r="F23" s="415"/>
      <c r="G23" s="415" t="s">
        <v>137</v>
      </c>
      <c r="H23" s="415"/>
      <c r="I23" s="415"/>
      <c r="J23" s="415"/>
      <c r="K23" s="415"/>
      <c r="L23" s="415"/>
      <c r="M23" s="415" t="s">
        <v>418</v>
      </c>
      <c r="N23" s="415"/>
      <c r="O23" s="415" t="s">
        <v>147</v>
      </c>
      <c r="P23" s="415"/>
      <c r="Q23" s="415" t="s">
        <v>733</v>
      </c>
      <c r="R23" s="415"/>
      <c r="S23" s="415" t="s">
        <v>132</v>
      </c>
      <c r="T23" s="415"/>
      <c r="U23" s="415" t="s">
        <v>728</v>
      </c>
      <c r="V23" s="415" t="s">
        <v>729</v>
      </c>
      <c r="W23" s="415" t="s">
        <v>730</v>
      </c>
      <c r="X23" s="415" t="s">
        <v>548</v>
      </c>
      <c r="Y23" s="416"/>
    </row>
    <row r="24" spans="1:25" ht="14.9" customHeight="1" x14ac:dyDescent="0.3">
      <c r="A24" s="2282"/>
      <c r="C24" s="419"/>
      <c r="D24" s="420"/>
      <c r="E24" s="420"/>
      <c r="F24" s="420"/>
      <c r="G24" s="420"/>
      <c r="H24" s="420"/>
      <c r="I24" s="420"/>
      <c r="J24" s="420"/>
      <c r="K24" s="420"/>
      <c r="L24" s="420"/>
      <c r="M24" s="420"/>
      <c r="N24" s="420"/>
      <c r="O24" s="420"/>
      <c r="P24" s="420"/>
      <c r="Q24" s="420"/>
      <c r="R24" s="420"/>
      <c r="S24" s="420"/>
      <c r="T24" s="420"/>
      <c r="U24" s="420" t="s">
        <v>727</v>
      </c>
      <c r="V24" s="420" t="s">
        <v>727</v>
      </c>
      <c r="W24" s="420" t="s">
        <v>731</v>
      </c>
      <c r="X24" s="420"/>
      <c r="Y24" s="421"/>
    </row>
    <row r="25" spans="1:25" ht="14.9" customHeight="1" x14ac:dyDescent="0.3">
      <c r="A25" s="2282"/>
      <c r="C25" s="465">
        <f>IF(samenstelling!$B43="","",samenstelling!C43)</f>
        <v>2.2160500000000001</v>
      </c>
      <c r="D25" s="408" t="str">
        <f>IF(samenstelling!$B43="","",samenstelling!E43&amp;" "&amp;samenstelling!H43)</f>
        <v>synthetisch pigmenteerbaar bindmiddel Mexphalte CLT50/70</v>
      </c>
      <c r="E25" s="408"/>
      <c r="F25" s="408"/>
      <c r="G25" s="408" t="str">
        <f>IF(samenstelling!$B43="","",samenstelling!K43&amp;" "&amp;samenstelling!N43)</f>
        <v>Shell Koudekerk-aan-de-Rijn</v>
      </c>
      <c r="H25" s="408"/>
      <c r="I25" s="408"/>
      <c r="J25" s="408"/>
      <c r="K25" s="408" t="str">
        <f>IF(samenstelling!$B43="","",samenstelling!Q43)</f>
        <v>COPRO</v>
      </c>
      <c r="L25" s="408"/>
      <c r="M25" s="820">
        <f>IF(samenstelling!$B43="","",samenstelling!S43)</f>
        <v>1.0249999999999999</v>
      </c>
      <c r="N25" s="408"/>
      <c r="O25" s="408">
        <f>IF(samenstelling!$B43="","",samenstelling!U43)</f>
        <v>60</v>
      </c>
      <c r="P25" s="408"/>
      <c r="Q25" s="408">
        <f>IF(samenstelling!$B43="","",samenstelling!W43)</f>
        <v>48</v>
      </c>
      <c r="R25" s="408"/>
      <c r="S25" s="408">
        <f>IF(samenstelling!$B43="","",samenstelling!Y43)</f>
        <v>98</v>
      </c>
      <c r="T25" s="408"/>
      <c r="U25" s="408">
        <f>IF(samenstelling!$B43="","",samenstelling!AB43)</f>
        <v>55</v>
      </c>
      <c r="V25" s="408">
        <f>IF(samenstelling!$B43="","",samenstelling!AD43)</f>
        <v>7.36</v>
      </c>
      <c r="W25" s="408">
        <f>IF(samenstelling!$B43="","",samenstelling!AF43)</f>
        <v>7.0000000000000007E-2</v>
      </c>
      <c r="X25" s="408" t="str">
        <f>IF(samenstelling!$B43="","",samenstelling!AH43)</f>
        <v>d</v>
      </c>
      <c r="Y25" s="409"/>
    </row>
    <row r="26" spans="1:25" ht="14.9" customHeight="1" x14ac:dyDescent="0.3">
      <c r="A26" s="2282"/>
      <c r="C26" s="1433" t="str">
        <f>IF(samenstelling!$B44="","",samenstelling!C44)</f>
        <v/>
      </c>
      <c r="D26" s="396" t="str">
        <f>IF(samenstelling!$B44="","",samenstelling!E44&amp;" "&amp;samenstelling!H44)</f>
        <v/>
      </c>
      <c r="E26" s="396"/>
      <c r="F26" s="396"/>
      <c r="G26" s="396" t="str">
        <f>IF(samenstelling!$B44="","",samenstelling!K44&amp;" "&amp;samenstelling!N44)</f>
        <v/>
      </c>
      <c r="H26" s="396"/>
      <c r="I26" s="396"/>
      <c r="J26" s="396"/>
      <c r="K26" s="396" t="str">
        <f>IF(samenstelling!$B44="","",samenstelling!Q44)</f>
        <v/>
      </c>
      <c r="L26" s="396"/>
      <c r="M26" s="1253" t="str">
        <f>IF(samenstelling!$B44="","",samenstelling!S44)</f>
        <v/>
      </c>
      <c r="N26" s="396"/>
      <c r="O26" s="396" t="str">
        <f>IF(samenstelling!$B44="","",samenstelling!U44)</f>
        <v/>
      </c>
      <c r="P26" s="396"/>
      <c r="Q26" s="396" t="str">
        <f>IF(samenstelling!$B44="","",samenstelling!W44)</f>
        <v/>
      </c>
      <c r="R26" s="396"/>
      <c r="S26" s="396" t="str">
        <f>IF(samenstelling!$B44="","",samenstelling!Y44)</f>
        <v/>
      </c>
      <c r="T26" s="396"/>
      <c r="U26" s="396" t="str">
        <f>IF(samenstelling!$B44="","",samenstelling!AB44)</f>
        <v/>
      </c>
      <c r="V26" s="396" t="str">
        <f>IF(samenstelling!$B44="","",samenstelling!AD44)</f>
        <v/>
      </c>
      <c r="W26" s="396" t="str">
        <f>IF(samenstelling!$B44="","",samenstelling!AF44)</f>
        <v/>
      </c>
      <c r="X26" s="396" t="str">
        <f>IF(samenstelling!$B44="","",samenstelling!AH44)</f>
        <v/>
      </c>
      <c r="Y26" s="293"/>
    </row>
    <row r="27" spans="1:25" ht="14.9" customHeight="1" thickBot="1" x14ac:dyDescent="0.35">
      <c r="A27" s="2282"/>
      <c r="C27" s="1434" t="str">
        <f>IF(samenstelling!$B45="","",samenstelling!C45)</f>
        <v/>
      </c>
      <c r="D27" s="397" t="str">
        <f>IF(samenstelling!$B45="","",samenstelling!E45&amp;" "&amp;samenstelling!H45)</f>
        <v/>
      </c>
      <c r="E27" s="397"/>
      <c r="F27" s="397"/>
      <c r="G27" s="397" t="str">
        <f>IF(samenstelling!$B45="","",samenstelling!K45&amp;" "&amp;samenstelling!N45)</f>
        <v/>
      </c>
      <c r="H27" s="397"/>
      <c r="I27" s="397"/>
      <c r="J27" s="397"/>
      <c r="K27" s="397" t="str">
        <f>IF(samenstelling!$B45="","",samenstelling!Q45)</f>
        <v/>
      </c>
      <c r="L27" s="397"/>
      <c r="M27" s="1254" t="str">
        <f>IF(samenstelling!$B45="","",samenstelling!S45)</f>
        <v/>
      </c>
      <c r="N27" s="397"/>
      <c r="O27" s="397" t="str">
        <f>IF(samenstelling!$B45="","",samenstelling!U45)</f>
        <v/>
      </c>
      <c r="P27" s="397"/>
      <c r="Q27" s="397" t="str">
        <f>IF(samenstelling!$B45="","",samenstelling!W45)</f>
        <v/>
      </c>
      <c r="R27" s="397"/>
      <c r="S27" s="397" t="str">
        <f>IF(samenstelling!$B45="","",samenstelling!Y45)</f>
        <v/>
      </c>
      <c r="T27" s="397"/>
      <c r="U27" s="397" t="str">
        <f>IF(samenstelling!$B45="","",samenstelling!AB45)</f>
        <v/>
      </c>
      <c r="V27" s="397" t="str">
        <f>IF(samenstelling!$B45="","",samenstelling!AD45)</f>
        <v/>
      </c>
      <c r="W27" s="397" t="str">
        <f>IF(samenstelling!$B45="","",samenstelling!AF45)</f>
        <v/>
      </c>
      <c r="X27" s="397" t="str">
        <f>IF(samenstelling!$B45="","",samenstelling!AH45)</f>
        <v/>
      </c>
      <c r="Y27" s="295"/>
    </row>
    <row r="28" spans="1:25" ht="14.9" customHeight="1" x14ac:dyDescent="0.3">
      <c r="A28" s="2282"/>
      <c r="C28" s="392" t="s">
        <v>160</v>
      </c>
      <c r="D28" s="393"/>
      <c r="E28" s="393"/>
      <c r="F28" s="393"/>
      <c r="G28" s="393"/>
      <c r="H28" s="393"/>
      <c r="I28" s="393"/>
      <c r="J28" s="393"/>
      <c r="K28" s="393"/>
      <c r="L28" s="393"/>
      <c r="M28" s="393"/>
      <c r="N28" s="393"/>
      <c r="O28" s="393"/>
      <c r="P28" s="393"/>
      <c r="Q28" s="393"/>
      <c r="R28" s="393"/>
      <c r="S28" s="393"/>
      <c r="T28" s="393"/>
      <c r="U28" s="393"/>
      <c r="V28" s="393"/>
      <c r="W28" s="393"/>
      <c r="X28" s="393"/>
      <c r="Y28" s="394"/>
    </row>
    <row r="29" spans="1:25" ht="14.9" customHeight="1" x14ac:dyDescent="0.3">
      <c r="A29" s="2282"/>
      <c r="C29" s="413" t="s">
        <v>114</v>
      </c>
      <c r="D29" s="414" t="s">
        <v>182</v>
      </c>
      <c r="E29" s="415" t="s">
        <v>256</v>
      </c>
      <c r="F29" s="415"/>
      <c r="G29" s="415"/>
      <c r="H29" s="415" t="s">
        <v>122</v>
      </c>
      <c r="I29" s="415"/>
      <c r="J29" s="415" t="s">
        <v>122</v>
      </c>
      <c r="K29" s="415"/>
      <c r="L29" s="415" t="s">
        <v>122</v>
      </c>
      <c r="M29" s="415"/>
      <c r="N29" s="415" t="s">
        <v>183</v>
      </c>
      <c r="O29" s="415"/>
      <c r="P29" s="415" t="s">
        <v>146</v>
      </c>
      <c r="Q29" s="415"/>
      <c r="R29" s="415" t="s">
        <v>736</v>
      </c>
      <c r="S29" s="415" t="s">
        <v>199</v>
      </c>
      <c r="T29" s="415"/>
      <c r="U29" s="415"/>
      <c r="V29" s="415"/>
      <c r="W29" s="415"/>
      <c r="X29" s="415" t="s">
        <v>183</v>
      </c>
      <c r="Y29" s="417"/>
    </row>
    <row r="30" spans="1:25" ht="14.9" customHeight="1" x14ac:dyDescent="0.3">
      <c r="A30" s="2282"/>
      <c r="C30" s="413"/>
      <c r="D30" s="414"/>
      <c r="E30" s="415" t="s">
        <v>258</v>
      </c>
      <c r="F30" s="415"/>
      <c r="G30" s="415"/>
      <c r="H30" s="415" t="s">
        <v>734</v>
      </c>
      <c r="I30" s="415"/>
      <c r="J30" s="415" t="s">
        <v>735</v>
      </c>
      <c r="K30" s="415"/>
      <c r="L30" s="415" t="s">
        <v>103</v>
      </c>
      <c r="M30" s="415"/>
      <c r="N30" s="415" t="s">
        <v>184</v>
      </c>
      <c r="O30" s="415"/>
      <c r="P30" s="415" t="s">
        <v>103</v>
      </c>
      <c r="Q30" s="415"/>
      <c r="R30" s="415" t="s">
        <v>264</v>
      </c>
      <c r="S30" s="415"/>
      <c r="T30" s="415"/>
      <c r="U30" s="415"/>
      <c r="V30" s="415"/>
      <c r="W30" s="415"/>
      <c r="X30" s="415"/>
      <c r="Y30" s="417"/>
    </row>
    <row r="31" spans="1:25" ht="14.9" customHeight="1" x14ac:dyDescent="0.3">
      <c r="A31" s="2282"/>
      <c r="C31" s="413"/>
      <c r="D31" s="414"/>
      <c r="E31" s="415"/>
      <c r="F31" s="415"/>
      <c r="G31" s="415"/>
      <c r="H31" s="415" t="s">
        <v>418</v>
      </c>
      <c r="I31" s="415"/>
      <c r="J31" s="415" t="s">
        <v>418</v>
      </c>
      <c r="K31" s="415"/>
      <c r="L31" s="415" t="s">
        <v>418</v>
      </c>
      <c r="M31" s="415"/>
      <c r="N31" s="415" t="s">
        <v>185</v>
      </c>
      <c r="O31" s="415"/>
      <c r="P31" s="415" t="s">
        <v>147</v>
      </c>
      <c r="Q31" s="415"/>
      <c r="R31" s="415" t="s">
        <v>132</v>
      </c>
      <c r="S31" s="415"/>
      <c r="T31" s="415"/>
      <c r="U31" s="415"/>
      <c r="V31" s="415"/>
      <c r="W31" s="415"/>
      <c r="X31" s="415"/>
      <c r="Y31" s="417"/>
    </row>
    <row r="32" spans="1:25" ht="14.9" customHeight="1" x14ac:dyDescent="0.3">
      <c r="A32" s="2282"/>
      <c r="C32" s="398">
        <f>IF(samenstelling!$B56="","",samenstelling!B56)</f>
        <v>71</v>
      </c>
      <c r="D32" s="402">
        <f>IF(samenstelling!$B56="","",samenstelling!C56)</f>
        <v>30</v>
      </c>
      <c r="E32" s="395" t="str">
        <f>IF(samenstelling!$B56="","",samenstelling!H56)</f>
        <v>40 RA 0/14mm HE</v>
      </c>
      <c r="F32" s="395"/>
      <c r="G32" s="395"/>
      <c r="H32" s="813">
        <f>IF(samenstelling!$B56="","",samenstelling!W56)</f>
        <v>2.4500000000000002</v>
      </c>
      <c r="I32" s="813"/>
      <c r="J32" s="813">
        <f>IF(samenstelling!$B56="","",samenstelling!Y56)</f>
        <v>2.6416804407713501</v>
      </c>
      <c r="K32" s="813"/>
      <c r="L32" s="813">
        <f>IF(samenstelling!$B56="","",samenstelling!AA56)</f>
        <v>1.03</v>
      </c>
      <c r="M32" s="395"/>
      <c r="N32" s="410">
        <f>IF(samenstelling!$B56="","",samenstelling!AC56)</f>
        <v>5</v>
      </c>
      <c r="O32" s="395"/>
      <c r="P32" s="395">
        <f>IF(samenstelling!$B56="","",samenstelling!AE56)</f>
        <v>25</v>
      </c>
      <c r="Q32" s="395"/>
      <c r="R32" s="395">
        <f>IF(samenstelling!$B56="","",samenstelling!AI56)</f>
        <v>29</v>
      </c>
      <c r="S32" s="395" t="str">
        <f>IF(samenstelling!$B56="","",samenstelling!BA56)</f>
        <v>kalksteen en zandsteen</v>
      </c>
      <c r="T32" s="395"/>
      <c r="U32" s="395"/>
      <c r="V32" s="395"/>
      <c r="W32" s="395"/>
      <c r="X32" s="395" t="str">
        <f>IF(samenstelling!$B56="","",samenstelling!BE56)</f>
        <v>wegenbitumen</v>
      </c>
      <c r="Y32" s="399"/>
    </row>
    <row r="33" spans="1:26" ht="14.9" customHeight="1" x14ac:dyDescent="0.3">
      <c r="A33" s="2282"/>
      <c r="C33" s="292" t="str">
        <f>IF(samenstelling!$B57="","",samenstelling!B57)</f>
        <v/>
      </c>
      <c r="D33" s="403" t="str">
        <f>IF(samenstelling!$B57="","",samenstelling!C57)</f>
        <v/>
      </c>
      <c r="E33" s="396" t="str">
        <f>IF(samenstelling!$B57="","",samenstelling!H57)</f>
        <v/>
      </c>
      <c r="F33" s="396"/>
      <c r="G33" s="396"/>
      <c r="H33" s="1253" t="str">
        <f>IF(samenstelling!$B57="","",samenstelling!W57)</f>
        <v/>
      </c>
      <c r="I33" s="1253"/>
      <c r="J33" s="1253" t="str">
        <f>IF(samenstelling!$B57="","",samenstelling!Y57)</f>
        <v/>
      </c>
      <c r="K33" s="1253"/>
      <c r="L33" s="1253" t="str">
        <f>IF(samenstelling!$B57="","",samenstelling!AA57)</f>
        <v/>
      </c>
      <c r="M33" s="396"/>
      <c r="N33" s="411" t="str">
        <f>IF(samenstelling!$B57="","",samenstelling!AC57)</f>
        <v/>
      </c>
      <c r="O33" s="396"/>
      <c r="P33" s="396" t="str">
        <f>IF(samenstelling!$B57="","",samenstelling!AE57)</f>
        <v/>
      </c>
      <c r="Q33" s="396"/>
      <c r="R33" s="396" t="str">
        <f>IF(samenstelling!$B57="","",samenstelling!AI57)</f>
        <v/>
      </c>
      <c r="S33" s="396" t="str">
        <f>IF(samenstelling!$B57="","",samenstelling!BA57)</f>
        <v/>
      </c>
      <c r="T33" s="396"/>
      <c r="U33" s="396"/>
      <c r="V33" s="396"/>
      <c r="W33" s="396"/>
      <c r="X33" s="396" t="str">
        <f>IF(samenstelling!$B57="","",samenstelling!BE57)</f>
        <v/>
      </c>
      <c r="Y33" s="293"/>
    </row>
    <row r="34" spans="1:26" ht="14.9" customHeight="1" thickBot="1" x14ac:dyDescent="0.35">
      <c r="A34" s="2282"/>
      <c r="C34" s="294" t="str">
        <f>IF(samenstelling!$B58="","",samenstelling!B58)</f>
        <v/>
      </c>
      <c r="D34" s="404" t="str">
        <f>IF(samenstelling!$B58="","",samenstelling!C58)</f>
        <v/>
      </c>
      <c r="E34" s="397" t="str">
        <f>IF(samenstelling!$B58="","",samenstelling!H58)</f>
        <v/>
      </c>
      <c r="F34" s="397"/>
      <c r="G34" s="397"/>
      <c r="H34" s="1254" t="str">
        <f>IF(samenstelling!$B58="","",samenstelling!W58)</f>
        <v/>
      </c>
      <c r="I34" s="1254"/>
      <c r="J34" s="1254" t="str">
        <f>IF(samenstelling!$B58="","",samenstelling!Y58)</f>
        <v/>
      </c>
      <c r="K34" s="1254"/>
      <c r="L34" s="1254" t="str">
        <f>IF(samenstelling!$B58="","",samenstelling!AA58)</f>
        <v/>
      </c>
      <c r="M34" s="397"/>
      <c r="N34" s="412" t="str">
        <f>IF(samenstelling!$B58="","",samenstelling!AC58)</f>
        <v/>
      </c>
      <c r="O34" s="397"/>
      <c r="P34" s="397" t="str">
        <f>IF(samenstelling!$B58="","",samenstelling!AE58)</f>
        <v/>
      </c>
      <c r="Q34" s="397"/>
      <c r="R34" s="397" t="str">
        <f>IF(samenstelling!$B58="","",samenstelling!AI58)</f>
        <v/>
      </c>
      <c r="S34" s="397" t="str">
        <f>IF(samenstelling!$B58="","",samenstelling!BA58)</f>
        <v/>
      </c>
      <c r="T34" s="397"/>
      <c r="U34" s="397"/>
      <c r="V34" s="397"/>
      <c r="W34" s="397"/>
      <c r="X34" s="397" t="str">
        <f>IF(samenstelling!$B58="","",samenstelling!BE58)</f>
        <v/>
      </c>
      <c r="Y34" s="407"/>
    </row>
    <row r="35" spans="1:26" ht="14.9" customHeight="1" x14ac:dyDescent="0.3">
      <c r="A35" s="2281" t="str">
        <f>'VN1'!A53</f>
        <v>801/64/</v>
      </c>
      <c r="C35" s="423" t="s">
        <v>161</v>
      </c>
      <c r="D35" s="424"/>
      <c r="E35" s="424"/>
      <c r="F35" s="424"/>
      <c r="G35" s="424"/>
      <c r="H35" s="424"/>
      <c r="I35" s="424"/>
      <c r="J35" s="424"/>
      <c r="K35" s="424"/>
      <c r="L35" s="424"/>
      <c r="M35" s="424"/>
      <c r="N35" s="424"/>
      <c r="O35" s="424"/>
      <c r="P35" s="424"/>
      <c r="Q35" s="424"/>
      <c r="R35" s="424"/>
      <c r="S35" s="424"/>
      <c r="T35" s="424"/>
      <c r="U35" s="424"/>
      <c r="V35" s="424"/>
      <c r="W35" s="424"/>
      <c r="X35" s="424"/>
      <c r="Y35" s="425"/>
      <c r="Z35" s="2284" t="s">
        <v>743</v>
      </c>
    </row>
    <row r="36" spans="1:26" ht="14.9" customHeight="1" x14ac:dyDescent="0.3">
      <c r="A36" s="2281"/>
      <c r="C36" s="426" t="s">
        <v>114</v>
      </c>
      <c r="D36" s="427" t="s">
        <v>182</v>
      </c>
      <c r="E36" s="427" t="s">
        <v>131</v>
      </c>
      <c r="F36" s="427"/>
      <c r="G36" s="427"/>
      <c r="H36" s="427" t="s">
        <v>170</v>
      </c>
      <c r="I36" s="427"/>
      <c r="J36" s="427"/>
      <c r="K36" s="427" t="s">
        <v>738</v>
      </c>
      <c r="L36" s="427"/>
      <c r="M36" s="427"/>
      <c r="N36" s="427"/>
      <c r="O36" s="427" t="s">
        <v>121</v>
      </c>
      <c r="P36" s="427"/>
      <c r="Q36" s="427" t="s">
        <v>122</v>
      </c>
      <c r="R36" s="427"/>
      <c r="S36" s="428" t="s">
        <v>739</v>
      </c>
      <c r="T36" s="428"/>
      <c r="U36" s="428"/>
      <c r="V36" s="428"/>
      <c r="W36" s="428"/>
      <c r="X36" s="428"/>
      <c r="Y36" s="429" t="s">
        <v>736</v>
      </c>
      <c r="Z36" s="2284"/>
    </row>
    <row r="37" spans="1:26" ht="14.9" customHeight="1" x14ac:dyDescent="0.3">
      <c r="A37" s="2281"/>
      <c r="C37" s="430"/>
      <c r="D37" s="431"/>
      <c r="E37" s="431"/>
      <c r="F37" s="431"/>
      <c r="G37" s="431"/>
      <c r="H37" s="431"/>
      <c r="I37" s="431"/>
      <c r="J37" s="431"/>
      <c r="K37" s="431"/>
      <c r="L37" s="431"/>
      <c r="M37" s="431"/>
      <c r="N37" s="431"/>
      <c r="O37" s="431"/>
      <c r="P37" s="431"/>
      <c r="Q37" s="431" t="s">
        <v>735</v>
      </c>
      <c r="R37" s="431"/>
      <c r="S37" s="431" t="s">
        <v>122</v>
      </c>
      <c r="T37" s="431"/>
      <c r="U37" s="431" t="s">
        <v>277</v>
      </c>
      <c r="V37" s="431"/>
      <c r="W37" s="431" t="s">
        <v>146</v>
      </c>
      <c r="X37" s="431"/>
      <c r="Y37" s="432" t="s">
        <v>264</v>
      </c>
      <c r="Z37" s="2284"/>
    </row>
    <row r="38" spans="1:26" ht="14.9" customHeight="1" x14ac:dyDescent="0.3">
      <c r="A38" s="2282" t="str">
        <f>algemeen!J66</f>
        <v>2010/13RE-1234/0</v>
      </c>
      <c r="C38" s="433"/>
      <c r="D38" s="434"/>
      <c r="E38" s="434"/>
      <c r="F38" s="434"/>
      <c r="G38" s="434"/>
      <c r="H38" s="434"/>
      <c r="I38" s="434"/>
      <c r="J38" s="434"/>
      <c r="K38" s="434"/>
      <c r="L38" s="434"/>
      <c r="M38" s="434"/>
      <c r="N38" s="434"/>
      <c r="O38" s="434"/>
      <c r="P38" s="434"/>
      <c r="Q38" s="434" t="s">
        <v>418</v>
      </c>
      <c r="R38" s="434"/>
      <c r="S38" s="434" t="s">
        <v>418</v>
      </c>
      <c r="T38" s="434"/>
      <c r="U38" s="434" t="s">
        <v>132</v>
      </c>
      <c r="V38" s="434"/>
      <c r="W38" s="434" t="s">
        <v>147</v>
      </c>
      <c r="X38" s="434"/>
      <c r="Y38" s="435" t="s">
        <v>132</v>
      </c>
      <c r="Z38" s="2284"/>
    </row>
    <row r="39" spans="1:26" ht="14.9" customHeight="1" x14ac:dyDescent="0.3">
      <c r="A39" s="2282"/>
      <c r="C39" s="398">
        <f>IF(samenstelling!$B68="","",samenstelling!B68)</f>
        <v>81</v>
      </c>
      <c r="D39" s="436">
        <f>IF(samenstelling!$B68="","",samenstelling!C68)</f>
        <v>0.33</v>
      </c>
      <c r="E39" s="395" t="str">
        <f>IF(samenstelling!$B68="","",samenstelling!E68)</f>
        <v>Afdruipremmer</v>
      </c>
      <c r="F39" s="395"/>
      <c r="G39" s="395"/>
      <c r="H39" s="395" t="str">
        <f>IF(samenstelling!$B68="","",samenstelling!H68)</f>
        <v>Cellulose Viatop Premium</v>
      </c>
      <c r="I39" s="395"/>
      <c r="J39" s="395"/>
      <c r="K39" s="395" t="str">
        <f>IF(samenstelling!$B68="","",samenstelling!K68&amp;" "&amp;samenstelling!N68)</f>
        <v>JRS Rosenberg, D.</v>
      </c>
      <c r="L39" s="395"/>
      <c r="M39" s="395"/>
      <c r="N39" s="395"/>
      <c r="O39" s="395" t="str">
        <f>IF(samenstelling!$B68="","",samenstelling!Q68)</f>
        <v>COPRO</v>
      </c>
      <c r="P39" s="395"/>
      <c r="Q39" s="395" t="str">
        <f>IF(samenstelling!$B68="","",IF(samenstelling!S68="","",samenstelling!S68))</f>
        <v/>
      </c>
      <c r="R39" s="395"/>
      <c r="S39" s="395" t="str">
        <f>IF(samenstelling!$B68="","",IF(samenstelling!U68="","",samenstelling!U68))</f>
        <v/>
      </c>
      <c r="T39" s="395"/>
      <c r="U39" s="395" t="str">
        <f>IF(samenstelling!$B68="","",IF(samenstelling!AM68="","",samenstelling!AM68))</f>
        <v/>
      </c>
      <c r="V39" s="395"/>
      <c r="W39" s="395" t="str">
        <f>IF(samenstelling!$B68="","",IF(samenstelling!AO68="","",samenstelling!AO68))</f>
        <v/>
      </c>
      <c r="X39" s="395"/>
      <c r="Y39" s="399" t="str">
        <f>IF(samenstelling!$B68="","",IF(samenstelling!AS68="","",samenstelling!AS68))</f>
        <v/>
      </c>
      <c r="Z39" s="2284"/>
    </row>
    <row r="40" spans="1:26" ht="14.9" customHeight="1" x14ac:dyDescent="0.3">
      <c r="A40" s="2282"/>
      <c r="C40" s="292" t="str">
        <f>IF(samenstelling!$B69="","",samenstelling!B69)</f>
        <v/>
      </c>
      <c r="D40" s="405" t="str">
        <f>IF(samenstelling!$B69="","",samenstelling!C69)</f>
        <v/>
      </c>
      <c r="E40" s="396" t="str">
        <f>IF(samenstelling!$B69="","",samenstelling!E69)</f>
        <v/>
      </c>
      <c r="F40" s="396"/>
      <c r="G40" s="396"/>
      <c r="H40" s="396" t="str">
        <f>IF(samenstelling!$B69="","",samenstelling!H69)</f>
        <v/>
      </c>
      <c r="I40" s="396"/>
      <c r="J40" s="396"/>
      <c r="K40" s="396" t="str">
        <f>IF(samenstelling!$B69="","",samenstelling!K69&amp;" "&amp;samenstelling!N69)</f>
        <v/>
      </c>
      <c r="L40" s="396"/>
      <c r="M40" s="396"/>
      <c r="N40" s="396"/>
      <c r="O40" s="396" t="str">
        <f>IF(samenstelling!$B69="","",samenstelling!Q69)</f>
        <v/>
      </c>
      <c r="P40" s="396"/>
      <c r="Q40" s="396" t="str">
        <f>IF(samenstelling!$B69="","",IF(samenstelling!S69="","",samenstelling!S69))</f>
        <v/>
      </c>
      <c r="R40" s="396"/>
      <c r="S40" s="396" t="str">
        <f>IF(samenstelling!$B69="","",IF(samenstelling!U69="","",samenstelling!U69))</f>
        <v/>
      </c>
      <c r="T40" s="396"/>
      <c r="U40" s="396" t="str">
        <f>IF(samenstelling!$B69="","",IF(samenstelling!AM69="","",samenstelling!AM69))</f>
        <v/>
      </c>
      <c r="V40" s="396"/>
      <c r="W40" s="396" t="str">
        <f>IF(samenstelling!$B69="","",IF(samenstelling!AO69="","",samenstelling!AO69))</f>
        <v/>
      </c>
      <c r="X40" s="396"/>
      <c r="Y40" s="293" t="str">
        <f>IF(samenstelling!$B69="","",IF(samenstelling!AS69="","",samenstelling!AS69))</f>
        <v/>
      </c>
      <c r="Z40" s="2284"/>
    </row>
    <row r="41" spans="1:26" ht="14.9" customHeight="1" x14ac:dyDescent="0.3">
      <c r="A41" s="2282"/>
      <c r="C41" s="292">
        <f>IF(samenstelling!$B70="","",samenstelling!B70)</f>
        <v>83</v>
      </c>
      <c r="D41" s="405">
        <f>IF(samenstelling!$B70="","",samenstelling!C70)</f>
        <v>2.82</v>
      </c>
      <c r="E41" s="396" t="str">
        <f>IF(samenstelling!$B70="","",samenstelling!E70)</f>
        <v>Rode kleurstof</v>
      </c>
      <c r="F41" s="396"/>
      <c r="G41" s="396"/>
      <c r="H41" s="396" t="str">
        <f>IF(samenstelling!$B70="","",samenstelling!H70)</f>
        <v>Bayferrox 130</v>
      </c>
      <c r="I41" s="396"/>
      <c r="J41" s="396"/>
      <c r="K41" s="396" t="str">
        <f>IF(samenstelling!$B70="","",samenstelling!K70&amp;" "&amp;samenstelling!N70)</f>
        <v>Catay China</v>
      </c>
      <c r="L41" s="396"/>
      <c r="M41" s="396"/>
      <c r="N41" s="396"/>
      <c r="O41" s="396" t="str">
        <f>IF(samenstelling!$B70="","",samenstelling!Q70)</f>
        <v>bouwheer</v>
      </c>
      <c r="P41" s="396"/>
      <c r="Q41" s="1253">
        <f>IF(samenstelling!$B70="","",IF(samenstelling!S70="","",samenstelling!S70))</f>
        <v>5</v>
      </c>
      <c r="R41" s="396"/>
      <c r="S41" s="396" t="str">
        <f>IF(samenstelling!$B70="","",IF(samenstelling!U70="","",samenstelling!U70))</f>
        <v/>
      </c>
      <c r="T41" s="396"/>
      <c r="U41" s="396" t="str">
        <f>IF(samenstelling!$B70="","",IF(samenstelling!AM70="","",samenstelling!AM70))</f>
        <v/>
      </c>
      <c r="V41" s="396"/>
      <c r="W41" s="396" t="str">
        <f>IF(samenstelling!$B70="","",IF(samenstelling!AO70="","",samenstelling!AO70))</f>
        <v/>
      </c>
      <c r="X41" s="396"/>
      <c r="Y41" s="293">
        <f>IF(samenstelling!$B70="","",IF(samenstelling!AS70="","",samenstelling!AS70))</f>
        <v>40</v>
      </c>
      <c r="Z41" s="2284"/>
    </row>
    <row r="42" spans="1:26" ht="14.9" customHeight="1" x14ac:dyDescent="0.3">
      <c r="A42" s="2282"/>
      <c r="C42" s="292" t="str">
        <f>IF(samenstelling!$B71="","",samenstelling!B71)</f>
        <v/>
      </c>
      <c r="D42" s="405" t="str">
        <f>IF(samenstelling!$B71="","",samenstelling!C71)</f>
        <v/>
      </c>
      <c r="E42" s="396" t="str">
        <f>IF(samenstelling!$B71="","",samenstelling!E71)</f>
        <v/>
      </c>
      <c r="F42" s="396"/>
      <c r="G42" s="396"/>
      <c r="H42" s="396" t="str">
        <f>IF(samenstelling!$B71="","",samenstelling!H71)</f>
        <v/>
      </c>
      <c r="I42" s="396"/>
      <c r="J42" s="396"/>
      <c r="K42" s="396" t="str">
        <f>IF(samenstelling!$B71="","",samenstelling!K71&amp;" "&amp;samenstelling!N71)</f>
        <v/>
      </c>
      <c r="L42" s="396"/>
      <c r="M42" s="396"/>
      <c r="N42" s="396"/>
      <c r="O42" s="396" t="str">
        <f>IF(samenstelling!$B71="","",samenstelling!Q71)</f>
        <v/>
      </c>
      <c r="P42" s="396"/>
      <c r="Q42" s="1253" t="str">
        <f>IF(samenstelling!$B71="","",IF(samenstelling!S71="","",samenstelling!S71))</f>
        <v/>
      </c>
      <c r="R42" s="396"/>
      <c r="S42" s="396" t="str">
        <f>IF(samenstelling!$B71="","",IF(samenstelling!U71="","",samenstelling!U71))</f>
        <v/>
      </c>
      <c r="T42" s="396"/>
      <c r="U42" s="396" t="str">
        <f>IF(samenstelling!$B71="","",IF(samenstelling!AM71="","",samenstelling!AM71))</f>
        <v/>
      </c>
      <c r="V42" s="396"/>
      <c r="W42" s="396" t="str">
        <f>IF(samenstelling!$B71="","",IF(samenstelling!AO71="","",samenstelling!AO71))</f>
        <v/>
      </c>
      <c r="X42" s="396"/>
      <c r="Y42" s="293" t="str">
        <f>IF(samenstelling!$B71="","",IF(samenstelling!AS71="","",samenstelling!AS71))</f>
        <v/>
      </c>
      <c r="Z42" s="2284"/>
    </row>
    <row r="43" spans="1:26" ht="14.9" customHeight="1" x14ac:dyDescent="0.3">
      <c r="A43" s="2282"/>
      <c r="C43" s="292" t="str">
        <f>IF(samenstelling!$B72="","",samenstelling!B72)</f>
        <v/>
      </c>
      <c r="D43" s="405" t="str">
        <f>IF(samenstelling!$B72="","",samenstelling!C72)</f>
        <v/>
      </c>
      <c r="E43" s="396" t="str">
        <f>IF(samenstelling!$B72="","",samenstelling!E72)</f>
        <v/>
      </c>
      <c r="F43" s="396"/>
      <c r="G43" s="396"/>
      <c r="H43" s="396" t="str">
        <f>IF(samenstelling!$B72="","",samenstelling!H72)</f>
        <v/>
      </c>
      <c r="I43" s="396"/>
      <c r="J43" s="396"/>
      <c r="K43" s="396" t="str">
        <f>IF(samenstelling!$B72="","",samenstelling!K72&amp;" "&amp;samenstelling!N72)</f>
        <v/>
      </c>
      <c r="L43" s="396"/>
      <c r="M43" s="396"/>
      <c r="N43" s="396"/>
      <c r="O43" s="396" t="str">
        <f>IF(samenstelling!$B72="","",samenstelling!Q72)</f>
        <v/>
      </c>
      <c r="P43" s="396"/>
      <c r="Q43" s="1253" t="str">
        <f>IF(samenstelling!$B72="","",IF(samenstelling!S72="","",samenstelling!S72))</f>
        <v/>
      </c>
      <c r="R43" s="396"/>
      <c r="S43" s="396" t="str">
        <f>IF(samenstelling!$B72="","",IF(samenstelling!U72="","",samenstelling!U72))</f>
        <v/>
      </c>
      <c r="T43" s="396"/>
      <c r="U43" s="396" t="str">
        <f>IF(samenstelling!$B72="","",IF(samenstelling!AM72="","",samenstelling!AM72))</f>
        <v/>
      </c>
      <c r="V43" s="396"/>
      <c r="W43" s="396" t="str">
        <f>IF(samenstelling!$B72="","",IF(samenstelling!AO72="","",samenstelling!AO72))</f>
        <v/>
      </c>
      <c r="X43" s="396"/>
      <c r="Y43" s="293" t="str">
        <f>IF(samenstelling!$B72="","",IF(samenstelling!AS72="","",samenstelling!AS72))</f>
        <v/>
      </c>
      <c r="Z43" s="2284"/>
    </row>
    <row r="44" spans="1:26" ht="14.9" customHeight="1" x14ac:dyDescent="0.3">
      <c r="A44" s="2282"/>
      <c r="C44" s="292">
        <f>IF(samenstelling!$B73="","",samenstelling!B73)</f>
        <v>96</v>
      </c>
      <c r="D44" s="405">
        <f>IF(samenstelling!$B73="","",berekeningen!E54)</f>
        <v>0.1925</v>
      </c>
      <c r="E44" s="396" t="str">
        <f>IF(samenstelling!$B73="","",samenstelling!E73)</f>
        <v>Trinidad</v>
      </c>
      <c r="F44" s="396"/>
      <c r="G44" s="396"/>
      <c r="H44" s="396" t="str">
        <f>IF(samenstelling!$B73="","",samenstelling!H73)</f>
        <v>Epurée Z0/8</v>
      </c>
      <c r="I44" s="396"/>
      <c r="J44" s="396"/>
      <c r="K44" s="396" t="str">
        <f>IF(samenstelling!$B73="","",samenstelling!K73&amp;" "&amp;samenstelling!N73)</f>
        <v>Lumat Trinidad Lake</v>
      </c>
      <c r="L44" s="396"/>
      <c r="M44" s="396"/>
      <c r="N44" s="396"/>
      <c r="O44" s="396" t="str">
        <f>IF(samenstelling!$B73="","",samenstelling!Q73)</f>
        <v>partijkeuring</v>
      </c>
      <c r="P44" s="396"/>
      <c r="Q44" s="1253">
        <f>IF(samenstelling!$B73="","",IF(samenstelling!S73="","",samenstelling!S73))</f>
        <v>1.8089999999999999</v>
      </c>
      <c r="R44" s="396"/>
      <c r="S44" s="1253">
        <f>IF(samenstelling!$B73="","",IF(samenstelling!U73="","",samenstelling!U73))</f>
        <v>1.07</v>
      </c>
      <c r="T44" s="396"/>
      <c r="U44" s="396">
        <f>IF(samenstelling!$B73="","",IF(samenstelling!AM73="","",samenstelling!AM73))</f>
        <v>54</v>
      </c>
      <c r="V44" s="396"/>
      <c r="W44" s="396">
        <f>IF(samenstelling!$B73="","",IF(samenstelling!AO73="","",samenstelling!AO73))</f>
        <v>7.5</v>
      </c>
      <c r="X44" s="396"/>
      <c r="Y44" s="293" t="str">
        <f>IF(samenstelling!$B73="","",IF(samenstelling!AS73="","",samenstelling!AS73))</f>
        <v>onb.</v>
      </c>
    </row>
    <row r="45" spans="1:26" ht="14.9" customHeight="1" x14ac:dyDescent="0.3">
      <c r="A45" s="2282"/>
      <c r="C45" s="292" t="str">
        <f>IF(samenstelling!$B74="","",samenstelling!B74)</f>
        <v/>
      </c>
      <c r="D45" s="405" t="str">
        <f>IF(samenstelling!$B74="","",berekeningen!E55)</f>
        <v/>
      </c>
      <c r="E45" s="396" t="str">
        <f>IF(samenstelling!$B74="","",samenstelling!E74)</f>
        <v/>
      </c>
      <c r="F45" s="396"/>
      <c r="G45" s="396"/>
      <c r="H45" s="396" t="str">
        <f>IF(samenstelling!$B74="","",samenstelling!H74)</f>
        <v/>
      </c>
      <c r="I45" s="396"/>
      <c r="J45" s="396"/>
      <c r="K45" s="396" t="str">
        <f>IF(samenstelling!$B74="","",samenstelling!K74&amp;" "&amp;samenstelling!N74)</f>
        <v/>
      </c>
      <c r="L45" s="396"/>
      <c r="M45" s="396"/>
      <c r="N45" s="396"/>
      <c r="O45" s="396" t="str">
        <f>IF(samenstelling!$B74="","",samenstelling!Q74)</f>
        <v/>
      </c>
      <c r="P45" s="396"/>
      <c r="Q45" s="1253" t="str">
        <f>IF(samenstelling!$B74="","",IF(samenstelling!S74="","",samenstelling!S74))</f>
        <v/>
      </c>
      <c r="R45" s="396"/>
      <c r="S45" s="1253" t="str">
        <f>IF(samenstelling!$B74="","",IF(samenstelling!U74="","",samenstelling!U74))</f>
        <v/>
      </c>
      <c r="T45" s="396"/>
      <c r="U45" s="396" t="str">
        <f>IF(samenstelling!$B74="","",IF(samenstelling!AM74="","",samenstelling!AM74))</f>
        <v/>
      </c>
      <c r="V45" s="396"/>
      <c r="W45" s="396" t="str">
        <f>IF(samenstelling!$B74="","",IF(samenstelling!AO74="","",samenstelling!AO74))</f>
        <v/>
      </c>
      <c r="X45" s="396"/>
      <c r="Y45" s="293" t="str">
        <f>IF(samenstelling!$B74="","",IF(samenstelling!AS74="","",samenstelling!AS74))</f>
        <v/>
      </c>
    </row>
    <row r="46" spans="1:26" ht="14.9" customHeight="1" x14ac:dyDescent="0.3">
      <c r="A46" s="2282"/>
      <c r="C46" s="292">
        <f>IF(samenstelling!$B75="","",samenstelling!B75)</f>
        <v>98</v>
      </c>
      <c r="D46" s="405">
        <f>IF(samenstelling!$B75="","",berekeningen!E56)</f>
        <v>0.03</v>
      </c>
      <c r="E46" s="396" t="str">
        <f>IF(samenstelling!$B75="","",samenstelling!E75)</f>
        <v>Uintah</v>
      </c>
      <c r="F46" s="396"/>
      <c r="G46" s="396"/>
      <c r="H46" s="396" t="str">
        <f>IF(samenstelling!$B75="","",samenstelling!H75)</f>
        <v>Gilsonite</v>
      </c>
      <c r="I46" s="396"/>
      <c r="J46" s="396"/>
      <c r="K46" s="396" t="str">
        <f>IF(samenstelling!$B75="","",samenstelling!K75&amp;" "&amp;samenstelling!N75)</f>
        <v>MCA Uintah</v>
      </c>
      <c r="L46" s="396"/>
      <c r="M46" s="396"/>
      <c r="N46" s="396"/>
      <c r="O46" s="396" t="str">
        <f>IF(samenstelling!$B75="","",samenstelling!Q75)</f>
        <v>COPRO</v>
      </c>
      <c r="P46" s="396"/>
      <c r="Q46" s="1253" t="str">
        <f>IF(samenstelling!$B75="","",IF(samenstelling!S75="","",samenstelling!S75))</f>
        <v/>
      </c>
      <c r="R46" s="396"/>
      <c r="S46" s="1253">
        <f>IF(samenstelling!$B75="","",IF(samenstelling!U75="","",samenstelling!U75))</f>
        <v>1.07</v>
      </c>
      <c r="T46" s="396"/>
      <c r="U46" s="396">
        <f>IF(samenstelling!$B75="","",IF(samenstelling!AM75="","",samenstelling!AM75))</f>
        <v>100</v>
      </c>
      <c r="V46" s="396"/>
      <c r="W46" s="396" t="str">
        <f>IF(samenstelling!$B75="","",IF(samenstelling!AO75="","",samenstelling!AO75))</f>
        <v/>
      </c>
      <c r="X46" s="396"/>
      <c r="Y46" s="293" t="str">
        <f>IF(samenstelling!$B75="","",IF(samenstelling!AS75="","",samenstelling!AS75))</f>
        <v/>
      </c>
    </row>
    <row r="47" spans="1:26" ht="14.9" customHeight="1" x14ac:dyDescent="0.3">
      <c r="A47" s="2282"/>
      <c r="C47" s="292" t="str">
        <f>IF(samenstelling!$B76="","",samenstelling!B76)</f>
        <v/>
      </c>
      <c r="D47" s="405" t="str">
        <f>IF(samenstelling!$B76="","",berekeningen!E57)</f>
        <v/>
      </c>
      <c r="E47" s="396" t="str">
        <f>IF(samenstelling!$B76="","",samenstelling!E76)</f>
        <v/>
      </c>
      <c r="F47" s="396"/>
      <c r="G47" s="396"/>
      <c r="H47" s="396" t="str">
        <f>IF(samenstelling!$B76="","",samenstelling!H76)</f>
        <v/>
      </c>
      <c r="I47" s="396"/>
      <c r="J47" s="396"/>
      <c r="K47" s="396" t="str">
        <f>IF(samenstelling!$B76="","",samenstelling!K76&amp;" "&amp;samenstelling!N76)</f>
        <v/>
      </c>
      <c r="L47" s="396"/>
      <c r="M47" s="396"/>
      <c r="N47" s="396"/>
      <c r="O47" s="396" t="str">
        <f>IF(samenstelling!$B76="","",samenstelling!Q76)</f>
        <v/>
      </c>
      <c r="P47" s="396"/>
      <c r="Q47" s="1253" t="str">
        <f>IF(samenstelling!$B76="","",IF(samenstelling!S76="","",samenstelling!S76))</f>
        <v/>
      </c>
      <c r="R47" s="396"/>
      <c r="S47" s="1253" t="str">
        <f>IF(samenstelling!$B76="","",IF(samenstelling!U76="","",samenstelling!U76))</f>
        <v/>
      </c>
      <c r="T47" s="396"/>
      <c r="U47" s="396" t="str">
        <f>IF(samenstelling!$B76="","",IF(samenstelling!AM76="","",samenstelling!AM76))</f>
        <v/>
      </c>
      <c r="V47" s="396"/>
      <c r="W47" s="396" t="str">
        <f>IF(samenstelling!$B76="","",IF(samenstelling!AO76="","",samenstelling!AO76))</f>
        <v/>
      </c>
      <c r="X47" s="396"/>
      <c r="Y47" s="293" t="str">
        <f>IF(samenstelling!$B76="","",IF(samenstelling!AS76="","",samenstelling!AS76))</f>
        <v/>
      </c>
    </row>
    <row r="48" spans="1:26" ht="14.9" customHeight="1" thickBot="1" x14ac:dyDescent="0.35">
      <c r="A48" s="422"/>
      <c r="C48" s="294" t="str">
        <f>IF(samenstelling!$B77="","",samenstelling!B77)</f>
        <v/>
      </c>
      <c r="D48" s="406" t="str">
        <f>IF(samenstelling!$B77="","",berekeningen!E58)</f>
        <v/>
      </c>
      <c r="E48" s="397" t="str">
        <f>IF(samenstelling!$B77="","",samenstelling!E77)</f>
        <v/>
      </c>
      <c r="F48" s="397"/>
      <c r="G48" s="397"/>
      <c r="H48" s="397" t="str">
        <f>IF(samenstelling!$B77="","",samenstelling!H77)</f>
        <v/>
      </c>
      <c r="I48" s="397"/>
      <c r="J48" s="397"/>
      <c r="K48" s="397" t="str">
        <f>IF(samenstelling!$B77="","",samenstelling!K77&amp;" "&amp;samenstelling!N77)</f>
        <v/>
      </c>
      <c r="L48" s="397"/>
      <c r="M48" s="397"/>
      <c r="N48" s="397"/>
      <c r="O48" s="397" t="str">
        <f>IF(samenstelling!$B77="","",samenstelling!Q77)</f>
        <v/>
      </c>
      <c r="P48" s="397"/>
      <c r="Q48" s="1254" t="str">
        <f>IF(samenstelling!$B77="","",IF(samenstelling!S77="","",samenstelling!S77))</f>
        <v/>
      </c>
      <c r="R48" s="397"/>
      <c r="S48" s="1254" t="str">
        <f>IF(samenstelling!$B77="","",IF(samenstelling!U77="","",samenstelling!U77))</f>
        <v/>
      </c>
      <c r="T48" s="397"/>
      <c r="U48" s="397" t="str">
        <f>IF(samenstelling!$B77="","",IF(samenstelling!AM77="","",samenstelling!AM77))</f>
        <v/>
      </c>
      <c r="V48" s="397"/>
      <c r="W48" s="397" t="str">
        <f>IF(samenstelling!$B77="","",IF(samenstelling!AO77="","",samenstelling!AO77))</f>
        <v/>
      </c>
      <c r="X48" s="397"/>
      <c r="Y48" s="295" t="str">
        <f>IF(samenstelling!$B77="","",IF(samenstelling!AS77="","",samenstelling!AS77))</f>
        <v/>
      </c>
    </row>
    <row r="49" spans="1:25" ht="14.9" customHeight="1" thickBot="1" x14ac:dyDescent="0.35">
      <c r="A49" s="422"/>
      <c r="C49" s="311"/>
      <c r="D49" s="311"/>
      <c r="E49" s="311"/>
      <c r="F49" s="311"/>
      <c r="G49" s="311"/>
      <c r="H49" s="311"/>
      <c r="I49" s="311"/>
      <c r="J49" s="311"/>
      <c r="K49" s="311"/>
      <c r="L49" s="311"/>
      <c r="M49" s="311"/>
      <c r="N49" s="311"/>
      <c r="O49" s="311"/>
      <c r="P49" s="311"/>
      <c r="Q49" s="311"/>
      <c r="R49" s="311"/>
      <c r="S49" s="311"/>
      <c r="T49" s="311"/>
      <c r="U49" s="311"/>
      <c r="V49" s="311"/>
      <c r="W49" s="311"/>
      <c r="X49" s="311"/>
      <c r="Y49" s="311"/>
    </row>
    <row r="50" spans="1:25" ht="14.9" customHeight="1" x14ac:dyDescent="0.3">
      <c r="A50" s="2283" t="s">
        <v>653</v>
      </c>
      <c r="C50" s="519" t="s">
        <v>216</v>
      </c>
      <c r="D50" s="245"/>
      <c r="E50" s="245"/>
      <c r="F50" s="245"/>
      <c r="G50" s="245"/>
      <c r="H50" s="246"/>
      <c r="I50" s="311"/>
      <c r="J50" s="520" t="s">
        <v>210</v>
      </c>
      <c r="K50" s="521"/>
      <c r="L50" s="521"/>
      <c r="M50" s="521"/>
      <c r="N50" s="521"/>
      <c r="O50" s="521"/>
      <c r="P50" s="522"/>
      <c r="Q50" s="311"/>
      <c r="R50" s="520" t="s">
        <v>214</v>
      </c>
      <c r="S50" s="521"/>
      <c r="T50" s="521"/>
      <c r="U50" s="521"/>
      <c r="V50" s="521"/>
      <c r="W50" s="521"/>
      <c r="X50" s="521"/>
      <c r="Y50" s="522"/>
    </row>
    <row r="51" spans="1:25" ht="14.9" customHeight="1" x14ac:dyDescent="0.3">
      <c r="A51" s="2283"/>
      <c r="C51" s="452" t="s">
        <v>740</v>
      </c>
      <c r="D51" s="453"/>
      <c r="E51" s="453"/>
      <c r="F51" s="453"/>
      <c r="G51" s="453"/>
      <c r="H51" s="454"/>
      <c r="J51" s="452" t="s">
        <v>114</v>
      </c>
      <c r="K51" s="476" t="s">
        <v>182</v>
      </c>
      <c r="L51" s="453" t="s">
        <v>131</v>
      </c>
      <c r="M51" s="453"/>
      <c r="N51" s="453"/>
      <c r="O51" s="476" t="s">
        <v>749</v>
      </c>
      <c r="P51" s="477" t="s">
        <v>736</v>
      </c>
      <c r="R51" s="452" t="s">
        <v>114</v>
      </c>
      <c r="S51" s="476" t="s">
        <v>182</v>
      </c>
      <c r="T51" s="453" t="s">
        <v>131</v>
      </c>
      <c r="U51" s="453"/>
      <c r="V51" s="453"/>
      <c r="W51" s="476" t="s">
        <v>749</v>
      </c>
      <c r="X51" s="476" t="s">
        <v>753</v>
      </c>
      <c r="Y51" s="477" t="s">
        <v>754</v>
      </c>
    </row>
    <row r="52" spans="1:25" ht="14.9" customHeight="1" x14ac:dyDescent="0.3">
      <c r="A52" s="1258">
        <f>berekeningen!O2</f>
        <v>19</v>
      </c>
      <c r="C52" s="448">
        <f>samenstelling!B117</f>
        <v>1</v>
      </c>
      <c r="D52" s="449" t="s">
        <v>265</v>
      </c>
      <c r="E52" s="449"/>
      <c r="F52" s="449"/>
      <c r="G52" s="450">
        <f>samenstelling!E117</f>
        <v>74.27276090904698</v>
      </c>
      <c r="H52" s="451" t="s">
        <v>182</v>
      </c>
      <c r="J52" s="474">
        <f>IF(samenstelling!$C126=0,"",samenstelling!B126)</f>
        <v>41</v>
      </c>
      <c r="K52" s="475">
        <f>IF(samenstelling!$C126=0,"",samenstelling!C126)</f>
        <v>0.46750000000000008</v>
      </c>
      <c r="L52" s="449" t="str">
        <f>IF(samenstelling!$C126=0,"",samenstelling!J126)</f>
        <v>IIa</v>
      </c>
      <c r="M52" s="449"/>
      <c r="N52" s="449"/>
      <c r="O52" s="1237">
        <f>IF(samenstelling!$C126=0,"",samenstelling!M126)</f>
        <v>2.7</v>
      </c>
      <c r="P52" s="451">
        <f>IF(samenstelling!$C126=0,"",samenstelling!O126)</f>
        <v>45</v>
      </c>
      <c r="R52" s="474">
        <f>IF(samenstelling!$C145=0,"",samenstelling!B145)</f>
        <v>51</v>
      </c>
      <c r="S52" s="475">
        <f>IF(samenstelling!$C145=0,"",samenstelling!C145)</f>
        <v>2.2160500000000001</v>
      </c>
      <c r="T52" s="449" t="str">
        <f>IF(samenstelling!$C145=0,"",samenstelling!H145)</f>
        <v>Mexphalte CLT50/70</v>
      </c>
      <c r="U52" s="449"/>
      <c r="V52" s="449"/>
      <c r="W52" s="1237">
        <f>IF(samenstelling!$C145=0,"",samenstelling!K145)</f>
        <v>1.0249999999999999</v>
      </c>
      <c r="X52" s="460">
        <f>IF(samenstelling!$C145=0,"",samenstelling!M145)</f>
        <v>60</v>
      </c>
      <c r="Y52" s="451">
        <f>IF(samenstelling!$C145=0,"",samenstelling!Q145)</f>
        <v>98</v>
      </c>
    </row>
    <row r="53" spans="1:25" ht="14.9" customHeight="1" x14ac:dyDescent="0.3">
      <c r="A53" s="422"/>
      <c r="C53" s="437">
        <f>samenstelling!B118</f>
        <v>0.5</v>
      </c>
      <c r="D53" s="438" t="s">
        <v>265</v>
      </c>
      <c r="E53" s="438"/>
      <c r="F53" s="438"/>
      <c r="G53" s="440">
        <f>samenstelling!E118</f>
        <v>52.266602373633262</v>
      </c>
      <c r="H53" s="439" t="s">
        <v>182</v>
      </c>
      <c r="J53" s="468" t="str">
        <f>IF(samenstelling!$C127=0,"",samenstelling!B127)</f>
        <v/>
      </c>
      <c r="K53" s="469" t="str">
        <f>IF(samenstelling!$C127=0,"",samenstelling!C127)</f>
        <v/>
      </c>
      <c r="L53" s="438" t="str">
        <f>IF(samenstelling!$C127=0,"",samenstelling!J127)</f>
        <v/>
      </c>
      <c r="M53" s="438"/>
      <c r="N53" s="438"/>
      <c r="O53" s="1238" t="str">
        <f>IF(samenstelling!$C127=0,"",samenstelling!M127)</f>
        <v/>
      </c>
      <c r="P53" s="439" t="str">
        <f>IF(samenstelling!$C127=0,"",samenstelling!O127)</f>
        <v/>
      </c>
      <c r="R53" s="468" t="str">
        <f>IF(samenstelling!$C146=0,"",samenstelling!B146)</f>
        <v/>
      </c>
      <c r="S53" s="469" t="str">
        <f>IF(samenstelling!$C146=0,"",samenstelling!C146)</f>
        <v/>
      </c>
      <c r="T53" s="438" t="str">
        <f>IF(samenstelling!$C146=0,"",samenstelling!H146)</f>
        <v/>
      </c>
      <c r="U53" s="438"/>
      <c r="V53" s="438"/>
      <c r="W53" s="1238" t="str">
        <f>IF(samenstelling!$C146=0,"",samenstelling!K146)</f>
        <v/>
      </c>
      <c r="X53" s="442" t="str">
        <f>IF(samenstelling!$C146=0,"",samenstelling!M146)</f>
        <v/>
      </c>
      <c r="Y53" s="439" t="str">
        <f>IF(samenstelling!$C146=0,"",samenstelling!Q146)</f>
        <v/>
      </c>
    </row>
    <row r="54" spans="1:25" ht="14.9" customHeight="1" x14ac:dyDescent="0.3">
      <c r="A54" s="422"/>
      <c r="C54" s="437">
        <f>samenstelling!B119</f>
        <v>0.25</v>
      </c>
      <c r="D54" s="438" t="s">
        <v>265</v>
      </c>
      <c r="E54" s="438"/>
      <c r="F54" s="438"/>
      <c r="G54" s="440">
        <f>samenstelling!E119</f>
        <v>34.748983444709054</v>
      </c>
      <c r="H54" s="439" t="s">
        <v>182</v>
      </c>
      <c r="J54" s="468"/>
      <c r="K54" s="469">
        <f>IF(samenstelling!$C128=0,"",samenstelling!C128)</f>
        <v>0.53659999999999997</v>
      </c>
      <c r="L54" s="438" t="str">
        <f>IF(samenstelling!$C128=0,"",samenstelling!G128)</f>
        <v>Teruggewonnen stof</v>
      </c>
      <c r="M54" s="438"/>
      <c r="N54" s="438"/>
      <c r="O54" s="1238">
        <f>IF(samenstelling!$C128=0,"",samenstelling!M128)</f>
        <v>3.05122851704447</v>
      </c>
      <c r="P54" s="439">
        <f>IF(OR(samenstelling!$C128="",samenstelling!O128="",samenstelling!O128=0),"",samenstelling!O128)</f>
        <v>38</v>
      </c>
      <c r="R54" s="468" t="str">
        <f>IF(samenstelling!$C147=0,"",samenstelling!B147)</f>
        <v/>
      </c>
      <c r="S54" s="469" t="str">
        <f>IF(samenstelling!$C147=0,"",samenstelling!C147)</f>
        <v/>
      </c>
      <c r="T54" s="438" t="str">
        <f>IF(samenstelling!$C147=0,"",samenstelling!H147)</f>
        <v/>
      </c>
      <c r="U54" s="438"/>
      <c r="V54" s="438"/>
      <c r="W54" s="1238" t="str">
        <f>IF(samenstelling!$C147=0,"",samenstelling!K147)</f>
        <v/>
      </c>
      <c r="X54" s="442" t="str">
        <f>IF(samenstelling!$C147=0,"",samenstelling!M147)</f>
        <v/>
      </c>
      <c r="Y54" s="439" t="str">
        <f>IF(samenstelling!$C147=0,"",samenstelling!Q147)</f>
        <v/>
      </c>
    </row>
    <row r="55" spans="1:25" ht="14.9" customHeight="1" x14ac:dyDescent="0.3">
      <c r="A55" s="2282" t="s">
        <v>610</v>
      </c>
      <c r="C55" s="1344">
        <f>samenstelling!B120</f>
        <v>0.125</v>
      </c>
      <c r="D55" s="456" t="s">
        <v>265</v>
      </c>
      <c r="E55" s="456"/>
      <c r="F55" s="456"/>
      <c r="G55" s="457">
        <f>samenstelling!E120</f>
        <v>17.297726938234824</v>
      </c>
      <c r="H55" s="458" t="s">
        <v>182</v>
      </c>
      <c r="J55" s="468"/>
      <c r="K55" s="469">
        <f>IF(samenstelling!$C129=0,"",samenstelling!C129)</f>
        <v>1</v>
      </c>
      <c r="L55" s="438" t="str">
        <f>IF(samenstelling!$C129=0,"",samenstelling!G129)</f>
        <v>Extra teruggew. stof</v>
      </c>
      <c r="M55" s="438"/>
      <c r="N55" s="438"/>
      <c r="O55" s="1238">
        <f>IF(samenstelling!$C129=0,"",samenstelling!M129)</f>
        <v>3.05122851704447</v>
      </c>
      <c r="P55" s="439" t="str">
        <f>IF(OR(samenstelling!$C129=0,samenstelling!O129="",samenstelling!O129=0),"",samenstelling!O129)</f>
        <v/>
      </c>
      <c r="R55" s="468">
        <f>IF(samenstelling!$C148=0,"",samenstelling!B148)</f>
        <v>71</v>
      </c>
      <c r="S55" s="469">
        <f>IF(samenstelling!$C148=0,"",samenstelling!C148)</f>
        <v>1.5</v>
      </c>
      <c r="T55" s="438" t="str">
        <f>IF(samenstelling!$C148=0,"",samenstelling!E148)</f>
        <v>Asfaltgranulaat</v>
      </c>
      <c r="U55" s="438"/>
      <c r="V55" s="438"/>
      <c r="W55" s="1238">
        <f>IF(samenstelling!$C148=0,"",samenstelling!K148)</f>
        <v>1.03</v>
      </c>
      <c r="X55" s="442">
        <f>IF(samenstelling!$C148=0,"",samenstelling!M148)</f>
        <v>25</v>
      </c>
      <c r="Y55" s="439">
        <f>IF(samenstelling!$C148=0,"",samenstelling!Q148)</f>
        <v>100</v>
      </c>
    </row>
    <row r="56" spans="1:25" ht="14.9" customHeight="1" x14ac:dyDescent="0.3">
      <c r="A56" s="2282"/>
      <c r="C56" s="452" t="s">
        <v>741</v>
      </c>
      <c r="D56" s="453"/>
      <c r="E56" s="453"/>
      <c r="F56" s="453"/>
      <c r="G56" s="453"/>
      <c r="H56" s="454"/>
      <c r="J56" s="468">
        <f>IF(samenstelling!$C130=0,"",samenstelling!B130)</f>
        <v>71</v>
      </c>
      <c r="K56" s="469">
        <f>IF(samenstelling!$C130=0,"",samenstelling!C130)</f>
        <v>2.9641185647425896</v>
      </c>
      <c r="L56" s="438" t="str">
        <f>IF(samenstelling!$C130=0,"",samenstelling!G130)</f>
        <v>Asfaltgranulaat</v>
      </c>
      <c r="M56" s="438"/>
      <c r="N56" s="438"/>
      <c r="O56" s="1238">
        <f>IF(samenstelling!$C130=0,"",samenstelling!M130)</f>
        <v>2.6416804407713501</v>
      </c>
      <c r="P56" s="439">
        <f>IF(OR(samenstelling!$C130=0,samenstelling!O130="",samenstelling!O130=0),"",samenstelling!O130)</f>
        <v>29</v>
      </c>
      <c r="R56" s="468" t="str">
        <f>IF(samenstelling!$C149=0,"",samenstelling!B149)</f>
        <v/>
      </c>
      <c r="S56" s="469" t="str">
        <f>IF(samenstelling!$C149=0,"",samenstelling!C149)</f>
        <v/>
      </c>
      <c r="T56" s="438" t="str">
        <f>IF(samenstelling!$C149=0,"",samenstelling!E149)</f>
        <v/>
      </c>
      <c r="U56" s="438"/>
      <c r="V56" s="438"/>
      <c r="W56" s="1238" t="str">
        <f>IF(samenstelling!$C149=0,"",samenstelling!K149)</f>
        <v/>
      </c>
      <c r="X56" s="442" t="str">
        <f>IF(samenstelling!$C149=0,"",samenstelling!M149)</f>
        <v/>
      </c>
      <c r="Y56" s="439" t="str">
        <f>IF(samenstelling!$C149=0,"",samenstelling!Q149)</f>
        <v/>
      </c>
    </row>
    <row r="57" spans="1:25" ht="14.9" customHeight="1" x14ac:dyDescent="0.3">
      <c r="A57" s="2282"/>
      <c r="C57" s="448"/>
      <c r="D57" s="449"/>
      <c r="E57" s="449"/>
      <c r="F57" s="459" t="s">
        <v>284</v>
      </c>
      <c r="G57" s="460">
        <f>samenstelling!M117</f>
        <v>40.371409821500478</v>
      </c>
      <c r="H57" s="451" t="s">
        <v>182</v>
      </c>
      <c r="J57" s="468" t="str">
        <f>IF(samenstelling!$C131=0,"",samenstelling!B131)</f>
        <v/>
      </c>
      <c r="K57" s="469" t="str">
        <f>IF(samenstelling!$C131=0,"",samenstelling!C131)</f>
        <v/>
      </c>
      <c r="L57" s="438" t="str">
        <f>IF(samenstelling!$C131=0,"",samenstelling!G131)</f>
        <v/>
      </c>
      <c r="M57" s="438"/>
      <c r="N57" s="438"/>
      <c r="O57" s="1238" t="str">
        <f>IF(samenstelling!$C131=0,"",samenstelling!M131)</f>
        <v/>
      </c>
      <c r="P57" s="439" t="str">
        <f>IF(samenstelling!$C131=0,"",samenstelling!O131)</f>
        <v/>
      </c>
      <c r="R57" s="470" t="str">
        <f>IF(samenstelling!$C150=0,"",samenstelling!B150)</f>
        <v/>
      </c>
      <c r="S57" s="471" t="str">
        <f>IF(samenstelling!$C150=0,"",samenstelling!C150)</f>
        <v/>
      </c>
      <c r="T57" s="456" t="str">
        <f>IF(samenstelling!$C150=0,"",samenstelling!E150)</f>
        <v/>
      </c>
      <c r="U57" s="456"/>
      <c r="V57" s="456"/>
      <c r="W57" s="1255" t="str">
        <f>IF(samenstelling!$C150=0,"",samenstelling!K150)</f>
        <v/>
      </c>
      <c r="X57" s="461" t="str">
        <f>IF(samenstelling!$C150=0,"",samenstelling!M150)</f>
        <v/>
      </c>
      <c r="Y57" s="458" t="str">
        <f>IF(samenstelling!$C150=0,"",samenstelling!Q150)</f>
        <v/>
      </c>
    </row>
    <row r="58" spans="1:25" ht="14.9" customHeight="1" thickBot="1" x14ac:dyDescent="0.35">
      <c r="A58" s="2282"/>
      <c r="C58" s="443"/>
      <c r="D58" s="444"/>
      <c r="E58" s="444"/>
      <c r="F58" s="445" t="s">
        <v>285</v>
      </c>
      <c r="G58" s="446">
        <f>samenstelling!M118</f>
        <v>59.628590178499522</v>
      </c>
      <c r="H58" s="447" t="s">
        <v>182</v>
      </c>
      <c r="J58" s="468" t="str">
        <f>IF(samenstelling!$C132=0,"",samenstelling!B132)</f>
        <v/>
      </c>
      <c r="K58" s="469" t="str">
        <f>IF(samenstelling!$C132=0,"",samenstelling!C132)</f>
        <v/>
      </c>
      <c r="L58" s="438" t="str">
        <f>IF(samenstelling!$C132=0,"",samenstelling!G132)</f>
        <v/>
      </c>
      <c r="M58" s="438"/>
      <c r="N58" s="438"/>
      <c r="O58" s="1238" t="str">
        <f>IF(samenstelling!$C132=0,"",samenstelling!M132)</f>
        <v/>
      </c>
      <c r="P58" s="439" t="str">
        <f>IF(samenstelling!$C132=0,"",samenstelling!O132)</f>
        <v/>
      </c>
      <c r="R58" s="480"/>
      <c r="S58" s="481">
        <f>samenstelling!C151</f>
        <v>3.7160500000000001</v>
      </c>
      <c r="T58" s="329"/>
      <c r="U58" s="473"/>
      <c r="V58" s="478" t="s">
        <v>751</v>
      </c>
      <c r="W58" s="1239">
        <f>samenstelling!K151</f>
        <v>1.0270124179604279</v>
      </c>
      <c r="X58" s="488">
        <f>samenstelling!M151</f>
        <v>42</v>
      </c>
      <c r="Y58" s="489">
        <f>samenstelling!Q151</f>
        <v>98.807308835995215</v>
      </c>
    </row>
    <row r="59" spans="1:25" ht="14.9" customHeight="1" x14ac:dyDescent="0.3">
      <c r="A59" s="2282"/>
      <c r="J59" s="468">
        <f>IF(samenstelling!$C133=0,"",samenstelling!B133)</f>
        <v>83</v>
      </c>
      <c r="K59" s="469">
        <f>IF(samenstelling!$C133=0,"",samenstelling!C133)</f>
        <v>2.82</v>
      </c>
      <c r="L59" s="438" t="str">
        <f>IF(samenstelling!$C133=0,"",samenstelling!G133)</f>
        <v>Rode kleurstof</v>
      </c>
      <c r="M59" s="438"/>
      <c r="N59" s="438"/>
      <c r="O59" s="1238">
        <f>IF(samenstelling!$C133=0,"",samenstelling!M133)</f>
        <v>5</v>
      </c>
      <c r="P59" s="439">
        <f>IF(samenstelling!$C133=0,"",samenstelling!O133)</f>
        <v>40</v>
      </c>
      <c r="R59" s="491" t="s">
        <v>217</v>
      </c>
      <c r="S59" s="485"/>
      <c r="T59" s="333"/>
      <c r="U59" s="484"/>
      <c r="V59" s="486" t="s">
        <v>752</v>
      </c>
      <c r="W59" s="1256" t="str">
        <f>IF(samenstelling!K152="","",samenstelling!K152)</f>
        <v/>
      </c>
      <c r="X59" s="490" t="str">
        <f>IF(samenstelling!M152="","",samenstelling!M152)</f>
        <v/>
      </c>
      <c r="Y59" s="487" t="s">
        <v>745</v>
      </c>
    </row>
    <row r="60" spans="1:25" ht="14.9" customHeight="1" x14ac:dyDescent="0.3">
      <c r="A60" s="2282"/>
      <c r="C60" s="318" t="s">
        <v>755</v>
      </c>
      <c r="D60" s="318" t="s">
        <v>1232</v>
      </c>
      <c r="J60" s="468" t="str">
        <f>IF(samenstelling!$C134=0,"",samenstelling!B134)</f>
        <v/>
      </c>
      <c r="K60" s="469" t="str">
        <f>IF(samenstelling!$C134=0,"",samenstelling!C134)</f>
        <v/>
      </c>
      <c r="L60" s="438" t="str">
        <f>IF(samenstelling!$C134=0,"",samenstelling!G134)</f>
        <v/>
      </c>
      <c r="M60" s="438"/>
      <c r="N60" s="438"/>
      <c r="O60" s="1238" t="str">
        <f>IF(samenstelling!$C134=0,"",samenstelling!M134)</f>
        <v/>
      </c>
      <c r="P60" s="439" t="str">
        <f>IF(samenstelling!$C134=0,"",samenstelling!O134)</f>
        <v/>
      </c>
      <c r="R60" s="474">
        <f>IF(samenstelling!$C153=0,"",samenstelling!B153)</f>
        <v>96</v>
      </c>
      <c r="S60" s="475">
        <f>IF(samenstelling!$C153=0,"",samenstelling!C153)</f>
        <v>0.10395</v>
      </c>
      <c r="T60" s="449" t="str">
        <f>IF(samenstelling!$C153=0,"",samenstelling!E153)</f>
        <v>Trinidad</v>
      </c>
      <c r="U60" s="449"/>
      <c r="V60" s="483"/>
      <c r="W60" s="1237">
        <f>IF(samenstelling!$C153=0,"",samenstelling!K153)</f>
        <v>1.07</v>
      </c>
      <c r="X60" s="460">
        <f>IF(samenstelling!$C153=0,"",samenstelling!M153)</f>
        <v>7.5</v>
      </c>
      <c r="Y60" s="451">
        <f>IF(samenstelling!$C153=0,"",samenstelling!Q153)</f>
        <v>100</v>
      </c>
    </row>
    <row r="61" spans="1:25" ht="14.9" customHeight="1" x14ac:dyDescent="0.3">
      <c r="A61" s="2282"/>
      <c r="C61" s="318" t="s">
        <v>756</v>
      </c>
      <c r="D61" s="318" t="s">
        <v>757</v>
      </c>
      <c r="J61" s="468" t="str">
        <f>IF(samenstelling!$C135=0,"",samenstelling!B135)</f>
        <v/>
      </c>
      <c r="K61" s="469" t="str">
        <f>IF(samenstelling!$C135=0,"",samenstelling!C135)</f>
        <v/>
      </c>
      <c r="L61" s="438" t="str">
        <f>IF(samenstelling!$C135=0,"",samenstelling!G135)</f>
        <v/>
      </c>
      <c r="M61" s="438"/>
      <c r="N61" s="438"/>
      <c r="O61" s="1238" t="str">
        <f>IF(samenstelling!$C135=0,"",samenstelling!M135)</f>
        <v/>
      </c>
      <c r="P61" s="439" t="str">
        <f>IF(samenstelling!$C135=0,"",samenstelling!O135)</f>
        <v/>
      </c>
      <c r="R61" s="468" t="str">
        <f>IF(samenstelling!$C154=0,"",samenstelling!B154)</f>
        <v/>
      </c>
      <c r="S61" s="469" t="str">
        <f>IF(samenstelling!$C154=0,"",samenstelling!C154)</f>
        <v/>
      </c>
      <c r="T61" s="438" t="str">
        <f>IF(samenstelling!$C154=0,"",samenstelling!E154)</f>
        <v/>
      </c>
      <c r="U61" s="438"/>
      <c r="V61" s="438"/>
      <c r="W61" s="1238" t="str">
        <f>IF(samenstelling!$C154=0,"",samenstelling!K154)</f>
        <v/>
      </c>
      <c r="X61" s="442" t="str">
        <f>IF(samenstelling!$C154=0,"",samenstelling!M154)</f>
        <v/>
      </c>
      <c r="Y61" s="439" t="str">
        <f>IF(samenstelling!$C154=0,"",samenstelling!Q154)</f>
        <v/>
      </c>
    </row>
    <row r="62" spans="1:25" ht="14.9" customHeight="1" x14ac:dyDescent="0.3">
      <c r="A62" s="2282"/>
      <c r="C62" s="318" t="s">
        <v>758</v>
      </c>
      <c r="D62" s="318" t="s">
        <v>759</v>
      </c>
      <c r="J62" s="468">
        <f>IF(samenstelling!$C136=0,"",samenstelling!B136)</f>
        <v>96</v>
      </c>
      <c r="K62" s="469">
        <f>IF(samenstelling!$C136=0,"",samenstelling!C136)</f>
        <v>7.9695000000000002E-2</v>
      </c>
      <c r="L62" s="438" t="str">
        <f>IF(samenstelling!$C136=0,"",samenstelling!G136)</f>
        <v>Trinidad</v>
      </c>
      <c r="M62" s="438"/>
      <c r="N62" s="438"/>
      <c r="O62" s="1238">
        <f>IF(samenstelling!$C136=0,"",samenstelling!M136)</f>
        <v>1.8089999999999999</v>
      </c>
      <c r="P62" s="467" t="str">
        <f>IF(samenstelling!$C136=0,"",samenstelling!O136)</f>
        <v>onb.</v>
      </c>
      <c r="R62" s="468">
        <f>IF(samenstelling!$C155=0,"",samenstelling!B155)</f>
        <v>98</v>
      </c>
      <c r="S62" s="469">
        <f>IF(samenstelling!$C155=0,"",samenstelling!C155)</f>
        <v>0.03</v>
      </c>
      <c r="T62" s="438" t="str">
        <f>IF(samenstelling!$C155=0,"",samenstelling!E155)</f>
        <v>Uintah</v>
      </c>
      <c r="U62" s="438"/>
      <c r="V62" s="438"/>
      <c r="W62" s="1238">
        <f>IF(samenstelling!$C155=0,"",samenstelling!K155)</f>
        <v>1.07</v>
      </c>
      <c r="X62" s="442">
        <f>IF(samenstelling!$C155=0,"",samenstelling!M155)</f>
        <v>0</v>
      </c>
      <c r="Y62" s="439">
        <f>IF(samenstelling!$C155=0,"",samenstelling!Q155)</f>
        <v>100</v>
      </c>
    </row>
    <row r="63" spans="1:25" ht="14.9" customHeight="1" x14ac:dyDescent="0.3">
      <c r="A63" s="2282"/>
      <c r="C63" s="318" t="s">
        <v>760</v>
      </c>
      <c r="D63" s="318" t="s">
        <v>761</v>
      </c>
      <c r="J63" s="470" t="str">
        <f>IF(samenstelling!$C137=0,"",samenstelling!B137)</f>
        <v/>
      </c>
      <c r="K63" s="471" t="str">
        <f>IF(samenstelling!$C137=0,"",samenstelling!C137)</f>
        <v/>
      </c>
      <c r="L63" s="456" t="str">
        <f>IF(samenstelling!$C137=0,"",samenstelling!G137)</f>
        <v/>
      </c>
      <c r="M63" s="456"/>
      <c r="N63" s="456"/>
      <c r="O63" s="1255" t="str">
        <f>IF(samenstelling!$C137=0,"",samenstelling!M137)</f>
        <v/>
      </c>
      <c r="P63" s="458" t="str">
        <f>IF(samenstelling!$C137=0,"",samenstelling!O137)</f>
        <v/>
      </c>
      <c r="R63" s="468" t="str">
        <f>IF(samenstelling!$C156=0,"",samenstelling!B156)</f>
        <v/>
      </c>
      <c r="S63" s="469" t="str">
        <f>IF(samenstelling!$C156=0,"",samenstelling!C156)</f>
        <v/>
      </c>
      <c r="T63" s="438" t="str">
        <f>IF(samenstelling!$C156=0,"",samenstelling!E156)</f>
        <v/>
      </c>
      <c r="U63" s="438"/>
      <c r="V63" s="438"/>
      <c r="W63" s="1238" t="str">
        <f>IF(samenstelling!$C156=0,"",samenstelling!K156)</f>
        <v/>
      </c>
      <c r="X63" s="442" t="str">
        <f>IF(samenstelling!$C156=0,"",samenstelling!M156)</f>
        <v/>
      </c>
      <c r="Y63" s="439" t="str">
        <f>IF(samenstelling!$C156=0,"",samenstelling!Q156)</f>
        <v/>
      </c>
    </row>
    <row r="64" spans="1:25" ht="14.9" customHeight="1" x14ac:dyDescent="0.3">
      <c r="A64" s="2282"/>
      <c r="J64" s="480"/>
      <c r="K64" s="481">
        <f>samenstelling!C138</f>
        <v>7.8679135647425893</v>
      </c>
      <c r="L64" s="329"/>
      <c r="M64" s="473"/>
      <c r="N64" s="478" t="s">
        <v>751</v>
      </c>
      <c r="O64" s="1239">
        <f>samenstelling!M138</f>
        <v>3.2689436910151639</v>
      </c>
      <c r="P64" s="482" t="s">
        <v>745</v>
      </c>
      <c r="R64" s="470" t="str">
        <f>IF(samenstelling!$C157=0,"",samenstelling!B157)</f>
        <v/>
      </c>
      <c r="S64" s="471" t="str">
        <f>IF(samenstelling!$C157=0,"",samenstelling!C157)</f>
        <v/>
      </c>
      <c r="T64" s="456" t="str">
        <f>IF(samenstelling!$C157=0,"",samenstelling!E157)</f>
        <v/>
      </c>
      <c r="U64" s="456"/>
      <c r="V64" s="456"/>
      <c r="W64" s="1255" t="str">
        <f>IF(samenstelling!$C157=0,"",samenstelling!K157)</f>
        <v/>
      </c>
      <c r="X64" s="461" t="str">
        <f>IF(samenstelling!$C157=0,"",samenstelling!M157)</f>
        <v/>
      </c>
      <c r="Y64" s="458" t="str">
        <f>IF(samenstelling!$C157=0,"",samenstelling!Q157)</f>
        <v/>
      </c>
    </row>
    <row r="65" spans="1:25" ht="14.9" customHeight="1" x14ac:dyDescent="0.3">
      <c r="A65" s="2282"/>
      <c r="C65" s="318" t="s">
        <v>764</v>
      </c>
      <c r="J65" s="332" t="s">
        <v>219</v>
      </c>
      <c r="K65" s="333"/>
      <c r="L65" s="333"/>
      <c r="M65" s="456"/>
      <c r="N65" s="479" t="s">
        <v>752</v>
      </c>
      <c r="O65" s="1255">
        <f>IF(samenstelling!M139="","",samenstelling!M139)</f>
        <v>3.39</v>
      </c>
      <c r="P65" s="458">
        <f>IF(samenstelling!O139="","",samenstelling!O139)</f>
        <v>41</v>
      </c>
      <c r="R65" s="328"/>
      <c r="S65" s="481">
        <f>samenstelling!C158</f>
        <v>3.85</v>
      </c>
      <c r="T65" s="329"/>
      <c r="U65" s="473"/>
      <c r="V65" s="478" t="s">
        <v>751</v>
      </c>
      <c r="W65" s="1239">
        <f>samenstelling!K158</f>
        <v>1.0284499727283221</v>
      </c>
      <c r="X65" s="488">
        <f>samenstelling!M158</f>
        <v>39</v>
      </c>
      <c r="Y65" s="489">
        <f>samenstelling!Q158</f>
        <v>98.848805194805195</v>
      </c>
    </row>
    <row r="66" spans="1:25" ht="14.9" customHeight="1" x14ac:dyDescent="0.3">
      <c r="A66" s="2282"/>
      <c r="D66" s="318" t="s">
        <v>765</v>
      </c>
      <c r="J66" s="452" t="s">
        <v>744</v>
      </c>
      <c r="K66" s="453"/>
      <c r="L66" s="453"/>
      <c r="M66" s="453"/>
      <c r="N66" s="453"/>
      <c r="O66" s="453"/>
      <c r="P66" s="454"/>
      <c r="R66" s="332" t="s">
        <v>220</v>
      </c>
      <c r="S66" s="333"/>
      <c r="T66" s="333"/>
      <c r="U66" s="484"/>
      <c r="V66" s="486" t="s">
        <v>752</v>
      </c>
      <c r="W66" s="1256" t="str">
        <f>IF(samenstelling!K159="","",samenstelling!K159)</f>
        <v/>
      </c>
      <c r="X66" s="484" t="str">
        <f>IF(samenstelling!M159="","",samenstelling!M159)</f>
        <v/>
      </c>
      <c r="Y66" s="487" t="s">
        <v>745</v>
      </c>
    </row>
    <row r="67" spans="1:25" ht="14.9" customHeight="1" x14ac:dyDescent="0.3">
      <c r="A67" s="2282"/>
      <c r="C67" s="318" t="s">
        <v>762</v>
      </c>
      <c r="J67" s="448"/>
      <c r="K67" s="449"/>
      <c r="L67" s="449"/>
      <c r="M67" s="459" t="s">
        <v>742</v>
      </c>
      <c r="N67" s="449"/>
      <c r="O67" s="460">
        <f>samenstelling!AA126</f>
        <v>69.167994164382492</v>
      </c>
      <c r="P67" s="451" t="s">
        <v>182</v>
      </c>
      <c r="R67" s="452" t="s">
        <v>746</v>
      </c>
      <c r="S67" s="453"/>
      <c r="T67" s="453"/>
      <c r="U67" s="453"/>
      <c r="V67" s="453"/>
      <c r="W67" s="453"/>
      <c r="X67" s="453"/>
      <c r="Y67" s="454"/>
    </row>
    <row r="68" spans="1:25" ht="14.9" customHeight="1" thickBot="1" x14ac:dyDescent="0.35">
      <c r="A68" s="2282"/>
      <c r="D68" s="318" t="s">
        <v>766</v>
      </c>
      <c r="J68" s="443"/>
      <c r="K68" s="444"/>
      <c r="L68" s="444"/>
      <c r="M68" s="445" t="s">
        <v>748</v>
      </c>
      <c r="N68" s="446" t="str">
        <f>samenstelling!AA128&amp;" à"</f>
        <v>63,8 à</v>
      </c>
      <c r="O68" s="466">
        <f>samenstelling!AA129</f>
        <v>100</v>
      </c>
      <c r="P68" s="447" t="s">
        <v>182</v>
      </c>
      <c r="R68" s="338" t="s">
        <v>750</v>
      </c>
      <c r="S68" s="339"/>
      <c r="T68" s="339"/>
      <c r="U68" s="339"/>
      <c r="V68" s="339"/>
      <c r="W68" s="339"/>
      <c r="X68" s="464">
        <f>samenstelling!AC143</f>
        <v>38.961038961038966</v>
      </c>
      <c r="Y68" s="341" t="s">
        <v>182</v>
      </c>
    </row>
    <row r="69" spans="1:25" ht="14.9" customHeight="1" x14ac:dyDescent="0.3"/>
    <row r="70" spans="1:25" ht="14.9" customHeight="1" x14ac:dyDescent="0.3"/>
    <row r="71" spans="1:25" ht="14.9" customHeight="1" x14ac:dyDescent="0.3"/>
    <row r="72" spans="1:25" ht="14.9" customHeight="1" x14ac:dyDescent="0.3"/>
    <row r="73" spans="1:25" ht="14.9" customHeight="1" x14ac:dyDescent="0.3"/>
    <row r="74" spans="1:25" ht="14.9" customHeight="1" x14ac:dyDescent="0.3"/>
    <row r="75" spans="1:25" ht="14.9" customHeight="1" x14ac:dyDescent="0.3"/>
    <row r="76" spans="1:25" ht="14.9" customHeight="1" x14ac:dyDescent="0.3"/>
    <row r="77" spans="1:25" ht="14.9" customHeight="1" x14ac:dyDescent="0.3"/>
    <row r="78" spans="1:25" ht="14.9" customHeight="1" x14ac:dyDescent="0.3"/>
    <row r="79" spans="1:25" ht="14.9" customHeight="1" x14ac:dyDescent="0.3"/>
    <row r="80" spans="1:25" ht="14.9" customHeight="1" x14ac:dyDescent="0.3"/>
    <row r="81" ht="14.9" customHeight="1" x14ac:dyDescent="0.3"/>
    <row r="82" ht="14.9" customHeight="1" x14ac:dyDescent="0.3"/>
    <row r="83" ht="14.9" customHeight="1" x14ac:dyDescent="0.3"/>
    <row r="84" ht="14.9" customHeight="1" x14ac:dyDescent="0.3"/>
    <row r="85" ht="14.9" customHeight="1" x14ac:dyDescent="0.3"/>
    <row r="86" ht="14.9" customHeight="1" x14ac:dyDescent="0.3"/>
    <row r="87" ht="14.9" customHeight="1" x14ac:dyDescent="0.3"/>
    <row r="88" ht="14.9" customHeight="1" x14ac:dyDescent="0.3"/>
    <row r="89" ht="14.9" customHeight="1" x14ac:dyDescent="0.3"/>
    <row r="90" ht="14.9" customHeight="1" x14ac:dyDescent="0.3"/>
    <row r="91" ht="14.9" customHeight="1" x14ac:dyDescent="0.3"/>
    <row r="92" ht="14.9" customHeight="1" x14ac:dyDescent="0.3"/>
    <row r="93" ht="14.9" customHeight="1" x14ac:dyDescent="0.3"/>
    <row r="94" ht="14.9" customHeight="1" x14ac:dyDescent="0.3"/>
    <row r="95" ht="14.9" customHeight="1" x14ac:dyDescent="0.3"/>
    <row r="96" ht="14.9" customHeight="1" x14ac:dyDescent="0.3"/>
    <row r="97" ht="14.9" customHeight="1" x14ac:dyDescent="0.3"/>
    <row r="98" ht="14.9" customHeight="1" x14ac:dyDescent="0.3"/>
  </sheetData>
  <sheetProtection algorithmName="SHA-512" hashValue="jFuzPULdyWKdF0Y6Mx/YsSx25a9MzHpwMVfBeeu3u9D6KeiMneHACPRofnZ8NVgmuaQBFb0l93MHcs1K0MVvtw==" saltValue="U1c7lP25FTtLaYs+WSGAXg==" spinCount="100000" sheet="1" objects="1" scenarios="1"/>
  <mergeCells count="10">
    <mergeCell ref="A55:A68"/>
    <mergeCell ref="Z35:Z43"/>
    <mergeCell ref="A35:A37"/>
    <mergeCell ref="A38:A47"/>
    <mergeCell ref="A50:A51"/>
    <mergeCell ref="Z1:Z8"/>
    <mergeCell ref="A1:A3"/>
    <mergeCell ref="A4:A13"/>
    <mergeCell ref="A16:A17"/>
    <mergeCell ref="A21:A34"/>
  </mergeCells>
  <pageMargins left="0.23622047244094491" right="0.23622047244094491" top="0.74803149606299213" bottom="0.39370078740157483" header="0.31496062992125984" footer="0.31496062992125984"/>
  <pageSetup paperSize="9" orientation="landscape" r:id="rId1"/>
  <rowBreaks count="1" manualBreakCount="1">
    <brk id="34"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3"/>
  <sheetViews>
    <sheetView workbookViewId="0">
      <selection activeCell="W17" sqref="W17"/>
    </sheetView>
  </sheetViews>
  <sheetFormatPr defaultRowHeight="14.5" x14ac:dyDescent="0.35"/>
  <cols>
    <col min="1" max="26" width="4.7265625" customWidth="1"/>
  </cols>
  <sheetData>
    <row r="1" spans="1:20" ht="12" customHeight="1" thickBot="1" x14ac:dyDescent="0.4">
      <c r="A1" s="317" t="s">
        <v>38</v>
      </c>
    </row>
    <row r="2" spans="1:20" s="318" customFormat="1" ht="15" customHeight="1" x14ac:dyDescent="0.3">
      <c r="A2" s="516" t="s">
        <v>222</v>
      </c>
      <c r="B2" s="517"/>
      <c r="C2" s="517"/>
      <c r="D2" s="517"/>
      <c r="E2" s="517"/>
      <c r="F2" s="517"/>
      <c r="G2" s="517"/>
      <c r="H2" s="517"/>
      <c r="I2" s="517"/>
      <c r="J2" s="517"/>
      <c r="K2" s="517"/>
      <c r="L2" s="517"/>
      <c r="M2" s="517"/>
      <c r="N2" s="517"/>
      <c r="O2" s="517"/>
      <c r="P2" s="517"/>
      <c r="Q2" s="517"/>
      <c r="R2" s="517"/>
      <c r="S2" s="517"/>
      <c r="T2" s="518"/>
    </row>
    <row r="3" spans="1:20" ht="15" customHeight="1" x14ac:dyDescent="0.35">
      <c r="A3" s="426" t="s">
        <v>114</v>
      </c>
      <c r="B3" s="494" t="s">
        <v>182</v>
      </c>
      <c r="C3" s="427" t="s">
        <v>223</v>
      </c>
      <c r="D3" s="427"/>
      <c r="E3" s="508" t="s">
        <v>127</v>
      </c>
      <c r="F3" s="509"/>
      <c r="G3" s="509"/>
      <c r="H3" s="509"/>
      <c r="I3" s="509"/>
      <c r="J3" s="509"/>
      <c r="K3" s="509"/>
      <c r="L3" s="509"/>
      <c r="M3" s="509"/>
      <c r="N3" s="509"/>
      <c r="O3" s="509"/>
      <c r="P3" s="509"/>
      <c r="Q3" s="509"/>
      <c r="R3" s="509"/>
      <c r="S3" s="509"/>
      <c r="T3" s="510"/>
    </row>
    <row r="4" spans="1:20" ht="33" customHeight="1" x14ac:dyDescent="0.35">
      <c r="A4" s="492"/>
      <c r="B4" s="495"/>
      <c r="C4" s="434"/>
      <c r="D4" s="434"/>
      <c r="E4" s="496">
        <f>IF(berekeningen!D9=0,"",berekeningen!D9)</f>
        <v>40</v>
      </c>
      <c r="F4" s="496">
        <f>IF(berekeningen!E9=0,"",berekeningen!E9)</f>
        <v>31.5</v>
      </c>
      <c r="G4" s="496">
        <f>IF(berekeningen!F9=0,"",berekeningen!F9)</f>
        <v>20</v>
      </c>
      <c r="H4" s="496">
        <f>IF(berekeningen!G9=0,"",berekeningen!G9)</f>
        <v>16</v>
      </c>
      <c r="I4" s="496">
        <f>IF(berekeningen!H9=0,"",berekeningen!H9)</f>
        <v>14</v>
      </c>
      <c r="J4" s="496">
        <f>IF(berekeningen!I9=0,"",berekeningen!I9)</f>
        <v>12.5</v>
      </c>
      <c r="K4" s="496">
        <f>IF(berekeningen!J9=0,"",berekeningen!J9)</f>
        <v>10</v>
      </c>
      <c r="L4" s="496">
        <f>IF(berekeningen!K9=0,"",berekeningen!K9)</f>
        <v>8</v>
      </c>
      <c r="M4" s="496">
        <f>IF(berekeningen!L9=0,"",berekeningen!L9)</f>
        <v>6.3</v>
      </c>
      <c r="N4" s="496">
        <f>IF(berekeningen!M9=0,"",berekeningen!M9)</f>
        <v>4</v>
      </c>
      <c r="O4" s="496">
        <f>IF(berekeningen!N9=0,"",berekeningen!N9)</f>
        <v>2</v>
      </c>
      <c r="P4" s="496">
        <f>IF(berekeningen!O9=0,"",berekeningen!O9)</f>
        <v>1</v>
      </c>
      <c r="Q4" s="496">
        <f>IF(berekeningen!P9=0,"",berekeningen!P9)</f>
        <v>0.5</v>
      </c>
      <c r="R4" s="496">
        <f>IF(berekeningen!Q9=0,"",berekeningen!Q9)</f>
        <v>0.25</v>
      </c>
      <c r="S4" s="496">
        <f>IF(berekeningen!R9=0,"",berekeningen!R9)</f>
        <v>0.125</v>
      </c>
      <c r="T4" s="493">
        <f>IF(berekeningen!S9=0,"",berekeningen!S9)</f>
        <v>6.3E-2</v>
      </c>
    </row>
    <row r="5" spans="1:20" ht="15" customHeight="1" x14ac:dyDescent="0.35">
      <c r="A5" s="474">
        <f>IF(samenstelling!$C88=0,"",samenstelling!B88)</f>
        <v>1</v>
      </c>
      <c r="B5" s="503">
        <f>IF(samenstelling!$C88=0,"",samenstelling!C88)</f>
        <v>5.0999999999999996</v>
      </c>
      <c r="C5" s="449" t="str">
        <f>IF(samenstelling!$C88=0,"",samenstelling!H88)</f>
        <v>14/20</v>
      </c>
      <c r="D5" s="449"/>
      <c r="E5" s="497">
        <f>IF(samenstelling!$C88=0,"",berekeningen!D15)</f>
        <v>100</v>
      </c>
      <c r="F5" s="497">
        <f>IF(samenstelling!$C88=0,"",berekeningen!E15)</f>
        <v>100</v>
      </c>
      <c r="G5" s="497">
        <f>IF(samenstelling!$C88=0,"",berekeningen!F15)</f>
        <v>99</v>
      </c>
      <c r="H5" s="497">
        <f>IF(samenstelling!$C88=0,"",berekeningen!G15)</f>
        <v>55</v>
      </c>
      <c r="I5" s="497">
        <f>IF(samenstelling!$C88=0,"",berekeningen!H15)</f>
        <v>25</v>
      </c>
      <c r="J5" s="497">
        <f>IF(samenstelling!$C88=0,"",berekeningen!I15)</f>
        <v>10</v>
      </c>
      <c r="K5" s="497">
        <f>IF(samenstelling!$C88=0,"",berekeningen!J15)</f>
        <v>2</v>
      </c>
      <c r="L5" s="497">
        <f>IF(samenstelling!$C88=0,"",berekeningen!K15)</f>
        <v>1</v>
      </c>
      <c r="M5" s="497">
        <f>IF(samenstelling!$C88=0,"",berekeningen!L15)</f>
        <v>0.9</v>
      </c>
      <c r="N5" s="497">
        <f>IF(samenstelling!$C88=0,"",berekeningen!M15)</f>
        <v>0.8</v>
      </c>
      <c r="O5" s="497">
        <f>IF(samenstelling!$C88=0,"",berekeningen!N15)</f>
        <v>0.7</v>
      </c>
      <c r="P5" s="497">
        <f>IF(samenstelling!$C88=0,"",berekeningen!O15)</f>
        <v>0.6</v>
      </c>
      <c r="Q5" s="497">
        <f>IF(samenstelling!$C88=0,"",berekeningen!P15)</f>
        <v>0.5</v>
      </c>
      <c r="R5" s="497">
        <f>IF(samenstelling!$C88=0,"",berekeningen!Q15)</f>
        <v>0.4</v>
      </c>
      <c r="S5" s="497">
        <f>IF(samenstelling!$C88=0,"",berekeningen!R15)</f>
        <v>0.3</v>
      </c>
      <c r="T5" s="511">
        <f>IF(samenstelling!$C88=0,"",berekeningen!S15)</f>
        <v>0.2</v>
      </c>
    </row>
    <row r="6" spans="1:20" ht="15" customHeight="1" x14ac:dyDescent="0.35">
      <c r="A6" s="468">
        <f>IF(samenstelling!$C89=0,"",samenstelling!B89)</f>
        <v>2</v>
      </c>
      <c r="B6" s="504">
        <f>IF(samenstelling!$C89=0,"",samenstelling!C89)</f>
        <v>10.199999999999999</v>
      </c>
      <c r="C6" s="438" t="str">
        <f>IF(samenstelling!$C89=0,"",samenstelling!H89)</f>
        <v>6/14</v>
      </c>
      <c r="D6" s="438"/>
      <c r="E6" s="498">
        <f>IF(samenstelling!$C89=0,"",berekeningen!D16)</f>
        <v>100</v>
      </c>
      <c r="F6" s="498">
        <f>IF(samenstelling!$C89=0,"",berekeningen!E16)</f>
        <v>100</v>
      </c>
      <c r="G6" s="498">
        <f>IF(samenstelling!$C89=0,"",berekeningen!F16)</f>
        <v>100</v>
      </c>
      <c r="H6" s="498">
        <f>IF(samenstelling!$C89=0,"",berekeningen!G16)</f>
        <v>98</v>
      </c>
      <c r="I6" s="498">
        <f>IF(samenstelling!$C89=0,"",berekeningen!H16)</f>
        <v>97</v>
      </c>
      <c r="J6" s="498">
        <f>IF(samenstelling!$C89=0,"",berekeningen!I16)</f>
        <v>72</v>
      </c>
      <c r="K6" s="498">
        <f>IF(samenstelling!$C89=0,"",berekeningen!J16)</f>
        <v>65</v>
      </c>
      <c r="L6" s="498">
        <f>IF(samenstelling!$C89=0,"",berekeningen!K16)</f>
        <v>44</v>
      </c>
      <c r="M6" s="498">
        <f>IF(samenstelling!$C89=0,"",berekeningen!L16)</f>
        <v>21</v>
      </c>
      <c r="N6" s="498">
        <f>IF(samenstelling!$C89=0,"",berekeningen!M16)</f>
        <v>10</v>
      </c>
      <c r="O6" s="498">
        <f>IF(samenstelling!$C89=0,"",berekeningen!N16)</f>
        <v>4</v>
      </c>
      <c r="P6" s="498">
        <f>IF(samenstelling!$C89=0,"",berekeningen!O16)</f>
        <v>3</v>
      </c>
      <c r="Q6" s="498">
        <f>IF(samenstelling!$C89=0,"",berekeningen!P16)</f>
        <v>2</v>
      </c>
      <c r="R6" s="498">
        <f>IF(samenstelling!$C89=0,"",berekeningen!Q16)</f>
        <v>1</v>
      </c>
      <c r="S6" s="498">
        <f>IF(samenstelling!$C89=0,"",berekeningen!R16)</f>
        <v>0.5</v>
      </c>
      <c r="T6" s="512">
        <f>IF(samenstelling!$C89=0,"",berekeningen!S16)</f>
        <v>0.2</v>
      </c>
    </row>
    <row r="7" spans="1:20" ht="15" customHeight="1" x14ac:dyDescent="0.35">
      <c r="A7" s="468">
        <f>IF(samenstelling!$C90=0,"",samenstelling!B90)</f>
        <v>3</v>
      </c>
      <c r="B7" s="504">
        <f>IF(samenstelling!$C90=0,"",samenstelling!C90)</f>
        <v>15.3</v>
      </c>
      <c r="C7" s="438" t="str">
        <f>IF(samenstelling!$C90=0,"",samenstelling!H90)</f>
        <v>0/2 (0/0,05)</v>
      </c>
      <c r="D7" s="438"/>
      <c r="E7" s="498">
        <f>IF(samenstelling!$C90=0,"",berekeningen!D17)</f>
        <v>100</v>
      </c>
      <c r="F7" s="498">
        <f>IF(samenstelling!$C90=0,"",berekeningen!E17)</f>
        <v>100</v>
      </c>
      <c r="G7" s="498">
        <f>IF(samenstelling!$C90=0,"",berekeningen!F17)</f>
        <v>100</v>
      </c>
      <c r="H7" s="498">
        <f>IF(samenstelling!$C90=0,"",berekeningen!G17)</f>
        <v>100</v>
      </c>
      <c r="I7" s="498">
        <f>IF(samenstelling!$C90=0,"",berekeningen!H17)</f>
        <v>100</v>
      </c>
      <c r="J7" s="498">
        <f>IF(samenstelling!$C90=0,"",berekeningen!I17)</f>
        <v>100</v>
      </c>
      <c r="K7" s="498">
        <f>IF(samenstelling!$C90=0,"",berekeningen!J17)</f>
        <v>100</v>
      </c>
      <c r="L7" s="498">
        <f>IF(samenstelling!$C90=0,"",berekeningen!K17)</f>
        <v>98</v>
      </c>
      <c r="M7" s="498">
        <f>IF(samenstelling!$C90=0,"",berekeningen!L17)</f>
        <v>85</v>
      </c>
      <c r="N7" s="498">
        <f>IF(samenstelling!$C90=0,"",berekeningen!M17)</f>
        <v>64</v>
      </c>
      <c r="O7" s="498">
        <f>IF(samenstelling!$C90=0,"",berekeningen!N17)</f>
        <v>23</v>
      </c>
      <c r="P7" s="498">
        <f>IF(samenstelling!$C90=0,"",berekeningen!O17)</f>
        <v>11</v>
      </c>
      <c r="Q7" s="498">
        <f>IF(samenstelling!$C90=0,"",berekeningen!P17)</f>
        <v>4</v>
      </c>
      <c r="R7" s="498">
        <f>IF(samenstelling!$C90=0,"",berekeningen!Q17)</f>
        <v>3</v>
      </c>
      <c r="S7" s="498">
        <f>IF(samenstelling!$C90=0,"",berekeningen!R17)</f>
        <v>2</v>
      </c>
      <c r="T7" s="512">
        <f>IF(samenstelling!$C90=0,"",berekeningen!S17)</f>
        <v>1</v>
      </c>
    </row>
    <row r="8" spans="1:20" ht="15" customHeight="1" x14ac:dyDescent="0.35">
      <c r="A8" s="468" t="str">
        <f>IF(samenstelling!$C91=0,"",samenstelling!B91)</f>
        <v/>
      </c>
      <c r="B8" s="504" t="str">
        <f>IF(samenstelling!$C91=0,"",samenstelling!C91)</f>
        <v/>
      </c>
      <c r="C8" s="438" t="str">
        <f>IF(samenstelling!$C91=0,"",samenstelling!H91)</f>
        <v/>
      </c>
      <c r="D8" s="438"/>
      <c r="E8" s="498" t="str">
        <f>IF(samenstelling!$C91=0,"",berekeningen!D18)</f>
        <v/>
      </c>
      <c r="F8" s="498" t="str">
        <f>IF(samenstelling!$C91=0,"",berekeningen!E18)</f>
        <v/>
      </c>
      <c r="G8" s="498" t="str">
        <f>IF(samenstelling!$C91=0,"",berekeningen!F18)</f>
        <v/>
      </c>
      <c r="H8" s="498" t="str">
        <f>IF(samenstelling!$C91=0,"",berekeningen!G18)</f>
        <v/>
      </c>
      <c r="I8" s="498" t="str">
        <f>IF(samenstelling!$C91=0,"",berekeningen!H18)</f>
        <v/>
      </c>
      <c r="J8" s="498" t="str">
        <f>IF(samenstelling!$C91=0,"",berekeningen!I18)</f>
        <v/>
      </c>
      <c r="K8" s="498" t="str">
        <f>IF(samenstelling!$C91=0,"",berekeningen!J18)</f>
        <v/>
      </c>
      <c r="L8" s="498" t="str">
        <f>IF(samenstelling!$C91=0,"",berekeningen!K18)</f>
        <v/>
      </c>
      <c r="M8" s="498" t="str">
        <f>IF(samenstelling!$C91=0,"",berekeningen!L18)</f>
        <v/>
      </c>
      <c r="N8" s="498" t="str">
        <f>IF(samenstelling!$C91=0,"",berekeningen!M18)</f>
        <v/>
      </c>
      <c r="O8" s="498" t="str">
        <f>IF(samenstelling!$C91=0,"",berekeningen!N18)</f>
        <v/>
      </c>
      <c r="P8" s="498" t="str">
        <f>IF(samenstelling!$C91=0,"",berekeningen!O18)</f>
        <v/>
      </c>
      <c r="Q8" s="498" t="str">
        <f>IF(samenstelling!$C91=0,"",berekeningen!P18)</f>
        <v/>
      </c>
      <c r="R8" s="498" t="str">
        <f>IF(samenstelling!$C91=0,"",berekeningen!Q18)</f>
        <v/>
      </c>
      <c r="S8" s="498" t="str">
        <f>IF(samenstelling!$C91=0,"",berekeningen!R18)</f>
        <v/>
      </c>
      <c r="T8" s="512" t="str">
        <f>IF(samenstelling!$C91=0,"",berekeningen!S18)</f>
        <v/>
      </c>
    </row>
    <row r="9" spans="1:20" ht="15" customHeight="1" x14ac:dyDescent="0.35">
      <c r="A9" s="468" t="str">
        <f>IF(samenstelling!$C92=0,"",samenstelling!B92)</f>
        <v/>
      </c>
      <c r="B9" s="504" t="str">
        <f>IF(samenstelling!$C92=0,"",samenstelling!C92)</f>
        <v/>
      </c>
      <c r="C9" s="438" t="str">
        <f>IF(samenstelling!$C92=0,"",samenstelling!H92)</f>
        <v/>
      </c>
      <c r="D9" s="438"/>
      <c r="E9" s="498" t="str">
        <f>IF(samenstelling!$C92=0,"",berekeningen!D19)</f>
        <v/>
      </c>
      <c r="F9" s="498" t="str">
        <f>IF(samenstelling!$C92=0,"",berekeningen!E19)</f>
        <v/>
      </c>
      <c r="G9" s="498" t="str">
        <f>IF(samenstelling!$C92=0,"",berekeningen!F19)</f>
        <v/>
      </c>
      <c r="H9" s="498" t="str">
        <f>IF(samenstelling!$C92=0,"",berekeningen!G19)</f>
        <v/>
      </c>
      <c r="I9" s="498" t="str">
        <f>IF(samenstelling!$C92=0,"",berekeningen!H19)</f>
        <v/>
      </c>
      <c r="J9" s="498" t="str">
        <f>IF(samenstelling!$C92=0,"",berekeningen!I19)</f>
        <v/>
      </c>
      <c r="K9" s="498" t="str">
        <f>IF(samenstelling!$C92=0,"",berekeningen!J19)</f>
        <v/>
      </c>
      <c r="L9" s="498" t="str">
        <f>IF(samenstelling!$C92=0,"",berekeningen!K19)</f>
        <v/>
      </c>
      <c r="M9" s="498" t="str">
        <f>IF(samenstelling!$C92=0,"",berekeningen!L19)</f>
        <v/>
      </c>
      <c r="N9" s="498" t="str">
        <f>IF(samenstelling!$C92=0,"",berekeningen!M19)</f>
        <v/>
      </c>
      <c r="O9" s="498" t="str">
        <f>IF(samenstelling!$C92=0,"",berekeningen!N19)</f>
        <v/>
      </c>
      <c r="P9" s="498" t="str">
        <f>IF(samenstelling!$C92=0,"",berekeningen!O19)</f>
        <v/>
      </c>
      <c r="Q9" s="498" t="str">
        <f>IF(samenstelling!$C92=0,"",berekeningen!P19)</f>
        <v/>
      </c>
      <c r="R9" s="498" t="str">
        <f>IF(samenstelling!$C92=0,"",berekeningen!Q19)</f>
        <v/>
      </c>
      <c r="S9" s="498" t="str">
        <f>IF(samenstelling!$C92=0,"",berekeningen!R19)</f>
        <v/>
      </c>
      <c r="T9" s="512" t="str">
        <f>IF(samenstelling!$C92=0,"",berekeningen!S19)</f>
        <v/>
      </c>
    </row>
    <row r="10" spans="1:20" ht="15" customHeight="1" x14ac:dyDescent="0.35">
      <c r="A10" s="468">
        <f>IF(samenstelling!$C93=0,"",samenstelling!B93)</f>
        <v>6</v>
      </c>
      <c r="B10" s="504">
        <f>IF(samenstelling!$C93=0,"",samenstelling!C93)</f>
        <v>35.299999999999997</v>
      </c>
      <c r="C10" s="438" t="str">
        <f>IF(samenstelling!$C93=0,"",samenstelling!H93)</f>
        <v>6/10</v>
      </c>
      <c r="D10" s="438"/>
      <c r="E10" s="498">
        <f>IF(samenstelling!$C93=0,"",berekeningen!D20)</f>
        <v>100</v>
      </c>
      <c r="F10" s="498">
        <f>IF(samenstelling!$C93=0,"",berekeningen!E20)</f>
        <v>100</v>
      </c>
      <c r="G10" s="498">
        <f>IF(samenstelling!$C93=0,"",berekeningen!F20)</f>
        <v>100</v>
      </c>
      <c r="H10" s="498">
        <f>IF(samenstelling!$C93=0,"",berekeningen!G20)</f>
        <v>100</v>
      </c>
      <c r="I10" s="498">
        <f>IF(samenstelling!$C93=0,"",berekeningen!H20)</f>
        <v>100</v>
      </c>
      <c r="J10" s="498">
        <f>IF(samenstelling!$C93=0,"",berekeningen!I20)</f>
        <v>100</v>
      </c>
      <c r="K10" s="498">
        <f>IF(samenstelling!$C93=0,"",berekeningen!J20)</f>
        <v>95</v>
      </c>
      <c r="L10" s="498">
        <f>IF(samenstelling!$C93=0,"",berekeningen!K20)</f>
        <v>50</v>
      </c>
      <c r="M10" s="498">
        <f>IF(samenstelling!$C93=0,"",berekeningen!L20)</f>
        <v>12</v>
      </c>
      <c r="N10" s="498">
        <f>IF(samenstelling!$C93=0,"",berekeningen!M20)</f>
        <v>7</v>
      </c>
      <c r="O10" s="498">
        <f>IF(samenstelling!$C93=0,"",berekeningen!N20)</f>
        <v>6</v>
      </c>
      <c r="P10" s="498">
        <f>IF(samenstelling!$C93=0,"",berekeningen!O20)</f>
        <v>5</v>
      </c>
      <c r="Q10" s="498">
        <f>IF(samenstelling!$C93=0,"",berekeningen!P20)</f>
        <v>4</v>
      </c>
      <c r="R10" s="498">
        <f>IF(samenstelling!$C93=0,"",berekeningen!Q20)</f>
        <v>3</v>
      </c>
      <c r="S10" s="498">
        <f>IF(samenstelling!$C93=0,"",berekeningen!R20)</f>
        <v>2</v>
      </c>
      <c r="T10" s="512">
        <f>IF(samenstelling!$C93=0,"",berekeningen!S20)</f>
        <v>1</v>
      </c>
    </row>
    <row r="11" spans="1:20" ht="15" customHeight="1" x14ac:dyDescent="0.35">
      <c r="A11" s="468" t="str">
        <f>IF(samenstelling!$C94=0,"",samenstelling!B94)</f>
        <v/>
      </c>
      <c r="B11" s="504" t="str">
        <f>IF(samenstelling!$C94=0,"",samenstelling!C94)</f>
        <v/>
      </c>
      <c r="C11" s="438" t="str">
        <f>IF(samenstelling!$C94=0,"",samenstelling!H94)</f>
        <v/>
      </c>
      <c r="D11" s="438"/>
      <c r="E11" s="498" t="str">
        <f>IF(samenstelling!$C94=0,"",berekeningen!D21)</f>
        <v/>
      </c>
      <c r="F11" s="498" t="str">
        <f>IF(samenstelling!$C94=0,"",berekeningen!E21)</f>
        <v/>
      </c>
      <c r="G11" s="498" t="str">
        <f>IF(samenstelling!$C94=0,"",berekeningen!F21)</f>
        <v/>
      </c>
      <c r="H11" s="498" t="str">
        <f>IF(samenstelling!$C94=0,"",berekeningen!G21)</f>
        <v/>
      </c>
      <c r="I11" s="498" t="str">
        <f>IF(samenstelling!$C94=0,"",berekeningen!H21)</f>
        <v/>
      </c>
      <c r="J11" s="498" t="str">
        <f>IF(samenstelling!$C94=0,"",berekeningen!I21)</f>
        <v/>
      </c>
      <c r="K11" s="498" t="str">
        <f>IF(samenstelling!$C94=0,"",berekeningen!J21)</f>
        <v/>
      </c>
      <c r="L11" s="498" t="str">
        <f>IF(samenstelling!$C94=0,"",berekeningen!K21)</f>
        <v/>
      </c>
      <c r="M11" s="498" t="str">
        <f>IF(samenstelling!$C94=0,"",berekeningen!L21)</f>
        <v/>
      </c>
      <c r="N11" s="498" t="str">
        <f>IF(samenstelling!$C94=0,"",berekeningen!M21)</f>
        <v/>
      </c>
      <c r="O11" s="498" t="str">
        <f>IF(samenstelling!$C94=0,"",berekeningen!N21)</f>
        <v/>
      </c>
      <c r="P11" s="498" t="str">
        <f>IF(samenstelling!$C94=0,"",berekeningen!O21)</f>
        <v/>
      </c>
      <c r="Q11" s="498" t="str">
        <f>IF(samenstelling!$C94=0,"",berekeningen!P21)</f>
        <v/>
      </c>
      <c r="R11" s="498" t="str">
        <f>IF(samenstelling!$C94=0,"",berekeningen!Q21)</f>
        <v/>
      </c>
      <c r="S11" s="498" t="str">
        <f>IF(samenstelling!$C94=0,"",berekeningen!R21)</f>
        <v/>
      </c>
      <c r="T11" s="512" t="str">
        <f>IF(samenstelling!$C94=0,"",berekeningen!S21)</f>
        <v/>
      </c>
    </row>
    <row r="12" spans="1:20" ht="15" customHeight="1" x14ac:dyDescent="0.35">
      <c r="A12" s="468" t="str">
        <f>IF(samenstelling!$C95=0,"",samenstelling!B95)</f>
        <v/>
      </c>
      <c r="B12" s="504" t="str">
        <f>IF(samenstelling!$C95=0,"",samenstelling!C95)</f>
        <v/>
      </c>
      <c r="C12" s="438" t="str">
        <f>IF(samenstelling!$C95=0,"",samenstelling!H95)</f>
        <v/>
      </c>
      <c r="D12" s="438"/>
      <c r="E12" s="498" t="str">
        <f>IF(samenstelling!$C95=0,"",berekeningen!D22)</f>
        <v/>
      </c>
      <c r="F12" s="498" t="str">
        <f>IF(samenstelling!$C95=0,"",berekeningen!E22)</f>
        <v/>
      </c>
      <c r="G12" s="498" t="str">
        <f>IF(samenstelling!$C95=0,"",berekeningen!F22)</f>
        <v/>
      </c>
      <c r="H12" s="498" t="str">
        <f>IF(samenstelling!$C95=0,"",berekeningen!G22)</f>
        <v/>
      </c>
      <c r="I12" s="498" t="str">
        <f>IF(samenstelling!$C95=0,"",berekeningen!H22)</f>
        <v/>
      </c>
      <c r="J12" s="498" t="str">
        <f>IF(samenstelling!$C95=0,"",berekeningen!I22)</f>
        <v/>
      </c>
      <c r="K12" s="498" t="str">
        <f>IF(samenstelling!$C95=0,"",berekeningen!J22)</f>
        <v/>
      </c>
      <c r="L12" s="498" t="str">
        <f>IF(samenstelling!$C95=0,"",berekeningen!K22)</f>
        <v/>
      </c>
      <c r="M12" s="498" t="str">
        <f>IF(samenstelling!$C95=0,"",berekeningen!L22)</f>
        <v/>
      </c>
      <c r="N12" s="498" t="str">
        <f>IF(samenstelling!$C95=0,"",berekeningen!M22)</f>
        <v/>
      </c>
      <c r="O12" s="498" t="str">
        <f>IF(samenstelling!$C95=0,"",berekeningen!N22)</f>
        <v/>
      </c>
      <c r="P12" s="498" t="str">
        <f>IF(samenstelling!$C95=0,"",berekeningen!O22)</f>
        <v/>
      </c>
      <c r="Q12" s="498" t="str">
        <f>IF(samenstelling!$C95=0,"",berekeningen!P22)</f>
        <v/>
      </c>
      <c r="R12" s="498" t="str">
        <f>IF(samenstelling!$C95=0,"",berekeningen!Q22)</f>
        <v/>
      </c>
      <c r="S12" s="498" t="str">
        <f>IF(samenstelling!$C95=0,"",berekeningen!R22)</f>
        <v/>
      </c>
      <c r="T12" s="512" t="str">
        <f>IF(samenstelling!$C95=0,"",berekeningen!S22)</f>
        <v/>
      </c>
    </row>
    <row r="13" spans="1:20" ht="15" customHeight="1" x14ac:dyDescent="0.35">
      <c r="A13" s="468" t="str">
        <f>IF(samenstelling!$C96=0,"",samenstelling!B96)</f>
        <v/>
      </c>
      <c r="B13" s="504" t="str">
        <f>IF(samenstelling!$C96=0,"",samenstelling!C96)</f>
        <v/>
      </c>
      <c r="C13" s="438" t="str">
        <f>IF(samenstelling!$C96=0,"",samenstelling!H96)</f>
        <v/>
      </c>
      <c r="D13" s="438"/>
      <c r="E13" s="498" t="str">
        <f>IF(samenstelling!$C96=0,"",berekeningen!D23)</f>
        <v/>
      </c>
      <c r="F13" s="498" t="str">
        <f>IF(samenstelling!$C96=0,"",berekeningen!E23)</f>
        <v/>
      </c>
      <c r="G13" s="498" t="str">
        <f>IF(samenstelling!$C96=0,"",berekeningen!F23)</f>
        <v/>
      </c>
      <c r="H13" s="498" t="str">
        <f>IF(samenstelling!$C96=0,"",berekeningen!G23)</f>
        <v/>
      </c>
      <c r="I13" s="498" t="str">
        <f>IF(samenstelling!$C96=0,"",berekeningen!H23)</f>
        <v/>
      </c>
      <c r="J13" s="498" t="str">
        <f>IF(samenstelling!$C96=0,"",berekeningen!I23)</f>
        <v/>
      </c>
      <c r="K13" s="498" t="str">
        <f>IF(samenstelling!$C96=0,"",berekeningen!J23)</f>
        <v/>
      </c>
      <c r="L13" s="498" t="str">
        <f>IF(samenstelling!$C96=0,"",berekeningen!K23)</f>
        <v/>
      </c>
      <c r="M13" s="498" t="str">
        <f>IF(samenstelling!$C96=0,"",berekeningen!L23)</f>
        <v/>
      </c>
      <c r="N13" s="498" t="str">
        <f>IF(samenstelling!$C96=0,"",berekeningen!M23)</f>
        <v/>
      </c>
      <c r="O13" s="498" t="str">
        <f>IF(samenstelling!$C96=0,"",berekeningen!N23)</f>
        <v/>
      </c>
      <c r="P13" s="498" t="str">
        <f>IF(samenstelling!$C96=0,"",berekeningen!O23)</f>
        <v/>
      </c>
      <c r="Q13" s="498" t="str">
        <f>IF(samenstelling!$C96=0,"",berekeningen!P23)</f>
        <v/>
      </c>
      <c r="R13" s="498" t="str">
        <f>IF(samenstelling!$C96=0,"",berekeningen!Q23)</f>
        <v/>
      </c>
      <c r="S13" s="498" t="str">
        <f>IF(samenstelling!$C96=0,"",berekeningen!R23)</f>
        <v/>
      </c>
      <c r="T13" s="512" t="str">
        <f>IF(samenstelling!$C96=0,"",berekeningen!S23)</f>
        <v/>
      </c>
    </row>
    <row r="14" spans="1:20" ht="15" customHeight="1" x14ac:dyDescent="0.35">
      <c r="A14" s="470" t="str">
        <f>IF(samenstelling!$C97=0,"",samenstelling!B97)</f>
        <v/>
      </c>
      <c r="B14" s="505" t="str">
        <f>IF(samenstelling!$C97=0,"",samenstelling!C97)</f>
        <v/>
      </c>
      <c r="C14" s="456" t="str">
        <f>IF(samenstelling!$C97=0,"",samenstelling!H97)</f>
        <v/>
      </c>
      <c r="D14" s="456"/>
      <c r="E14" s="499" t="str">
        <f>IF(samenstelling!$C97=0,"",berekeningen!D24)</f>
        <v/>
      </c>
      <c r="F14" s="499" t="str">
        <f>IF(samenstelling!$C97=0,"",berekeningen!E24)</f>
        <v/>
      </c>
      <c r="G14" s="499" t="str">
        <f>IF(samenstelling!$C97=0,"",berekeningen!F24)</f>
        <v/>
      </c>
      <c r="H14" s="499" t="str">
        <f>IF(samenstelling!$C97=0,"",berekeningen!G24)</f>
        <v/>
      </c>
      <c r="I14" s="499" t="str">
        <f>IF(samenstelling!$C97=0,"",berekeningen!H24)</f>
        <v/>
      </c>
      <c r="J14" s="499" t="str">
        <f>IF(samenstelling!$C97=0,"",berekeningen!I24)</f>
        <v/>
      </c>
      <c r="K14" s="499" t="str">
        <f>IF(samenstelling!$C97=0,"",berekeningen!J24)</f>
        <v/>
      </c>
      <c r="L14" s="499" t="str">
        <f>IF(samenstelling!$C97=0,"",berekeningen!K24)</f>
        <v/>
      </c>
      <c r="M14" s="499" t="str">
        <f>IF(samenstelling!$C97=0,"",berekeningen!L24)</f>
        <v/>
      </c>
      <c r="N14" s="499" t="str">
        <f>IF(samenstelling!$C97=0,"",berekeningen!M24)</f>
        <v/>
      </c>
      <c r="O14" s="499" t="str">
        <f>IF(samenstelling!$C97=0,"",berekeningen!N24)</f>
        <v/>
      </c>
      <c r="P14" s="499" t="str">
        <f>IF(samenstelling!$C97=0,"",berekeningen!O24)</f>
        <v/>
      </c>
      <c r="Q14" s="499" t="str">
        <f>IF(samenstelling!$C97=0,"",berekeningen!P24)</f>
        <v/>
      </c>
      <c r="R14" s="499" t="str">
        <f>IF(samenstelling!$C97=0,"",berekeningen!Q24)</f>
        <v/>
      </c>
      <c r="S14" s="499" t="str">
        <f>IF(samenstelling!$C97=0,"",berekeningen!R24)</f>
        <v/>
      </c>
      <c r="T14" s="513" t="str">
        <f>IF(samenstelling!$C97=0,"",berekeningen!S24)</f>
        <v/>
      </c>
    </row>
    <row r="15" spans="1:20" ht="15" customHeight="1" x14ac:dyDescent="0.35">
      <c r="A15" s="472">
        <f>IF(samenstelling!$C98=0,"",samenstelling!B98)</f>
        <v>41</v>
      </c>
      <c r="B15" s="506">
        <f>IF(samenstelling!$C98=0,"",samenstelling!C98)</f>
        <v>0.55000000000000004</v>
      </c>
      <c r="C15" s="473" t="str">
        <f>IF(samenstelling!$C98=0,"",samenstelling!H98)</f>
        <v>IIa</v>
      </c>
      <c r="D15" s="473"/>
      <c r="E15" s="500">
        <f>IF(samenstelling!$C98=0,"",berekeningen!D25)</f>
        <v>100</v>
      </c>
      <c r="F15" s="500">
        <f>IF(samenstelling!$C98=0,"",berekeningen!E25)</f>
        <v>100</v>
      </c>
      <c r="G15" s="500">
        <f>IF(samenstelling!$C98=0,"",berekeningen!F25)</f>
        <v>100</v>
      </c>
      <c r="H15" s="500">
        <f>IF(samenstelling!$C98=0,"",berekeningen!G25)</f>
        <v>100</v>
      </c>
      <c r="I15" s="500">
        <f>IF(samenstelling!$C98=0,"",berekeningen!H25)</f>
        <v>100</v>
      </c>
      <c r="J15" s="500">
        <f>IF(samenstelling!$C98=0,"",berekeningen!I25)</f>
        <v>100</v>
      </c>
      <c r="K15" s="500">
        <f>IF(samenstelling!$C98=0,"",berekeningen!J25)</f>
        <v>100</v>
      </c>
      <c r="L15" s="500">
        <f>IF(samenstelling!$C98=0,"",berekeningen!K25)</f>
        <v>100</v>
      </c>
      <c r="M15" s="500">
        <f>IF(samenstelling!$C98=0,"",berekeningen!L25)</f>
        <v>100</v>
      </c>
      <c r="N15" s="500">
        <f>IF(samenstelling!$C98=0,"",berekeningen!M25)</f>
        <v>100</v>
      </c>
      <c r="O15" s="500">
        <f>IF(samenstelling!$C98=0,"",berekeningen!N25)</f>
        <v>100</v>
      </c>
      <c r="P15" s="500">
        <f>IF(samenstelling!$C98=0,"",berekeningen!O25)</f>
        <v>99</v>
      </c>
      <c r="Q15" s="500">
        <f>IF(samenstelling!$C98=0,"",berekeningen!P25)</f>
        <v>98</v>
      </c>
      <c r="R15" s="500">
        <f>IF(samenstelling!$C98=0,"",berekeningen!Q25)</f>
        <v>97</v>
      </c>
      <c r="S15" s="500">
        <f>IF(samenstelling!$C98=0,"",berekeningen!R25)</f>
        <v>90</v>
      </c>
      <c r="T15" s="514">
        <f>IF(samenstelling!$C98=0,"",berekeningen!S25)</f>
        <v>85</v>
      </c>
    </row>
    <row r="16" spans="1:20" ht="15" customHeight="1" x14ac:dyDescent="0.35">
      <c r="A16" s="468" t="str">
        <f>IF(samenstelling!$C99=0,"",samenstelling!B99)</f>
        <v/>
      </c>
      <c r="B16" s="504" t="str">
        <f>IF(samenstelling!$C99=0,"",samenstelling!C99)</f>
        <v/>
      </c>
      <c r="C16" s="438" t="str">
        <f>IF(samenstelling!$C99=0,"",samenstelling!H99)</f>
        <v/>
      </c>
      <c r="D16" s="438"/>
      <c r="E16" s="498" t="str">
        <f>IF(samenstelling!$C99=0,"",berekeningen!D26)</f>
        <v/>
      </c>
      <c r="F16" s="498" t="str">
        <f>IF(samenstelling!$C99=0,"",berekeningen!E26)</f>
        <v/>
      </c>
      <c r="G16" s="498" t="str">
        <f>IF(samenstelling!$C99=0,"",berekeningen!F26)</f>
        <v/>
      </c>
      <c r="H16" s="498" t="str">
        <f>IF(samenstelling!$C99=0,"",berekeningen!G26)</f>
        <v/>
      </c>
      <c r="I16" s="498" t="str">
        <f>IF(samenstelling!$C99=0,"",berekeningen!H26)</f>
        <v/>
      </c>
      <c r="J16" s="498" t="str">
        <f>IF(samenstelling!$C99=0,"",berekeningen!I26)</f>
        <v/>
      </c>
      <c r="K16" s="498" t="str">
        <f>IF(samenstelling!$C99=0,"",berekeningen!J26)</f>
        <v/>
      </c>
      <c r="L16" s="498" t="str">
        <f>IF(samenstelling!$C99=0,"",berekeningen!K26)</f>
        <v/>
      </c>
      <c r="M16" s="498" t="str">
        <f>IF(samenstelling!$C99=0,"",berekeningen!L26)</f>
        <v/>
      </c>
      <c r="N16" s="498" t="str">
        <f>IF(samenstelling!$C99=0,"",berekeningen!M26)</f>
        <v/>
      </c>
      <c r="O16" s="498" t="str">
        <f>IF(samenstelling!$C99=0,"",berekeningen!N26)</f>
        <v/>
      </c>
      <c r="P16" s="498" t="str">
        <f>IF(samenstelling!$C99=0,"",berekeningen!O26)</f>
        <v/>
      </c>
      <c r="Q16" s="498" t="str">
        <f>IF(samenstelling!$C99=0,"",berekeningen!P26)</f>
        <v/>
      </c>
      <c r="R16" s="498" t="str">
        <f>IF(samenstelling!$C99=0,"",berekeningen!Q26)</f>
        <v/>
      </c>
      <c r="S16" s="498" t="str">
        <f>IF(samenstelling!$C99=0,"",berekeningen!R26)</f>
        <v/>
      </c>
      <c r="T16" s="512" t="str">
        <f>IF(samenstelling!$C99=0,"",berekeningen!S26)</f>
        <v/>
      </c>
    </row>
    <row r="17" spans="1:20" ht="15" customHeight="1" x14ac:dyDescent="0.35">
      <c r="A17" s="501"/>
      <c r="B17" s="507">
        <f>IF(samenstelling!$C100=0,"",samenstelling!C100)</f>
        <v>1</v>
      </c>
      <c r="C17" s="484" t="str">
        <f>IF(samenstelling!$C100=0,"","Extra stof")</f>
        <v>Extra stof</v>
      </c>
      <c r="D17" s="484"/>
      <c r="E17" s="502">
        <f>IF(samenstelling!$C100=0,"",berekeningen!D27)</f>
        <v>100</v>
      </c>
      <c r="F17" s="502">
        <f>IF(samenstelling!$C100=0,"",berekeningen!E27)</f>
        <v>100</v>
      </c>
      <c r="G17" s="502">
        <f>IF(samenstelling!$C100=0,"",berekeningen!F27)</f>
        <v>100</v>
      </c>
      <c r="H17" s="502">
        <f>IF(samenstelling!$C100=0,"",berekeningen!G27)</f>
        <v>100</v>
      </c>
      <c r="I17" s="502">
        <f>IF(samenstelling!$C100=0,"",berekeningen!H27)</f>
        <v>100</v>
      </c>
      <c r="J17" s="502">
        <f>IF(samenstelling!$C100=0,"",berekeningen!I27)</f>
        <v>100</v>
      </c>
      <c r="K17" s="502">
        <f>IF(samenstelling!$C100=0,"",berekeningen!J27)</f>
        <v>100</v>
      </c>
      <c r="L17" s="502">
        <f>IF(samenstelling!$C100=0,"",berekeningen!K27)</f>
        <v>100</v>
      </c>
      <c r="M17" s="502">
        <f>IF(samenstelling!$C100=0,"",berekeningen!L27)</f>
        <v>100</v>
      </c>
      <c r="N17" s="502">
        <f>IF(samenstelling!$C100=0,"",berekeningen!M27)</f>
        <v>100</v>
      </c>
      <c r="O17" s="502">
        <f>IF(samenstelling!$C100=0,"",berekeningen!N27)</f>
        <v>100</v>
      </c>
      <c r="P17" s="502">
        <f>IF(samenstelling!$C100=0,"",berekeningen!O27)</f>
        <v>100</v>
      </c>
      <c r="Q17" s="502">
        <f>IF(samenstelling!$C100=0,"",berekeningen!P27)</f>
        <v>100</v>
      </c>
      <c r="R17" s="502">
        <f>IF(samenstelling!$C100=0,"",berekeningen!Q27)</f>
        <v>100</v>
      </c>
      <c r="S17" s="502">
        <f>IF(samenstelling!$C100=0,"",berekeningen!R27)</f>
        <v>100</v>
      </c>
      <c r="T17" s="515">
        <f>IF(samenstelling!$C100=0,"",berekeningen!S27)</f>
        <v>100</v>
      </c>
    </row>
    <row r="18" spans="1:20" ht="15" customHeight="1" x14ac:dyDescent="0.35">
      <c r="A18" s="474">
        <f>IF(samenstelling!$C101=0,"",samenstelling!B101)</f>
        <v>71</v>
      </c>
      <c r="B18" s="503">
        <f>IF(samenstelling!$C101=0,"",samenstelling!C101)</f>
        <v>29.641185647425896</v>
      </c>
      <c r="C18" s="1322" t="str">
        <f>IF(samenstelling!$C101=0,"",samenstelling!E101)</f>
        <v>Asfaltgranulaat</v>
      </c>
      <c r="D18" s="449"/>
      <c r="E18" s="497">
        <f>IF(samenstelling!$C101=0,"",berekeningen!D28)</f>
        <v>100</v>
      </c>
      <c r="F18" s="497">
        <f>IF(samenstelling!$C101=0,"",berekeningen!E28)</f>
        <v>100</v>
      </c>
      <c r="G18" s="497">
        <f>IF(samenstelling!$C101=0,"",berekeningen!F28)</f>
        <v>100</v>
      </c>
      <c r="H18" s="497">
        <f>IF(samenstelling!$C101=0,"",berekeningen!G28)</f>
        <v>100</v>
      </c>
      <c r="I18" s="497">
        <f>IF(samenstelling!$C101=0,"",berekeningen!H28)</f>
        <v>100</v>
      </c>
      <c r="J18" s="497">
        <f>IF(samenstelling!$C101=0,"",berekeningen!I28)</f>
        <v>100</v>
      </c>
      <c r="K18" s="497">
        <f>IF(samenstelling!$C101=0,"",berekeningen!J28)</f>
        <v>100</v>
      </c>
      <c r="L18" s="497">
        <f>IF(samenstelling!$C101=0,"",berekeningen!K28)</f>
        <v>90</v>
      </c>
      <c r="M18" s="497">
        <f>IF(samenstelling!$C101=0,"",berekeningen!L28)</f>
        <v>80</v>
      </c>
      <c r="N18" s="497">
        <f>IF(samenstelling!$C101=0,"",berekeningen!M28)</f>
        <v>70</v>
      </c>
      <c r="O18" s="497">
        <f>IF(samenstelling!$C101=0,"",berekeningen!N28)</f>
        <v>60</v>
      </c>
      <c r="P18" s="497">
        <f>IF(samenstelling!$C101=0,"",berekeningen!O28)</f>
        <v>50</v>
      </c>
      <c r="Q18" s="497">
        <f>IF(samenstelling!$C101=0,"",berekeningen!P28)</f>
        <v>40</v>
      </c>
      <c r="R18" s="497">
        <f>IF(samenstelling!$C101=0,"",berekeningen!Q28)</f>
        <v>30</v>
      </c>
      <c r="S18" s="497">
        <f>IF(samenstelling!$C101=0,"",berekeningen!R28)</f>
        <v>20</v>
      </c>
      <c r="T18" s="511">
        <f>IF(samenstelling!$C101=0,"",berekeningen!S28)</f>
        <v>10</v>
      </c>
    </row>
    <row r="19" spans="1:20" ht="15" customHeight="1" x14ac:dyDescent="0.35">
      <c r="A19" s="468" t="str">
        <f>IF(samenstelling!$C102=0,"",samenstelling!B102)</f>
        <v/>
      </c>
      <c r="B19" s="504" t="str">
        <f>IF(samenstelling!$C102=0,"",samenstelling!C102)</f>
        <v/>
      </c>
      <c r="C19" s="1323" t="str">
        <f>IF(samenstelling!$C102=0,"",samenstelling!E102)</f>
        <v/>
      </c>
      <c r="D19" s="438"/>
      <c r="E19" s="498" t="str">
        <f>IF(samenstelling!$C102=0,"",berekeningen!D29)</f>
        <v/>
      </c>
      <c r="F19" s="498" t="str">
        <f>IF(samenstelling!$C102=0,"",berekeningen!E29)</f>
        <v/>
      </c>
      <c r="G19" s="498" t="str">
        <f>IF(samenstelling!$C102=0,"",berekeningen!F29)</f>
        <v/>
      </c>
      <c r="H19" s="498" t="str">
        <f>IF(samenstelling!$C102=0,"",berekeningen!G29)</f>
        <v/>
      </c>
      <c r="I19" s="498" t="str">
        <f>IF(samenstelling!$C102=0,"",berekeningen!H29)</f>
        <v/>
      </c>
      <c r="J19" s="498" t="str">
        <f>IF(samenstelling!$C102=0,"",berekeningen!I29)</f>
        <v/>
      </c>
      <c r="K19" s="498" t="str">
        <f>IF(samenstelling!$C102=0,"",berekeningen!J29)</f>
        <v/>
      </c>
      <c r="L19" s="498" t="str">
        <f>IF(samenstelling!$C102=0,"",berekeningen!K29)</f>
        <v/>
      </c>
      <c r="M19" s="498" t="str">
        <f>IF(samenstelling!$C102=0,"",berekeningen!L29)</f>
        <v/>
      </c>
      <c r="N19" s="498" t="str">
        <f>IF(samenstelling!$C102=0,"",berekeningen!M29)</f>
        <v/>
      </c>
      <c r="O19" s="498" t="str">
        <f>IF(samenstelling!$C102=0,"",berekeningen!N29)</f>
        <v/>
      </c>
      <c r="P19" s="498" t="str">
        <f>IF(samenstelling!$C102=0,"",berekeningen!O29)</f>
        <v/>
      </c>
      <c r="Q19" s="498" t="str">
        <f>IF(samenstelling!$C102=0,"",berekeningen!P29)</f>
        <v/>
      </c>
      <c r="R19" s="498" t="str">
        <f>IF(samenstelling!$C102=0,"",berekeningen!Q29)</f>
        <v/>
      </c>
      <c r="S19" s="498" t="str">
        <f>IF(samenstelling!$C102=0,"",berekeningen!R29)</f>
        <v/>
      </c>
      <c r="T19" s="512" t="str">
        <f>IF(samenstelling!$C102=0,"",berekeningen!S29)</f>
        <v/>
      </c>
    </row>
    <row r="20" spans="1:20" ht="15" customHeight="1" x14ac:dyDescent="0.35">
      <c r="A20" s="470" t="str">
        <f>IF(samenstelling!$C103=0,"",samenstelling!B103)</f>
        <v/>
      </c>
      <c r="B20" s="505" t="str">
        <f>IF(samenstelling!$C103=0,"",samenstelling!C103)</f>
        <v/>
      </c>
      <c r="C20" s="1324" t="str">
        <f>IF(samenstelling!$C103=0,"",samenstelling!E103)</f>
        <v/>
      </c>
      <c r="D20" s="456"/>
      <c r="E20" s="499" t="str">
        <f>IF(samenstelling!$C103=0,"",berekeningen!D30)</f>
        <v/>
      </c>
      <c r="F20" s="499" t="str">
        <f>IF(samenstelling!$C103=0,"",berekeningen!E30)</f>
        <v/>
      </c>
      <c r="G20" s="499" t="str">
        <f>IF(samenstelling!$C103=0,"",berekeningen!F30)</f>
        <v/>
      </c>
      <c r="H20" s="499" t="str">
        <f>IF(samenstelling!$C103=0,"",berekeningen!G30)</f>
        <v/>
      </c>
      <c r="I20" s="499" t="str">
        <f>IF(samenstelling!$C103=0,"",berekeningen!H30)</f>
        <v/>
      </c>
      <c r="J20" s="499" t="str">
        <f>IF(samenstelling!$C103=0,"",berekeningen!I30)</f>
        <v/>
      </c>
      <c r="K20" s="499" t="str">
        <f>IF(samenstelling!$C103=0,"",berekeningen!J30)</f>
        <v/>
      </c>
      <c r="L20" s="499" t="str">
        <f>IF(samenstelling!$C103=0,"",berekeningen!K30)</f>
        <v/>
      </c>
      <c r="M20" s="499" t="str">
        <f>IF(samenstelling!$C103=0,"",berekeningen!L30)</f>
        <v/>
      </c>
      <c r="N20" s="499" t="str">
        <f>IF(samenstelling!$C103=0,"",berekeningen!M30)</f>
        <v/>
      </c>
      <c r="O20" s="499" t="str">
        <f>IF(samenstelling!$C103=0,"",berekeningen!N30)</f>
        <v/>
      </c>
      <c r="P20" s="499" t="str">
        <f>IF(samenstelling!$C103=0,"",berekeningen!O30)</f>
        <v/>
      </c>
      <c r="Q20" s="499" t="str">
        <f>IF(samenstelling!$C103=0,"",berekeningen!P30)</f>
        <v/>
      </c>
      <c r="R20" s="499" t="str">
        <f>IF(samenstelling!$C103=0,"",berekeningen!Q30)</f>
        <v/>
      </c>
      <c r="S20" s="499" t="str">
        <f>IF(samenstelling!$C103=0,"",berekeningen!R30)</f>
        <v/>
      </c>
      <c r="T20" s="513" t="str">
        <f>IF(samenstelling!$C103=0,"",berekeningen!S30)</f>
        <v/>
      </c>
    </row>
    <row r="21" spans="1:20" ht="15" customHeight="1" x14ac:dyDescent="0.35">
      <c r="A21" s="472">
        <f>IF(samenstelling!$C104=0,"",samenstelling!B104)</f>
        <v>83</v>
      </c>
      <c r="B21" s="506">
        <f>IF(samenstelling!$C104=0,"",samenstelling!C104)</f>
        <v>2.82</v>
      </c>
      <c r="C21" s="1325" t="str">
        <f>IF(samenstelling!$C104=0,"",samenstelling!E104)</f>
        <v>Rode kleurstof</v>
      </c>
      <c r="D21" s="473"/>
      <c r="E21" s="500">
        <f>IF(samenstelling!$C104=0,"",berekeningen!D31)</f>
        <v>100</v>
      </c>
      <c r="F21" s="500">
        <f>IF(samenstelling!$C104=0,"",berekeningen!E31)</f>
        <v>100</v>
      </c>
      <c r="G21" s="500">
        <f>IF(samenstelling!$C104=0,"",berekeningen!F31)</f>
        <v>100</v>
      </c>
      <c r="H21" s="500">
        <f>IF(samenstelling!$C104=0,"",berekeningen!G31)</f>
        <v>100</v>
      </c>
      <c r="I21" s="500">
        <f>IF(samenstelling!$C104=0,"",berekeningen!H31)</f>
        <v>100</v>
      </c>
      <c r="J21" s="500">
        <f>IF(samenstelling!$C104=0,"",berekeningen!I31)</f>
        <v>100</v>
      </c>
      <c r="K21" s="500">
        <f>IF(samenstelling!$C104=0,"",berekeningen!J31)</f>
        <v>100</v>
      </c>
      <c r="L21" s="500">
        <f>IF(samenstelling!$C104=0,"",berekeningen!K31)</f>
        <v>100</v>
      </c>
      <c r="M21" s="500">
        <f>IF(samenstelling!$C104=0,"",berekeningen!L31)</f>
        <v>100</v>
      </c>
      <c r="N21" s="500">
        <f>IF(samenstelling!$C104=0,"",berekeningen!M31)</f>
        <v>100</v>
      </c>
      <c r="O21" s="500">
        <f>IF(samenstelling!$C104=0,"",berekeningen!N31)</f>
        <v>100</v>
      </c>
      <c r="P21" s="500">
        <f>IF(samenstelling!$C104=0,"",berekeningen!O31)</f>
        <v>100</v>
      </c>
      <c r="Q21" s="500">
        <f>IF(samenstelling!$C104=0,"",berekeningen!P31)</f>
        <v>100</v>
      </c>
      <c r="R21" s="500">
        <f>IF(samenstelling!$C104=0,"",berekeningen!Q31)</f>
        <v>100</v>
      </c>
      <c r="S21" s="500">
        <f>IF(samenstelling!$C104=0,"",berekeningen!R31)</f>
        <v>100</v>
      </c>
      <c r="T21" s="514">
        <f>IF(samenstelling!$C104=0,"",berekeningen!S31)</f>
        <v>100</v>
      </c>
    </row>
    <row r="22" spans="1:20" ht="15" customHeight="1" x14ac:dyDescent="0.35">
      <c r="A22" s="468" t="str">
        <f>IF(samenstelling!$C105=0,"",samenstelling!B105)</f>
        <v/>
      </c>
      <c r="B22" s="504" t="str">
        <f>IF(samenstelling!$C105=0,"",samenstelling!C105)</f>
        <v/>
      </c>
      <c r="C22" s="1323" t="str">
        <f>IF(samenstelling!$C105=0,"",samenstelling!E105)</f>
        <v/>
      </c>
      <c r="D22" s="438"/>
      <c r="E22" s="498" t="str">
        <f>IF(samenstelling!$C105=0,"",berekeningen!D32)</f>
        <v/>
      </c>
      <c r="F22" s="498" t="str">
        <f>IF(samenstelling!$C105=0,"",berekeningen!E32)</f>
        <v/>
      </c>
      <c r="G22" s="498" t="str">
        <f>IF(samenstelling!$C105=0,"",berekeningen!F32)</f>
        <v/>
      </c>
      <c r="H22" s="498" t="str">
        <f>IF(samenstelling!$C105=0,"",berekeningen!G32)</f>
        <v/>
      </c>
      <c r="I22" s="498" t="str">
        <f>IF(samenstelling!$C105=0,"",berekeningen!H32)</f>
        <v/>
      </c>
      <c r="J22" s="498" t="str">
        <f>IF(samenstelling!$C105=0,"",berekeningen!I32)</f>
        <v/>
      </c>
      <c r="K22" s="498" t="str">
        <f>IF(samenstelling!$C105=0,"",berekeningen!J32)</f>
        <v/>
      </c>
      <c r="L22" s="498" t="str">
        <f>IF(samenstelling!$C105=0,"",berekeningen!K32)</f>
        <v/>
      </c>
      <c r="M22" s="498" t="str">
        <f>IF(samenstelling!$C105=0,"",berekeningen!L32)</f>
        <v/>
      </c>
      <c r="N22" s="498" t="str">
        <f>IF(samenstelling!$C105=0,"",berekeningen!M32)</f>
        <v/>
      </c>
      <c r="O22" s="498" t="str">
        <f>IF(samenstelling!$C105=0,"",berekeningen!N32)</f>
        <v/>
      </c>
      <c r="P22" s="498" t="str">
        <f>IF(samenstelling!$C105=0,"",berekeningen!O32)</f>
        <v/>
      </c>
      <c r="Q22" s="498" t="str">
        <f>IF(samenstelling!$C105=0,"",berekeningen!P32)</f>
        <v/>
      </c>
      <c r="R22" s="498" t="str">
        <f>IF(samenstelling!$C105=0,"",berekeningen!Q32)</f>
        <v/>
      </c>
      <c r="S22" s="498" t="str">
        <f>IF(samenstelling!$C105=0,"",berekeningen!R32)</f>
        <v/>
      </c>
      <c r="T22" s="512" t="str">
        <f>IF(samenstelling!$C105=0,"",berekeningen!S32)</f>
        <v/>
      </c>
    </row>
    <row r="23" spans="1:20" ht="15" customHeight="1" x14ac:dyDescent="0.35">
      <c r="A23" s="468" t="str">
        <f>IF(samenstelling!$C106=0,"",samenstelling!B106)</f>
        <v/>
      </c>
      <c r="B23" s="504" t="str">
        <f>IF(samenstelling!$C106=0,"",samenstelling!C106)</f>
        <v/>
      </c>
      <c r="C23" s="1323" t="str">
        <f>IF(samenstelling!$C106=0,"",samenstelling!E106)</f>
        <v/>
      </c>
      <c r="D23" s="438"/>
      <c r="E23" s="498" t="str">
        <f>IF(samenstelling!$C106=0,"",berekeningen!D33)</f>
        <v/>
      </c>
      <c r="F23" s="498" t="str">
        <f>IF(samenstelling!$C106=0,"",berekeningen!E33)</f>
        <v/>
      </c>
      <c r="G23" s="498" t="str">
        <f>IF(samenstelling!$C106=0,"",berekeningen!F33)</f>
        <v/>
      </c>
      <c r="H23" s="498" t="str">
        <f>IF(samenstelling!$C106=0,"",berekeningen!G33)</f>
        <v/>
      </c>
      <c r="I23" s="498" t="str">
        <f>IF(samenstelling!$C106=0,"",berekeningen!H33)</f>
        <v/>
      </c>
      <c r="J23" s="498" t="str">
        <f>IF(samenstelling!$C106=0,"",berekeningen!I33)</f>
        <v/>
      </c>
      <c r="K23" s="498" t="str">
        <f>IF(samenstelling!$C106=0,"",berekeningen!J33)</f>
        <v/>
      </c>
      <c r="L23" s="498" t="str">
        <f>IF(samenstelling!$C106=0,"",berekeningen!K33)</f>
        <v/>
      </c>
      <c r="M23" s="498" t="str">
        <f>IF(samenstelling!$C106=0,"",berekeningen!L33)</f>
        <v/>
      </c>
      <c r="N23" s="498" t="str">
        <f>IF(samenstelling!$C106=0,"",berekeningen!M33)</f>
        <v/>
      </c>
      <c r="O23" s="498" t="str">
        <f>IF(samenstelling!$C106=0,"",berekeningen!N33)</f>
        <v/>
      </c>
      <c r="P23" s="498" t="str">
        <f>IF(samenstelling!$C106=0,"",berekeningen!O33)</f>
        <v/>
      </c>
      <c r="Q23" s="498" t="str">
        <f>IF(samenstelling!$C106=0,"",berekeningen!P33)</f>
        <v/>
      </c>
      <c r="R23" s="498" t="str">
        <f>IF(samenstelling!$C106=0,"",berekeningen!Q33)</f>
        <v/>
      </c>
      <c r="S23" s="498" t="str">
        <f>IF(samenstelling!$C106=0,"",berekeningen!R33)</f>
        <v/>
      </c>
      <c r="T23" s="512" t="str">
        <f>IF(samenstelling!$C106=0,"",berekeningen!S33)</f>
        <v/>
      </c>
    </row>
    <row r="24" spans="1:20" ht="15" customHeight="1" x14ac:dyDescent="0.35">
      <c r="A24" s="468">
        <f>IF(samenstelling!$C107=0,"",samenstelling!B107)</f>
        <v>96</v>
      </c>
      <c r="B24" s="504">
        <f>IF(samenstelling!$C107=0,"",samenstelling!C107)</f>
        <v>8.8550000000000004E-2</v>
      </c>
      <c r="C24" s="1323" t="str">
        <f>IF(samenstelling!$C107=0,"",samenstelling!E107)</f>
        <v>Trinidad</v>
      </c>
      <c r="D24" s="438"/>
      <c r="E24" s="498">
        <f>IF(samenstelling!$C107=0,"",berekeningen!D34)</f>
        <v>100</v>
      </c>
      <c r="F24" s="498">
        <f>IF(samenstelling!$C107=0,"",berekeningen!E34)</f>
        <v>100</v>
      </c>
      <c r="G24" s="498">
        <f>IF(samenstelling!$C107=0,"",berekeningen!F34)</f>
        <v>100</v>
      </c>
      <c r="H24" s="498">
        <f>IF(samenstelling!$C107=0,"",berekeningen!G34)</f>
        <v>100</v>
      </c>
      <c r="I24" s="498">
        <f>IF(samenstelling!$C107=0,"",berekeningen!H34)</f>
        <v>100</v>
      </c>
      <c r="J24" s="498">
        <f>IF(samenstelling!$C107=0,"",berekeningen!I34)</f>
        <v>100</v>
      </c>
      <c r="K24" s="498">
        <f>IF(samenstelling!$C107=0,"",berekeningen!J34)</f>
        <v>100</v>
      </c>
      <c r="L24" s="498">
        <f>IF(samenstelling!$C107=0,"",berekeningen!K34)</f>
        <v>100</v>
      </c>
      <c r="M24" s="498">
        <f>IF(samenstelling!$C107=0,"",berekeningen!L34)</f>
        <v>100</v>
      </c>
      <c r="N24" s="498">
        <f>IF(samenstelling!$C107=0,"",berekeningen!M34)</f>
        <v>100</v>
      </c>
      <c r="O24" s="498">
        <f>IF(samenstelling!$C107=0,"",berekeningen!N34)</f>
        <v>100</v>
      </c>
      <c r="P24" s="498">
        <f>IF(samenstelling!$C107=0,"",berekeningen!O34)</f>
        <v>100</v>
      </c>
      <c r="Q24" s="498">
        <f>IF(samenstelling!$C107=0,"",berekeningen!P34)</f>
        <v>100</v>
      </c>
      <c r="R24" s="498">
        <f>IF(samenstelling!$C107=0,"",berekeningen!Q34)</f>
        <v>100</v>
      </c>
      <c r="S24" s="498">
        <f>IF(samenstelling!$C107=0,"",berekeningen!R34)</f>
        <v>95</v>
      </c>
      <c r="T24" s="512">
        <f>IF(samenstelling!$C107=0,"",berekeningen!S34)</f>
        <v>90</v>
      </c>
    </row>
    <row r="25" spans="1:20" ht="15" customHeight="1" x14ac:dyDescent="0.35">
      <c r="A25" s="470" t="str">
        <f>IF(samenstelling!$C108=0,"",samenstelling!B108)</f>
        <v/>
      </c>
      <c r="B25" s="505" t="str">
        <f>IF(samenstelling!$C108=0,"",samenstelling!C108)</f>
        <v/>
      </c>
      <c r="C25" s="1324" t="str">
        <f>IF(samenstelling!$C108=0,"",samenstelling!E108)</f>
        <v/>
      </c>
      <c r="D25" s="456"/>
      <c r="E25" s="499" t="str">
        <f>IF(samenstelling!$C108=0,"",berekeningen!D35)</f>
        <v/>
      </c>
      <c r="F25" s="499" t="str">
        <f>IF(samenstelling!$C108=0,"",berekeningen!E35)</f>
        <v/>
      </c>
      <c r="G25" s="499" t="str">
        <f>IF(samenstelling!$C108=0,"",berekeningen!F35)</f>
        <v/>
      </c>
      <c r="H25" s="499" t="str">
        <f>IF(samenstelling!$C108=0,"",berekeningen!G35)</f>
        <v/>
      </c>
      <c r="I25" s="499" t="str">
        <f>IF(samenstelling!$C108=0,"",berekeningen!H35)</f>
        <v/>
      </c>
      <c r="J25" s="499" t="str">
        <f>IF(samenstelling!$C108=0,"",berekeningen!I35)</f>
        <v/>
      </c>
      <c r="K25" s="499" t="str">
        <f>IF(samenstelling!$C108=0,"",berekeningen!J35)</f>
        <v/>
      </c>
      <c r="L25" s="499" t="str">
        <f>IF(samenstelling!$C108=0,"",berekeningen!K35)</f>
        <v/>
      </c>
      <c r="M25" s="499" t="str">
        <f>IF(samenstelling!$C108=0,"",berekeningen!L35)</f>
        <v/>
      </c>
      <c r="N25" s="499" t="str">
        <f>IF(samenstelling!$C108=0,"",berekeningen!M35)</f>
        <v/>
      </c>
      <c r="O25" s="499" t="str">
        <f>IF(samenstelling!$C108=0,"",berekeningen!N35)</f>
        <v/>
      </c>
      <c r="P25" s="499" t="str">
        <f>IF(samenstelling!$C108=0,"",berekeningen!O35)</f>
        <v/>
      </c>
      <c r="Q25" s="499" t="str">
        <f>IF(samenstelling!$C108=0,"",berekeningen!P35)</f>
        <v/>
      </c>
      <c r="R25" s="499" t="str">
        <f>IF(samenstelling!$C108=0,"",berekeningen!Q35)</f>
        <v/>
      </c>
      <c r="S25" s="499" t="str">
        <f>IF(samenstelling!$C108=0,"",berekeningen!R35)</f>
        <v/>
      </c>
      <c r="T25" s="513" t="str">
        <f>IF(samenstelling!$C108=0,"",berekeningen!S35)</f>
        <v/>
      </c>
    </row>
    <row r="26" spans="1:20" ht="15" customHeight="1" x14ac:dyDescent="0.35">
      <c r="A26" s="480"/>
      <c r="B26" s="523">
        <f>IF(samenstelling!$C109=0,"",samenstelling!C109)</f>
        <v>99.999735647425894</v>
      </c>
      <c r="C26" s="329" t="s">
        <v>768</v>
      </c>
      <c r="D26" s="329"/>
      <c r="E26" s="524">
        <f>IF(samenstelling!$C109=0,"",samenstelling!K109)</f>
        <v>99.999735647425894</v>
      </c>
      <c r="F26" s="524">
        <f>IF(samenstelling!$C109=0,"",samenstelling!L109)</f>
        <v>99.999735647425894</v>
      </c>
      <c r="G26" s="524">
        <f>IF(samenstelling!$C109=0,"",samenstelling!M109)</f>
        <v>99.948735647425877</v>
      </c>
      <c r="H26" s="524">
        <f>IF(samenstelling!$C109=0,"",samenstelling!N109)</f>
        <v>97.500735647425884</v>
      </c>
      <c r="I26" s="524">
        <f>IF(samenstelling!$C109=0,"",samenstelling!O109)</f>
        <v>95.868735647425879</v>
      </c>
      <c r="J26" s="524">
        <f>IF(samenstelling!$C109=0,"",samenstelling!P109)</f>
        <v>92.553735647425881</v>
      </c>
      <c r="K26" s="524">
        <f>IF(samenstelling!$C109=0,"",samenstelling!Q109)</f>
        <v>89.666735647425881</v>
      </c>
      <c r="L26" s="524">
        <f>IF(samenstelling!$C109=0,"",samenstelling!R109)</f>
        <v>68.318617082683289</v>
      </c>
      <c r="M26" s="524">
        <f>IF(samenstelling!$C109=0,"",samenstelling!S109)</f>
        <v>47.600398517940718</v>
      </c>
      <c r="N26" s="524">
        <f>IF(samenstelling!$C109=0,"",samenstelling!T109)</f>
        <v>38.531179953198126</v>
      </c>
      <c r="O26" s="525">
        <f>IF(samenstelling!$C109=0,"",samenstelling!U109)</f>
        <v>28.32396138845554</v>
      </c>
      <c r="P26" s="524">
        <f>IF(samenstelling!$C109=0,"",samenstelling!V109)</f>
        <v>23.058242823712948</v>
      </c>
      <c r="Q26" s="524">
        <f>IF(samenstelling!$C109=0,"",samenstelling!W109)</f>
        <v>18.557524258970361</v>
      </c>
      <c r="R26" s="524">
        <f>IF(samenstelling!$C109=0,"",samenstelling!X109)</f>
        <v>14.974805694227769</v>
      </c>
      <c r="S26" s="524">
        <f>IF(samenstelling!$C109=0,"",samenstelling!Y109)</f>
        <v>11.405659629485179</v>
      </c>
      <c r="T26" s="526">
        <f>IF(samenstelling!$C109=0,"",samenstelling!Z109)</f>
        <v>7.8679135647425893</v>
      </c>
    </row>
    <row r="27" spans="1:20" ht="14.65" customHeight="1" thickBot="1" x14ac:dyDescent="0.4">
      <c r="A27" s="328" t="str">
        <f>IF(samenstelling!G112="","","Opmerking:")</f>
        <v>Opmerking:</v>
      </c>
      <c r="B27" s="329"/>
      <c r="C27" s="351" t="str">
        <f>IF(samenstelling!G112="","",samenstelling!G112)</f>
        <v>testopmerking</v>
      </c>
      <c r="D27" s="329"/>
      <c r="E27" s="329"/>
      <c r="F27" s="329"/>
      <c r="G27" s="329"/>
      <c r="H27" s="329"/>
      <c r="I27" s="329"/>
      <c r="J27" s="329"/>
      <c r="K27" s="329"/>
      <c r="L27" s="329"/>
      <c r="M27" s="329"/>
      <c r="N27" s="329"/>
      <c r="O27" s="329"/>
      <c r="P27" s="329"/>
      <c r="Q27" s="329"/>
      <c r="R27" s="329"/>
      <c r="S27" s="329"/>
      <c r="T27" s="336"/>
    </row>
    <row r="28" spans="1:20" ht="14.65" customHeight="1" x14ac:dyDescent="0.35">
      <c r="A28" s="516" t="s">
        <v>1611</v>
      </c>
      <c r="B28" s="517"/>
      <c r="C28" s="517"/>
      <c r="D28" s="517"/>
      <c r="E28" s="517"/>
      <c r="F28" s="517"/>
      <c r="G28" s="517"/>
      <c r="H28" s="517"/>
      <c r="I28" s="517"/>
      <c r="J28" s="517"/>
      <c r="K28" s="517"/>
      <c r="L28" s="517"/>
      <c r="M28" s="517"/>
      <c r="N28" s="517"/>
      <c r="O28" s="517"/>
      <c r="P28" s="517"/>
      <c r="Q28" s="517"/>
      <c r="R28" s="517"/>
      <c r="S28" s="517"/>
      <c r="T28" s="518"/>
    </row>
    <row r="29" spans="1:20" ht="14.65" customHeight="1" x14ac:dyDescent="0.35">
      <c r="A29" s="1391"/>
      <c r="B29" s="508"/>
      <c r="C29" s="2289" t="s">
        <v>183</v>
      </c>
      <c r="D29" s="2291" t="s">
        <v>146</v>
      </c>
      <c r="E29" s="508" t="s">
        <v>871</v>
      </c>
      <c r="F29" s="509"/>
      <c r="G29" s="509"/>
      <c r="H29" s="509"/>
      <c r="I29" s="509"/>
      <c r="J29" s="509"/>
      <c r="K29" s="509"/>
      <c r="L29" s="509"/>
      <c r="M29" s="509"/>
      <c r="N29" s="509"/>
      <c r="O29" s="509"/>
      <c r="P29" s="509"/>
      <c r="Q29" s="509"/>
      <c r="R29" s="509"/>
      <c r="S29" s="509"/>
      <c r="T29" s="510"/>
    </row>
    <row r="30" spans="1:20" ht="38.25" customHeight="1" x14ac:dyDescent="0.35">
      <c r="A30" s="880" t="s">
        <v>114</v>
      </c>
      <c r="B30" s="890" t="s">
        <v>872</v>
      </c>
      <c r="C30" s="2290"/>
      <c r="D30" s="2292"/>
      <c r="E30" s="496">
        <f>IF(berekeningen!D9=0,"",berekeningen!D9)</f>
        <v>40</v>
      </c>
      <c r="F30" s="496">
        <f>IF(berekeningen!E9=0,"",berekeningen!E9)</f>
        <v>31.5</v>
      </c>
      <c r="G30" s="496">
        <f>IF(berekeningen!F9=0,"",berekeningen!F9)</f>
        <v>20</v>
      </c>
      <c r="H30" s="496">
        <f>IF(berekeningen!G9=0,"",berekeningen!G9)</f>
        <v>16</v>
      </c>
      <c r="I30" s="496">
        <f>IF(berekeningen!H9=0,"",berekeningen!H9)</f>
        <v>14</v>
      </c>
      <c r="J30" s="496">
        <f>IF(berekeningen!I9=0,"",berekeningen!I9)</f>
        <v>12.5</v>
      </c>
      <c r="K30" s="496">
        <f>IF(berekeningen!J9=0,"",berekeningen!J9)</f>
        <v>10</v>
      </c>
      <c r="L30" s="496">
        <f>IF(berekeningen!K9=0,"",berekeningen!K9)</f>
        <v>8</v>
      </c>
      <c r="M30" s="496">
        <f>IF(berekeningen!L9=0,"",berekeningen!L9)</f>
        <v>6.3</v>
      </c>
      <c r="N30" s="496">
        <f>IF(berekeningen!M9=0,"",berekeningen!M9)</f>
        <v>4</v>
      </c>
      <c r="O30" s="496">
        <f>IF(berekeningen!N9=0,"",berekeningen!N9)</f>
        <v>2</v>
      </c>
      <c r="P30" s="496">
        <f>IF(berekeningen!O9=0,"",berekeningen!O9)</f>
        <v>1</v>
      </c>
      <c r="Q30" s="496">
        <f>IF(berekeningen!P9=0,"",berekeningen!P9)</f>
        <v>0.5</v>
      </c>
      <c r="R30" s="496">
        <f>IF(berekeningen!Q9=0,"",berekeningen!Q9)</f>
        <v>0.25</v>
      </c>
      <c r="S30" s="496">
        <f>IF(berekeningen!R9=0,"",berekeningen!R9)</f>
        <v>0.125</v>
      </c>
      <c r="T30" s="493">
        <f>IF(berekeningen!S9=0,"",berekeningen!S9)</f>
        <v>6.3E-2</v>
      </c>
    </row>
    <row r="31" spans="1:20" ht="14.65" customHeight="1" x14ac:dyDescent="0.35">
      <c r="A31" s="881">
        <f>A18</f>
        <v>71</v>
      </c>
      <c r="B31" s="891" t="str">
        <f>IF(samenstelling!$C101=0,"",samenstelling!S56)</f>
        <v>HE</v>
      </c>
      <c r="C31" s="1918">
        <f>IF(B31="","",IF(VLOOKUP($B31,grondstoffen!$AB$147:$AV$150,2,FALSE)="","",VLOOKUP($B31,grondstoffen!$AB$147:$AV$150,2,FALSE)))</f>
        <v>0.8</v>
      </c>
      <c r="D31" s="882">
        <f>IF(B31="","",IF(VLOOKUP($B31,grondstoffen!$AB$147:$AV$150,4,FALSE)="","",VLOOKUP($B31,grondstoffen!$AB$147:$AV$150,4,FALSE)))</f>
        <v>10</v>
      </c>
      <c r="E31" s="882" t="str">
        <f>IF(B31="","",IF(VLOOKUP($B31,grondstoffen!$AB$147:$AV$150,6,FALSE)="","",VLOOKUP($B31,grondstoffen!$AB$147:$AV$150,6,FALSE)))</f>
        <v/>
      </c>
      <c r="F31" s="882" t="str">
        <f>IF(B31="","",IF(VLOOKUP($B31,grondstoffen!$AB$147:$AV$150,7,FALSE)="","",VLOOKUP($B31,grondstoffen!$AB$147:$AV$150,7,FALSE)))</f>
        <v/>
      </c>
      <c r="G31" s="882" t="str">
        <f>IF(B31="","",IF(VLOOKUP($B31,grondstoffen!$AB$147:$AV$150,8,FALSE)="","",VLOOKUP($B31,grondstoffen!$AB$147:$AV$150,8,FALSE)))</f>
        <v/>
      </c>
      <c r="H31" s="882" t="str">
        <f>IF(B31="","",IF(VLOOKUP($B31,grondstoffen!$AB$147:$AV$150,9,FALSE)="","",VLOOKUP($B31,grondstoffen!$AB$147:$AV$150,9,FALSE)))</f>
        <v/>
      </c>
      <c r="I31" s="882" t="str">
        <f>IF(B31="","",IF(VLOOKUP($B31,grondstoffen!$AB$147:$AV$150,10,FALSE)="","",VLOOKUP($B31,grondstoffen!$AB$147:$AV$150,10,FALSE)))</f>
        <v/>
      </c>
      <c r="J31" s="882" t="str">
        <f>IF(B31="","",IF(VLOOKUP($B31,grondstoffen!$AB$147:$AV$150,11,FALSE)="","",VLOOKUP($B31,grondstoffen!$AB$147:$AV$150,11,FALSE)))</f>
        <v/>
      </c>
      <c r="K31" s="882">
        <f>IF(B31="","",IF(VLOOKUP($B31,grondstoffen!$AB$147:$AV$150,12,FALSE)="","",VLOOKUP($B31,grondstoffen!$AB$147:$AV$150,12,FALSE)))</f>
        <v>15</v>
      </c>
      <c r="L31" s="882" t="str">
        <f>IF(B31="","",IF(VLOOKUP($B31,grondstoffen!$AB$147:$AV$150,13,FALSE)="","",VLOOKUP($B31,grondstoffen!$AB$147:$AV$150,13,FALSE)))</f>
        <v/>
      </c>
      <c r="M31" s="882">
        <f>IF(B31="","",IF(VLOOKUP($B31,grondstoffen!$AB$147:$AV$150,14,FALSE)="","",VLOOKUP($B31,grondstoffen!$AB$147:$AV$150,14,FALSE)))</f>
        <v>15</v>
      </c>
      <c r="N31" s="882" t="str">
        <f>IF(B31="","",IF(VLOOKUP($B31,grondstoffen!$AB$147:$AV$150,15,FALSE)="","",VLOOKUP($B31,grondstoffen!$AB$147:$AV$150,15,FALSE)))</f>
        <v/>
      </c>
      <c r="O31" s="882">
        <f>IF(B31="","",IF(VLOOKUP($B31,grondstoffen!$AB$147:$AV$150,16,FALSE)="","",VLOOKUP($B31,grondstoffen!$AB$147:$AV$150,16,FALSE)))</f>
        <v>10</v>
      </c>
      <c r="P31" s="882" t="str">
        <f>IF(B31="","",IF(VLOOKUP($B31,grondstoffen!$AB$147:$AV$150,17,FALSE)="","",VLOOKUP($B31,grondstoffen!$AB$147:$AV$150,17,FALSE)))</f>
        <v/>
      </c>
      <c r="Q31" s="882" t="str">
        <f>IF(B31="","",IF(VLOOKUP($B31,grondstoffen!$AB$147:$AV$150,18,FALSE)="","",VLOOKUP($B31,grondstoffen!$AB$147:$AV$150,18,FALSE)))</f>
        <v/>
      </c>
      <c r="R31" s="882" t="str">
        <f>IF(B31="","",IF(VLOOKUP($B31,grondstoffen!$AB$147:$AV$150,19,FALSE)="","",VLOOKUP($B31,grondstoffen!$AB$147:$AV$150,19,FALSE)))</f>
        <v/>
      </c>
      <c r="S31" s="882" t="str">
        <f>IF(B31="","",IF(VLOOKUP($B31,grondstoffen!$AB$147:$AV$150,20,FALSE)="","",VLOOKUP($B31,grondstoffen!$AB$147:$AV$150,20,FALSE)))</f>
        <v/>
      </c>
      <c r="T31" s="1919">
        <f>IF(B31="","",IF(VLOOKUP($B31,grondstoffen!$AB$147:$AV$150,21,FALSE)="","",VLOOKUP($B31,grondstoffen!$AB$147:$AV$150,21,FALSE)))</f>
        <v>2.5</v>
      </c>
    </row>
    <row r="32" spans="1:20" ht="14.65" customHeight="1" x14ac:dyDescent="0.35">
      <c r="A32" s="883" t="str">
        <f t="shared" ref="A32:A33" si="0">A19</f>
        <v/>
      </c>
      <c r="B32" s="892" t="str">
        <f>IF(samenstelling!$C102=0,"",samenstelling!S57)</f>
        <v/>
      </c>
      <c r="C32" s="895" t="str">
        <f>IF(B32="","",IF(VLOOKUP($B32,grondstoffen!$AB$147:$AV$150,2,FALSE)="","",VLOOKUP($B32,grondstoffen!$AB$147:$AV$150,2,FALSE)))</f>
        <v/>
      </c>
      <c r="D32" s="884" t="str">
        <f>IF(B32="","",IF(VLOOKUP($B32,grondstoffen!$AB$147:$AV$150,4,FALSE)="","",VLOOKUP($B32,grondstoffen!$AB$147:$AV$150,4,FALSE)))</f>
        <v/>
      </c>
      <c r="E32" s="884" t="str">
        <f>IF(B32="","",IF(VLOOKUP($B32,grondstoffen!$AB$147:$AV$150,6,FALSE)="","",VLOOKUP($B32,grondstoffen!$AB$147:$AV$150,6,FALSE)))</f>
        <v/>
      </c>
      <c r="F32" s="884" t="str">
        <f>IF(B32="","",IF(VLOOKUP($B32,grondstoffen!$AB$147:$AV$150,7,FALSE)="","",VLOOKUP($B32,grondstoffen!$AB$147:$AV$150,7,FALSE)))</f>
        <v/>
      </c>
      <c r="G32" s="884" t="str">
        <f>IF(B32="","",IF(VLOOKUP($B32,grondstoffen!$AB$147:$AV$150,8,FALSE)="","",VLOOKUP($B32,grondstoffen!$AB$147:$AV$150,8,FALSE)))</f>
        <v/>
      </c>
      <c r="H32" s="884" t="str">
        <f>IF(B32="","",IF(VLOOKUP($B32,grondstoffen!$AB$147:$AV$150,9,FALSE)="","",VLOOKUP($B32,grondstoffen!$AB$147:$AV$150,9,FALSE)))</f>
        <v/>
      </c>
      <c r="I32" s="884" t="str">
        <f>IF(B32="","",IF(VLOOKUP($B32,grondstoffen!$AB$147:$AV$150,10,FALSE)="","",VLOOKUP($B32,grondstoffen!$AB$147:$AV$150,10,FALSE)))</f>
        <v/>
      </c>
      <c r="J32" s="884" t="str">
        <f>IF(B32="","",IF(VLOOKUP($B32,grondstoffen!$AB$147:$AV$150,11,FALSE)="","",VLOOKUP($B32,grondstoffen!$AB$147:$AV$150,11,FALSE)))</f>
        <v/>
      </c>
      <c r="K32" s="884" t="str">
        <f>IF(B32="","",IF(VLOOKUP($B32,grondstoffen!$AB$147:$AV$150,12,FALSE)="","",VLOOKUP($B32,grondstoffen!$AB$147:$AV$150,12,FALSE)))</f>
        <v/>
      </c>
      <c r="L32" s="884" t="str">
        <f>IF(B32="","",IF(VLOOKUP($B32,grondstoffen!$AB$147:$AV$150,13,FALSE)="","",VLOOKUP($B32,grondstoffen!$AB$147:$AV$150,13,FALSE)))</f>
        <v/>
      </c>
      <c r="M32" s="884" t="str">
        <f>IF(B32="","",IF(VLOOKUP($B32,grondstoffen!$AB$147:$AV$150,14,FALSE)="","",VLOOKUP($B32,grondstoffen!$AB$147:$AV$150,14,FALSE)))</f>
        <v/>
      </c>
      <c r="N32" s="884" t="str">
        <f>IF(B32="","",IF(VLOOKUP($B32,grondstoffen!$AB$147:$AV$150,15,FALSE)="","",VLOOKUP($B32,grondstoffen!$AB$147:$AV$150,15,FALSE)))</f>
        <v/>
      </c>
      <c r="O32" s="884" t="str">
        <f>IF(B32="","",IF(VLOOKUP($B32,grondstoffen!$AB$147:$AV$150,16,FALSE)="","",VLOOKUP($B32,grondstoffen!$AB$147:$AV$150,16,FALSE)))</f>
        <v/>
      </c>
      <c r="P32" s="884" t="str">
        <f>IF(B32="","",IF(VLOOKUP($B32,grondstoffen!$AB$147:$AV$150,17,FALSE)="","",VLOOKUP($B32,grondstoffen!$AB$147:$AV$150,17,FALSE)))</f>
        <v/>
      </c>
      <c r="Q32" s="884" t="str">
        <f>IF(B32="","",IF(VLOOKUP($B32,grondstoffen!$AB$147:$AV$150,18,FALSE)="","",VLOOKUP($B32,grondstoffen!$AB$147:$AV$150,18,FALSE)))</f>
        <v/>
      </c>
      <c r="R32" s="884" t="str">
        <f>IF(B32="","",IF(VLOOKUP($B32,grondstoffen!$AB$147:$AV$150,19,FALSE)="","",VLOOKUP($B32,grondstoffen!$AB$147:$AV$150,19,FALSE)))</f>
        <v/>
      </c>
      <c r="S32" s="884" t="str">
        <f>IF(B32="","",IF(VLOOKUP($B32,grondstoffen!$AB$147:$AV$150,20,FALSE)="","",VLOOKUP($B32,grondstoffen!$AB$147:$AV$150,20,FALSE)))</f>
        <v/>
      </c>
      <c r="T32" s="888" t="str">
        <f>IF(B32="","",IF(VLOOKUP($B32,grondstoffen!$AB$147:$AV$150,21,FALSE)="","",VLOOKUP($B32,grondstoffen!$AB$147:$AV$150,21,FALSE)))</f>
        <v/>
      </c>
    </row>
    <row r="33" spans="1:20" ht="14.65" customHeight="1" thickBot="1" x14ac:dyDescent="0.4">
      <c r="A33" s="885" t="str">
        <f t="shared" si="0"/>
        <v/>
      </c>
      <c r="B33" s="893" t="str">
        <f>IF(samenstelling!$C103=0,"",samenstelling!S58)</f>
        <v/>
      </c>
      <c r="C33" s="896" t="str">
        <f>IF(B33="","",IF(VLOOKUP($B33,grondstoffen!$AB$147:$AV$150,2,FALSE)="","",VLOOKUP($B33,grondstoffen!$AB$147:$AV$150,2,FALSE)))</f>
        <v/>
      </c>
      <c r="D33" s="886" t="str">
        <f>IF(B33="","",IF(VLOOKUP($B33,grondstoffen!$AB$147:$AV$150,4,FALSE)="","",VLOOKUP($B33,grondstoffen!$AB$147:$AV$150,4,FALSE)))</f>
        <v/>
      </c>
      <c r="E33" s="886" t="str">
        <f>IF(B33="","",IF(VLOOKUP($B33,grondstoffen!$AB$147:$AV$150,6,FALSE)="","",VLOOKUP($B33,grondstoffen!$AB$147:$AV$150,6,FALSE)))</f>
        <v/>
      </c>
      <c r="F33" s="886" t="str">
        <f>IF(B33="","",IF(VLOOKUP($B33,grondstoffen!$AB$147:$AV$150,7,FALSE)="","",VLOOKUP($B33,grondstoffen!$AB$147:$AV$150,7,FALSE)))</f>
        <v/>
      </c>
      <c r="G33" s="886" t="str">
        <f>IF(B33="","",IF(VLOOKUP($B33,grondstoffen!$AB$147:$AV$150,8,FALSE)="","",VLOOKUP($B33,grondstoffen!$AB$147:$AV$150,8,FALSE)))</f>
        <v/>
      </c>
      <c r="H33" s="886" t="str">
        <f>IF(B33="","",IF(VLOOKUP($B33,grondstoffen!$AB$147:$AV$150,9,FALSE)="","",VLOOKUP($B33,grondstoffen!$AB$147:$AV$150,9,FALSE)))</f>
        <v/>
      </c>
      <c r="I33" s="886" t="str">
        <f>IF(B33="","",IF(VLOOKUP($B33,grondstoffen!$AB$147:$AV$150,10,FALSE)="","",VLOOKUP($B33,grondstoffen!$AB$147:$AV$150,10,FALSE)))</f>
        <v/>
      </c>
      <c r="J33" s="886" t="str">
        <f>IF(B33="","",IF(VLOOKUP($B33,grondstoffen!$AB$147:$AV$150,11,FALSE)="","",VLOOKUP($B33,grondstoffen!$AB$147:$AV$150,11,FALSE)))</f>
        <v/>
      </c>
      <c r="K33" s="886" t="str">
        <f>IF(B33="","",IF(VLOOKUP($B33,grondstoffen!$AB$147:$AV$150,12,FALSE)="","",VLOOKUP($B33,grondstoffen!$AB$147:$AV$150,12,FALSE)))</f>
        <v/>
      </c>
      <c r="L33" s="886" t="str">
        <f>IF(B33="","",IF(VLOOKUP($B33,grondstoffen!$AB$147:$AV$150,13,FALSE)="","",VLOOKUP($B33,grondstoffen!$AB$147:$AV$150,13,FALSE)))</f>
        <v/>
      </c>
      <c r="M33" s="886" t="str">
        <f>IF(B33="","",IF(VLOOKUP($B33,grondstoffen!$AB$147:$AV$150,14,FALSE)="","",VLOOKUP($B33,grondstoffen!$AB$147:$AV$150,14,FALSE)))</f>
        <v/>
      </c>
      <c r="N33" s="886" t="str">
        <f>IF(B33="","",IF(VLOOKUP($B33,grondstoffen!$AB$147:$AV$150,15,FALSE)="","",VLOOKUP($B33,grondstoffen!$AB$147:$AV$150,15,FALSE)))</f>
        <v/>
      </c>
      <c r="O33" s="886" t="str">
        <f>IF(B33="","",IF(VLOOKUP($B33,grondstoffen!$AB$147:$AV$150,16,FALSE)="","",VLOOKUP($B33,grondstoffen!$AB$147:$AV$150,16,FALSE)))</f>
        <v/>
      </c>
      <c r="P33" s="886" t="str">
        <f>IF(B33="","",IF(VLOOKUP($B33,grondstoffen!$AB$147:$AV$150,17,FALSE)="","",VLOOKUP($B33,grondstoffen!$AB$147:$AV$150,17,FALSE)))</f>
        <v/>
      </c>
      <c r="Q33" s="886" t="str">
        <f>IF(B33="","",IF(VLOOKUP($B33,grondstoffen!$AB$147:$AV$150,18,FALSE)="","",VLOOKUP($B33,grondstoffen!$AB$147:$AV$150,18,FALSE)))</f>
        <v/>
      </c>
      <c r="R33" s="886" t="str">
        <f>IF(B33="","",IF(VLOOKUP($B33,grondstoffen!$AB$147:$AV$150,19,FALSE)="","",VLOOKUP($B33,grondstoffen!$AB$147:$AV$150,19,FALSE)))</f>
        <v/>
      </c>
      <c r="S33" s="886" t="str">
        <f>IF(B33="","",IF(VLOOKUP($B33,grondstoffen!$AB$147:$AV$150,20,FALSE)="","",VLOOKUP($B33,grondstoffen!$AB$147:$AV$150,20,FALSE)))</f>
        <v/>
      </c>
      <c r="T33" s="889" t="str">
        <f>IF(B33="","",IF(VLOOKUP($B33,grondstoffen!$AB$147:$AV$150,21,FALSE)="","",VLOOKUP($B33,grondstoffen!$AB$147:$AV$150,21,FALSE)))</f>
        <v/>
      </c>
    </row>
    <row r="34" spans="1:20" ht="12" customHeight="1" thickBot="1" x14ac:dyDescent="0.4">
      <c r="A34" s="318"/>
      <c r="B34" s="318"/>
      <c r="C34" s="318"/>
      <c r="D34" s="318"/>
      <c r="E34" s="318"/>
      <c r="F34" s="318"/>
      <c r="G34" s="318"/>
      <c r="H34" s="318"/>
      <c r="I34" s="318"/>
      <c r="J34" s="318"/>
      <c r="K34" s="318"/>
      <c r="L34" s="318"/>
      <c r="M34" s="318"/>
      <c r="N34" s="318"/>
      <c r="O34" s="318"/>
      <c r="P34" s="318"/>
      <c r="Q34" s="318"/>
      <c r="R34" s="318"/>
      <c r="S34" s="318"/>
      <c r="T34" s="318"/>
    </row>
    <row r="35" spans="1:20" ht="14.25" customHeight="1" x14ac:dyDescent="0.35">
      <c r="A35" s="520" t="s">
        <v>770</v>
      </c>
      <c r="B35" s="527"/>
      <c r="C35" s="527"/>
      <c r="D35" s="527"/>
      <c r="E35" s="527"/>
      <c r="F35" s="527"/>
      <c r="G35" s="528"/>
      <c r="H35" s="318"/>
      <c r="I35" s="520" t="s">
        <v>873</v>
      </c>
      <c r="J35" s="527"/>
      <c r="K35" s="527"/>
      <c r="L35" s="528"/>
      <c r="N35" s="516" t="s">
        <v>778</v>
      </c>
      <c r="O35" s="539"/>
      <c r="P35" s="539"/>
      <c r="Q35" s="539"/>
      <c r="R35" s="539"/>
      <c r="S35" s="539"/>
      <c r="T35" s="540"/>
    </row>
    <row r="36" spans="1:20" ht="14.25" customHeight="1" x14ac:dyDescent="0.35">
      <c r="A36" s="529" t="s">
        <v>771</v>
      </c>
      <c r="B36" s="462"/>
      <c r="C36" s="462"/>
      <c r="D36" s="462"/>
      <c r="E36" s="462"/>
      <c r="F36" s="462"/>
      <c r="G36" s="463"/>
      <c r="H36" s="318"/>
      <c r="I36" s="530" t="s">
        <v>874</v>
      </c>
      <c r="J36" s="531"/>
      <c r="K36" s="531"/>
      <c r="L36" s="532"/>
      <c r="N36" s="448" t="s">
        <v>296</v>
      </c>
      <c r="O36" s="449"/>
      <c r="P36" s="449"/>
      <c r="Q36" s="449"/>
      <c r="R36" s="1243">
        <f>samenstelling!T167</f>
        <v>2.9397048309231293</v>
      </c>
      <c r="S36" s="1246"/>
      <c r="T36" s="1240" t="s">
        <v>623</v>
      </c>
    </row>
    <row r="37" spans="1:20" ht="14.25" customHeight="1" x14ac:dyDescent="0.35">
      <c r="A37" s="448"/>
      <c r="B37" s="449"/>
      <c r="C37" s="449"/>
      <c r="D37" s="459" t="s">
        <v>296</v>
      </c>
      <c r="E37" s="1249">
        <f>samenstelling!N167</f>
        <v>71.182431554471393</v>
      </c>
      <c r="F37" s="1249"/>
      <c r="G37" s="451" t="s">
        <v>182</v>
      </c>
      <c r="H37" s="318"/>
      <c r="I37" s="2293" t="s">
        <v>114</v>
      </c>
      <c r="J37" s="2296" t="s">
        <v>870</v>
      </c>
      <c r="K37" s="2299" t="s">
        <v>875</v>
      </c>
      <c r="L37" s="2302" t="s">
        <v>146</v>
      </c>
      <c r="N37" s="437" t="s">
        <v>297</v>
      </c>
      <c r="O37" s="438"/>
      <c r="P37" s="438"/>
      <c r="Q37" s="438"/>
      <c r="R37" s="1244">
        <f>samenstelling!T168</f>
        <v>2.7087125767186144</v>
      </c>
      <c r="S37" s="1247"/>
      <c r="T37" s="1241" t="s">
        <v>623</v>
      </c>
    </row>
    <row r="38" spans="1:20" ht="14.25" customHeight="1" x14ac:dyDescent="0.35">
      <c r="A38" s="437"/>
      <c r="B38" s="438"/>
      <c r="C38" s="438"/>
      <c r="D38" s="441" t="s">
        <v>297</v>
      </c>
      <c r="E38" s="1250">
        <f>samenstelling!N168</f>
        <v>22.04211398512707</v>
      </c>
      <c r="F38" s="1250"/>
      <c r="G38" s="439" t="s">
        <v>182</v>
      </c>
      <c r="H38" s="318"/>
      <c r="I38" s="2294"/>
      <c r="J38" s="2297"/>
      <c r="K38" s="2300"/>
      <c r="L38" s="2303"/>
      <c r="N38" s="437" t="s">
        <v>298</v>
      </c>
      <c r="O38" s="438"/>
      <c r="P38" s="438"/>
      <c r="Q38" s="438"/>
      <c r="R38" s="1244">
        <f>samenstelling!T169</f>
        <v>3.39</v>
      </c>
      <c r="S38" s="1247"/>
      <c r="T38" s="1241" t="s">
        <v>623</v>
      </c>
    </row>
    <row r="39" spans="1:20" ht="14.25" customHeight="1" x14ac:dyDescent="0.35">
      <c r="A39" s="455"/>
      <c r="B39" s="456"/>
      <c r="C39" s="456"/>
      <c r="D39" s="479" t="s">
        <v>298</v>
      </c>
      <c r="E39" s="1251">
        <f>'VN1'!F14</f>
        <v>6.7999999999999972</v>
      </c>
      <c r="F39" s="1251"/>
      <c r="G39" s="458" t="s">
        <v>182</v>
      </c>
      <c r="H39" s="318"/>
      <c r="I39" s="2294"/>
      <c r="J39" s="2297"/>
      <c r="K39" s="2300"/>
      <c r="L39" s="2303"/>
      <c r="N39" s="437" t="s">
        <v>314</v>
      </c>
      <c r="O39" s="438"/>
      <c r="P39" s="438"/>
      <c r="Q39" s="438"/>
      <c r="R39" s="1244">
        <f>samenstelling!T170</f>
        <v>2.9192987990727475</v>
      </c>
      <c r="S39" s="1247"/>
      <c r="T39" s="1241" t="s">
        <v>623</v>
      </c>
    </row>
    <row r="40" spans="1:20" ht="14.25" customHeight="1" thickBot="1" x14ac:dyDescent="0.4">
      <c r="A40" s="533"/>
      <c r="B40" s="351"/>
      <c r="C40" s="351"/>
      <c r="D40" s="534" t="s">
        <v>299</v>
      </c>
      <c r="E40" s="1252">
        <f>samenstelling!N177</f>
        <v>4.1924204280590098</v>
      </c>
      <c r="F40" s="1252"/>
      <c r="G40" s="535" t="s">
        <v>182</v>
      </c>
      <c r="H40" s="318"/>
      <c r="I40" s="2294"/>
      <c r="J40" s="2297"/>
      <c r="K40" s="2300"/>
      <c r="L40" s="2303"/>
      <c r="N40" s="443" t="s">
        <v>302</v>
      </c>
      <c r="O40" s="444"/>
      <c r="P40" s="444"/>
      <c r="Q40" s="444"/>
      <c r="R40" s="1245">
        <f>samenstelling!T171</f>
        <v>1.0284499727283221</v>
      </c>
      <c r="S40" s="1248"/>
      <c r="T40" s="1242" t="s">
        <v>623</v>
      </c>
    </row>
    <row r="41" spans="1:20" ht="14.25" customHeight="1" thickBot="1" x14ac:dyDescent="0.4">
      <c r="H41" s="318"/>
      <c r="I41" s="2294"/>
      <c r="J41" s="2297"/>
      <c r="K41" s="2300"/>
      <c r="L41" s="2303"/>
      <c r="M41" s="318"/>
      <c r="N41" s="318"/>
      <c r="O41" s="318"/>
      <c r="P41" s="318"/>
      <c r="Q41" s="318"/>
      <c r="R41" s="318"/>
      <c r="S41" s="318"/>
      <c r="T41" s="318"/>
    </row>
    <row r="42" spans="1:20" ht="14.25" customHeight="1" x14ac:dyDescent="0.35">
      <c r="H42" s="318"/>
      <c r="I42" s="2295"/>
      <c r="J42" s="2298"/>
      <c r="K42" s="2301"/>
      <c r="L42" s="2304"/>
      <c r="M42" s="318"/>
      <c r="N42" s="520" t="s">
        <v>776</v>
      </c>
      <c r="O42" s="521"/>
      <c r="P42" s="521"/>
      <c r="Q42" s="521"/>
      <c r="R42" s="521"/>
      <c r="S42" s="521"/>
      <c r="T42" s="522"/>
    </row>
    <row r="43" spans="1:20" ht="14.25" customHeight="1" x14ac:dyDescent="0.35">
      <c r="H43" s="318"/>
      <c r="I43" s="900">
        <f>A18</f>
        <v>71</v>
      </c>
      <c r="J43" s="894" t="str">
        <f>IF(samenstelling!$C101=0,"",samenstelling!P56)</f>
        <v>X</v>
      </c>
      <c r="K43" s="897" t="str">
        <f>J43</f>
        <v>X</v>
      </c>
      <c r="L43" s="887" t="str">
        <f>IF(samenstelling!$C101=0,"",samenstelling!Q56)</f>
        <v>Z</v>
      </c>
      <c r="M43" s="318"/>
      <c r="N43" s="529" t="s">
        <v>777</v>
      </c>
      <c r="O43" s="462"/>
      <c r="P43" s="462"/>
      <c r="Q43" s="462"/>
      <c r="R43" s="462"/>
      <c r="S43" s="462"/>
      <c r="T43" s="463"/>
    </row>
    <row r="44" spans="1:20" ht="14.25" customHeight="1" thickBot="1" x14ac:dyDescent="0.4">
      <c r="A44" s="318"/>
      <c r="B44" s="318"/>
      <c r="C44" s="318"/>
      <c r="D44" s="318"/>
      <c r="E44" s="318"/>
      <c r="F44" s="318"/>
      <c r="G44" s="318"/>
      <c r="H44" s="318"/>
      <c r="I44" s="901" t="str">
        <f t="shared" ref="I44:I45" si="1">A19</f>
        <v/>
      </c>
      <c r="J44" s="895" t="str">
        <f>IF(samenstelling!$C102=0,"",samenstelling!P57)</f>
        <v/>
      </c>
      <c r="K44" s="898" t="str">
        <f t="shared" ref="K44:K45" si="2">J44</f>
        <v/>
      </c>
      <c r="L44" s="888" t="str">
        <f>IF(samenstelling!$C102=0,"",samenstelling!Q57)</f>
        <v/>
      </c>
      <c r="M44" s="318"/>
      <c r="N44" s="328"/>
      <c r="O44" s="329"/>
      <c r="P44" s="329"/>
      <c r="Q44" s="449" t="s">
        <v>588</v>
      </c>
      <c r="R44" s="449"/>
      <c r="S44" s="1435">
        <f>samenstelling!G182</f>
        <v>68.920320000000018</v>
      </c>
      <c r="T44" s="1436" t="s">
        <v>182</v>
      </c>
    </row>
    <row r="45" spans="1:20" ht="14.25" customHeight="1" thickBot="1" x14ac:dyDescent="0.4">
      <c r="A45" s="520" t="s">
        <v>772</v>
      </c>
      <c r="B45" s="527"/>
      <c r="C45" s="527"/>
      <c r="D45" s="527"/>
      <c r="E45" s="527"/>
      <c r="F45" s="527"/>
      <c r="G45" s="528"/>
      <c r="H45" s="318"/>
      <c r="I45" s="902" t="str">
        <f t="shared" si="1"/>
        <v/>
      </c>
      <c r="J45" s="896" t="str">
        <f>IF(samenstelling!$C103=0,"",samenstelling!P58)</f>
        <v/>
      </c>
      <c r="K45" s="899" t="str">
        <f t="shared" si="2"/>
        <v/>
      </c>
      <c r="L45" s="889" t="str">
        <f>IF(samenstelling!$C103=0,"",samenstelling!Q58)</f>
        <v/>
      </c>
      <c r="M45" s="318"/>
      <c r="N45" s="332"/>
      <c r="O45" s="333"/>
      <c r="P45" s="333"/>
      <c r="Q45" s="456" t="s">
        <v>589</v>
      </c>
      <c r="R45" s="456"/>
      <c r="S45" s="1437">
        <f>samenstelling!F183</f>
        <v>31.079679999999982</v>
      </c>
      <c r="T45" s="1438" t="s">
        <v>182</v>
      </c>
    </row>
    <row r="46" spans="1:20" ht="14.25" customHeight="1" x14ac:dyDescent="0.35">
      <c r="A46" s="530" t="s">
        <v>773</v>
      </c>
      <c r="B46" s="531"/>
      <c r="C46" s="531"/>
      <c r="D46" s="531"/>
      <c r="E46" s="531"/>
      <c r="F46" s="531"/>
      <c r="G46" s="532"/>
      <c r="H46" s="318"/>
      <c r="I46" s="318"/>
      <c r="J46" s="318"/>
      <c r="K46" s="318"/>
      <c r="L46" s="318"/>
      <c r="M46" s="318"/>
      <c r="N46" s="328" t="s">
        <v>593</v>
      </c>
      <c r="O46" s="329"/>
      <c r="P46" s="329"/>
      <c r="Q46" s="473" t="s">
        <v>590</v>
      </c>
      <c r="R46" s="473"/>
      <c r="S46" s="537">
        <f>samenstelling!G184</f>
        <v>63.27</v>
      </c>
      <c r="T46" s="536" t="s">
        <v>182</v>
      </c>
    </row>
    <row r="47" spans="1:20" ht="14.25" customHeight="1" x14ac:dyDescent="0.35">
      <c r="A47" s="474" t="s">
        <v>774</v>
      </c>
      <c r="B47" s="449"/>
      <c r="C47" s="449"/>
      <c r="D47" s="449"/>
      <c r="E47" s="459"/>
      <c r="F47" s="475">
        <f>samenstelling!G176</f>
        <v>3.805679</v>
      </c>
      <c r="G47" s="451" t="s">
        <v>182</v>
      </c>
      <c r="H47" s="318"/>
      <c r="I47" s="318"/>
      <c r="J47" s="318"/>
      <c r="K47" s="318"/>
      <c r="L47" s="318"/>
      <c r="M47" s="318"/>
      <c r="N47" s="324"/>
      <c r="O47" s="318"/>
      <c r="P47" s="318"/>
      <c r="Q47" s="438" t="s">
        <v>591</v>
      </c>
      <c r="R47" s="438"/>
      <c r="S47" s="440">
        <f>samenstelling!G185</f>
        <v>24.34</v>
      </c>
      <c r="T47" s="439" t="s">
        <v>182</v>
      </c>
    </row>
    <row r="48" spans="1:20" ht="14.25" customHeight="1" thickBot="1" x14ac:dyDescent="0.4">
      <c r="A48" s="443" t="s">
        <v>775</v>
      </c>
      <c r="B48" s="444"/>
      <c r="C48" s="444"/>
      <c r="D48" s="444" t="str">
        <f>samenstelling!D178</f>
        <v>methyleenchloride</v>
      </c>
      <c r="E48" s="444"/>
      <c r="F48" s="444"/>
      <c r="G48" s="447"/>
      <c r="H48" s="318"/>
      <c r="I48" s="318"/>
      <c r="J48" s="318"/>
      <c r="K48" s="318"/>
      <c r="L48" s="318"/>
      <c r="M48" s="318"/>
      <c r="N48" s="338"/>
      <c r="O48" s="339"/>
      <c r="P48" s="339"/>
      <c r="Q48" s="444" t="s">
        <v>592</v>
      </c>
      <c r="R48" s="444"/>
      <c r="S48" s="538">
        <f>samenstelling!G186</f>
        <v>12.389999999999997</v>
      </c>
      <c r="T48" s="447" t="s">
        <v>182</v>
      </c>
    </row>
    <row r="49" spans="1:20" ht="12" customHeight="1" x14ac:dyDescent="0.35">
      <c r="A49" s="318"/>
      <c r="B49" s="318"/>
      <c r="C49" s="318"/>
      <c r="D49" s="318"/>
      <c r="E49" s="318"/>
      <c r="F49" s="318"/>
      <c r="G49" s="318"/>
      <c r="H49" s="318"/>
      <c r="I49" s="318"/>
      <c r="J49" s="318"/>
      <c r="K49" s="318"/>
      <c r="L49" s="318"/>
      <c r="M49" s="318"/>
      <c r="N49" s="318"/>
      <c r="O49" s="318"/>
      <c r="P49" s="318"/>
      <c r="Q49" s="318"/>
      <c r="R49" s="318"/>
      <c r="S49" s="318"/>
      <c r="T49" s="318"/>
    </row>
    <row r="50" spans="1:20" s="210" customFormat="1" ht="10.5" x14ac:dyDescent="0.35">
      <c r="A50" s="2277" t="str">
        <f>'VN1'!A53</f>
        <v>801/64/</v>
      </c>
      <c r="B50" s="2277"/>
      <c r="C50" s="267" t="str">
        <f>algemeen!J$66</f>
        <v>2010/13RE-1234/0</v>
      </c>
      <c r="D50" s="267"/>
      <c r="E50" s="268"/>
      <c r="F50" s="268"/>
      <c r="G50" s="268"/>
      <c r="H50" s="268"/>
      <c r="I50" s="269" t="s">
        <v>652</v>
      </c>
      <c r="J50" s="267">
        <f>berekeningen!O$2</f>
        <v>19</v>
      </c>
      <c r="K50" s="268"/>
      <c r="L50" s="268"/>
      <c r="M50" s="268" t="s">
        <v>610</v>
      </c>
      <c r="N50" s="268"/>
      <c r="O50" s="268"/>
      <c r="P50" s="268"/>
      <c r="Q50" s="268"/>
      <c r="R50" s="268"/>
      <c r="S50" s="268"/>
      <c r="T50" s="268"/>
    </row>
    <row r="51" spans="1:20" ht="15" thickBot="1" x14ac:dyDescent="0.4">
      <c r="A51" s="317" t="s">
        <v>14</v>
      </c>
    </row>
    <row r="52" spans="1:20" x14ac:dyDescent="0.35">
      <c r="A52" s="319" t="s">
        <v>5</v>
      </c>
      <c r="B52" s="320"/>
      <c r="C52" s="320"/>
      <c r="D52" s="320"/>
      <c r="E52" s="320"/>
      <c r="F52" s="321" t="str">
        <f>IF(algemeen!E$62="J",algemeen!E21,"")</f>
        <v>ABC nv</v>
      </c>
      <c r="G52" s="322"/>
      <c r="H52" s="322"/>
      <c r="I52" s="322"/>
      <c r="J52" s="322"/>
      <c r="K52" s="321" t="str">
        <f>IF(algemeen!F$62="J",algemeen!H21,"")</f>
        <v>DEF nv</v>
      </c>
      <c r="L52" s="322"/>
      <c r="M52" s="322"/>
      <c r="N52" s="322"/>
      <c r="O52" s="322"/>
      <c r="P52" s="321" t="str">
        <f>IF(algemeen!G$62="J",algemeen!K21,"")</f>
        <v>GHI nv</v>
      </c>
      <c r="Q52" s="322"/>
      <c r="R52" s="322"/>
      <c r="S52" s="322"/>
      <c r="T52" s="323"/>
    </row>
    <row r="53" spans="1:20" x14ac:dyDescent="0.35">
      <c r="A53" s="324"/>
      <c r="B53" s="318" t="s">
        <v>660</v>
      </c>
      <c r="C53" s="318"/>
      <c r="D53" s="318"/>
      <c r="E53" s="318"/>
      <c r="F53" s="325" t="str">
        <f>IF(algemeen!E$62="J",algemeen!E22,"")</f>
        <v>straat 1</v>
      </c>
      <c r="G53" s="325"/>
      <c r="H53" s="325"/>
      <c r="I53" s="325"/>
      <c r="J53" s="325"/>
      <c r="K53" s="325" t="str">
        <f>IF(algemeen!F$62="J",algemeen!H22,"")</f>
        <v>straat 2</v>
      </c>
      <c r="L53" s="325"/>
      <c r="M53" s="325"/>
      <c r="N53" s="325"/>
      <c r="O53" s="325"/>
      <c r="P53" s="325" t="str">
        <f>IF(algemeen!G$62="J",algemeen!K22,"")</f>
        <v>straat 3</v>
      </c>
      <c r="Q53" s="325"/>
      <c r="R53" s="325"/>
      <c r="S53" s="325"/>
      <c r="T53" s="326"/>
    </row>
    <row r="54" spans="1:20" x14ac:dyDescent="0.35">
      <c r="A54" s="324"/>
      <c r="B54" s="318" t="s">
        <v>661</v>
      </c>
      <c r="C54" s="318"/>
      <c r="D54" s="318"/>
      <c r="E54" s="318"/>
      <c r="F54" s="2285">
        <f>IF(algemeen!E$62="J",algemeen!E23,"")</f>
        <v>1000</v>
      </c>
      <c r="G54" s="2285"/>
      <c r="H54" s="2285"/>
      <c r="I54" s="2285"/>
      <c r="J54" s="2285"/>
      <c r="K54" s="2285">
        <f>IF(algemeen!F$62="J",algemeen!H23,"")</f>
        <v>2000</v>
      </c>
      <c r="L54" s="2285"/>
      <c r="M54" s="2285"/>
      <c r="N54" s="2285"/>
      <c r="O54" s="2285"/>
      <c r="P54" s="2285">
        <f>IF(algemeen!G$62="J",algemeen!K23,"")</f>
        <v>3000</v>
      </c>
      <c r="Q54" s="2285"/>
      <c r="R54" s="2285"/>
      <c r="S54" s="2285"/>
      <c r="T54" s="2286"/>
    </row>
    <row r="55" spans="1:20" x14ac:dyDescent="0.35">
      <c r="A55" s="324"/>
      <c r="B55" s="318" t="s">
        <v>662</v>
      </c>
      <c r="C55" s="318"/>
      <c r="D55" s="318"/>
      <c r="E55" s="318"/>
      <c r="F55" s="327" t="str">
        <f>IF(algemeen!E$62="J",algemeen!E24,"")</f>
        <v>Gaurain-Ramecroix</v>
      </c>
      <c r="G55" s="325"/>
      <c r="H55" s="325"/>
      <c r="I55" s="325"/>
      <c r="J55" s="325"/>
      <c r="K55" s="327" t="str">
        <f>IF(algemeen!F$62="J",algemeen!H24,"")</f>
        <v>Antwerpen</v>
      </c>
      <c r="L55" s="325"/>
      <c r="M55" s="325"/>
      <c r="N55" s="325"/>
      <c r="O55" s="325"/>
      <c r="P55" s="327" t="str">
        <f>IF(algemeen!G$62="J",algemeen!K24,"")</f>
        <v>Hasselt</v>
      </c>
      <c r="Q55" s="325"/>
      <c r="R55" s="325"/>
      <c r="S55" s="325"/>
      <c r="T55" s="326"/>
    </row>
    <row r="56" spans="1:20" x14ac:dyDescent="0.35">
      <c r="A56" s="328" t="s">
        <v>1</v>
      </c>
      <c r="B56" s="329"/>
      <c r="C56" s="329"/>
      <c r="D56" s="329"/>
      <c r="E56" s="329"/>
      <c r="F56" s="330" t="str">
        <f>IF(algemeen!E$62="J",algemeen!E25,"")</f>
        <v>Jan Molenbaas</v>
      </c>
      <c r="G56" s="330"/>
      <c r="H56" s="330"/>
      <c r="I56" s="330"/>
      <c r="J56" s="330"/>
      <c r="K56" s="330" t="str">
        <f>IF(algemeen!F$62="J",algemeen!H25,"")</f>
        <v>Piet Molenbaas</v>
      </c>
      <c r="L56" s="330"/>
      <c r="M56" s="330"/>
      <c r="N56" s="330"/>
      <c r="O56" s="330"/>
      <c r="P56" s="330" t="str">
        <f>IF(algemeen!G$62="J",algemeen!K25,"")</f>
        <v>Jef Molenbaas</v>
      </c>
      <c r="Q56" s="330"/>
      <c r="R56" s="330"/>
      <c r="S56" s="330"/>
      <c r="T56" s="331"/>
    </row>
    <row r="57" spans="1:20" x14ac:dyDescent="0.35">
      <c r="A57" s="332"/>
      <c r="B57" s="333" t="s">
        <v>663</v>
      </c>
      <c r="C57" s="333"/>
      <c r="D57" s="333"/>
      <c r="E57" s="333"/>
      <c r="F57" s="334" t="str">
        <f>IF(algemeen!E$62="J",algemeen!E26,"")</f>
        <v>02 345 00 00</v>
      </c>
      <c r="G57" s="334"/>
      <c r="H57" s="334"/>
      <c r="I57" s="334"/>
      <c r="J57" s="334"/>
      <c r="K57" s="334" t="str">
        <f>IF(algemeen!F$62="J",algemeen!H26,"")</f>
        <v>03 456 00 00</v>
      </c>
      <c r="L57" s="334"/>
      <c r="M57" s="334"/>
      <c r="N57" s="334"/>
      <c r="O57" s="334"/>
      <c r="P57" s="334" t="str">
        <f>IF(algemeen!G$62="J",algemeen!K26,"")</f>
        <v>04 789 00 00</v>
      </c>
      <c r="Q57" s="334"/>
      <c r="R57" s="334"/>
      <c r="S57" s="334"/>
      <c r="T57" s="335"/>
    </row>
    <row r="58" spans="1:20" x14ac:dyDescent="0.35">
      <c r="A58" s="324" t="s">
        <v>655</v>
      </c>
      <c r="B58" s="318"/>
      <c r="C58" s="318"/>
      <c r="D58" s="318"/>
      <c r="E58" s="318"/>
      <c r="F58" s="2287">
        <f>IF(algemeen!E$62="J",algemeen!E28,"")</f>
        <v>801</v>
      </c>
      <c r="G58" s="2287"/>
      <c r="H58" s="2287"/>
      <c r="I58" s="2287"/>
      <c r="J58" s="2287"/>
      <c r="K58" s="2287">
        <f>IF(algemeen!F$62="J",algemeen!H28,"")</f>
        <v>802</v>
      </c>
      <c r="L58" s="2287"/>
      <c r="M58" s="2287"/>
      <c r="N58" s="2287"/>
      <c r="O58" s="2287"/>
      <c r="P58" s="2287">
        <f>IF(algemeen!G$62="J",algemeen!K28,"")</f>
        <v>8031</v>
      </c>
      <c r="Q58" s="2287"/>
      <c r="R58" s="2287"/>
      <c r="S58" s="2287"/>
      <c r="T58" s="2288"/>
    </row>
    <row r="59" spans="1:20" x14ac:dyDescent="0.35">
      <c r="A59" s="328" t="s">
        <v>656</v>
      </c>
      <c r="B59" s="329"/>
      <c r="C59" s="329"/>
      <c r="D59" s="329"/>
      <c r="E59" s="329"/>
      <c r="F59" s="329"/>
      <c r="G59" s="329"/>
      <c r="H59" s="329"/>
      <c r="I59" s="329"/>
      <c r="J59" s="329"/>
      <c r="K59" s="329"/>
      <c r="L59" s="329"/>
      <c r="M59" s="329"/>
      <c r="N59" s="329"/>
      <c r="O59" s="329"/>
      <c r="P59" s="329"/>
      <c r="Q59" s="329"/>
      <c r="R59" s="329"/>
      <c r="S59" s="329"/>
      <c r="T59" s="336"/>
    </row>
    <row r="60" spans="1:20" x14ac:dyDescent="0.35">
      <c r="A60" s="324"/>
      <c r="B60" s="318" t="s">
        <v>657</v>
      </c>
      <c r="C60" s="318"/>
      <c r="D60" s="318"/>
      <c r="E60" s="318"/>
      <c r="F60" s="325" t="str">
        <f>IF(algemeen!E$62="J",algemeen!E32,"")</f>
        <v>Ammann 2010</v>
      </c>
      <c r="G60" s="318"/>
      <c r="H60" s="318"/>
      <c r="I60" s="318"/>
      <c r="J60" s="318"/>
      <c r="K60" s="325" t="str">
        <f>IF(algemeen!F$62="J",algemeen!H32,"")</f>
        <v>Benninghoven 2010</v>
      </c>
      <c r="L60" s="318"/>
      <c r="M60" s="318"/>
      <c r="N60" s="318"/>
      <c r="O60" s="318"/>
      <c r="P60" s="325" t="str">
        <f>IF(algemeen!G$62="J",algemeen!K32,"")</f>
        <v>Marini 2000</v>
      </c>
      <c r="Q60" s="318"/>
      <c r="R60" s="318"/>
      <c r="S60" s="318"/>
      <c r="T60" s="337"/>
    </row>
    <row r="61" spans="1:20" x14ac:dyDescent="0.35">
      <c r="A61" s="324"/>
      <c r="B61" s="318" t="s">
        <v>658</v>
      </c>
      <c r="C61" s="318"/>
      <c r="D61" s="318"/>
      <c r="E61" s="318"/>
      <c r="F61" s="325" t="str">
        <f>IF(algemeen!E$62="J",algemeen!E33&amp;" ton/h","")</f>
        <v>350 ton/h</v>
      </c>
      <c r="G61" s="318"/>
      <c r="H61" s="318"/>
      <c r="I61" s="318"/>
      <c r="J61" s="318"/>
      <c r="K61" s="325" t="str">
        <f>IF(algemeen!F$62="J",algemeen!H33&amp;" ton/h","")</f>
        <v>350 ton/h</v>
      </c>
      <c r="L61" s="318"/>
      <c r="M61" s="318"/>
      <c r="N61" s="318"/>
      <c r="O61" s="318"/>
      <c r="P61" s="325" t="str">
        <f>IF(algemeen!G$62="J",algemeen!K33&amp;" ton/h","")</f>
        <v>300 ton/h</v>
      </c>
      <c r="Q61" s="318"/>
      <c r="R61" s="318"/>
      <c r="S61" s="318"/>
      <c r="T61" s="337"/>
    </row>
    <row r="62" spans="1:20" ht="15" thickBot="1" x14ac:dyDescent="0.4">
      <c r="A62" s="338"/>
      <c r="B62" s="339" t="s">
        <v>659</v>
      </c>
      <c r="C62" s="339"/>
      <c r="D62" s="339"/>
      <c r="E62" s="339"/>
      <c r="F62" s="340" t="str">
        <f>IF(algemeen!E$62="J",algemeen!E34,"")</f>
        <v>discontinu</v>
      </c>
      <c r="G62" s="339"/>
      <c r="H62" s="339"/>
      <c r="I62" s="339"/>
      <c r="J62" s="339"/>
      <c r="K62" s="340" t="str">
        <f>IF(algemeen!F$62="J",algemeen!H34,"")</f>
        <v>discontinu</v>
      </c>
      <c r="L62" s="339"/>
      <c r="M62" s="339"/>
      <c r="N62" s="339"/>
      <c r="O62" s="339"/>
      <c r="P62" s="340" t="str">
        <f>IF(algemeen!G$62="J",algemeen!K34,"")</f>
        <v>discontinu</v>
      </c>
      <c r="Q62" s="339"/>
      <c r="R62" s="339"/>
      <c r="S62" s="339"/>
      <c r="T62" s="341"/>
    </row>
    <row r="63" spans="1:20" ht="13.15" customHeight="1" x14ac:dyDescent="0.35"/>
    <row r="64" spans="1:20" ht="15" thickBot="1" x14ac:dyDescent="0.4">
      <c r="A64" s="317" t="s">
        <v>672</v>
      </c>
    </row>
    <row r="65" spans="1:20" x14ac:dyDescent="0.35">
      <c r="A65" s="319" t="s">
        <v>673</v>
      </c>
      <c r="B65" s="320"/>
      <c r="C65" s="320"/>
      <c r="D65" s="320"/>
      <c r="E65" s="320"/>
      <c r="F65" s="320" t="str">
        <f>IF(algemeen!E$62="J",algemeen!F93,"")</f>
        <v>3a3</v>
      </c>
      <c r="G65" s="320"/>
      <c r="H65" s="320"/>
      <c r="I65" s="320"/>
      <c r="J65" s="320"/>
      <c r="K65" s="320" t="str">
        <f>IF(algemeen!F$62="J",algemeen!I93,"")</f>
        <v>4b4</v>
      </c>
      <c r="L65" s="320"/>
      <c r="M65" s="320"/>
      <c r="N65" s="320"/>
      <c r="O65" s="320"/>
      <c r="P65" s="320" t="str">
        <f>IF(algemeen!G$62="J",algemeen!L93,"")</f>
        <v>4CX50PAVT49</v>
      </c>
      <c r="Q65" s="320"/>
      <c r="R65" s="320"/>
      <c r="S65" s="320"/>
      <c r="T65" s="342"/>
    </row>
    <row r="66" spans="1:20" x14ac:dyDescent="0.35">
      <c r="A66" s="328" t="s">
        <v>674</v>
      </c>
      <c r="B66" s="329"/>
      <c r="C66" s="329"/>
      <c r="D66" s="329"/>
      <c r="E66" s="329"/>
      <c r="F66" s="329" t="str">
        <f>IF(algemeen!E$62="J",IF(algemeen!F106="","n.v.t.",IF(COUNT(samenstelling!$C$56:$D$58)&gt;1,samenstelling!B56&amp;": "&amp;algemeen!F106,algemeen!F106)),"")</f>
        <v>koude toevoeging</v>
      </c>
      <c r="G66" s="329"/>
      <c r="H66" s="329"/>
      <c r="I66" s="329"/>
      <c r="J66" s="329"/>
      <c r="K66" s="329" t="str">
        <f>IF(algemeen!F$62="J",IF(algemeen!I106="","n.v.t.",IF(COUNT(samenstelling!$C$56:$D$58)&gt;1,samenstelling!B56&amp;": "&amp;algemeen!I106,algemeen!I106)),"")</f>
        <v>paralleltrommel</v>
      </c>
      <c r="L66" s="329"/>
      <c r="M66" s="329"/>
      <c r="N66" s="329"/>
      <c r="O66" s="329"/>
      <c r="P66" s="329" t="str">
        <f>IF(algemeen!G$62="J",IF(algemeen!L106="","n.v.t.",IF(COUNT(samenstelling!$C$56:$D$58)&gt;1,samenstelling!B56&amp;": "&amp;algemeen!L106,algemeen!L106)),"")</f>
        <v>ring aan trommel</v>
      </c>
      <c r="Q66" s="329"/>
      <c r="R66" s="329"/>
      <c r="S66" s="329"/>
      <c r="T66" s="336"/>
    </row>
    <row r="67" spans="1:20" x14ac:dyDescent="0.35">
      <c r="A67" s="324"/>
      <c r="B67" s="318"/>
      <c r="C67" s="318"/>
      <c r="D67" s="318"/>
      <c r="E67" s="318"/>
      <c r="F67" s="318" t="str">
        <f>IF(algemeen!E$62="J",IF(algemeen!F107="","",IF(COUNT(samenstelling!$C$56:$D$58)&gt;1,samenstelling!B57&amp;": "&amp;algemeen!F107,algemeen!F107)),"")</f>
        <v/>
      </c>
      <c r="G67" s="318"/>
      <c r="H67" s="318"/>
      <c r="I67" s="318"/>
      <c r="J67" s="318"/>
      <c r="K67" s="318" t="str">
        <f>IF(algemeen!F$62="J",IF(algemeen!I107="","",IF(COUNT(samenstelling!$C$56:$D$58)&gt;1,samenstelling!B57&amp;": "&amp;algemeen!I107,algemeen!I107)),"")</f>
        <v/>
      </c>
      <c r="L67" s="318"/>
      <c r="M67" s="318"/>
      <c r="N67" s="318"/>
      <c r="O67" s="318"/>
      <c r="P67" s="318" t="str">
        <f>IF(algemeen!G$62="J",IF(algemeen!L107="","",IF(COUNT(samenstelling!$C$56:$D$58)&gt;1,samenstelling!B57&amp;": "&amp;algemeen!L107,algemeen!L107)),"")</f>
        <v/>
      </c>
      <c r="Q67" s="318"/>
      <c r="R67" s="318"/>
      <c r="S67" s="318"/>
      <c r="T67" s="337"/>
    </row>
    <row r="68" spans="1:20" x14ac:dyDescent="0.35">
      <c r="A68" s="332"/>
      <c r="B68" s="333"/>
      <c r="C68" s="333"/>
      <c r="D68" s="333"/>
      <c r="E68" s="333"/>
      <c r="F68" s="318" t="str">
        <f>IF(algemeen!E$62="J",IF(algemeen!F108="","",IF(COUNT(samenstelling!$C$56:$D$58)&gt;1,samenstelling!B58&amp;": "&amp;algemeen!F108,algemeen!F108)),"")</f>
        <v/>
      </c>
      <c r="G68" s="333"/>
      <c r="H68" s="333"/>
      <c r="I68" s="333"/>
      <c r="J68" s="333"/>
      <c r="K68" s="318" t="str">
        <f>IF(algemeen!F$62="J",IF(algemeen!I108="","",IF(COUNT(samenstelling!$C$56:$D$58)&gt;1,samenstelling!B58&amp;": "&amp;algemeen!I108,algemeen!I108)),"")</f>
        <v/>
      </c>
      <c r="L68" s="333"/>
      <c r="M68" s="333"/>
      <c r="N68" s="333"/>
      <c r="O68" s="333"/>
      <c r="P68" s="318" t="str">
        <f>IF(algemeen!G$62="J",IF(algemeen!L108="","",IF(COUNT(samenstelling!$C$56:$D$58)&gt;1,samenstelling!B58&amp;": "&amp;algemeen!L108,algemeen!L108)),"")</f>
        <v/>
      </c>
      <c r="Q68" s="333"/>
      <c r="R68" s="333"/>
      <c r="S68" s="333"/>
      <c r="T68" s="346"/>
    </row>
    <row r="69" spans="1:20" x14ac:dyDescent="0.35">
      <c r="A69" s="343" t="s">
        <v>675</v>
      </c>
      <c r="B69" s="344"/>
      <c r="C69" s="344"/>
      <c r="D69" s="344"/>
      <c r="E69" s="344"/>
      <c r="F69" s="344" t="str">
        <f>IF(algemeen!E$62="J",IF(algemeen!F110="N","afgewogen","rechtstreekse terugvoer"),"")</f>
        <v>afgewogen</v>
      </c>
      <c r="G69" s="344"/>
      <c r="H69" s="344"/>
      <c r="I69" s="344"/>
      <c r="J69" s="344"/>
      <c r="K69" s="344" t="str">
        <f>IF(algemeen!F$62="J",IF(algemeen!I110="N","afgewogen","rechtstreekse terugvoer"),"")</f>
        <v>afgewogen</v>
      </c>
      <c r="L69" s="344"/>
      <c r="M69" s="344"/>
      <c r="N69" s="344"/>
      <c r="O69" s="344"/>
      <c r="P69" s="344" t="str">
        <f>IF(algemeen!G$62="J",IF(algemeen!L110="N","afgewogen","rechtstreekse terugvoer"),"")</f>
        <v>rechtstreekse terugvoer</v>
      </c>
      <c r="Q69" s="344"/>
      <c r="R69" s="344"/>
      <c r="S69" s="344"/>
      <c r="T69" s="345"/>
    </row>
    <row r="70" spans="1:20" x14ac:dyDescent="0.35">
      <c r="A70" s="324" t="s">
        <v>690</v>
      </c>
      <c r="B70" s="318"/>
      <c r="C70" s="318"/>
      <c r="D70" s="318"/>
      <c r="E70" s="318"/>
      <c r="F70" s="318"/>
      <c r="G70" s="318"/>
      <c r="H70" s="318"/>
      <c r="I70" s="318"/>
      <c r="J70" s="318"/>
      <c r="K70" s="318"/>
      <c r="L70" s="318"/>
      <c r="M70" s="318"/>
      <c r="N70" s="318"/>
      <c r="O70" s="318"/>
      <c r="P70" s="318"/>
      <c r="Q70" s="318"/>
      <c r="R70" s="318"/>
      <c r="S70" s="318"/>
      <c r="T70" s="337"/>
    </row>
    <row r="71" spans="1:20" x14ac:dyDescent="0.35">
      <c r="A71" s="324"/>
      <c r="B71" s="318" t="s">
        <v>314</v>
      </c>
      <c r="C71" s="318"/>
      <c r="D71" s="318"/>
      <c r="E71" s="318"/>
      <c r="F71" s="318" t="str">
        <f>IF(algemeen!E$62="J",IF(algemeen!F125="","",algemeen!F125),"")</f>
        <v>max. 270</v>
      </c>
      <c r="G71" s="318"/>
      <c r="H71" s="318"/>
      <c r="I71" s="318"/>
      <c r="J71" s="318"/>
      <c r="K71" s="318" t="str">
        <f>IF(algemeen!F$62="J",IF(algemeen!I125="","",algemeen!I125),"")</f>
        <v>max. 270</v>
      </c>
      <c r="L71" s="318"/>
      <c r="M71" s="318"/>
      <c r="N71" s="318"/>
      <c r="O71" s="318"/>
      <c r="P71" s="318" t="str">
        <f>IF(algemeen!G$62="J",IF(algemeen!L125="","",algemeen!L125),"")</f>
        <v>max. 270</v>
      </c>
      <c r="Q71" s="318"/>
      <c r="R71" s="318"/>
      <c r="S71" s="318"/>
      <c r="T71" s="337"/>
    </row>
    <row r="72" spans="1:20" x14ac:dyDescent="0.35">
      <c r="A72" s="324"/>
      <c r="B72" s="318" t="s">
        <v>1660</v>
      </c>
      <c r="C72" s="318"/>
      <c r="D72" s="318"/>
      <c r="E72" s="318"/>
      <c r="F72" s="318" t="str">
        <f>IF(algemeen!E$62="J",IF(algemeen!F126="","n.v.t.",algemeen!F126),"")</f>
        <v>110-150</v>
      </c>
      <c r="G72" s="318"/>
      <c r="H72" s="318"/>
      <c r="I72" s="318"/>
      <c r="J72" s="318"/>
      <c r="K72" s="318" t="str">
        <f>IF(algemeen!F$62="J",IF(algemeen!I126="","n.v.t.",algemeen!I126),"")</f>
        <v>115-155</v>
      </c>
      <c r="L72" s="318"/>
      <c r="M72" s="318"/>
      <c r="N72" s="318"/>
      <c r="O72" s="318"/>
      <c r="P72" s="318" t="str">
        <f>IF(algemeen!G$62="J",IF(algemeen!L126="","n.v.t.",algemeen!L126),"")</f>
        <v>120-160</v>
      </c>
      <c r="Q72" s="318"/>
      <c r="R72" s="318"/>
      <c r="S72" s="318"/>
      <c r="T72" s="337"/>
    </row>
    <row r="73" spans="1:20" x14ac:dyDescent="0.35">
      <c r="A73" s="324"/>
      <c r="B73" s="318" t="s">
        <v>677</v>
      </c>
      <c r="C73" s="318"/>
      <c r="D73" s="318"/>
      <c r="E73" s="318"/>
      <c r="F73" s="318" t="str">
        <f>IF(algemeen!E$62="J",IF(algemeen!F127="","n.v.t.",algemeen!F127),"")</f>
        <v>n.v.t.</v>
      </c>
      <c r="G73" s="318"/>
      <c r="H73" s="318"/>
      <c r="I73" s="318"/>
      <c r="J73" s="318"/>
      <c r="K73" s="318" t="str">
        <f>IF(algemeen!F$62="J",IF(algemeen!I127="","n.v.t.",algemeen!I127),"")</f>
        <v>n.v.t.</v>
      </c>
      <c r="L73" s="318"/>
      <c r="M73" s="318"/>
      <c r="N73" s="318"/>
      <c r="O73" s="318"/>
      <c r="P73" s="318" t="str">
        <f>IF(algemeen!G$62="J",IF(algemeen!L127="","n.v.t.",algemeen!L127),"")</f>
        <v>95-105</v>
      </c>
      <c r="Q73" s="318"/>
      <c r="R73" s="318"/>
      <c r="S73" s="318"/>
      <c r="T73" s="337"/>
    </row>
    <row r="74" spans="1:20" x14ac:dyDescent="0.35">
      <c r="A74" s="324"/>
      <c r="B74" s="318" t="s">
        <v>592</v>
      </c>
      <c r="C74" s="318"/>
      <c r="D74" s="318"/>
      <c r="E74" s="318"/>
      <c r="F74" s="318" t="str">
        <f>IF(algemeen!E$62="J",IF(algemeen!F128="","n.v.t.",algemeen!F128),"")</f>
        <v>155-175</v>
      </c>
      <c r="G74" s="318"/>
      <c r="H74" s="318"/>
      <c r="I74" s="318"/>
      <c r="J74" s="318"/>
      <c r="K74" s="318" t="str">
        <f>IF(algemeen!F$62="J",IF(algemeen!I128="","n.v.t.",algemeen!I128),"")</f>
        <v>160-180</v>
      </c>
      <c r="L74" s="318"/>
      <c r="M74" s="318"/>
      <c r="N74" s="318"/>
      <c r="O74" s="318"/>
      <c r="P74" s="318" t="str">
        <f>IF(algemeen!G$62="J",IF(algemeen!L128="","n.v.t.",algemeen!L128),"")</f>
        <v>165-185</v>
      </c>
      <c r="Q74" s="318"/>
      <c r="R74" s="318"/>
      <c r="S74" s="318"/>
      <c r="T74" s="337"/>
    </row>
    <row r="75" spans="1:20" ht="15" thickBot="1" x14ac:dyDescent="0.4">
      <c r="A75" s="338"/>
      <c r="B75" s="339" t="s">
        <v>678</v>
      </c>
      <c r="C75" s="339"/>
      <c r="D75" s="339"/>
      <c r="E75" s="339"/>
      <c r="F75" s="339" t="str">
        <f>IF(algemeen!E$62="J",IF(algemeen!F129="","",algemeen!F129),"")</f>
        <v>145-185</v>
      </c>
      <c r="G75" s="339"/>
      <c r="H75" s="339"/>
      <c r="I75" s="339"/>
      <c r="J75" s="339"/>
      <c r="K75" s="339" t="str">
        <f>IF(algemeen!F$62="J",IF(algemeen!I129="","",algemeen!I129),"")</f>
        <v>150-190</v>
      </c>
      <c r="L75" s="339"/>
      <c r="M75" s="339"/>
      <c r="N75" s="339"/>
      <c r="O75" s="339"/>
      <c r="P75" s="339" t="str">
        <f>IF(algemeen!G$62="J",IF(algemeen!L129="","",algemeen!L129),"")</f>
        <v>155-195</v>
      </c>
      <c r="Q75" s="339"/>
      <c r="R75" s="339"/>
      <c r="S75" s="339"/>
      <c r="T75" s="341"/>
    </row>
    <row r="76" spans="1:20" ht="13.15" customHeight="1" x14ac:dyDescent="0.35">
      <c r="A76" s="318"/>
      <c r="B76" s="318"/>
      <c r="C76" s="318"/>
      <c r="D76" s="318"/>
      <c r="E76" s="318"/>
      <c r="F76" s="318"/>
      <c r="G76" s="318"/>
      <c r="H76" s="318"/>
      <c r="I76" s="318"/>
      <c r="J76" s="318"/>
      <c r="K76" s="318"/>
      <c r="L76" s="318"/>
      <c r="M76" s="318"/>
      <c r="N76" s="318"/>
      <c r="O76" s="318"/>
      <c r="P76" s="318"/>
      <c r="Q76" s="318"/>
      <c r="R76" s="318"/>
      <c r="S76" s="318"/>
      <c r="T76" s="318"/>
    </row>
    <row r="77" spans="1:20" ht="15" thickBot="1" x14ac:dyDescent="0.4">
      <c r="A77" s="317" t="s">
        <v>107</v>
      </c>
      <c r="B77" s="318"/>
      <c r="C77" s="318"/>
      <c r="D77" s="318"/>
      <c r="E77" s="318"/>
      <c r="F77" s="318"/>
      <c r="G77" s="318"/>
      <c r="H77" s="318"/>
      <c r="I77" s="318"/>
      <c r="J77" s="318"/>
      <c r="K77" s="318"/>
      <c r="L77" s="318"/>
      <c r="M77" s="318"/>
      <c r="N77" s="318"/>
      <c r="O77" s="318"/>
      <c r="P77" s="318"/>
      <c r="Q77" s="318"/>
      <c r="R77" s="318"/>
      <c r="S77" s="318"/>
      <c r="T77" s="318"/>
    </row>
    <row r="78" spans="1:20" ht="15" thickBot="1" x14ac:dyDescent="0.4">
      <c r="A78" s="347" t="s">
        <v>690</v>
      </c>
      <c r="B78" s="348"/>
      <c r="C78" s="348"/>
      <c r="D78" s="348"/>
      <c r="E78" s="348"/>
      <c r="F78" s="348"/>
      <c r="G78" s="348" t="s">
        <v>695</v>
      </c>
      <c r="H78" s="348"/>
      <c r="I78" s="348"/>
      <c r="J78" s="348" t="str">
        <f>algemeen!K148</f>
        <v>130-180</v>
      </c>
      <c r="K78" s="348"/>
      <c r="L78" s="348"/>
      <c r="M78" s="348"/>
      <c r="N78" s="348" t="s">
        <v>696</v>
      </c>
      <c r="O78" s="348"/>
      <c r="P78" s="348"/>
      <c r="Q78" s="348"/>
      <c r="R78" s="348" t="str">
        <f>algemeen!K149</f>
        <v>100-160</v>
      </c>
      <c r="S78" s="348"/>
      <c r="T78" s="349"/>
    </row>
    <row r="79" spans="1:20" ht="13.15" customHeight="1" x14ac:dyDescent="0.35">
      <c r="A79" s="318"/>
      <c r="B79" s="318"/>
      <c r="C79" s="318"/>
      <c r="D79" s="318"/>
      <c r="E79" s="318"/>
      <c r="F79" s="318"/>
      <c r="G79" s="318"/>
      <c r="H79" s="318"/>
      <c r="I79" s="318"/>
      <c r="J79" s="318"/>
      <c r="K79" s="318"/>
      <c r="L79" s="318"/>
      <c r="M79" s="318"/>
      <c r="N79" s="318"/>
      <c r="O79" s="318"/>
      <c r="P79" s="318"/>
      <c r="Q79" s="318"/>
      <c r="R79" s="318"/>
      <c r="S79" s="318"/>
      <c r="T79" s="318"/>
    </row>
    <row r="80" spans="1:20" ht="15" thickBot="1" x14ac:dyDescent="0.4">
      <c r="A80" s="317" t="s">
        <v>747</v>
      </c>
    </row>
    <row r="81" spans="1:20" x14ac:dyDescent="0.35">
      <c r="A81" s="319" t="s">
        <v>664</v>
      </c>
      <c r="B81" s="320"/>
      <c r="C81" s="320"/>
      <c r="D81" s="320"/>
      <c r="E81" s="320"/>
      <c r="F81" s="320"/>
      <c r="G81" s="320"/>
      <c r="H81" s="320"/>
      <c r="I81" s="320"/>
      <c r="J81" s="320"/>
      <c r="K81" s="2305">
        <f>algemeen!G78</f>
        <v>40409</v>
      </c>
      <c r="L81" s="2305"/>
      <c r="M81" s="2305"/>
      <c r="N81" s="350"/>
      <c r="O81" s="350"/>
      <c r="P81" s="320"/>
      <c r="Q81" s="320"/>
      <c r="R81" s="320"/>
      <c r="S81" s="320"/>
      <c r="T81" s="342"/>
    </row>
    <row r="82" spans="1:20" x14ac:dyDescent="0.35">
      <c r="A82" s="328" t="str">
        <f>IF(algemeen!J68="","","Oorspronkelijke verantwoordingsnota:")</f>
        <v>Oorspronkelijke verantwoordingsnota:</v>
      </c>
      <c r="B82" s="329"/>
      <c r="C82" s="329"/>
      <c r="D82" s="329"/>
      <c r="E82" s="329"/>
      <c r="F82" s="329"/>
      <c r="G82" s="329"/>
      <c r="H82" s="329"/>
      <c r="I82" s="329"/>
      <c r="J82" s="329"/>
      <c r="K82" s="329" t="str">
        <f>IF(algemeen!J68="","",algemeen!I68&amp;algemeen!J68)</f>
        <v>803/64/2007/123A</v>
      </c>
      <c r="L82" s="329"/>
      <c r="M82" s="329"/>
      <c r="N82" s="329"/>
      <c r="O82" s="329"/>
      <c r="P82" s="329"/>
      <c r="Q82" s="329"/>
      <c r="R82" s="329"/>
      <c r="S82" s="329"/>
      <c r="T82" s="336"/>
    </row>
    <row r="83" spans="1:20" x14ac:dyDescent="0.35">
      <c r="A83" s="332"/>
      <c r="B83" s="333" t="str">
        <f>IF(algemeen!J68="","","Datum volledige voorstudie:")</f>
        <v>Datum volledige voorstudie:</v>
      </c>
      <c r="C83" s="333"/>
      <c r="D83" s="333"/>
      <c r="E83" s="333"/>
      <c r="F83" s="333"/>
      <c r="G83" s="333"/>
      <c r="H83" s="333"/>
      <c r="I83" s="333"/>
      <c r="J83" s="333"/>
      <c r="K83" s="2306">
        <f>IF(K82="","",algemeen!G79)</f>
        <v>39563</v>
      </c>
      <c r="L83" s="2306"/>
      <c r="M83" s="2306"/>
      <c r="N83" s="333"/>
      <c r="O83" s="333"/>
      <c r="P83" s="333"/>
      <c r="Q83" s="333"/>
      <c r="R83" s="333"/>
      <c r="S83" s="333"/>
      <c r="T83" s="346"/>
    </row>
    <row r="84" spans="1:20" x14ac:dyDescent="0.35">
      <c r="A84" s="324" t="str">
        <f>IF(algemeen!E73="","","Dit bitumineus mengsel wordt geproduceerd bij verlaagde temperatuur met behulp van de volgende techniek:")</f>
        <v>Dit bitumineus mengsel wordt geproduceerd bij verlaagde temperatuur met behulp van de volgende techniek:</v>
      </c>
      <c r="B84" s="318"/>
      <c r="C84" s="318"/>
      <c r="D84" s="318"/>
      <c r="E84" s="318"/>
      <c r="F84" s="318"/>
      <c r="G84" s="318"/>
      <c r="H84" s="318"/>
      <c r="I84" s="318"/>
      <c r="J84" s="318"/>
      <c r="K84" s="1377"/>
      <c r="L84" s="1377"/>
      <c r="M84" s="1377"/>
      <c r="N84" s="318"/>
      <c r="O84" s="318"/>
      <c r="P84" s="318"/>
      <c r="Q84" s="318"/>
      <c r="R84" s="318"/>
      <c r="S84" s="318"/>
      <c r="T84" s="337"/>
    </row>
    <row r="85" spans="1:20" x14ac:dyDescent="0.35">
      <c r="A85" s="324"/>
      <c r="B85" s="318" t="str">
        <f>IF(algemeen!E73="","",algemeen!E73)</f>
        <v>Schuimbitumen met toevoeging van hechtverbeteraar.</v>
      </c>
      <c r="C85" s="318"/>
      <c r="D85" s="318"/>
      <c r="E85" s="318"/>
      <c r="F85" s="318"/>
      <c r="G85" s="318"/>
      <c r="H85" s="318"/>
      <c r="I85" s="318"/>
      <c r="J85" s="318"/>
      <c r="K85" s="1377"/>
      <c r="L85" s="1377"/>
      <c r="M85" s="1377"/>
      <c r="N85" s="318"/>
      <c r="O85" s="318"/>
      <c r="P85" s="318"/>
      <c r="Q85" s="318"/>
      <c r="R85" s="318"/>
      <c r="S85" s="318"/>
      <c r="T85" s="337"/>
    </row>
    <row r="86" spans="1:20" x14ac:dyDescent="0.35">
      <c r="A86" s="324" t="str">
        <f>IF(algemeen!J74="","","De hier vermelde voorstudie werd echter uitgevoerd op de overeenkomstige warme variant van dit mengsel.")</f>
        <v>De hier vermelde voorstudie werd echter uitgevoerd op de overeenkomstige warme variant van dit mengsel.</v>
      </c>
      <c r="B86" s="318"/>
      <c r="C86" s="318"/>
      <c r="D86" s="318"/>
      <c r="E86" s="318"/>
      <c r="F86" s="318"/>
      <c r="G86" s="318"/>
      <c r="H86" s="318"/>
      <c r="I86" s="318"/>
      <c r="J86" s="318"/>
      <c r="K86" s="1377"/>
      <c r="L86" s="1377"/>
      <c r="M86" s="1377"/>
      <c r="N86" s="318"/>
      <c r="O86" s="318"/>
      <c r="P86" s="318"/>
      <c r="Q86" s="318"/>
      <c r="R86" s="318"/>
      <c r="S86" s="318"/>
      <c r="T86" s="337"/>
    </row>
    <row r="87" spans="1:20" x14ac:dyDescent="0.35">
      <c r="A87" s="324" t="str">
        <f>IF(algemeen!J74="","","De verantwoordingsnota van de klassieke warme variant:")</f>
        <v>De verantwoordingsnota van de klassieke warme variant:</v>
      </c>
      <c r="B87" s="318"/>
      <c r="C87" s="318"/>
      <c r="D87" s="318"/>
      <c r="E87" s="318"/>
      <c r="F87" s="318"/>
      <c r="G87" s="318"/>
      <c r="H87" s="318"/>
      <c r="I87" s="318"/>
      <c r="J87" s="318"/>
      <c r="K87" s="1377" t="str">
        <f>IF(algemeen!J74="","",algemeen!I74&amp;algemeen!J74)</f>
        <v>804/64/2010/13RE-1234/0</v>
      </c>
      <c r="L87" s="1377"/>
      <c r="M87" s="1377"/>
      <c r="N87" s="318"/>
      <c r="O87" s="318"/>
      <c r="P87" s="318"/>
      <c r="Q87" s="318"/>
      <c r="R87" s="318"/>
      <c r="S87" s="318"/>
      <c r="T87" s="337"/>
    </row>
    <row r="88" spans="1:20" x14ac:dyDescent="0.35">
      <c r="A88" s="324" t="str">
        <f>IF(algemeen!J74="","","Validatiedossier van de AVT-techniek:")</f>
        <v>Validatiedossier van de AVT-techniek:</v>
      </c>
      <c r="B88" s="318"/>
      <c r="C88" s="318"/>
      <c r="D88" s="318"/>
      <c r="E88" s="318"/>
      <c r="F88" s="318"/>
      <c r="G88" s="318"/>
      <c r="H88" s="318"/>
      <c r="I88" s="318"/>
      <c r="J88" s="318"/>
      <c r="K88" s="1377" t="str">
        <f>IF(algemeen!J74="","",algemeen!J75)</f>
        <v>AVT801/VD1</v>
      </c>
      <c r="L88" s="1377"/>
      <c r="M88" s="1377"/>
      <c r="N88" s="318"/>
      <c r="O88" s="318"/>
      <c r="P88" s="318"/>
      <c r="Q88" s="318"/>
      <c r="R88" s="318"/>
      <c r="S88" s="318"/>
      <c r="T88" s="337"/>
    </row>
    <row r="89" spans="1:20" ht="15" thickBot="1" x14ac:dyDescent="0.4">
      <c r="A89" s="533" t="str">
        <f>IF(algemeen!J67="","","Deze verantwoordingsnota vervangt:")</f>
        <v>Deze verantwoordingsnota vervangt:</v>
      </c>
      <c r="B89" s="351"/>
      <c r="C89" s="351"/>
      <c r="D89" s="351"/>
      <c r="E89" s="351"/>
      <c r="F89" s="351"/>
      <c r="G89" s="351"/>
      <c r="H89" s="351"/>
      <c r="I89" s="351"/>
      <c r="J89" s="351"/>
      <c r="K89" s="351" t="str">
        <f>IF(algemeen!J67="","",'VN1'!A53&amp;algemeen!J67)</f>
        <v>801/64/2007/13RB-123456</v>
      </c>
      <c r="L89" s="351"/>
      <c r="M89" s="351"/>
      <c r="N89" s="351"/>
      <c r="O89" s="351"/>
      <c r="P89" s="351"/>
      <c r="Q89" s="351"/>
      <c r="R89" s="351"/>
      <c r="S89" s="351"/>
      <c r="T89" s="535"/>
    </row>
    <row r="91" spans="1:20" ht="15" thickBot="1" x14ac:dyDescent="0.4">
      <c r="A91" s="317" t="s">
        <v>1370</v>
      </c>
      <c r="B91" s="318"/>
      <c r="C91" s="318"/>
      <c r="D91" s="318"/>
      <c r="E91" s="318"/>
      <c r="F91" s="318"/>
      <c r="G91" s="318"/>
      <c r="H91" s="318"/>
      <c r="I91" s="318"/>
      <c r="J91" s="318"/>
      <c r="K91" s="318"/>
      <c r="L91" s="318"/>
      <c r="M91" s="318"/>
      <c r="N91" s="318"/>
      <c r="O91" s="318"/>
      <c r="P91" s="318"/>
      <c r="Q91" s="318"/>
      <c r="R91" s="318"/>
      <c r="S91" s="318"/>
      <c r="T91" s="318"/>
    </row>
    <row r="92" spans="1:20" x14ac:dyDescent="0.35">
      <c r="A92" s="319" t="str">
        <f>IF(studie!E223="productievalidatie","Het mengsel voor de proefstukken werd bekomen via productievalidatie.",IF(berekeningen!$Q$2=0,"Er werden op dit mengsel geen prestaties bepaald.",IF(AND(berekeningen!$Q$2=1,studie!E702="J"),"Er werden op dit mengsel geen prestaties bepaald.",IF(studie!E223="productievalidatie","","Tenzij anders vermeld, werd het mengsel voor de proefstukken als volgt gemengd in het laboratorium:"))))</f>
        <v>Tenzij anders vermeld, werd het mengsel voor de proefstukken als volgt gemengd in het laboratorium:</v>
      </c>
      <c r="B92" s="320"/>
      <c r="C92" s="320"/>
      <c r="D92" s="320"/>
      <c r="E92" s="320"/>
      <c r="F92" s="320"/>
      <c r="G92" s="320"/>
      <c r="H92" s="320"/>
      <c r="I92" s="320"/>
      <c r="J92" s="320"/>
      <c r="K92" s="320"/>
      <c r="L92" s="320"/>
      <c r="M92" s="320"/>
      <c r="N92" s="320"/>
      <c r="O92" s="320"/>
      <c r="P92" s="320"/>
      <c r="Q92" s="320"/>
      <c r="R92" s="320"/>
      <c r="S92" s="320"/>
      <c r="T92" s="342"/>
    </row>
    <row r="93" spans="1:20" x14ac:dyDescent="0.35">
      <c r="A93" s="324"/>
      <c r="B93" s="318" t="str">
        <f>IF(OR(studie!E223="productievalidatie",berekeningen!$Q$2=0,AND(berekeningen!$Q$2=1,studie!E702="J")),"","Toegepaste norm:")</f>
        <v>Toegepaste norm:</v>
      </c>
      <c r="C93" s="318"/>
      <c r="D93" s="318"/>
      <c r="E93" s="318"/>
      <c r="G93" s="318" t="str">
        <f>IF(OR(studie!E223="productievalidatie",berekeningen!$Q$2=0,AND(berekeningen!$Q$2=1,studie!E702="J")),"",studie!H25)</f>
        <v>EN 12697-35</v>
      </c>
      <c r="H93" s="318"/>
      <c r="I93" s="318"/>
      <c r="J93" s="318" t="str">
        <f>IF(OR(studie!E223="productievalidatie",berekeningen!$Q$2=0,AND(berekeningen!$Q$2=1,studie!E702="J")),"",IF(OR(studie!I26="",studie!I26="n.v.t."),"","aangevuld met methode "&amp;studie!I26))</f>
        <v/>
      </c>
      <c r="M93" s="318"/>
      <c r="N93" s="318"/>
      <c r="O93" s="318"/>
      <c r="P93" s="318"/>
      <c r="Q93" s="318"/>
      <c r="R93" s="318"/>
      <c r="S93" s="318"/>
      <c r="T93" s="337"/>
    </row>
    <row r="94" spans="1:20" x14ac:dyDescent="0.35">
      <c r="A94" s="324"/>
      <c r="B94" s="318" t="str">
        <f>IF(OR(studie!E223="productievalidatie",berekeningen!$Q$2=0,AND(berekeningen!$Q$2=1,studie!E702="J")),"",studie!B27)</f>
        <v>Mengmethode:</v>
      </c>
      <c r="C94" s="318"/>
      <c r="D94" s="318"/>
      <c r="E94" s="318"/>
      <c r="G94" s="318" t="str">
        <f>IF(OR(studie!E223="productievalidatie",berekeningen!$Q$2=0,AND(berekeningen!$Q$2=1,studie!E702="J")),"",studie!H27)</f>
        <v>Machinaal</v>
      </c>
      <c r="H94" s="318"/>
      <c r="I94" s="318"/>
      <c r="J94" s="318" t="str">
        <f>IF(OR(studie!E223="productievalidatie",berekeningen!$Q$2=0,AND(berekeningen!$Q$2=1,studie!E702="J")),"",IF(studie!H27&lt;&gt;"Machinaal","","met "&amp;studie!H28))</f>
        <v>met Moulinex</v>
      </c>
      <c r="M94" s="318"/>
      <c r="N94" s="318"/>
      <c r="O94" s="318"/>
      <c r="P94" s="318"/>
      <c r="Q94" s="318"/>
      <c r="R94" s="318"/>
      <c r="S94" s="318"/>
      <c r="T94" s="337"/>
    </row>
    <row r="95" spans="1:20" x14ac:dyDescent="0.35">
      <c r="A95" s="324"/>
      <c r="B95" s="318" t="str">
        <f>IF(OR(studie!E223="productievalidatie",berekeningen!$Q$2=0,AND(berekeningen!$Q$2=1,studie!E702="J")),"","Mengvolgorde en -tijd:")</f>
        <v>Mengvolgorde en -tijd:</v>
      </c>
      <c r="C95" s="318"/>
      <c r="D95" s="318"/>
      <c r="E95" s="318"/>
      <c r="F95" s="318"/>
      <c r="G95" s="318" t="str">
        <f>IF(OR(studie!E223="productievalidatie",berekeningen!$Q$2=0,AND(berekeningen!$Q$2=1,studie!E702="J")),"",studie!D29&amp;" gedurende "&amp;studie!I30&amp;" s")</f>
        <v>stenen, zand, asfaltgranulaat, bindmiddel, vulstof gedurende 15 s</v>
      </c>
      <c r="H95" s="318"/>
      <c r="I95" s="318"/>
      <c r="J95" s="318"/>
      <c r="K95" s="318"/>
      <c r="L95" s="318"/>
      <c r="M95" s="318"/>
      <c r="N95" s="318"/>
      <c r="O95" s="318"/>
      <c r="P95" s="318"/>
      <c r="Q95" s="318"/>
      <c r="R95" s="318"/>
      <c r="S95" s="318"/>
      <c r="T95" s="337"/>
    </row>
    <row r="96" spans="1:20" ht="15" thickBot="1" x14ac:dyDescent="0.4">
      <c r="A96" s="1403" t="str">
        <f>IF(OR(berekeningen!$Q$2=0,AND(berekeningen!$Q$2=1,studie!E702="J")),"","De volgende bladzijden bevatten enkel de gedetailleerde proefresultaten van de voorstudie.")</f>
        <v>De volgende bladzijden bevatten enkel de gedetailleerde proefresultaten van de voorstudie.</v>
      </c>
      <c r="B96" s="339"/>
      <c r="C96" s="339"/>
      <c r="D96" s="339"/>
      <c r="E96" s="339"/>
      <c r="F96" s="339"/>
      <c r="G96" s="339"/>
      <c r="H96" s="339"/>
      <c r="I96" s="339"/>
      <c r="J96" s="339"/>
      <c r="K96" s="339"/>
      <c r="L96" s="339"/>
      <c r="M96" s="339"/>
      <c r="N96" s="339"/>
      <c r="O96" s="339"/>
      <c r="P96" s="339"/>
      <c r="Q96" s="339"/>
      <c r="R96" s="339"/>
      <c r="S96" s="339"/>
      <c r="T96" s="341"/>
    </row>
    <row r="97" spans="1:20" x14ac:dyDescent="0.35">
      <c r="A97" s="318"/>
      <c r="B97" s="318"/>
      <c r="C97" s="318"/>
      <c r="D97" s="318"/>
      <c r="E97" s="318"/>
      <c r="F97" s="318"/>
      <c r="G97" s="318"/>
      <c r="H97" s="318"/>
      <c r="I97" s="318"/>
      <c r="J97" s="318"/>
      <c r="K97" s="318"/>
      <c r="L97" s="318"/>
      <c r="M97" s="318"/>
      <c r="N97" s="318"/>
      <c r="O97" s="318"/>
      <c r="P97" s="318"/>
      <c r="Q97" s="318"/>
      <c r="R97" s="318"/>
      <c r="S97" s="318"/>
      <c r="T97" s="318"/>
    </row>
    <row r="98" spans="1:20" ht="15" thickBot="1" x14ac:dyDescent="0.4">
      <c r="A98" s="317" t="s">
        <v>669</v>
      </c>
    </row>
    <row r="99" spans="1:20" x14ac:dyDescent="0.35">
      <c r="A99" s="319" t="str">
        <f>IF(algemeen!H82="J",algemeen!B82,"")</f>
        <v>COPRO-certificaat voor de mengsels</v>
      </c>
      <c r="B99" s="320"/>
      <c r="C99" s="320"/>
      <c r="D99" s="320"/>
      <c r="E99" s="320"/>
      <c r="F99" s="320"/>
      <c r="G99" s="320"/>
      <c r="H99" s="320"/>
      <c r="I99" s="320"/>
      <c r="J99" s="320"/>
      <c r="K99" s="352" t="str">
        <f>IF(algemeen!H85="J",algemeen!C85,"")</f>
        <v>Proefverslag stijfheid en vermoeiing</v>
      </c>
      <c r="L99" s="320"/>
      <c r="M99" s="320"/>
      <c r="N99" s="320"/>
      <c r="O99" s="320"/>
      <c r="P99" s="320"/>
      <c r="Q99" s="320"/>
      <c r="R99" s="320"/>
      <c r="S99" s="320"/>
      <c r="T99" s="342"/>
    </row>
    <row r="100" spans="1:20" x14ac:dyDescent="0.35">
      <c r="A100" s="324" t="str">
        <f>IF(algemeen!H83="J",algemeen!B83,"")</f>
        <v>Technische fiches van de grondstoffen</v>
      </c>
      <c r="B100" s="318"/>
      <c r="C100" s="318"/>
      <c r="D100" s="318"/>
      <c r="E100" s="318"/>
      <c r="F100" s="318"/>
      <c r="G100" s="318"/>
      <c r="H100" s="318"/>
      <c r="I100" s="318"/>
      <c r="J100" s="318"/>
      <c r="K100" s="353" t="str">
        <f>IF(algemeen!H86="J",algemeen!C86,"")</f>
        <v>Validatiedossier AVT</v>
      </c>
      <c r="L100" s="318"/>
      <c r="M100" s="318"/>
      <c r="N100" s="318"/>
      <c r="O100" s="318"/>
      <c r="P100" s="318"/>
      <c r="Q100" s="318"/>
      <c r="R100" s="318"/>
      <c r="S100" s="318"/>
      <c r="T100" s="337"/>
    </row>
    <row r="101" spans="1:20" ht="15" thickBot="1" x14ac:dyDescent="0.4">
      <c r="A101" s="338" t="str">
        <f>IF(algemeen!H84="J",algemeen!C84,"")</f>
        <v>Pradowin</v>
      </c>
      <c r="B101" s="339"/>
      <c r="C101" s="339"/>
      <c r="D101" s="339"/>
      <c r="E101" s="339"/>
      <c r="F101" s="339"/>
      <c r="G101" s="339"/>
      <c r="H101" s="339"/>
      <c r="I101" s="339"/>
      <c r="J101" s="339"/>
      <c r="K101" s="354" t="str">
        <f>IF(algemeen!H87="J",algemeen!C87,"")</f>
        <v/>
      </c>
      <c r="L101" s="339"/>
      <c r="M101" s="339"/>
      <c r="N101" s="339"/>
      <c r="O101" s="339"/>
      <c r="P101" s="339"/>
      <c r="Q101" s="339"/>
      <c r="R101" s="339"/>
      <c r="S101" s="339"/>
      <c r="T101" s="341"/>
    </row>
    <row r="102" spans="1:20" x14ac:dyDescent="0.35">
      <c r="A102" s="318"/>
      <c r="B102" s="318"/>
      <c r="C102" s="318"/>
      <c r="D102" s="318"/>
      <c r="E102" s="318"/>
      <c r="F102" s="318"/>
      <c r="G102" s="318"/>
      <c r="H102" s="318"/>
      <c r="I102" s="318"/>
      <c r="J102" s="318"/>
      <c r="K102" s="318"/>
      <c r="L102" s="318"/>
      <c r="M102" s="318"/>
      <c r="N102" s="318"/>
      <c r="O102" s="318"/>
      <c r="P102" s="318"/>
      <c r="Q102" s="318"/>
      <c r="R102" s="318"/>
      <c r="S102" s="318"/>
      <c r="T102" s="318"/>
    </row>
    <row r="103" spans="1:20" s="210" customFormat="1" ht="10.5" x14ac:dyDescent="0.35">
      <c r="A103" s="2277" t="str">
        <f>'VN1'!A53</f>
        <v>801/64/</v>
      </c>
      <c r="B103" s="2277"/>
      <c r="C103" s="267" t="str">
        <f>algemeen!J$66</f>
        <v>2010/13RE-1234/0</v>
      </c>
      <c r="D103" s="267"/>
      <c r="E103" s="268"/>
      <c r="F103" s="268"/>
      <c r="G103" s="268"/>
      <c r="H103" s="268"/>
      <c r="I103" s="269" t="s">
        <v>767</v>
      </c>
      <c r="J103" s="267">
        <f>berekeningen!O$2</f>
        <v>19</v>
      </c>
      <c r="K103" s="268"/>
      <c r="L103" s="268"/>
      <c r="M103" s="268" t="s">
        <v>610</v>
      </c>
      <c r="N103" s="268"/>
      <c r="O103" s="268"/>
      <c r="P103" s="268"/>
      <c r="Q103" s="268"/>
      <c r="R103" s="268"/>
      <c r="S103" s="268"/>
      <c r="T103" s="268"/>
    </row>
  </sheetData>
  <sheetProtection algorithmName="SHA-512" hashValue="a8Th+6wwBW+zZkygerCl4/7tuidNUtXzhdHwp9SKL+tB7zO3kPJMIexx/AjrTX9uZcMEZI+JRJE0QOE/v8vTcg==" saltValue="lhJWb48QojXkNIJ1MH9iPQ==" spinCount="100000" sheet="1" objects="1" scenarios="1"/>
  <mergeCells count="16">
    <mergeCell ref="K81:M81"/>
    <mergeCell ref="K83:M83"/>
    <mergeCell ref="A103:B103"/>
    <mergeCell ref="A50:B50"/>
    <mergeCell ref="F54:J54"/>
    <mergeCell ref="K54:O54"/>
    <mergeCell ref="P54:T54"/>
    <mergeCell ref="F58:J58"/>
    <mergeCell ref="K58:O58"/>
    <mergeCell ref="P58:T58"/>
    <mergeCell ref="C29:C30"/>
    <mergeCell ref="D29:D30"/>
    <mergeCell ref="I37:I42"/>
    <mergeCell ref="J37:J42"/>
    <mergeCell ref="K37:K42"/>
    <mergeCell ref="L37:L42"/>
  </mergeCells>
  <pageMargins left="0.59055118110236227" right="0.23622047244094491" top="0.39370078740157483" bottom="0.59055118110236227" header="0.31496062992125984" footer="0.31496062992125984"/>
  <pageSetup paperSize="9" orientation="portrait" r:id="rId1"/>
  <rowBreaks count="1" manualBreakCount="1">
    <brk id="5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T51"/>
  <sheetViews>
    <sheetView workbookViewId="0">
      <selection activeCell="A24" sqref="A24"/>
    </sheetView>
  </sheetViews>
  <sheetFormatPr defaultRowHeight="14.5" x14ac:dyDescent="0.35"/>
  <cols>
    <col min="1" max="26" width="4.7265625" customWidth="1"/>
  </cols>
  <sheetData>
    <row r="1" spans="1:20" x14ac:dyDescent="0.35">
      <c r="A1" s="541" t="s">
        <v>1453</v>
      </c>
      <c r="B1" s="542"/>
      <c r="C1" s="542"/>
      <c r="D1" s="542"/>
      <c r="E1" s="542"/>
      <c r="F1" s="542"/>
      <c r="G1" s="542"/>
      <c r="H1" s="542"/>
      <c r="I1" s="542"/>
      <c r="J1" s="542"/>
      <c r="K1" s="542"/>
      <c r="L1" s="542"/>
      <c r="M1" s="542"/>
      <c r="N1" s="542"/>
      <c r="O1" s="542"/>
      <c r="P1" s="542"/>
      <c r="Q1" s="542"/>
      <c r="R1" s="542"/>
      <c r="S1" s="542"/>
      <c r="T1" s="543"/>
    </row>
    <row r="2" spans="1:20" s="208" customFormat="1" ht="13" x14ac:dyDescent="0.35"/>
    <row r="3" spans="1:20" s="208" customFormat="1" ht="13" x14ac:dyDescent="0.35"/>
    <row r="4" spans="1:20" s="208" customFormat="1" ht="13" x14ac:dyDescent="0.35">
      <c r="A4" s="208" t="s">
        <v>779</v>
      </c>
      <c r="L4" s="208" t="str">
        <f>studie!E4</f>
        <v>laboratoriumvalidatie</v>
      </c>
    </row>
    <row r="5" spans="1:20" s="208" customFormat="1" ht="13" x14ac:dyDescent="0.35">
      <c r="A5" s="208" t="str">
        <f>studie!B11</f>
        <v>Mengtemperatuur:</v>
      </c>
      <c r="L5" s="208" t="str">
        <f>studie!J11&amp;" °C"</f>
        <v>165 °C</v>
      </c>
    </row>
    <row r="6" spans="1:20" s="208" customFormat="1" ht="13" x14ac:dyDescent="0.35"/>
    <row r="7" spans="1:20" s="208" customFormat="1" ht="13" x14ac:dyDescent="0.35"/>
    <row r="8" spans="1:20" s="208" customFormat="1" ht="13" x14ac:dyDescent="0.35">
      <c r="A8" s="208" t="str">
        <f>studie!B7</f>
        <v>Toegepaste norm voor de bepaling van het bindmiddelgehalte:</v>
      </c>
      <c r="L8" s="208" t="str">
        <f>studie!I7</f>
        <v>EN 12697-1</v>
      </c>
    </row>
    <row r="9" spans="1:20" s="208" customFormat="1" ht="13" x14ac:dyDescent="0.35">
      <c r="A9" s="208" t="str">
        <f>studie!B8</f>
        <v>Extractiemethode volgens EN 12697-1 Annex B.2:</v>
      </c>
      <c r="L9" s="208" t="str">
        <f>studie!J8</f>
        <v>B.2.1</v>
      </c>
    </row>
    <row r="10" spans="1:20" s="208" customFormat="1" ht="13" x14ac:dyDescent="0.35">
      <c r="A10" s="208" t="str">
        <f>studie!B9</f>
        <v>Gebruikt oplosmiddel:</v>
      </c>
      <c r="L10" s="208" t="str">
        <f>studie!H9</f>
        <v>dichloormethaan</v>
      </c>
    </row>
    <row r="11" spans="1:20" s="208" customFormat="1" ht="14.5" customHeight="1" thickBot="1" x14ac:dyDescent="0.4"/>
    <row r="12" spans="1:20" s="208" customFormat="1" ht="14.65" customHeight="1" x14ac:dyDescent="0.35">
      <c r="A12" s="548"/>
      <c r="B12" s="549"/>
      <c r="C12" s="549"/>
      <c r="D12" s="549"/>
      <c r="E12" s="2307" t="s">
        <v>875</v>
      </c>
      <c r="F12" s="2308"/>
      <c r="G12" s="2308"/>
      <c r="H12" s="2308"/>
      <c r="I12" s="2309"/>
      <c r="L12" s="1446" t="str">
        <f>IF(studie!E3="J","","PROEF NIET UITGEVOERD !")</f>
        <v/>
      </c>
    </row>
    <row r="13" spans="1:20" s="208" customFormat="1" ht="14.65" customHeight="1" x14ac:dyDescent="0.35">
      <c r="A13" s="551"/>
      <c r="B13" s="552"/>
      <c r="C13" s="552"/>
      <c r="D13" s="552"/>
      <c r="E13" s="2310" t="s">
        <v>185</v>
      </c>
      <c r="F13" s="2311"/>
      <c r="G13" s="2311"/>
      <c r="H13" s="2311"/>
      <c r="I13" s="2312"/>
    </row>
    <row r="14" spans="1:20" s="208" customFormat="1" ht="14.65" customHeight="1" x14ac:dyDescent="0.35">
      <c r="A14" s="582" t="s">
        <v>350</v>
      </c>
      <c r="B14" s="264"/>
      <c r="C14" s="264"/>
      <c r="D14" s="264"/>
      <c r="E14" s="2313">
        <f>IF(studie!U17="","",studie!U17)</f>
        <v>4.05</v>
      </c>
      <c r="F14" s="2314"/>
      <c r="G14" s="2314"/>
      <c r="H14" s="2314"/>
      <c r="I14" s="2315"/>
    </row>
    <row r="15" spans="1:20" s="208" customFormat="1" ht="14.65" customHeight="1" x14ac:dyDescent="0.35">
      <c r="A15" s="251" t="s">
        <v>351</v>
      </c>
      <c r="B15" s="252"/>
      <c r="C15" s="252"/>
      <c r="D15" s="252"/>
      <c r="E15" s="2316">
        <f>IF(studie!U18="","",studie!U18)</f>
        <v>3.805679</v>
      </c>
      <c r="F15" s="2246"/>
      <c r="G15" s="2246"/>
      <c r="H15" s="2246"/>
      <c r="I15" s="2317"/>
    </row>
    <row r="16" spans="1:20" s="208" customFormat="1" ht="14.65" customHeight="1" thickBot="1" x14ac:dyDescent="0.4">
      <c r="A16" s="547" t="s">
        <v>352</v>
      </c>
      <c r="B16" s="262"/>
      <c r="C16" s="262"/>
      <c r="D16" s="262"/>
      <c r="E16" s="2318">
        <f>IF(studie!U19="","",studie!U19)</f>
        <v>0.24432099999999979</v>
      </c>
      <c r="F16" s="2279"/>
      <c r="G16" s="2279"/>
      <c r="H16" s="2279"/>
      <c r="I16" s="2319"/>
    </row>
    <row r="17" spans="1:20" s="208" customFormat="1" ht="13" x14ac:dyDescent="0.35"/>
    <row r="18" spans="1:20" s="208" customFormat="1" ht="13" x14ac:dyDescent="0.35"/>
    <row r="19" spans="1:20" s="208" customFormat="1" ht="13" x14ac:dyDescent="0.35">
      <c r="A19" s="208" t="str">
        <f>studie!B10</f>
        <v>Toegepaste norm voor de bepaling van de korrelverdeling:</v>
      </c>
      <c r="L19" s="208" t="str">
        <f>studie!I10</f>
        <v>EN 12697-2</v>
      </c>
    </row>
    <row r="20" spans="1:20" s="208" customFormat="1" ht="13.5" thickBot="1" x14ac:dyDescent="0.4"/>
    <row r="21" spans="1:20" s="208" customFormat="1" ht="13" x14ac:dyDescent="0.35">
      <c r="A21" s="548"/>
      <c r="B21" s="549"/>
      <c r="C21" s="549"/>
      <c r="D21" s="549"/>
      <c r="E21" s="610" t="s">
        <v>127</v>
      </c>
      <c r="F21" s="245"/>
      <c r="G21" s="245"/>
      <c r="H21" s="245"/>
      <c r="I21" s="245"/>
      <c r="J21" s="245"/>
      <c r="K21" s="245"/>
      <c r="L21" s="245"/>
      <c r="M21" s="245"/>
      <c r="N21" s="245"/>
      <c r="O21" s="245"/>
      <c r="P21" s="245"/>
      <c r="Q21" s="245"/>
      <c r="R21" s="245"/>
      <c r="S21" s="549"/>
      <c r="T21" s="1393"/>
    </row>
    <row r="22" spans="1:20" s="208" customFormat="1" ht="13" x14ac:dyDescent="0.35">
      <c r="A22" s="550"/>
      <c r="B22" s="227"/>
      <c r="C22" s="227"/>
      <c r="D22" s="227"/>
      <c r="E22" s="784"/>
      <c r="F22" s="227"/>
      <c r="G22" s="227"/>
      <c r="H22" s="227"/>
      <c r="I22" s="227"/>
      <c r="J22" s="227"/>
      <c r="K22" s="227"/>
      <c r="L22" s="227"/>
      <c r="M22" s="227"/>
      <c r="N22" s="227"/>
      <c r="O22" s="227"/>
      <c r="P22" s="227"/>
      <c r="Q22" s="227"/>
      <c r="R22" s="227"/>
      <c r="S22" s="227"/>
      <c r="T22" s="1394"/>
    </row>
    <row r="23" spans="1:20" s="208" customFormat="1" ht="33" customHeight="1" x14ac:dyDescent="0.35">
      <c r="A23" s="551"/>
      <c r="B23" s="552"/>
      <c r="C23" s="552"/>
      <c r="D23" s="552"/>
      <c r="E23" s="785">
        <f>IF(berekeningen!D9=0,"",berekeningen!D9)</f>
        <v>40</v>
      </c>
      <c r="F23" s="553">
        <f>IF(berekeningen!E9=0,"",berekeningen!E9)</f>
        <v>31.5</v>
      </c>
      <c r="G23" s="553">
        <f>IF(berekeningen!F9=0,"",berekeningen!F9)</f>
        <v>20</v>
      </c>
      <c r="H23" s="553">
        <f>IF(berekeningen!G9=0,"",berekeningen!G9)</f>
        <v>16</v>
      </c>
      <c r="I23" s="553">
        <f>IF(berekeningen!H9=0,"",berekeningen!H9)</f>
        <v>14</v>
      </c>
      <c r="J23" s="553">
        <f>IF(berekeningen!I9=0,"",berekeningen!I9)</f>
        <v>12.5</v>
      </c>
      <c r="K23" s="553">
        <f>IF(berekeningen!J9=0,"",berekeningen!J9)</f>
        <v>10</v>
      </c>
      <c r="L23" s="553">
        <f>IF(berekeningen!K9=0,"",berekeningen!K9)</f>
        <v>8</v>
      </c>
      <c r="M23" s="553">
        <f>IF(berekeningen!L9=0,"",berekeningen!L9)</f>
        <v>6.3</v>
      </c>
      <c r="N23" s="553">
        <f>IF(berekeningen!M9=0,"",berekeningen!M9)</f>
        <v>4</v>
      </c>
      <c r="O23" s="553">
        <f>IF(berekeningen!N9=0,"",berekeningen!N9)</f>
        <v>2</v>
      </c>
      <c r="P23" s="553">
        <f>IF(berekeningen!O9=0,"",berekeningen!O9)</f>
        <v>1</v>
      </c>
      <c r="Q23" s="553">
        <f>IF(berekeningen!P9=0,"",berekeningen!P9)</f>
        <v>0.5</v>
      </c>
      <c r="R23" s="553">
        <f>IF(berekeningen!Q9=0,"",berekeningen!Q9)</f>
        <v>0.25</v>
      </c>
      <c r="S23" s="553">
        <f>IF(berekeningen!R9=0,"",berekeningen!R9)</f>
        <v>0.125</v>
      </c>
      <c r="T23" s="1395">
        <f>IF(berekeningen!S9=0,"",berekeningen!S9)</f>
        <v>6.3E-2</v>
      </c>
    </row>
    <row r="24" spans="1:20" s="208" customFormat="1" ht="13" x14ac:dyDescent="0.35">
      <c r="A24" s="270" t="s">
        <v>350</v>
      </c>
      <c r="B24" s="209"/>
      <c r="C24" s="209"/>
      <c r="D24" s="209"/>
      <c r="E24" s="786" t="str">
        <f>IF(studie!E17="","",studie!E17)</f>
        <v/>
      </c>
      <c r="F24" s="554" t="str">
        <f>IF(studie!F17="","",studie!F17)</f>
        <v/>
      </c>
      <c r="G24" s="554" t="str">
        <f>IF(studie!G17="","",studie!G17)</f>
        <v/>
      </c>
      <c r="H24" s="554" t="str">
        <f>IF(studie!H17="","",studie!H17)</f>
        <v/>
      </c>
      <c r="I24" s="554" t="str">
        <f>IF(studie!I17="","",studie!I17)</f>
        <v/>
      </c>
      <c r="J24" s="554" t="str">
        <f>IF(studie!J17="","",studie!J17)</f>
        <v/>
      </c>
      <c r="K24" s="559">
        <f>IF(studie!K17="","",studie!K17)</f>
        <v>100</v>
      </c>
      <c r="L24" s="559">
        <f>IF(studie!L17="","",studie!L17)</f>
        <v>90.5</v>
      </c>
      <c r="M24" s="559">
        <f>IF(studie!M17="","",studie!M17)</f>
        <v>80</v>
      </c>
      <c r="N24" s="559">
        <f>IF(studie!N17="","",studie!N17)</f>
        <v>70</v>
      </c>
      <c r="O24" s="559">
        <f>IF(studie!O17="","",studie!O17)</f>
        <v>60</v>
      </c>
      <c r="P24" s="559">
        <f>IF(studie!P17="","",studie!P17)</f>
        <v>50</v>
      </c>
      <c r="Q24" s="559">
        <f>IF(studie!Q17="","",studie!Q17)</f>
        <v>40</v>
      </c>
      <c r="R24" s="559">
        <f>IF(studie!R17="","",studie!R17)</f>
        <v>30</v>
      </c>
      <c r="S24" s="559">
        <f>IF(studie!S17="","",studie!S17)</f>
        <v>20</v>
      </c>
      <c r="T24" s="1396">
        <f>IF(studie!T17="","",studie!T17)</f>
        <v>9</v>
      </c>
    </row>
    <row r="25" spans="1:20" s="208" customFormat="1" ht="13" x14ac:dyDescent="0.35">
      <c r="A25" s="251" t="s">
        <v>351</v>
      </c>
      <c r="B25" s="252"/>
      <c r="C25" s="252"/>
      <c r="D25" s="252"/>
      <c r="E25" s="787">
        <f>IF(studie!E18="","",studie!E18)</f>
        <v>99.999735647425894</v>
      </c>
      <c r="F25" s="555">
        <f>IF(studie!F18="","",studie!F18)</f>
        <v>99.999735647425894</v>
      </c>
      <c r="G25" s="555">
        <f>IF(studie!G18="","",studie!G18)</f>
        <v>99.948735647425877</v>
      </c>
      <c r="H25" s="555">
        <f>IF(studie!H18="","",studie!H18)</f>
        <v>97.500735647425884</v>
      </c>
      <c r="I25" s="555">
        <f>IF(studie!I18="","",studie!I18)</f>
        <v>95.868735647425879</v>
      </c>
      <c r="J25" s="555">
        <f>IF(studie!J18="","",studie!J18)</f>
        <v>92.553735647425881</v>
      </c>
      <c r="K25" s="555">
        <f>IF(studie!K18="","",studie!K18)</f>
        <v>89.666735647425881</v>
      </c>
      <c r="L25" s="555">
        <f>IF(studie!L18="","",studie!L18)</f>
        <v>68.318617082683289</v>
      </c>
      <c r="M25" s="555">
        <f>IF(studie!M18="","",studie!M18)</f>
        <v>47.600398517940718</v>
      </c>
      <c r="N25" s="555">
        <f>IF(studie!N18="","",studie!N18)</f>
        <v>38.531179953198126</v>
      </c>
      <c r="O25" s="555">
        <f>IF(studie!O18="","",studie!O18)</f>
        <v>28.32396138845554</v>
      </c>
      <c r="P25" s="555">
        <f>IF(studie!P18="","",studie!P18)</f>
        <v>23.058242823712948</v>
      </c>
      <c r="Q25" s="555">
        <f>IF(studie!Q18="","",studie!Q18)</f>
        <v>18.557524258970361</v>
      </c>
      <c r="R25" s="555">
        <f>IF(studie!R18="","",studie!R18)</f>
        <v>14.974805694227769</v>
      </c>
      <c r="S25" s="555">
        <f>IF(studie!S18="","",studie!S18)</f>
        <v>11.405659629485179</v>
      </c>
      <c r="T25" s="1397">
        <f>IF(studie!T18="","",studie!T18)</f>
        <v>7.8679135647425893</v>
      </c>
    </row>
    <row r="26" spans="1:20" s="208" customFormat="1" ht="13.5" thickBot="1" x14ac:dyDescent="0.4">
      <c r="A26" s="547" t="s">
        <v>352</v>
      </c>
      <c r="B26" s="262"/>
      <c r="C26" s="262"/>
      <c r="D26" s="262"/>
      <c r="E26" s="788" t="str">
        <f>IF(studie!E19="","",studie!E19)</f>
        <v/>
      </c>
      <c r="F26" s="556" t="str">
        <f>IF(studie!F19="","",studie!F19)</f>
        <v/>
      </c>
      <c r="G26" s="556" t="str">
        <f>IF(studie!G19="","",studie!G19)</f>
        <v/>
      </c>
      <c r="H26" s="556" t="str">
        <f>IF(studie!H19="","",studie!H19)</f>
        <v/>
      </c>
      <c r="I26" s="556" t="str">
        <f>IF(studie!I19="","",studie!I19)</f>
        <v/>
      </c>
      <c r="J26" s="556" t="str">
        <f>IF(studie!J19="","",studie!J19)</f>
        <v/>
      </c>
      <c r="K26" s="557">
        <f>IF(studie!K19="","",studie!K19)</f>
        <v>10.333264352574119</v>
      </c>
      <c r="L26" s="557">
        <f>IF(studie!L19="","",studie!L19)</f>
        <v>22.181382917316711</v>
      </c>
      <c r="M26" s="557">
        <f>IF(studie!M19="","",studie!M19)</f>
        <v>32.399601482059282</v>
      </c>
      <c r="N26" s="557">
        <f>IF(studie!N19="","",studie!N19)</f>
        <v>31.468820046801874</v>
      </c>
      <c r="O26" s="557">
        <f>IF(studie!O19="","",studie!O19)</f>
        <v>31.67603861154446</v>
      </c>
      <c r="P26" s="557">
        <f>IF(studie!P19="","",studie!P19)</f>
        <v>26.941757176287052</v>
      </c>
      <c r="Q26" s="557">
        <f>IF(studie!Q19="","",studie!Q19)</f>
        <v>21.442475741029639</v>
      </c>
      <c r="R26" s="557">
        <f>IF(studie!R19="","",studie!R19)</f>
        <v>15.025194305772231</v>
      </c>
      <c r="S26" s="557">
        <f>IF(studie!S19="","",studie!S19)</f>
        <v>8.5943403705148214</v>
      </c>
      <c r="T26" s="1398">
        <f>IF(studie!T19="","",studie!T19)</f>
        <v>1.1320864352574107</v>
      </c>
    </row>
    <row r="27" spans="1:20" s="208" customFormat="1" ht="13" x14ac:dyDescent="0.35"/>
    <row r="28" spans="1:20" s="208" customFormat="1" ht="13" x14ac:dyDescent="0.35"/>
    <row r="29" spans="1:20" s="208" customFormat="1" ht="13" x14ac:dyDescent="0.35"/>
    <row r="30" spans="1:20" s="208" customFormat="1" ht="13" x14ac:dyDescent="0.35"/>
    <row r="31" spans="1:20" s="208" customFormat="1" ht="13" x14ac:dyDescent="0.35"/>
    <row r="32" spans="1:20" s="208" customFormat="1" ht="13" x14ac:dyDescent="0.35"/>
    <row r="33" s="208" customFormat="1" ht="13" x14ac:dyDescent="0.35"/>
    <row r="34" s="208" customFormat="1" ht="13" x14ac:dyDescent="0.35"/>
    <row r="35" s="208" customFormat="1" ht="13" x14ac:dyDescent="0.35"/>
    <row r="36" s="208" customFormat="1" ht="13" x14ac:dyDescent="0.35"/>
    <row r="37" s="208" customFormat="1" ht="13" x14ac:dyDescent="0.35"/>
    <row r="38" s="208" customFormat="1" ht="13" x14ac:dyDescent="0.35"/>
    <row r="39" s="208" customFormat="1" ht="13" x14ac:dyDescent="0.35"/>
    <row r="40" s="208" customFormat="1" ht="13" x14ac:dyDescent="0.35"/>
    <row r="41" s="208" customFormat="1" ht="13" x14ac:dyDescent="0.35"/>
    <row r="42" s="208" customFormat="1" ht="13" x14ac:dyDescent="0.35"/>
    <row r="43" s="208" customFormat="1" ht="13" x14ac:dyDescent="0.35"/>
    <row r="44" s="208" customFormat="1" ht="13" x14ac:dyDescent="0.35"/>
    <row r="45" s="208" customFormat="1" ht="13" x14ac:dyDescent="0.35"/>
    <row r="46" s="208" customFormat="1" ht="13" x14ac:dyDescent="0.35"/>
    <row r="47" s="208" customFormat="1" ht="13" x14ac:dyDescent="0.35"/>
    <row r="48" s="208" customFormat="1" ht="13" x14ac:dyDescent="0.35"/>
    <row r="49" spans="1:20" s="208" customFormat="1" ht="13" x14ac:dyDescent="0.35"/>
    <row r="50" spans="1:20" s="208" customFormat="1" ht="13" x14ac:dyDescent="0.35"/>
    <row r="51" spans="1:20" s="210" customFormat="1" ht="10.5" x14ac:dyDescent="0.35">
      <c r="A51" s="2277" t="str">
        <f>'VN1'!A53</f>
        <v>801/64/</v>
      </c>
      <c r="B51" s="2277"/>
      <c r="C51" s="267" t="str">
        <f>algemeen!J$66</f>
        <v>2010/13RE-1234/0</v>
      </c>
      <c r="D51" s="267"/>
      <c r="E51" s="268"/>
      <c r="F51" s="268"/>
      <c r="G51" s="268"/>
      <c r="H51" s="268"/>
      <c r="I51" s="269" t="str">
        <f>"blz. "&amp;berekeningen!F3&amp;" /"</f>
        <v>blz. 6 /</v>
      </c>
      <c r="J51" s="267">
        <f>berekeningen!O$2</f>
        <v>19</v>
      </c>
      <c r="K51" s="268"/>
      <c r="L51" s="268"/>
      <c r="M51" s="268" t="s">
        <v>610</v>
      </c>
      <c r="N51" s="268"/>
      <c r="O51" s="268"/>
      <c r="P51" s="268"/>
      <c r="Q51" s="268"/>
      <c r="R51" s="268"/>
      <c r="S51" s="268"/>
      <c r="T51" s="268"/>
    </row>
  </sheetData>
  <sheetProtection algorithmName="SHA-512" hashValue="YZvkL3vKBFKx9z+AtbEVEOSZc5VCNLjIVdx914qMsunyotnRSj2wbq0XrEQxKiUYYSFoN4hmTh9EVUsKofaCFA==" saltValue="/Y0gfAkl/aMZTzQ/Ql9+oA==" spinCount="100000" sheet="1" objects="1" scenarios="1"/>
  <mergeCells count="6">
    <mergeCell ref="A51:B51"/>
    <mergeCell ref="E12:I12"/>
    <mergeCell ref="E13:I13"/>
    <mergeCell ref="E14:I14"/>
    <mergeCell ref="E15:I15"/>
    <mergeCell ref="E16:I16"/>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T115"/>
  <sheetViews>
    <sheetView workbookViewId="0">
      <selection activeCell="A24" sqref="A24"/>
    </sheetView>
  </sheetViews>
  <sheetFormatPr defaultRowHeight="14.5" x14ac:dyDescent="0.35"/>
  <cols>
    <col min="1" max="26" width="4.7265625" customWidth="1"/>
  </cols>
  <sheetData>
    <row r="1" spans="1:20" ht="15" customHeight="1" x14ac:dyDescent="0.35">
      <c r="A1" s="541" t="s">
        <v>1454</v>
      </c>
      <c r="B1" s="542"/>
      <c r="C1" s="542"/>
      <c r="D1" s="542"/>
      <c r="E1" s="542"/>
      <c r="F1" s="542"/>
      <c r="G1" s="542"/>
      <c r="H1" s="542"/>
      <c r="I1" s="542"/>
      <c r="J1" s="542"/>
      <c r="K1" s="542"/>
      <c r="L1" s="542"/>
      <c r="M1" s="542"/>
      <c r="N1" s="542"/>
      <c r="O1" s="542"/>
      <c r="P1" s="733" t="str">
        <f>'VN1'!$A$53</f>
        <v>801/64/</v>
      </c>
      <c r="Q1" s="732" t="str">
        <f>algemeen!$J$66</f>
        <v>2010/13RE-1234/0</v>
      </c>
      <c r="R1" s="542"/>
      <c r="S1" s="542"/>
      <c r="T1" s="543"/>
    </row>
    <row r="2" spans="1:20" s="208" customFormat="1" ht="13" x14ac:dyDescent="0.35"/>
    <row r="3" spans="1:20" s="208" customFormat="1" ht="13" x14ac:dyDescent="0.35">
      <c r="A3" s="208" t="str">
        <f>studie!B133</f>
        <v>Toegepaste norm voor de bepaling van de mengseldichtheid:</v>
      </c>
      <c r="N3" s="208" t="str">
        <f>studie!I133</f>
        <v>EN 12697-5</v>
      </c>
    </row>
    <row r="4" spans="1:20" s="208" customFormat="1" ht="13" x14ac:dyDescent="0.35">
      <c r="A4" s="208" t="str">
        <f>studie!B134</f>
        <v>Toegepaste methode voor de bepaling van de mengseldichtheid:</v>
      </c>
      <c r="N4" s="208" t="str">
        <f>IF(studie!J134="A","A (volumetrisch)",IF(studie!J134="B","B (hydrostatisch)","C (berekend)"))</f>
        <v>A (volumetrisch)</v>
      </c>
    </row>
    <row r="5" spans="1:20" s="208" customFormat="1" ht="13" x14ac:dyDescent="0.35">
      <c r="A5" s="208" t="str">
        <f>IF(studie!J134="A",studie!B135,IF(studie!J134="C",studie!B136,""))</f>
        <v>Vloeistof in pyknometers:</v>
      </c>
      <c r="N5" s="311" t="str">
        <f>IF(studie!J134="A",studie!I135,IF(studie!J134="C",studie!H136,""))</f>
        <v>water</v>
      </c>
    </row>
    <row r="6" spans="1:20" s="208" customFormat="1" ht="13" x14ac:dyDescent="0.35">
      <c r="A6" s="208" t="str">
        <f>IF(studie!J134="C",studie!B138,studie!B137)</f>
        <v>Gemiddelde temperatuur van het waterbad:</v>
      </c>
      <c r="N6" s="208" t="str">
        <f>IF(studie!J134="C",studie!J138&amp;" Mg/m³",studie!J137&amp;" °C")</f>
        <v>24 °C</v>
      </c>
    </row>
    <row r="7" spans="1:20" s="208" customFormat="1" ht="13" x14ac:dyDescent="0.35">
      <c r="A7" s="208" t="str">
        <f>IF(studie!J134="C",studie!B139,studie!B140)</f>
        <v>Volumemassa water bij 24 °C:</v>
      </c>
      <c r="N7" s="208" t="str">
        <f>IF(studie!J134="C",studie!J139&amp;" Mg/m³",ROUND(studie!J140,4)&amp;" Mg/m³")</f>
        <v>0,9974 Mg/m³</v>
      </c>
    </row>
    <row r="8" spans="1:20" s="208" customFormat="1" ht="13.5" thickBot="1" x14ac:dyDescent="0.4"/>
    <row r="9" spans="1:20" s="208" customFormat="1" ht="15" x14ac:dyDescent="0.35">
      <c r="A9" s="244" t="s">
        <v>183</v>
      </c>
      <c r="B9" s="245"/>
      <c r="C9" s="610" t="str">
        <f>IF(studie!J134="A","Massa pycnometers (g)",IF(studie!J134="B","Massa recipiënt (g)",""))</f>
        <v>Massa pycnometers (g)</v>
      </c>
      <c r="D9" s="245"/>
      <c r="E9" s="245"/>
      <c r="F9" s="245"/>
      <c r="G9" s="245"/>
      <c r="H9" s="245"/>
      <c r="I9" s="245"/>
      <c r="J9" s="245"/>
      <c r="K9" s="245"/>
      <c r="L9" s="245"/>
      <c r="M9" s="245"/>
      <c r="N9" s="245"/>
      <c r="O9" s="245"/>
      <c r="P9" s="245"/>
      <c r="Q9" s="245"/>
      <c r="R9" s="656" t="str">
        <f>IF(studie!J134="A","Volume pycnometer","")</f>
        <v>Volume pycnometer</v>
      </c>
      <c r="S9" s="658" t="s">
        <v>820</v>
      </c>
      <c r="T9" s="659" t="str">
        <f>IF(studie!$J$134="A","m v",IF(studie!$J134="B","m h",IF(studie!$J134="C","m c","")))</f>
        <v>m v</v>
      </c>
    </row>
    <row r="10" spans="1:20" s="208" customFormat="1" ht="13" x14ac:dyDescent="0.35">
      <c r="A10" s="247" t="s">
        <v>185</v>
      </c>
      <c r="B10" s="248"/>
      <c r="C10" s="612" t="str">
        <f>IF(OR(studie!J134="A",studie!J134="B"),"leeg (m1)","")</f>
        <v>leeg (m1)</v>
      </c>
      <c r="D10" s="248"/>
      <c r="E10" s="248"/>
      <c r="F10" s="248" t="str">
        <f>IF(studie!J134="A","+ monster (m2)",IF(studie!J134="B","leeg in water (m2)",""))</f>
        <v>+ monster (m2)</v>
      </c>
      <c r="G10" s="248"/>
      <c r="H10" s="248"/>
      <c r="I10" s="248" t="str">
        <f>IF(studie!J134="A","+ monster + vloeistof (m3)",IF(studie!J134="B","gevuld (m3)",""))</f>
        <v>+ monster + vloeistof (m3)</v>
      </c>
      <c r="J10" s="248"/>
      <c r="K10" s="248"/>
      <c r="L10" s="248"/>
      <c r="M10" s="248"/>
      <c r="N10" s="248"/>
      <c r="O10" s="248"/>
      <c r="P10" s="552"/>
      <c r="Q10" s="552"/>
      <c r="R10" s="651" t="str">
        <f>IF(studie!J134="A","(m³)",IF(studie!J134="B","gevuld in water (m4)",""))</f>
        <v>(m³)</v>
      </c>
      <c r="S10" s="652" t="s">
        <v>418</v>
      </c>
      <c r="T10" s="249"/>
    </row>
    <row r="11" spans="1:20" s="208" customFormat="1" ht="13" x14ac:dyDescent="0.35">
      <c r="A11" s="1907">
        <f>IF(studie!AB146="","",studie!B146)</f>
        <v>3.5500000000000003</v>
      </c>
      <c r="B11" s="686"/>
      <c r="C11" s="632">
        <f>IF(studie!AB146="","",IF(studie!$J$134="A",studie!F146,IF(studie!$J$134="B",studie!O146,"")))</f>
        <v>100</v>
      </c>
      <c r="D11" s="637"/>
      <c r="E11" s="635"/>
      <c r="F11" s="636">
        <f>IF(studie!AB146="","",IF(studie!$J$134="A",studie!H146,IF(studie!$J$134="B",studie!Q146,"")))</f>
        <v>1100</v>
      </c>
      <c r="G11" s="637"/>
      <c r="H11" s="635"/>
      <c r="I11" s="636">
        <f>IF(studie!AB146="","",IF(studie!$J$134="A",studie!J146,IF(studie!$J$134="B",studie!T146,"")))</f>
        <v>2000</v>
      </c>
      <c r="J11" s="638"/>
      <c r="K11" s="638"/>
      <c r="L11" s="638"/>
      <c r="M11" s="638"/>
      <c r="N11" s="639"/>
      <c r="O11" s="983">
        <f>IF(studie!AB146="","",IF(studie!$J$134="A",studie!M146,IF(studie!$J$134="B",ROUND(studie!V146,1),"")))</f>
        <v>1.2999999999999999E-3</v>
      </c>
      <c r="P11" s="637"/>
      <c r="Q11" s="637"/>
      <c r="R11" s="637"/>
      <c r="S11" s="653">
        <f>IF(studie!AB146="","",studie!AB146)</f>
        <v>2.5149219191888523</v>
      </c>
      <c r="T11" s="648"/>
    </row>
    <row r="12" spans="1:20" s="208" customFormat="1" ht="13" x14ac:dyDescent="0.35">
      <c r="A12" s="1908">
        <f>IF(studie!AB148="","",studie!B148)</f>
        <v>3.85</v>
      </c>
      <c r="B12" s="643"/>
      <c r="C12" s="640">
        <f>IF(studie!AB148="","",IF(studie!$J$134="A",studie!F148,IF(studie!$J$134="B",studie!O148,"")))</f>
        <v>101</v>
      </c>
      <c r="D12" s="643"/>
      <c r="E12" s="641"/>
      <c r="F12" s="642">
        <f>IF(studie!AB148="","",IF(studie!$J$134="A",studie!H148,IF(studie!$J$134="B",studie!Q148,"")))</f>
        <v>1101</v>
      </c>
      <c r="G12" s="643"/>
      <c r="H12" s="641"/>
      <c r="I12" s="642">
        <f>IF(studie!AB148="","",IF(studie!$J$134="A",studie!J148,IF(studie!$J$134="B",studie!T148,"")))</f>
        <v>2001</v>
      </c>
      <c r="J12" s="643"/>
      <c r="K12" s="643"/>
      <c r="L12" s="643"/>
      <c r="M12" s="643"/>
      <c r="N12" s="641"/>
      <c r="O12" s="756">
        <f>IF(studie!AB148="","",IF(studie!$J$134="A",studie!M148,IF(studie!$J$134="B",ROUND(studie!V148,1),"")))</f>
        <v>1.2340000000000001E-3</v>
      </c>
      <c r="P12" s="643"/>
      <c r="Q12" s="643"/>
      <c r="R12" s="643"/>
      <c r="S12" s="654">
        <f>IF(studie!AB148="","",studie!AB148)</f>
        <v>3.0154391189857619</v>
      </c>
      <c r="T12" s="649"/>
    </row>
    <row r="13" spans="1:20" s="208" customFormat="1" ht="13.5" thickBot="1" x14ac:dyDescent="0.4">
      <c r="A13" s="1909">
        <f>IF(studie!AB150="","",studie!B150)</f>
        <v>4.1500000000000004</v>
      </c>
      <c r="B13" s="647"/>
      <c r="C13" s="644">
        <f>IF(studie!AB150="","",IF(studie!$J$134="A",studie!F150,IF(studie!$J$134="B",studie!O150,"")))</f>
        <v>102</v>
      </c>
      <c r="D13" s="647"/>
      <c r="E13" s="645"/>
      <c r="F13" s="646">
        <f>IF(studie!AB150="","",IF(studie!$J$134="A",studie!H150,IF(studie!$J$134="B",studie!Q150,"")))</f>
        <v>1102</v>
      </c>
      <c r="G13" s="647"/>
      <c r="H13" s="645"/>
      <c r="I13" s="646">
        <f>IF(studie!AB150="","",IF(studie!$J$134="A",studie!J150,IF(studie!$J$134="B",studie!T150,"")))</f>
        <v>2002</v>
      </c>
      <c r="J13" s="647"/>
      <c r="K13" s="647"/>
      <c r="L13" s="647"/>
      <c r="M13" s="647"/>
      <c r="N13" s="645"/>
      <c r="O13" s="984">
        <f>IF(studie!AB150="","",IF(studie!$J$134="A",studie!M150,IF(studie!$J$134="B",ROUND(studie!V150,1),"")))</f>
        <v>1.42E-3</v>
      </c>
      <c r="P13" s="647"/>
      <c r="Q13" s="647"/>
      <c r="R13" s="647"/>
      <c r="S13" s="655">
        <f>IF(studie!AB150="","",studie!AB150)</f>
        <v>1.9318943159117228</v>
      </c>
      <c r="T13" s="650"/>
    </row>
    <row r="14" spans="1:20" s="208" customFormat="1" ht="15" customHeight="1" x14ac:dyDescent="0.35"/>
    <row r="15" spans="1:20" s="208" customFormat="1" ht="15" customHeight="1" x14ac:dyDescent="0.35"/>
    <row r="16" spans="1:20" s="208" customFormat="1" ht="15" customHeight="1" x14ac:dyDescent="0.35"/>
    <row r="17" spans="1:20" ht="15" customHeight="1" x14ac:dyDescent="0.35">
      <c r="A17" s="541" t="s">
        <v>1455</v>
      </c>
      <c r="B17" s="542"/>
      <c r="C17" s="542"/>
      <c r="D17" s="542"/>
      <c r="E17" s="542"/>
      <c r="F17" s="542"/>
      <c r="G17" s="542"/>
      <c r="H17" s="542"/>
      <c r="I17" s="542"/>
      <c r="J17" s="542"/>
      <c r="K17" s="542"/>
      <c r="L17" s="542"/>
      <c r="M17" s="542"/>
      <c r="N17" s="542"/>
      <c r="O17" s="542"/>
      <c r="P17" s="733" t="str">
        <f>'VN1'!$A$53</f>
        <v>801/64/</v>
      </c>
      <c r="Q17" s="732" t="str">
        <f>algemeen!$J$66</f>
        <v>2010/13RE-1234/0</v>
      </c>
      <c r="R17" s="542"/>
      <c r="S17" s="542"/>
      <c r="T17" s="543"/>
    </row>
    <row r="18" spans="1:20" s="208" customFormat="1" ht="13" x14ac:dyDescent="0.35"/>
    <row r="19" spans="1:20" s="208" customFormat="1" ht="13" x14ac:dyDescent="0.35">
      <c r="A19" s="208" t="str">
        <f>studie!B31</f>
        <v>Toegepaste norm voor de bepaling van de afmetingen:</v>
      </c>
      <c r="L19" s="208" t="str">
        <f>IF(studie!K228="EN 12697-31","",studie!H31)</f>
        <v/>
      </c>
    </row>
    <row r="20" spans="1:20" s="208" customFormat="1" ht="13.5" thickBot="1" x14ac:dyDescent="0.4"/>
    <row r="21" spans="1:20" s="208" customFormat="1" ht="13" x14ac:dyDescent="0.35">
      <c r="A21" s="1004" t="s">
        <v>829</v>
      </c>
      <c r="B21" s="996" t="s">
        <v>831</v>
      </c>
      <c r="C21" s="610" t="s">
        <v>374</v>
      </c>
      <c r="D21" s="245"/>
      <c r="E21" s="245"/>
      <c r="F21" s="245"/>
      <c r="G21" s="245"/>
      <c r="H21" s="610" t="s">
        <v>930</v>
      </c>
      <c r="I21" s="245"/>
      <c r="J21" s="245"/>
      <c r="K21" s="245"/>
      <c r="L21" s="245"/>
      <c r="M21" s="245"/>
      <c r="N21" s="245"/>
      <c r="O21" s="610" t="s">
        <v>448</v>
      </c>
      <c r="P21" s="245"/>
      <c r="Q21" s="610" t="s">
        <v>487</v>
      </c>
      <c r="R21" s="245"/>
      <c r="S21" s="245"/>
      <c r="T21" s="246"/>
    </row>
    <row r="22" spans="1:20" s="208" customFormat="1" ht="13" x14ac:dyDescent="0.35">
      <c r="A22" s="1005" t="s">
        <v>830</v>
      </c>
      <c r="B22" s="997" t="s">
        <v>338</v>
      </c>
      <c r="C22" s="866"/>
      <c r="D22" s="738"/>
      <c r="E22" s="738"/>
      <c r="F22" s="738"/>
      <c r="G22" s="861"/>
      <c r="H22" s="866"/>
      <c r="I22" s="415"/>
      <c r="J22" s="415"/>
      <c r="K22" s="415"/>
      <c r="L22" s="415"/>
      <c r="M22" s="415"/>
      <c r="N22" s="415"/>
      <c r="O22" s="862" t="s">
        <v>929</v>
      </c>
      <c r="P22" s="738"/>
      <c r="Q22" s="862" t="s">
        <v>931</v>
      </c>
      <c r="R22" s="738"/>
      <c r="S22" s="863" t="s">
        <v>932</v>
      </c>
      <c r="T22" s="865"/>
    </row>
    <row r="23" spans="1:20" s="208" customFormat="1" ht="13" x14ac:dyDescent="0.35">
      <c r="A23" s="1006" t="s">
        <v>185</v>
      </c>
      <c r="B23" s="998"/>
      <c r="C23" s="612">
        <v>1</v>
      </c>
      <c r="D23" s="614">
        <v>2</v>
      </c>
      <c r="E23" s="614">
        <v>3</v>
      </c>
      <c r="F23" s="614">
        <v>4</v>
      </c>
      <c r="G23" s="248" t="s">
        <v>339</v>
      </c>
      <c r="H23" s="612">
        <v>1</v>
      </c>
      <c r="I23" s="614">
        <v>2</v>
      </c>
      <c r="J23" s="614">
        <v>3</v>
      </c>
      <c r="K23" s="614">
        <v>4</v>
      </c>
      <c r="L23" s="614">
        <v>5</v>
      </c>
      <c r="M23" s="614">
        <v>6</v>
      </c>
      <c r="N23" s="248" t="s">
        <v>339</v>
      </c>
      <c r="O23" s="612" t="s">
        <v>371</v>
      </c>
      <c r="P23" s="248"/>
      <c r="Q23" s="612" t="s">
        <v>488</v>
      </c>
      <c r="R23" s="248"/>
      <c r="S23" s="704" t="s">
        <v>488</v>
      </c>
      <c r="T23" s="249"/>
    </row>
    <row r="24" spans="1:20" s="208" customFormat="1" ht="13" x14ac:dyDescent="0.35">
      <c r="A24" s="1895">
        <f>IF($B24="","",VLOOKUP($B24,studie!$B$38:$U$127,3,FALSE))</f>
        <v>3.5500000000000003</v>
      </c>
      <c r="B24" s="999" t="str">
        <f>IF(studie!D240="","",studie!D240)</f>
        <v>A1</v>
      </c>
      <c r="C24" s="615">
        <f>IF($B24="","",IF(VLOOKUP($B24,studie!$B$38:$Y$127,5,FALSE)="","",VLOOKUP($B24,studie!$B$38:$Y$127,5,FALSE)))</f>
        <v>62</v>
      </c>
      <c r="D24" s="616" t="str">
        <f>IF($B24="","",IF(VLOOKUP($B24,studie!$B$38:$Y$127,6,FALSE)="","",VLOOKUP($B24,studie!$B$38:$Y$127,6,FALSE)))</f>
        <v/>
      </c>
      <c r="E24" s="616" t="str">
        <f>IF($B24="","",IF(VLOOKUP($B24,studie!$B$38:$Y$127,7,FALSE)="","",VLOOKUP($B24,studie!$B$38:$Y$127,7,FALSE)))</f>
        <v/>
      </c>
      <c r="F24" s="616" t="str">
        <f>IF($B24="","",IF(VLOOKUP($B24,studie!$B$38:$Y$127,8,FALSE)="","",VLOOKUP($B24,studie!$B$38:$Y$127,8,FALSE)))</f>
        <v/>
      </c>
      <c r="G24" s="617">
        <f>IF($B24="","",IF(VLOOKUP($B24,studie!$B$38:$Y$127,9,FALSE)="","",VLOOKUP($B24,studie!$B$38:$Y$127,9,FALSE)))</f>
        <v>62</v>
      </c>
      <c r="H24" s="615" t="str">
        <f>IF($B24="","",IF(VLOOKUP($B24,studie!$B$38:$Y$127,10,FALSE)="","",VLOOKUP($B24,studie!$B$38:$Y$127,10,FALSE)))</f>
        <v/>
      </c>
      <c r="I24" s="616" t="str">
        <f>IF($B24="","",IF(VLOOKUP($B24,studie!$B$38:$Y$127,11,FALSE)="","",VLOOKUP($B24,studie!$B$38:$Y$127,11,FALSE)))</f>
        <v/>
      </c>
      <c r="J24" s="616" t="str">
        <f>IF($B24="","",IF(VLOOKUP($B24,studie!$B$38:$Y$127,12,FALSE)="","",VLOOKUP($B24,studie!$B$38:$Y$127,12,FALSE)))</f>
        <v/>
      </c>
      <c r="K24" s="616" t="str">
        <f>IF($B24="","",IF(VLOOKUP($B24,studie!$B$38:$Y$127,13,FALSE)="","",VLOOKUP($B24,studie!$B$38:$Y$127,13,FALSE)))</f>
        <v/>
      </c>
      <c r="L24" s="616" t="str">
        <f>IF($B24="","",IF(VLOOKUP($B24,studie!$B$38:$Y$127,14,FALSE)="","",VLOOKUP($B24,studie!$B$38:$Y$127,14,FALSE)))</f>
        <v/>
      </c>
      <c r="M24" s="616" t="str">
        <f>IF($B24="","",IF(VLOOKUP($B24,studie!$B$38:$Y$127,15,FALSE)="","",VLOOKUP($B24,studie!$B$38:$Y$127,15,FALSE)))</f>
        <v/>
      </c>
      <c r="N24" s="617" t="str">
        <f>IF($B24="","",IF(VLOOKUP($B24,studie!$B$38:$Y$127,16,FALSE)="","",VLOOKUP($B24,studie!$B$38:$Y$127,16,FALSE)))</f>
        <v/>
      </c>
      <c r="O24" s="615">
        <f>IF($B24="","",VLOOKUP($B24,studie!$B$38:$Y$127,17,FALSE))</f>
        <v>100</v>
      </c>
      <c r="P24" s="617"/>
      <c r="Q24" s="1733">
        <f>IF($B24="","",VLOOKUP($B24,studie!$B$38:$Y$127,21,FALSE))</f>
        <v>170</v>
      </c>
      <c r="R24" s="1741"/>
      <c r="S24" s="1738">
        <f>IF($B24="","",VLOOKUP($B24,studie!$B$38:$Y$127,23,FALSE))</f>
        <v>140</v>
      </c>
      <c r="T24" s="1742"/>
    </row>
    <row r="25" spans="1:20" s="208" customFormat="1" ht="13" x14ac:dyDescent="0.35">
      <c r="A25" s="1896"/>
      <c r="B25" s="999" t="str">
        <f>IF(studie!D241="","",studie!D241)</f>
        <v>A2</v>
      </c>
      <c r="C25" s="615">
        <f>IF($B25="","",IF(VLOOKUP($B25,studie!$B$38:$Y$127,5,FALSE)="","",VLOOKUP($B25,studie!$B$38:$Y$127,5,FALSE)))</f>
        <v>64</v>
      </c>
      <c r="D25" s="616" t="str">
        <f>IF($B25="","",IF(VLOOKUP($B25,studie!$B$38:$Y$127,6,FALSE)="","",VLOOKUP($B25,studie!$B$38:$Y$127,6,FALSE)))</f>
        <v/>
      </c>
      <c r="E25" s="616" t="str">
        <f>IF($B25="","",IF(VLOOKUP($B25,studie!$B$38:$Y$127,7,FALSE)="","",VLOOKUP($B25,studie!$B$38:$Y$127,7,FALSE)))</f>
        <v/>
      </c>
      <c r="F25" s="616" t="str">
        <f>IF($B25="","",IF(VLOOKUP($B25,studie!$B$38:$Y$127,8,FALSE)="","",VLOOKUP($B25,studie!$B$38:$Y$127,8,FALSE)))</f>
        <v/>
      </c>
      <c r="G25" s="617">
        <f>IF($B25="","",IF(VLOOKUP($B25,studie!$B$38:$Y$127,9,FALSE)="","",VLOOKUP($B25,studie!$B$38:$Y$127,9,FALSE)))</f>
        <v>64</v>
      </c>
      <c r="H25" s="620">
        <f>IF($B25="","",IF(VLOOKUP($B25,studie!$B$38:$Y$127,10,FALSE)="","",VLOOKUP($B25,studie!$B$38:$Y$127,10,FALSE)))</f>
        <v>102</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f>IF($B25="","",IF(VLOOKUP($B25,studie!$B$38:$Y$127,16,FALSE)="","",VLOOKUP($B25,studie!$B$38:$Y$127,16,FALSE)))</f>
        <v>102</v>
      </c>
      <c r="O25" s="620">
        <f>IF($B25="","",VLOOKUP($B25,studie!$B$38:$Y$127,17,FALSE))</f>
        <v>0</v>
      </c>
      <c r="P25" s="618"/>
      <c r="Q25" s="1734">
        <f>IF($B25="","",VLOOKUP($B25,studie!$B$38:$Y$127,21,FALSE))</f>
        <v>171</v>
      </c>
      <c r="R25" s="1771"/>
      <c r="S25" s="1737">
        <f>IF($B25="","",VLOOKUP($B25,studie!$B$38:$Y$127,23,FALSE))</f>
        <v>141</v>
      </c>
      <c r="T25" s="1772"/>
    </row>
    <row r="26" spans="1:20" s="208" customFormat="1" ht="13" x14ac:dyDescent="0.35">
      <c r="A26" s="1897"/>
      <c r="B26" s="999" t="str">
        <f>IF(studie!D242="","",studie!D242)</f>
        <v>A3</v>
      </c>
      <c r="C26" s="626">
        <f>IF($B26="","",IF(VLOOKUP($B26,studie!$B$38:$Y$127,5,FALSE)="","",VLOOKUP($B26,studie!$B$38:$Y$127,5,FALSE)))</f>
        <v>63</v>
      </c>
      <c r="D26" s="625" t="str">
        <f>IF($B26="","",IF(VLOOKUP($B26,studie!$B$38:$Y$127,6,FALSE)="","",VLOOKUP($B26,studie!$B$38:$Y$127,6,FALSE)))</f>
        <v/>
      </c>
      <c r="E26" s="625" t="str">
        <f>IF($B26="","",IF(VLOOKUP($B26,studie!$B$38:$Y$127,7,FALSE)="","",VLOOKUP($B26,studie!$B$38:$Y$127,7,FALSE)))</f>
        <v/>
      </c>
      <c r="F26" s="625" t="str">
        <f>IF($B26="","",IF(VLOOKUP($B26,studie!$B$38:$Y$127,8,FALSE)="","",VLOOKUP($B26,studie!$B$38:$Y$127,8,FALSE)))</f>
        <v/>
      </c>
      <c r="G26" s="1780">
        <f>IF($B26="","",IF(VLOOKUP($B26,studie!$B$38:$Y$127,9,FALSE)="","",VLOOKUP($B26,studie!$B$38:$Y$127,9,FALSE)))</f>
        <v>63</v>
      </c>
      <c r="H26" s="620">
        <f>IF($B26="","",IF(VLOOKUP($B26,studie!$B$38:$Y$127,10,FALSE)="","",VLOOKUP($B26,studie!$B$38:$Y$127,10,FALSE)))</f>
        <v>103</v>
      </c>
      <c r="I26" s="619" t="str">
        <f>IF($B26="","",IF(VLOOKUP($B26,studie!$B$38:$Y$127,11,FALSE)="","",VLOOKUP($B26,studie!$B$38:$Y$127,11,FALSE)))</f>
        <v/>
      </c>
      <c r="J26" s="619" t="str">
        <f>IF($B26="","",IF(VLOOKUP($B26,studie!$B$38:$Y$127,12,FALSE)="","",VLOOKUP($B26,studie!$B$38:$Y$127,12,FALSE)))</f>
        <v/>
      </c>
      <c r="K26" s="619" t="str">
        <f>IF($B26="","",IF(VLOOKUP($B26,studie!$B$38:$Y$127,13,FALSE)="","",VLOOKUP($B26,studie!$B$38:$Y$127,13,FALSE)))</f>
        <v/>
      </c>
      <c r="L26" s="619" t="str">
        <f>IF($B26="","",IF(VLOOKUP($B26,studie!$B$38:$Y$127,14,FALSE)="","",VLOOKUP($B26,studie!$B$38:$Y$127,14,FALSE)))</f>
        <v/>
      </c>
      <c r="M26" s="619" t="str">
        <f>IF($B26="","",IF(VLOOKUP($B26,studie!$B$38:$Y$127,15,FALSE)="","",VLOOKUP($B26,studie!$B$38:$Y$127,15,FALSE)))</f>
        <v/>
      </c>
      <c r="N26" s="618">
        <f>IF($B26="","",IF(VLOOKUP($B26,studie!$B$38:$Y$127,16,FALSE)="","",VLOOKUP($B26,studie!$B$38:$Y$127,16,FALSE)))</f>
        <v>103</v>
      </c>
      <c r="O26" s="620">
        <f>IF($B26="","",VLOOKUP($B26,studie!$B$38:$Y$127,17,FALSE))</f>
        <v>101.6</v>
      </c>
      <c r="P26" s="618"/>
      <c r="Q26" s="1734">
        <f>IF($B26="","",VLOOKUP($B26,studie!$B$38:$Y$127,21,FALSE))</f>
        <v>172</v>
      </c>
      <c r="R26" s="1771"/>
      <c r="S26" s="1737">
        <f>IF($B26="","",VLOOKUP($B26,studie!$B$38:$Y$127,23,FALSE))</f>
        <v>142</v>
      </c>
      <c r="T26" s="1772"/>
    </row>
    <row r="27" spans="1:20" s="208" customFormat="1" ht="13" x14ac:dyDescent="0.35">
      <c r="A27" s="1895">
        <f>IF($B27="","",VLOOKUP($B27,studie!$B$38:$U$127,3,FALSE))</f>
        <v>3.85</v>
      </c>
      <c r="B27" s="1854" t="str">
        <f>IF(studie!D245="","",studie!D245)</f>
        <v>B1</v>
      </c>
      <c r="C27" s="615">
        <f>IF($B27="","",IF(VLOOKUP($B27,studie!$B$38:$Y$127,5,FALSE)="","",VLOOKUP($B27,studie!$B$38:$Y$127,5,FALSE)))</f>
        <v>75</v>
      </c>
      <c r="D27" s="616" t="str">
        <f>IF($B27="","",IF(VLOOKUP($B27,studie!$B$38:$Y$127,6,FALSE)="","",VLOOKUP($B27,studie!$B$38:$Y$127,6,FALSE)))</f>
        <v/>
      </c>
      <c r="E27" s="616" t="str">
        <f>IF($B27="","",IF(VLOOKUP($B27,studie!$B$38:$Y$127,7,FALSE)="","",VLOOKUP($B27,studie!$B$38:$Y$127,7,FALSE)))</f>
        <v/>
      </c>
      <c r="F27" s="616" t="str">
        <f>IF($B27="","",IF(VLOOKUP($B27,studie!$B$38:$Y$127,8,FALSE)="","",VLOOKUP($B27,studie!$B$38:$Y$127,8,FALSE)))</f>
        <v/>
      </c>
      <c r="G27" s="617">
        <f>IF($B27="","",IF(VLOOKUP($B27,studie!$B$38:$Y$127,9,FALSE)="","",VLOOKUP($B27,studie!$B$38:$Y$127,9,FALSE)))</f>
        <v>75</v>
      </c>
      <c r="H27" s="623">
        <f>IF($B27="","",IF(VLOOKUP($B27,studie!$B$38:$Y$127,10,FALSE)="","",VLOOKUP($B27,studie!$B$38:$Y$127,10,FALSE)))</f>
        <v>101.1</v>
      </c>
      <c r="I27" s="622" t="str">
        <f>IF($B27="","",IF(VLOOKUP($B27,studie!$B$38:$Y$127,11,FALSE)="","",VLOOKUP($B27,studie!$B$38:$Y$127,11,FALSE)))</f>
        <v/>
      </c>
      <c r="J27" s="622" t="str">
        <f>IF($B27="","",IF(VLOOKUP($B27,studie!$B$38:$Y$127,12,FALSE)="","",VLOOKUP($B27,studie!$B$38:$Y$127,12,FALSE)))</f>
        <v/>
      </c>
      <c r="K27" s="622" t="str">
        <f>IF($B27="","",IF(VLOOKUP($B27,studie!$B$38:$Y$127,13,FALSE)="","",VLOOKUP($B27,studie!$B$38:$Y$127,13,FALSE)))</f>
        <v/>
      </c>
      <c r="L27" s="622" t="str">
        <f>IF($B27="","",IF(VLOOKUP($B27,studie!$B$38:$Y$127,14,FALSE)="","",VLOOKUP($B27,studie!$B$38:$Y$127,14,FALSE)))</f>
        <v/>
      </c>
      <c r="M27" s="622" t="str">
        <f>IF($B27="","",IF(VLOOKUP($B27,studie!$B$38:$Y$127,15,FALSE)="","",VLOOKUP($B27,studie!$B$38:$Y$127,15,FALSE)))</f>
        <v/>
      </c>
      <c r="N27" s="621">
        <f>IF($B27="","",IF(VLOOKUP($B27,studie!$B$38:$Y$127,16,FALSE)="","",VLOOKUP($B27,studie!$B$38:$Y$127,16,FALSE)))</f>
        <v>101.1</v>
      </c>
      <c r="O27" s="623">
        <f>IF($B27="","",VLOOKUP($B27,studie!$B$38:$Y$127,17,FALSE))</f>
        <v>101.6</v>
      </c>
      <c r="P27" s="621"/>
      <c r="Q27" s="1735">
        <f>IF($B27="","",VLOOKUP($B27,studie!$B$38:$Y$127,21,FALSE))</f>
        <v>180</v>
      </c>
      <c r="R27" s="1751"/>
      <c r="S27" s="1740">
        <f>IF($B27="","",VLOOKUP($B27,studie!$B$38:$Y$127,23,FALSE))</f>
        <v>150</v>
      </c>
      <c r="T27" s="1752"/>
    </row>
    <row r="28" spans="1:20" s="208" customFormat="1" ht="13" x14ac:dyDescent="0.35">
      <c r="A28" s="1896"/>
      <c r="B28" s="1855" t="str">
        <f>IF(studie!D246="","",studie!D246)</f>
        <v>B2</v>
      </c>
      <c r="C28" s="615">
        <f>IF($B28="","",IF(VLOOKUP($B28,studie!$B$38:$Y$127,5,FALSE)="","",VLOOKUP($B28,studie!$B$38:$Y$127,5,FALSE)))</f>
        <v>74</v>
      </c>
      <c r="D28" s="616" t="str">
        <f>IF($B28="","",IF(VLOOKUP($B28,studie!$B$38:$Y$127,6,FALSE)="","",VLOOKUP($B28,studie!$B$38:$Y$127,6,FALSE)))</f>
        <v/>
      </c>
      <c r="E28" s="616" t="str">
        <f>IF($B28="","",IF(VLOOKUP($B28,studie!$B$38:$Y$127,7,FALSE)="","",VLOOKUP($B28,studie!$B$38:$Y$127,7,FALSE)))</f>
        <v/>
      </c>
      <c r="F28" s="616" t="str">
        <f>IF($B28="","",IF(VLOOKUP($B28,studie!$B$38:$Y$127,8,FALSE)="","",VLOOKUP($B28,studie!$B$38:$Y$127,8,FALSE)))</f>
        <v/>
      </c>
      <c r="G28" s="617">
        <f>IF($B28="","",IF(VLOOKUP($B28,studie!$B$38:$Y$127,9,FALSE)="","",VLOOKUP($B28,studie!$B$38:$Y$127,9,FALSE)))</f>
        <v>74</v>
      </c>
      <c r="H28" s="620">
        <f>IF($B28="","",IF(VLOOKUP($B28,studie!$B$38:$Y$127,10,FALSE)="","",VLOOKUP($B28,studie!$B$38:$Y$127,10,FALSE)))</f>
        <v>101.2</v>
      </c>
      <c r="I28" s="619" t="str">
        <f>IF($B28="","",IF(VLOOKUP($B28,studie!$B$38:$Y$127,11,FALSE)="","",VLOOKUP($B28,studie!$B$38:$Y$127,11,FALSE)))</f>
        <v/>
      </c>
      <c r="J28" s="619" t="str">
        <f>IF($B28="","",IF(VLOOKUP($B28,studie!$B$38:$Y$127,12,FALSE)="","",VLOOKUP($B28,studie!$B$38:$Y$127,12,FALSE)))</f>
        <v/>
      </c>
      <c r="K28" s="619" t="str">
        <f>IF($B28="","",IF(VLOOKUP($B28,studie!$B$38:$Y$127,13,FALSE)="","",VLOOKUP($B28,studie!$B$38:$Y$127,13,FALSE)))</f>
        <v/>
      </c>
      <c r="L28" s="619" t="str">
        <f>IF($B28="","",IF(VLOOKUP($B28,studie!$B$38:$Y$127,14,FALSE)="","",VLOOKUP($B28,studie!$B$38:$Y$127,14,FALSE)))</f>
        <v/>
      </c>
      <c r="M28" s="619" t="str">
        <f>IF($B28="","",IF(VLOOKUP($B28,studie!$B$38:$Y$127,15,FALSE)="","",VLOOKUP($B28,studie!$B$38:$Y$127,15,FALSE)))</f>
        <v/>
      </c>
      <c r="N28" s="618">
        <f>IF($B28="","",IF(VLOOKUP($B28,studie!$B$38:$Y$127,16,FALSE)="","",VLOOKUP($B28,studie!$B$38:$Y$127,16,FALSE)))</f>
        <v>101.2</v>
      </c>
      <c r="O28" s="620">
        <f>IF($B28="","",VLOOKUP($B28,studie!$B$38:$Y$127,17,FALSE))</f>
        <v>101.6</v>
      </c>
      <c r="P28" s="618"/>
      <c r="Q28" s="1734">
        <f>IF($B28="","",VLOOKUP($B28,studie!$B$38:$Y$127,21,FALSE))</f>
        <v>181</v>
      </c>
      <c r="R28" s="1771"/>
      <c r="S28" s="1737">
        <f>IF($B28="","",VLOOKUP($B28,studie!$B$38:$Y$127,23,FALSE))</f>
        <v>151</v>
      </c>
      <c r="T28" s="1772"/>
    </row>
    <row r="29" spans="1:20" s="208" customFormat="1" ht="13" x14ac:dyDescent="0.35">
      <c r="A29" s="1897"/>
      <c r="B29" s="1853" t="str">
        <f>IF(studie!D247="","",studie!D247)</f>
        <v>B3</v>
      </c>
      <c r="C29" s="626">
        <f>IF($B29="","",IF(VLOOKUP($B29,studie!$B$38:$Y$127,5,FALSE)="","",VLOOKUP($B29,studie!$B$38:$Y$127,5,FALSE)))</f>
        <v>73</v>
      </c>
      <c r="D29" s="625" t="str">
        <f>IF($B29="","",IF(VLOOKUP($B29,studie!$B$38:$Y$127,6,FALSE)="","",VLOOKUP($B29,studie!$B$38:$Y$127,6,FALSE)))</f>
        <v/>
      </c>
      <c r="E29" s="625" t="str">
        <f>IF($B29="","",IF(VLOOKUP($B29,studie!$B$38:$Y$127,7,FALSE)="","",VLOOKUP($B29,studie!$B$38:$Y$127,7,FALSE)))</f>
        <v/>
      </c>
      <c r="F29" s="625" t="str">
        <f>IF($B29="","",IF(VLOOKUP($B29,studie!$B$38:$Y$127,8,FALSE)="","",VLOOKUP($B29,studie!$B$38:$Y$127,8,FALSE)))</f>
        <v/>
      </c>
      <c r="G29" s="1780">
        <f>IF($B29="","",IF(VLOOKUP($B29,studie!$B$38:$Y$127,9,FALSE)="","",VLOOKUP($B29,studie!$B$38:$Y$127,9,FALSE)))</f>
        <v>73</v>
      </c>
      <c r="H29" s="626">
        <f>IF($B29="","",IF(VLOOKUP($B29,studie!$B$38:$Y$127,10,FALSE)="","",VLOOKUP($B29,studie!$B$38:$Y$127,10,FALSE)))</f>
        <v>101.3</v>
      </c>
      <c r="I29" s="625" t="str">
        <f>IF($B29="","",IF(VLOOKUP($B29,studie!$B$38:$Y$127,11,FALSE)="","",VLOOKUP($B29,studie!$B$38:$Y$127,11,FALSE)))</f>
        <v/>
      </c>
      <c r="J29" s="625" t="str">
        <f>IF($B29="","",IF(VLOOKUP($B29,studie!$B$38:$Y$127,12,FALSE)="","",VLOOKUP($B29,studie!$B$38:$Y$127,12,FALSE)))</f>
        <v/>
      </c>
      <c r="K29" s="625" t="str">
        <f>IF($B29="","",IF(VLOOKUP($B29,studie!$B$38:$Y$127,13,FALSE)="","",VLOOKUP($B29,studie!$B$38:$Y$127,13,FALSE)))</f>
        <v/>
      </c>
      <c r="L29" s="625" t="str">
        <f>IF($B29="","",IF(VLOOKUP($B29,studie!$B$38:$Y$127,14,FALSE)="","",VLOOKUP($B29,studie!$B$38:$Y$127,14,FALSE)))</f>
        <v/>
      </c>
      <c r="M29" s="625" t="str">
        <f>IF($B29="","",IF(VLOOKUP($B29,studie!$B$38:$Y$127,15,FALSE)="","",VLOOKUP($B29,studie!$B$38:$Y$127,15,FALSE)))</f>
        <v/>
      </c>
      <c r="N29" s="624">
        <f>IF($B29="","",IF(VLOOKUP($B29,studie!$B$38:$Y$127,16,FALSE)="","",VLOOKUP($B29,studie!$B$38:$Y$127,16,FALSE)))</f>
        <v>101.3</v>
      </c>
      <c r="O29" s="626">
        <f>IF($B29="","",VLOOKUP($B29,studie!$B$38:$Y$127,17,FALSE))</f>
        <v>101.6</v>
      </c>
      <c r="P29" s="624"/>
      <c r="Q29" s="1736">
        <f>IF($B29="","",VLOOKUP($B29,studie!$B$38:$Y$127,21,FALSE))</f>
        <v>182</v>
      </c>
      <c r="R29" s="1773"/>
      <c r="S29" s="1739">
        <f>IF($B29="","",VLOOKUP($B29,studie!$B$38:$Y$127,23,FALSE))</f>
        <v>152</v>
      </c>
      <c r="T29" s="1774"/>
    </row>
    <row r="30" spans="1:20" s="208" customFormat="1" ht="13" x14ac:dyDescent="0.35">
      <c r="A30" s="1895">
        <f>IF($B30="","",VLOOKUP($B30,studie!$B$38:$U$127,3,FALSE))</f>
        <v>4.1500000000000004</v>
      </c>
      <c r="B30" s="999" t="str">
        <f>IF(studie!D250="","",studie!D250)</f>
        <v>C1</v>
      </c>
      <c r="C30" s="615">
        <f>IF($B30="","",IF(VLOOKUP($B30,studie!$B$38:$Y$127,5,FALSE)="","",VLOOKUP($B30,studie!$B$38:$Y$127,5,FALSE)))</f>
        <v>85</v>
      </c>
      <c r="D30" s="616" t="str">
        <f>IF($B30="","",IF(VLOOKUP($B30,studie!$B$38:$Y$127,6,FALSE)="","",VLOOKUP($B30,studie!$B$38:$Y$127,6,FALSE)))</f>
        <v/>
      </c>
      <c r="E30" s="616" t="str">
        <f>IF($B30="","",IF(VLOOKUP($B30,studie!$B$38:$Y$127,7,FALSE)="","",VLOOKUP($B30,studie!$B$38:$Y$127,7,FALSE)))</f>
        <v/>
      </c>
      <c r="F30" s="616" t="str">
        <f>IF($B30="","",IF(VLOOKUP($B30,studie!$B$38:$Y$127,8,FALSE)="","",VLOOKUP($B30,studie!$B$38:$Y$127,8,FALSE)))</f>
        <v/>
      </c>
      <c r="G30" s="617">
        <f>IF($B30="","",IF(VLOOKUP($B30,studie!$B$38:$Y$127,9,FALSE)="","",VLOOKUP($B30,studie!$B$38:$Y$127,9,FALSE)))</f>
        <v>85</v>
      </c>
      <c r="H30" s="615">
        <f>IF($B30="","",IF(VLOOKUP($B30,studie!$B$38:$Y$127,10,FALSE)="","",VLOOKUP($B30,studie!$B$38:$Y$127,10,FALSE)))</f>
        <v>102.1</v>
      </c>
      <c r="I30" s="616" t="str">
        <f>IF($B30="","",IF(VLOOKUP($B30,studie!$B$38:$Y$127,11,FALSE)="","",VLOOKUP($B30,studie!$B$38:$Y$127,11,FALSE)))</f>
        <v/>
      </c>
      <c r="J30" s="616" t="str">
        <f>IF($B30="","",IF(VLOOKUP($B30,studie!$B$38:$Y$127,12,FALSE)="","",VLOOKUP($B30,studie!$B$38:$Y$127,12,FALSE)))</f>
        <v/>
      </c>
      <c r="K30" s="616" t="str">
        <f>IF($B30="","",IF(VLOOKUP($B30,studie!$B$38:$Y$127,13,FALSE)="","",VLOOKUP($B30,studie!$B$38:$Y$127,13,FALSE)))</f>
        <v/>
      </c>
      <c r="L30" s="616" t="str">
        <f>IF($B30="","",IF(VLOOKUP($B30,studie!$B$38:$Y$127,14,FALSE)="","",VLOOKUP($B30,studie!$B$38:$Y$127,14,FALSE)))</f>
        <v/>
      </c>
      <c r="M30" s="616" t="str">
        <f>IF($B30="","",IF(VLOOKUP($B30,studie!$B$38:$Y$127,15,FALSE)="","",VLOOKUP($B30,studie!$B$38:$Y$127,15,FALSE)))</f>
        <v/>
      </c>
      <c r="N30" s="617">
        <f>IF($B30="","",IF(VLOOKUP($B30,studie!$B$38:$Y$127,16,FALSE)="","",VLOOKUP($B30,studie!$B$38:$Y$127,16,FALSE)))</f>
        <v>102.1</v>
      </c>
      <c r="O30" s="615">
        <f>IF($B30="","",VLOOKUP($B30,studie!$B$38:$Y$127,17,FALSE))</f>
        <v>101.6</v>
      </c>
      <c r="P30" s="617"/>
      <c r="Q30" s="1733">
        <f>IF($B30="","",VLOOKUP($B30,studie!$B$38:$Y$127,21,FALSE))</f>
        <v>190</v>
      </c>
      <c r="R30" s="1741"/>
      <c r="S30" s="1738">
        <f>IF($B30="","",VLOOKUP($B30,studie!$B$38:$Y$127,23,FALSE))</f>
        <v>160</v>
      </c>
      <c r="T30" s="1742"/>
    </row>
    <row r="31" spans="1:20" s="208" customFormat="1" ht="13" x14ac:dyDescent="0.35">
      <c r="A31" s="1896"/>
      <c r="B31" s="1000" t="str">
        <f>IF(studie!D251="","",studie!D251)</f>
        <v>C2</v>
      </c>
      <c r="C31" s="615">
        <f>IF($B31="","",IF(VLOOKUP($B31,studie!$B$38:$Y$127,5,FALSE)="","",VLOOKUP($B31,studie!$B$38:$Y$127,5,FALSE)))</f>
        <v>84</v>
      </c>
      <c r="D31" s="616" t="str">
        <f>IF($B31="","",IF(VLOOKUP($B31,studie!$B$38:$Y$127,6,FALSE)="","",VLOOKUP($B31,studie!$B$38:$Y$127,6,FALSE)))</f>
        <v/>
      </c>
      <c r="E31" s="616" t="str">
        <f>IF($B31="","",IF(VLOOKUP($B31,studie!$B$38:$Y$127,7,FALSE)="","",VLOOKUP($B31,studie!$B$38:$Y$127,7,FALSE)))</f>
        <v/>
      </c>
      <c r="F31" s="616" t="str">
        <f>IF($B31="","",IF(VLOOKUP($B31,studie!$B$38:$Y$127,8,FALSE)="","",VLOOKUP($B31,studie!$B$38:$Y$127,8,FALSE)))</f>
        <v/>
      </c>
      <c r="G31" s="617">
        <f>IF($B31="","",IF(VLOOKUP($B31,studie!$B$38:$Y$127,9,FALSE)="","",VLOOKUP($B31,studie!$B$38:$Y$127,9,FALSE)))</f>
        <v>84</v>
      </c>
      <c r="H31" s="620">
        <f>IF($B31="","",IF(VLOOKUP($B31,studie!$B$38:$Y$127,10,FALSE)="","",VLOOKUP($B31,studie!$B$38:$Y$127,10,FALSE)))</f>
        <v>102.2</v>
      </c>
      <c r="I31" s="619" t="str">
        <f>IF($B31="","",IF(VLOOKUP($B31,studie!$B$38:$Y$127,11,FALSE)="","",VLOOKUP($B31,studie!$B$38:$Y$127,11,FALSE)))</f>
        <v/>
      </c>
      <c r="J31" s="619" t="str">
        <f>IF($B31="","",IF(VLOOKUP($B31,studie!$B$38:$Y$127,12,FALSE)="","",VLOOKUP($B31,studie!$B$38:$Y$127,12,FALSE)))</f>
        <v/>
      </c>
      <c r="K31" s="619" t="str">
        <f>IF($B31="","",IF(VLOOKUP($B31,studie!$B$38:$Y$127,13,FALSE)="","",VLOOKUP($B31,studie!$B$38:$Y$127,13,FALSE)))</f>
        <v/>
      </c>
      <c r="L31" s="619" t="str">
        <f>IF($B31="","",IF(VLOOKUP($B31,studie!$B$38:$Y$127,14,FALSE)="","",VLOOKUP($B31,studie!$B$38:$Y$127,14,FALSE)))</f>
        <v/>
      </c>
      <c r="M31" s="619" t="str">
        <f>IF($B31="","",IF(VLOOKUP($B31,studie!$B$38:$Y$127,15,FALSE)="","",VLOOKUP($B31,studie!$B$38:$Y$127,15,FALSE)))</f>
        <v/>
      </c>
      <c r="N31" s="618">
        <f>IF($B31="","",IF(VLOOKUP($B31,studie!$B$38:$Y$127,16,FALSE)="","",VLOOKUP($B31,studie!$B$38:$Y$127,16,FALSE)))</f>
        <v>102.2</v>
      </c>
      <c r="O31" s="620">
        <f>IF($B31="","",VLOOKUP($B31,studie!$B$38:$Y$127,17,FALSE))</f>
        <v>101.6</v>
      </c>
      <c r="P31" s="618"/>
      <c r="Q31" s="1734">
        <f>IF($B31="","",VLOOKUP($B31,studie!$B$38:$Y$127,21,FALSE))</f>
        <v>191</v>
      </c>
      <c r="R31" s="1771"/>
      <c r="S31" s="1737">
        <f>IF($B31="","",VLOOKUP($B31,studie!$B$38:$Y$127,23,FALSE))</f>
        <v>161</v>
      </c>
      <c r="T31" s="1772"/>
    </row>
    <row r="32" spans="1:20" s="208" customFormat="1" ht="13.5" thickBot="1" x14ac:dyDescent="0.4">
      <c r="A32" s="1898"/>
      <c r="B32" s="1003" t="str">
        <f>IF(studie!D252="","",studie!D252)</f>
        <v>C3</v>
      </c>
      <c r="C32" s="629">
        <f>IF($B32="","",IF(VLOOKUP($B32,studie!$B$38:$Y$127,5,FALSE)="","",VLOOKUP($B32,studie!$B$38:$Y$127,5,FALSE)))</f>
        <v>83</v>
      </c>
      <c r="D32" s="628" t="str">
        <f>IF($B32="","",IF(VLOOKUP($B32,studie!$B$38:$Y$127,6,FALSE)="","",VLOOKUP($B32,studie!$B$38:$Y$127,6,FALSE)))</f>
        <v/>
      </c>
      <c r="E32" s="628" t="str">
        <f>IF($B32="","",IF(VLOOKUP($B32,studie!$B$38:$Y$127,7,FALSE)="","",VLOOKUP($B32,studie!$B$38:$Y$127,7,FALSE)))</f>
        <v/>
      </c>
      <c r="F32" s="628" t="str">
        <f>IF($B32="","",IF(VLOOKUP($B32,studie!$B$38:$Y$127,8,FALSE)="","",VLOOKUP($B32,studie!$B$38:$Y$127,8,FALSE)))</f>
        <v/>
      </c>
      <c r="G32" s="1781">
        <f>IF($B32="","",IF(VLOOKUP($B32,studie!$B$38:$Y$127,9,FALSE)="","",VLOOKUP($B32,studie!$B$38:$Y$127,9,FALSE)))</f>
        <v>83</v>
      </c>
      <c r="H32" s="629">
        <f>IF($B32="","",IF(VLOOKUP($B32,studie!$B$38:$Y$127,10,FALSE)="","",VLOOKUP($B32,studie!$B$38:$Y$127,10,FALSE)))</f>
        <v>102.3</v>
      </c>
      <c r="I32" s="628" t="str">
        <f>IF($B32="","",IF(VLOOKUP($B32,studie!$B$38:$Y$127,11,FALSE)="","",VLOOKUP($B32,studie!$B$38:$Y$127,11,FALSE)))</f>
        <v/>
      </c>
      <c r="J32" s="628" t="str">
        <f>IF($B32="","",IF(VLOOKUP($B32,studie!$B$38:$Y$127,12,FALSE)="","",VLOOKUP($B32,studie!$B$38:$Y$127,12,FALSE)))</f>
        <v/>
      </c>
      <c r="K32" s="628" t="str">
        <f>IF($B32="","",IF(VLOOKUP($B32,studie!$B$38:$Y$127,13,FALSE)="","",VLOOKUP($B32,studie!$B$38:$Y$127,13,FALSE)))</f>
        <v/>
      </c>
      <c r="L32" s="628" t="str">
        <f>IF($B32="","",IF(VLOOKUP($B32,studie!$B$38:$Y$127,14,FALSE)="","",VLOOKUP($B32,studie!$B$38:$Y$127,14,FALSE)))</f>
        <v/>
      </c>
      <c r="M32" s="628" t="str">
        <f>IF($B32="","",IF(VLOOKUP($B32,studie!$B$38:$Y$127,15,FALSE)="","",VLOOKUP($B32,studie!$B$38:$Y$127,15,FALSE)))</f>
        <v/>
      </c>
      <c r="N32" s="627">
        <f>IF($B32="","",IF(VLOOKUP($B32,studie!$B$38:$Y$127,16,FALSE)="","",VLOOKUP($B32,studie!$B$38:$Y$127,16,FALSE)))</f>
        <v>102.3</v>
      </c>
      <c r="O32" s="629">
        <f>IF($B32="","",VLOOKUP($B32,studie!$B$38:$Y$127,17,FALSE))</f>
        <v>101.6</v>
      </c>
      <c r="P32" s="627"/>
      <c r="Q32" s="1776">
        <f>IF($B32="","",VLOOKUP($B32,studie!$B$38:$Y$127,21,FALSE))</f>
        <v>192</v>
      </c>
      <c r="R32" s="1777"/>
      <c r="S32" s="1778">
        <f>IF($B32="","",VLOOKUP($B32,studie!$B$38:$Y$127,23,FALSE))</f>
        <v>162</v>
      </c>
      <c r="T32" s="1779"/>
    </row>
    <row r="33" spans="1:20" s="208" customFormat="1" ht="15" customHeight="1" x14ac:dyDescent="0.35"/>
    <row r="34" spans="1:20" s="208" customFormat="1" ht="13" x14ac:dyDescent="0.35">
      <c r="A34" s="208" t="str">
        <f>studie!B160</f>
        <v>Toegepaste norm voor de bepaling van de bulkdichtheid:</v>
      </c>
      <c r="P34" s="311" t="str">
        <f>IF(studie!K228="EN 12697-31","",studie!K160)</f>
        <v/>
      </c>
    </row>
    <row r="35" spans="1:20" s="208" customFormat="1" ht="13" x14ac:dyDescent="0.35">
      <c r="A35" s="208" t="str">
        <f>IF(studie!L227="","",studie!B227)</f>
        <v>Toegepaste methode voor de bepaling van de bulkdichtheid:</v>
      </c>
      <c r="P35" s="311" t="str">
        <f>IF(studie!K228="EN 12697-31","",IF(studie!L227="","",studie!L227))</f>
        <v/>
      </c>
    </row>
    <row r="36" spans="1:20" s="208" customFormat="1" ht="13.5" thickBot="1" x14ac:dyDescent="0.4"/>
    <row r="37" spans="1:20" s="208" customFormat="1" ht="15" x14ac:dyDescent="0.35">
      <c r="A37" s="244" t="s">
        <v>183</v>
      </c>
      <c r="B37" s="245"/>
      <c r="C37" s="610" t="s">
        <v>336</v>
      </c>
      <c r="D37" s="611"/>
      <c r="E37" s="610" t="str">
        <f>studie!K164</f>
        <v>Massa's (g)</v>
      </c>
      <c r="F37" s="245"/>
      <c r="G37" s="245"/>
      <c r="H37" s="245"/>
      <c r="I37" s="245"/>
      <c r="J37" s="245"/>
      <c r="K37" s="245"/>
      <c r="L37" s="610" t="s">
        <v>487</v>
      </c>
      <c r="M37" s="245"/>
      <c r="N37" s="611"/>
      <c r="O37" s="245" t="s">
        <v>1004</v>
      </c>
      <c r="P37" s="245"/>
      <c r="Q37" s="245"/>
      <c r="R37" s="245"/>
      <c r="S37" s="658" t="s">
        <v>820</v>
      </c>
      <c r="T37" s="659" t="str">
        <f>IF(studie!$L$227="A","b dry",IF(studie!$L$227="B","b ssd",IF(studie!$L$227="C","b sea",IF(studie!$L$227="D","b dim",""))))</f>
        <v>b sea</v>
      </c>
    </row>
    <row r="38" spans="1:20" s="208" customFormat="1" ht="13" x14ac:dyDescent="0.35">
      <c r="A38" s="247" t="s">
        <v>185</v>
      </c>
      <c r="B38" s="248"/>
      <c r="C38" s="612" t="s">
        <v>338</v>
      </c>
      <c r="D38" s="613"/>
      <c r="E38" s="612" t="str">
        <f>studie!K165</f>
        <v>in lucht</v>
      </c>
      <c r="F38" s="248"/>
      <c r="G38" s="248" t="str">
        <f>IF(studie!L227="D","",studie!L165)</f>
        <v>in water</v>
      </c>
      <c r="H38" s="248"/>
      <c r="I38" s="248" t="str">
        <f>IF(studie!L227="B","afgedroogd",IF(studie!L227="C","met paraffine",""))</f>
        <v>met paraffine</v>
      </c>
      <c r="J38" s="248"/>
      <c r="K38" s="248"/>
      <c r="L38" s="612" t="s">
        <v>1002</v>
      </c>
      <c r="M38" s="248"/>
      <c r="N38" s="613"/>
      <c r="O38" s="248" t="s">
        <v>568</v>
      </c>
      <c r="P38" s="248"/>
      <c r="Q38" s="704" t="str">
        <f>IF(studie!L227="C","paraffine","")</f>
        <v>paraffine</v>
      </c>
      <c r="R38" s="248"/>
      <c r="S38" s="612" t="s">
        <v>418</v>
      </c>
      <c r="T38" s="249"/>
    </row>
    <row r="39" spans="1:20" s="208" customFormat="1" ht="13" x14ac:dyDescent="0.35">
      <c r="A39" s="1899" t="str">
        <f>IF(studie!K228="EN 12697-31","",IF(studie!B240="","",studie!B240))</f>
        <v/>
      </c>
      <c r="B39" s="1900"/>
      <c r="C39" s="631" t="str">
        <f>IF(studie!K228="EN 12697-31","",IF(studie!D240="","",studie!D240))</f>
        <v/>
      </c>
      <c r="D39" s="674"/>
      <c r="E39" s="637" t="str">
        <f>IF($C39="","",IF(VLOOKUP($C39,studie!$D$166:$Z$216,8,FALSE)="","",VLOOKUP($C39,studie!$D$166:$Z$216,8,FALSE)))</f>
        <v/>
      </c>
      <c r="F39" s="637"/>
      <c r="G39" s="637" t="str">
        <f>IF($C39="","",IF(VLOOKUP($C39,studie!$D$166:$Z$216,9,FALSE)="","",VLOOKUP($C39,studie!$D$166:$Z$216,9,FALSE)))</f>
        <v/>
      </c>
      <c r="H39" s="637"/>
      <c r="I39" s="637" t="str">
        <f>IF($C39="","",IF(VLOOKUP($C39,studie!$D$166:$Z$216,10,FALSE)="","",VLOOKUP($C39,studie!$D$166:$Z$216,10,FALSE)))</f>
        <v/>
      </c>
      <c r="J39" s="637"/>
      <c r="K39" s="680"/>
      <c r="L39" s="802" t="str">
        <f>IF($C39="","",IF(VLOOKUP($C39,studie!$D$166:$Z$216,14,FALSE)="","",VLOOKUP($C39,studie!$D$166:$Z$216,14,FALSE)))</f>
        <v/>
      </c>
      <c r="M39" s="1761"/>
      <c r="N39" s="1049"/>
      <c r="O39" s="1061" t="str">
        <f>IF($C39="","",IF(VLOOKUP($C39,studie!$D$166:$Z$216,16,FALSE)="","",VLOOKUP($C39,studie!$D$166:$Z$216,16,FALSE)))</f>
        <v/>
      </c>
      <c r="P39" s="872"/>
      <c r="Q39" s="1054" t="str">
        <f>IF(OR($C39="",studie!$L$227&lt;&gt;"C"),"",VLOOKUP($C39,studie!$D$166:$Z$216,18,FALSE))</f>
        <v/>
      </c>
      <c r="R39" s="872"/>
      <c r="S39" s="653" t="str">
        <f>IF($C39="","",VLOOKUP($C39,studie!$D$166:$Z$216,23,FALSE))</f>
        <v/>
      </c>
      <c r="T39" s="664"/>
    </row>
    <row r="40" spans="1:20" s="208" customFormat="1" ht="13" x14ac:dyDescent="0.35">
      <c r="A40" s="1901"/>
      <c r="B40" s="1902"/>
      <c r="C40" s="634" t="str">
        <f>IF(studie!K228="EN 12697-31","",IF(studie!D241="","",studie!D241))</f>
        <v/>
      </c>
      <c r="D40" s="675"/>
      <c r="E40" s="643" t="str">
        <f>IF($C40="","",IF(VLOOKUP($C40,studie!$D$166:$Z$216,8,FALSE)="","",VLOOKUP($C40,studie!$D$166:$Z$216,8,FALSE)))</f>
        <v/>
      </c>
      <c r="F40" s="643"/>
      <c r="G40" s="643" t="str">
        <f>IF($C40="","",IF(VLOOKUP($C40,studie!$D$166:$Z$216,9,FALSE)="","",VLOOKUP($C40,studie!$D$166:$Z$216,9,FALSE)))</f>
        <v/>
      </c>
      <c r="H40" s="643"/>
      <c r="I40" s="643" t="str">
        <f>IF($C40="","",IF(VLOOKUP($C40,studie!$D$166:$Z$216,10,FALSE)="","",VLOOKUP($C40,studie!$D$166:$Z$216,10,FALSE)))</f>
        <v/>
      </c>
      <c r="J40" s="643"/>
      <c r="K40" s="633"/>
      <c r="L40" s="869" t="str">
        <f>IF($C40="","",IF(VLOOKUP($C40,studie!$D$166:$Z$216,14,FALSE)="","",VLOOKUP($C40,studie!$D$166:$Z$216,14,FALSE)))</f>
        <v/>
      </c>
      <c r="M40" s="1762"/>
      <c r="N40" s="1051"/>
      <c r="O40" s="1062" t="str">
        <f>IF($C40="","",IF(VLOOKUP($C40,studie!$D$166:$Z$216,16,FALSE)="","",VLOOKUP($C40,studie!$D$166:$Z$216,16,FALSE)))</f>
        <v/>
      </c>
      <c r="P40" s="856"/>
      <c r="Q40" s="1054" t="str">
        <f>IF(OR($C40="",studie!$L$227&lt;&gt;"C"),"",VLOOKUP($C40,studie!$D$166:$Z$216,18,FALSE))</f>
        <v/>
      </c>
      <c r="R40" s="856"/>
      <c r="S40" s="654" t="str">
        <f>IF($C40="","",VLOOKUP($C40,studie!$D$166:$Z$216,23,FALSE))</f>
        <v/>
      </c>
      <c r="T40" s="665"/>
    </row>
    <row r="41" spans="1:20" s="208" customFormat="1" ht="13" x14ac:dyDescent="0.35">
      <c r="A41" s="1901"/>
      <c r="B41" s="1902"/>
      <c r="C41" s="660" t="str">
        <f>IF(studie!K228="EN 12697-31","",IF(studie!D242="","",studie!D242))</f>
        <v/>
      </c>
      <c r="D41" s="676"/>
      <c r="E41" s="684" t="str">
        <f>IF($C41="","",IF(VLOOKUP($C41,studie!$D$166:$Z$216,8,FALSE)="","",VLOOKUP($C41,studie!$D$166:$Z$216,8,FALSE)))</f>
        <v/>
      </c>
      <c r="F41" s="684"/>
      <c r="G41" s="684" t="str">
        <f>IF($C41="","",IF(VLOOKUP($C41,studie!$D$166:$Z$216,9,FALSE)="","",VLOOKUP($C41,studie!$D$166:$Z$216,9,FALSE)))</f>
        <v/>
      </c>
      <c r="H41" s="684"/>
      <c r="I41" s="684" t="str">
        <f>IF($C41="","",IF(VLOOKUP($C41,studie!$D$166:$Z$216,10,FALSE)="","",VLOOKUP($C41,studie!$D$166:$Z$216,10,FALSE)))</f>
        <v/>
      </c>
      <c r="J41" s="684"/>
      <c r="K41" s="681"/>
      <c r="L41" s="870" t="str">
        <f>IF($C41="","",IF(VLOOKUP($C41,studie!$D$166:$Z$216,14,FALSE)="","",VLOOKUP($C41,studie!$D$166:$Z$216,14,FALSE)))</f>
        <v/>
      </c>
      <c r="M41" s="1763"/>
      <c r="N41" s="1053"/>
      <c r="O41" s="1063" t="str">
        <f>IF($C41="","",IF(VLOOKUP($C41,studie!$D$166:$Z$216,16,FALSE)="","",VLOOKUP($C41,studie!$D$166:$Z$216,16,FALSE)))</f>
        <v/>
      </c>
      <c r="P41" s="857"/>
      <c r="Q41" s="1054" t="str">
        <f>IF(OR($C41="",studie!$L$227&lt;&gt;"C"),"",VLOOKUP($C41,studie!$D$166:$Z$216,18,FALSE))</f>
        <v/>
      </c>
      <c r="R41" s="857"/>
      <c r="S41" s="666" t="str">
        <f>IF($C41="","",VLOOKUP($C41,studie!$D$166:$Z$216,23,FALSE))</f>
        <v/>
      </c>
      <c r="T41" s="667"/>
    </row>
    <row r="42" spans="1:20" s="208" customFormat="1" ht="13" x14ac:dyDescent="0.35">
      <c r="A42" s="1903"/>
      <c r="B42" s="1904"/>
      <c r="C42" s="661"/>
      <c r="D42" s="677"/>
      <c r="E42" s="685"/>
      <c r="F42" s="685"/>
      <c r="G42" s="685"/>
      <c r="H42" s="685"/>
      <c r="I42" s="685"/>
      <c r="J42" s="685"/>
      <c r="K42" s="682"/>
      <c r="L42" s="805"/>
      <c r="M42" s="1764"/>
      <c r="N42" s="1055"/>
      <c r="O42" s="1064"/>
      <c r="P42" s="858"/>
      <c r="Q42" s="1056"/>
      <c r="R42" s="858"/>
      <c r="S42" s="668" t="str">
        <f>IF(A39="","",IF(studie!I244="","",studie!I244))</f>
        <v/>
      </c>
      <c r="T42" s="669"/>
    </row>
    <row r="43" spans="1:20" s="208" customFormat="1" ht="13" x14ac:dyDescent="0.35">
      <c r="A43" s="1899" t="str">
        <f>IF(studie!K228="EN 12697-31","",IF(studie!B245="","",studie!B245))</f>
        <v/>
      </c>
      <c r="B43" s="1900"/>
      <c r="C43" s="662" t="str">
        <f>IF(studie!K228="EN 12697-31","",IF(studie!D245="","",studie!D245))</f>
        <v/>
      </c>
      <c r="D43" s="678"/>
      <c r="E43" s="686" t="str">
        <f>IF($C43="","",IF(VLOOKUP($C43,studie!$D$166:$Z$216,8,FALSE)="","",VLOOKUP($C43,studie!$D$166:$Z$216,8,FALSE)))</f>
        <v/>
      </c>
      <c r="F43" s="686"/>
      <c r="G43" s="684" t="str">
        <f>IF($C43="","",IF(VLOOKUP($C43,studie!$D$166:$Z$216,9,FALSE)="","",VLOOKUP($C43,studie!$D$166:$Z$216,9,FALSE)))</f>
        <v/>
      </c>
      <c r="H43" s="686"/>
      <c r="I43" s="684" t="str">
        <f>IF($C43="","",IF(VLOOKUP($C43,studie!$D$166:$Z$216,10,FALSE)="","",VLOOKUP($C43,studie!$D$166:$Z$216,10,FALSE)))</f>
        <v/>
      </c>
      <c r="J43" s="686"/>
      <c r="K43" s="630"/>
      <c r="L43" s="870" t="str">
        <f>IF($C43="","",IF(VLOOKUP($C43,studie!$D$166:$Z$216,14,FALSE)="","",VLOOKUP($C43,studie!$D$166:$Z$216,14,FALSE)))</f>
        <v/>
      </c>
      <c r="M43" s="1765"/>
      <c r="N43" s="1057"/>
      <c r="O43" s="1063" t="str">
        <f>IF($C43="","",IF(VLOOKUP($C43,studie!$D$166:$Z$216,16,FALSE)="","",VLOOKUP($C43,studie!$D$166:$Z$216,16,FALSE)))</f>
        <v/>
      </c>
      <c r="P43" s="859"/>
      <c r="Q43" s="1058" t="str">
        <f>IF(OR($C43="",studie!$L$227&lt;&gt;"C"),"",VLOOKUP($C43,studie!$D$166:$Z$216,18,FALSE))</f>
        <v/>
      </c>
      <c r="R43" s="859"/>
      <c r="S43" s="670" t="str">
        <f>IF($C43="","",VLOOKUP($C43,studie!$D$166:$Z$216,23,FALSE))</f>
        <v/>
      </c>
      <c r="T43" s="671"/>
    </row>
    <row r="44" spans="1:20" s="208" customFormat="1" ht="13" x14ac:dyDescent="0.35">
      <c r="A44" s="1901"/>
      <c r="B44" s="1902"/>
      <c r="C44" s="634" t="str">
        <f>IF(studie!K228="EN 12697-31","",IF(studie!D246="","",studie!D246))</f>
        <v/>
      </c>
      <c r="D44" s="675"/>
      <c r="E44" s="643" t="str">
        <f>IF($C44="","",IF(VLOOKUP($C44,studie!$D$166:$Z$216,8,FALSE)="","",VLOOKUP($C44,studie!$D$166:$Z$216,8,FALSE)))</f>
        <v/>
      </c>
      <c r="F44" s="643"/>
      <c r="G44" s="684" t="str">
        <f>IF($C44="","",IF(VLOOKUP($C44,studie!$D$166:$Z$216,9,FALSE)="","",VLOOKUP($C44,studie!$D$166:$Z$216,9,FALSE)))</f>
        <v/>
      </c>
      <c r="H44" s="643"/>
      <c r="I44" s="684" t="str">
        <f>IF($C44="","",IF(VLOOKUP($C44,studie!$D$166:$Z$216,10,FALSE)="","",VLOOKUP($C44,studie!$D$166:$Z$216,10,FALSE)))</f>
        <v/>
      </c>
      <c r="J44" s="643"/>
      <c r="K44" s="633"/>
      <c r="L44" s="870" t="str">
        <f>IF($C44="","",IF(VLOOKUP($C44,studie!$D$166:$Z$216,14,FALSE)="","",VLOOKUP($C44,studie!$D$166:$Z$216,14,FALSE)))</f>
        <v/>
      </c>
      <c r="M44" s="1762"/>
      <c r="N44" s="1051"/>
      <c r="O44" s="1063" t="str">
        <f>IF($C44="","",IF(VLOOKUP($C44,studie!$D$166:$Z$216,16,FALSE)="","",VLOOKUP($C44,studie!$D$166:$Z$216,16,FALSE)))</f>
        <v/>
      </c>
      <c r="P44" s="856"/>
      <c r="Q44" s="1052" t="str">
        <f>IF(OR($C44="",studie!$L$227&lt;&gt;"C"),"",VLOOKUP($C44,studie!$D$166:$Z$216,18,FALSE))</f>
        <v/>
      </c>
      <c r="R44" s="856"/>
      <c r="S44" s="654" t="str">
        <f>IF($C44="","",VLOOKUP($C44,studie!$D$166:$Z$216,23,FALSE))</f>
        <v/>
      </c>
      <c r="T44" s="665"/>
    </row>
    <row r="45" spans="1:20" s="208" customFormat="1" ht="13" x14ac:dyDescent="0.35">
      <c r="A45" s="1901"/>
      <c r="B45" s="1902"/>
      <c r="C45" s="660" t="str">
        <f>IF(studie!K228="EN 12697-31","",IF(studie!D247="","",studie!D247))</f>
        <v/>
      </c>
      <c r="D45" s="676"/>
      <c r="E45" s="684" t="str">
        <f>IF($C45="","",IF(VLOOKUP($C45,studie!$D$166:$Z$216,8,FALSE)="","",VLOOKUP($C45,studie!$D$166:$Z$216,8,FALSE)))</f>
        <v/>
      </c>
      <c r="F45" s="684"/>
      <c r="G45" s="684" t="str">
        <f>IF($C45="","",IF(VLOOKUP($C45,studie!$D$166:$Z$216,9,FALSE)="","",VLOOKUP($C45,studie!$D$166:$Z$216,9,FALSE)))</f>
        <v/>
      </c>
      <c r="H45" s="684"/>
      <c r="I45" s="684" t="str">
        <f>IF($C45="","",IF(VLOOKUP($C45,studie!$D$166:$Z$216,10,FALSE)="","",VLOOKUP($C45,studie!$D$166:$Z$216,10,FALSE)))</f>
        <v/>
      </c>
      <c r="J45" s="684"/>
      <c r="K45" s="681"/>
      <c r="L45" s="870" t="str">
        <f>IF($C45="","",IF(VLOOKUP($C45,studie!$D$166:$Z$216,14,FALSE)="","",VLOOKUP($C45,studie!$D$166:$Z$216,14,FALSE)))</f>
        <v/>
      </c>
      <c r="M45" s="1763"/>
      <c r="N45" s="1053"/>
      <c r="O45" s="1063" t="str">
        <f>IF($C45="","",IF(VLOOKUP($C45,studie!$D$166:$Z$216,16,FALSE)="","",VLOOKUP($C45,studie!$D$166:$Z$216,16,FALSE)))</f>
        <v/>
      </c>
      <c r="P45" s="857"/>
      <c r="Q45" s="1054" t="str">
        <f>IF(OR($C45="",studie!$L$227&lt;&gt;"C"),"",VLOOKUP($C45,studie!$D$166:$Z$216,18,FALSE))</f>
        <v/>
      </c>
      <c r="R45" s="857"/>
      <c r="S45" s="666" t="str">
        <f>IF($C45="","",VLOOKUP($C45,studie!$D$166:$Z$216,23,FALSE))</f>
        <v/>
      </c>
      <c r="T45" s="667"/>
    </row>
    <row r="46" spans="1:20" s="208" customFormat="1" ht="13" x14ac:dyDescent="0.35">
      <c r="A46" s="1903"/>
      <c r="B46" s="1904"/>
      <c r="C46" s="661"/>
      <c r="D46" s="677"/>
      <c r="E46" s="685"/>
      <c r="F46" s="685"/>
      <c r="G46" s="685"/>
      <c r="H46" s="685"/>
      <c r="I46" s="685"/>
      <c r="J46" s="685"/>
      <c r="K46" s="682"/>
      <c r="L46" s="805"/>
      <c r="M46" s="1764"/>
      <c r="N46" s="1055"/>
      <c r="O46" s="1064"/>
      <c r="P46" s="858"/>
      <c r="Q46" s="1056"/>
      <c r="R46" s="858"/>
      <c r="S46" s="668" t="str">
        <f>IF(A43="","",IF(studie!I249="","",studie!I249))</f>
        <v/>
      </c>
      <c r="T46" s="669"/>
    </row>
    <row r="47" spans="1:20" s="208" customFormat="1" ht="13" x14ac:dyDescent="0.35">
      <c r="A47" s="1899" t="str">
        <f>IF(studie!K228="EN 12697-31","",IF(studie!B250="","",studie!B250))</f>
        <v/>
      </c>
      <c r="B47" s="1900"/>
      <c r="C47" s="662" t="str">
        <f>IF(studie!K228="EN 12697-31","",IF(studie!D250="","",studie!D250))</f>
        <v/>
      </c>
      <c r="D47" s="678"/>
      <c r="E47" s="686" t="str">
        <f>IF($C47="","",IF(VLOOKUP($C47,studie!$D$166:$Z$216,8,FALSE)="","",VLOOKUP($C47,studie!$D$166:$Z$216,8,FALSE)))</f>
        <v/>
      </c>
      <c r="F47" s="686"/>
      <c r="G47" s="684" t="str">
        <f>IF($C47="","",IF(VLOOKUP($C47,studie!$D$166:$Z$216,9,FALSE)="","",VLOOKUP($C47,studie!$D$166:$Z$216,9,FALSE)))</f>
        <v/>
      </c>
      <c r="H47" s="686"/>
      <c r="I47" s="684" t="str">
        <f>IF($C47="","",IF(VLOOKUP($C47,studie!$D$166:$Z$216,10,FALSE)="","",VLOOKUP($C47,studie!$D$166:$Z$216,10,FALSE)))</f>
        <v/>
      </c>
      <c r="J47" s="686"/>
      <c r="K47" s="630"/>
      <c r="L47" s="870" t="str">
        <f>IF($C47="","",IF(VLOOKUP($C47,studie!$D$166:$Z$216,14,FALSE)="","",VLOOKUP($C47,studie!$D$166:$Z$216,14,FALSE)))</f>
        <v/>
      </c>
      <c r="M47" s="1765"/>
      <c r="N47" s="1057"/>
      <c r="O47" s="1063" t="str">
        <f>IF($C47="","",IF(VLOOKUP($C47,studie!$D$166:$Z$216,16,FALSE)="","",VLOOKUP($C47,studie!$D$166:$Z$216,16,FALSE)))</f>
        <v/>
      </c>
      <c r="P47" s="859"/>
      <c r="Q47" s="1058" t="str">
        <f>IF(OR($C47="",studie!$L$227&lt;&gt;"C"),"",VLOOKUP($C47,studie!$D$166:$Z$216,18,FALSE))</f>
        <v/>
      </c>
      <c r="R47" s="859"/>
      <c r="S47" s="670" t="str">
        <f>IF($C47="","",VLOOKUP($C47,studie!$D$166:$Z$216,23,FALSE))</f>
        <v/>
      </c>
      <c r="T47" s="671"/>
    </row>
    <row r="48" spans="1:20" s="208" customFormat="1" ht="13" x14ac:dyDescent="0.35">
      <c r="A48" s="1901"/>
      <c r="B48" s="1902"/>
      <c r="C48" s="634" t="str">
        <f>IF(studie!K228="EN 12697-31","",IF(studie!D251="","",studie!D251))</f>
        <v/>
      </c>
      <c r="D48" s="675"/>
      <c r="E48" s="643" t="str">
        <f>IF($C48="","",IF(VLOOKUP($C48,studie!$D$166:$Z$216,8,FALSE)="","",VLOOKUP($C48,studie!$D$166:$Z$216,8,FALSE)))</f>
        <v/>
      </c>
      <c r="F48" s="643"/>
      <c r="G48" s="684" t="str">
        <f>IF($C48="","",IF(VLOOKUP($C48,studie!$D$166:$Z$216,9,FALSE)="","",VLOOKUP($C48,studie!$D$166:$Z$216,9,FALSE)))</f>
        <v/>
      </c>
      <c r="H48" s="643"/>
      <c r="I48" s="684" t="str">
        <f>IF($C48="","",IF(VLOOKUP($C48,studie!$D$166:$Z$216,10,FALSE)="","",VLOOKUP($C48,studie!$D$166:$Z$216,10,FALSE)))</f>
        <v/>
      </c>
      <c r="J48" s="643"/>
      <c r="K48" s="633"/>
      <c r="L48" s="870" t="str">
        <f>IF($C48="","",IF(VLOOKUP($C48,studie!$D$166:$Z$216,14,FALSE)="","",VLOOKUP($C48,studie!$D$166:$Z$216,14,FALSE)))</f>
        <v/>
      </c>
      <c r="M48" s="1762"/>
      <c r="N48" s="1051"/>
      <c r="O48" s="1063" t="str">
        <f>IF($C48="","",IF(VLOOKUP($C48,studie!$D$166:$Z$216,16,FALSE)="","",VLOOKUP($C48,studie!$D$166:$Z$216,16,FALSE)))</f>
        <v/>
      </c>
      <c r="P48" s="856"/>
      <c r="Q48" s="1052" t="str">
        <f>IF(OR($C48="",studie!$L$227&lt;&gt;"C"),"",VLOOKUP($C48,studie!$D$166:$Z$216,18,FALSE))</f>
        <v/>
      </c>
      <c r="R48" s="856"/>
      <c r="S48" s="654" t="str">
        <f>IF($C48="","",VLOOKUP($C48,studie!$D$166:$Z$216,23,FALSE))</f>
        <v/>
      </c>
      <c r="T48" s="665"/>
    </row>
    <row r="49" spans="1:20" s="208" customFormat="1" ht="13" x14ac:dyDescent="0.35">
      <c r="A49" s="1901"/>
      <c r="B49" s="1902"/>
      <c r="C49" s="660" t="str">
        <f>IF(studie!K228="EN 12697-31","",IF(studie!D252="","",studie!D252))</f>
        <v/>
      </c>
      <c r="D49" s="676"/>
      <c r="E49" s="684" t="str">
        <f>IF($C49="","",IF(VLOOKUP($C49,studie!$D$166:$Z$216,8,FALSE)="","",VLOOKUP($C49,studie!$D$166:$Z$216,8,FALSE)))</f>
        <v/>
      </c>
      <c r="F49" s="684"/>
      <c r="G49" s="684" t="str">
        <f>IF($C49="","",IF(VLOOKUP($C49,studie!$D$166:$Z$216,9,FALSE)="","",VLOOKUP($C49,studie!$D$166:$Z$216,9,FALSE)))</f>
        <v/>
      </c>
      <c r="H49" s="684"/>
      <c r="I49" s="684" t="str">
        <f>IF($C49="","",IF(VLOOKUP($C49,studie!$D$166:$Z$216,10,FALSE)="","",VLOOKUP($C49,studie!$D$166:$Z$216,10,FALSE)))</f>
        <v/>
      </c>
      <c r="J49" s="684"/>
      <c r="K49" s="681"/>
      <c r="L49" s="870" t="str">
        <f>IF($C49="","",IF(VLOOKUP($C49,studie!$D$166:$Z$216,14,FALSE)="","",VLOOKUP($C49,studie!$D$166:$Z$216,14,FALSE)))</f>
        <v/>
      </c>
      <c r="M49" s="1763"/>
      <c r="N49" s="1053"/>
      <c r="O49" s="1063" t="str">
        <f>IF($C49="","",IF(VLOOKUP($C49,studie!$D$166:$Z$216,16,FALSE)="","",VLOOKUP($C49,studie!$D$166:$Z$216,16,FALSE)))</f>
        <v/>
      </c>
      <c r="P49" s="857"/>
      <c r="Q49" s="1054" t="str">
        <f>IF(OR($C49="",studie!$L$227&lt;&gt;"C"),"",VLOOKUP($C49,studie!$D$166:$Z$216,18,FALSE))</f>
        <v/>
      </c>
      <c r="R49" s="857"/>
      <c r="S49" s="666" t="str">
        <f>IF($C49="","",VLOOKUP($C49,studie!$D$166:$Z$216,23,FALSE))</f>
        <v/>
      </c>
      <c r="T49" s="667"/>
    </row>
    <row r="50" spans="1:20" s="208" customFormat="1" ht="13.5" thickBot="1" x14ac:dyDescent="0.4">
      <c r="A50" s="1905"/>
      <c r="B50" s="1906"/>
      <c r="C50" s="663"/>
      <c r="D50" s="679"/>
      <c r="E50" s="687"/>
      <c r="F50" s="687"/>
      <c r="G50" s="687"/>
      <c r="H50" s="687"/>
      <c r="I50" s="683"/>
      <c r="J50" s="683"/>
      <c r="K50" s="683"/>
      <c r="L50" s="720"/>
      <c r="M50" s="860"/>
      <c r="N50" s="1059"/>
      <c r="O50" s="1066"/>
      <c r="P50" s="860"/>
      <c r="Q50" s="1060"/>
      <c r="R50" s="860"/>
      <c r="S50" s="672" t="str">
        <f>IF(A47="","",IF(studie!I254="","",studie!I254))</f>
        <v/>
      </c>
      <c r="T50" s="673"/>
    </row>
    <row r="51" spans="1:20" s="208" customFormat="1" ht="13" x14ac:dyDescent="0.35">
      <c r="A51" s="852"/>
      <c r="B51" s="852"/>
      <c r="C51" s="852"/>
      <c r="D51" s="852"/>
      <c r="E51" s="994"/>
      <c r="F51" s="994"/>
      <c r="G51" s="994"/>
      <c r="H51" s="994"/>
      <c r="I51" s="852"/>
      <c r="J51" s="852"/>
      <c r="K51" s="852"/>
      <c r="L51" s="995"/>
      <c r="M51" s="995"/>
    </row>
    <row r="52" spans="1:20" s="208" customFormat="1" ht="12.75" customHeight="1" x14ac:dyDescent="0.35"/>
    <row r="53" spans="1:20" s="210" customFormat="1" ht="10.5" x14ac:dyDescent="0.35">
      <c r="A53" s="2277" t="str">
        <f>'VN1'!$A$53</f>
        <v>801/64/</v>
      </c>
      <c r="B53" s="2277"/>
      <c r="C53" s="267" t="str">
        <f>algemeen!$J$66</f>
        <v>2010/13RE-1234/0</v>
      </c>
      <c r="D53" s="267"/>
      <c r="E53" s="268"/>
      <c r="F53" s="268"/>
      <c r="G53" s="268"/>
      <c r="H53" s="268"/>
      <c r="I53" s="269" t="str">
        <f>"blz. "&amp;berekeningen!G3&amp;" /"</f>
        <v>blz. 7 /</v>
      </c>
      <c r="J53" s="267">
        <f>berekeningen!O$2</f>
        <v>19</v>
      </c>
      <c r="K53" s="268"/>
      <c r="L53" s="268"/>
      <c r="M53" s="268" t="s">
        <v>610</v>
      </c>
      <c r="N53" s="268"/>
      <c r="O53" s="268"/>
      <c r="P53" s="268"/>
      <c r="Q53" s="268"/>
      <c r="R53" s="268"/>
      <c r="S53" s="268"/>
      <c r="T53" s="268"/>
    </row>
    <row r="54" spans="1:20" ht="5.15" customHeight="1" x14ac:dyDescent="0.35"/>
    <row r="55" spans="1:20" x14ac:dyDescent="0.35">
      <c r="A55" s="541" t="s">
        <v>1456</v>
      </c>
      <c r="B55" s="542"/>
      <c r="C55" s="542"/>
      <c r="D55" s="542"/>
      <c r="E55" s="542"/>
      <c r="F55" s="542"/>
      <c r="G55" s="542"/>
      <c r="H55" s="542"/>
      <c r="I55" s="542"/>
      <c r="J55" s="542"/>
      <c r="K55" s="542"/>
      <c r="L55" s="542"/>
      <c r="M55" s="542"/>
      <c r="N55" s="542"/>
      <c r="O55" s="542"/>
      <c r="P55" s="733" t="str">
        <f>'VN1'!$A$53</f>
        <v>801/64/</v>
      </c>
      <c r="Q55" s="732" t="str">
        <f>algemeen!$J$66</f>
        <v>2010/13RE-1234/0</v>
      </c>
      <c r="R55" s="542"/>
      <c r="S55" s="542"/>
      <c r="T55" s="543"/>
    </row>
    <row r="56" spans="1:20" s="208" customFormat="1" ht="13" x14ac:dyDescent="0.35"/>
    <row r="57" spans="1:20" s="208" customFormat="1" ht="13" x14ac:dyDescent="0.35">
      <c r="A57" s="208" t="s">
        <v>779</v>
      </c>
      <c r="P57" s="208" t="str">
        <f>studie!E223</f>
        <v>laboratoriumvalidatie</v>
      </c>
    </row>
    <row r="58" spans="1:20" s="208" customFormat="1" ht="13" x14ac:dyDescent="0.35">
      <c r="A58" s="208" t="str">
        <f>studie!B226</f>
        <v>Toegepaste methode voor de verdichting van de proefstukken (volgens EN 13108-20):</v>
      </c>
      <c r="P58" s="208" t="str">
        <f>studie!L226</f>
        <v>C.1.7</v>
      </c>
    </row>
    <row r="59" spans="1:20" s="208" customFormat="1" ht="13" x14ac:dyDescent="0.35">
      <c r="A59" s="208" t="str">
        <f>studie!B228</f>
        <v>Toegepaste norm voor de bepaling van de holle ruimte:</v>
      </c>
      <c r="P59" s="208" t="str">
        <f>studie!K228</f>
        <v>EN 12697-31</v>
      </c>
    </row>
    <row r="60" spans="1:20" s="208" customFormat="1" ht="13" x14ac:dyDescent="0.35">
      <c r="A60" s="208" t="str">
        <f>IF(berekeningen!$G$108="N","",studie!$B$229)</f>
        <v>Gyrator:</v>
      </c>
      <c r="E60" s="208" t="str">
        <f>IF(berekeningen!$G$108="N","",studie!$E229)</f>
        <v>type:</v>
      </c>
      <c r="J60" s="2320" t="str">
        <f>IF(berekeningen!G$108="N","",studie!J229)</f>
        <v>Controls</v>
      </c>
      <c r="K60" s="2320"/>
      <c r="L60" s="2320"/>
      <c r="M60" s="2320"/>
    </row>
    <row r="61" spans="1:20" s="208" customFormat="1" ht="13" x14ac:dyDescent="0.35">
      <c r="E61" s="208" t="str">
        <f>IF(berekeningen!$G$108="N","",studie!$E230)</f>
        <v>kalibratiemethode:</v>
      </c>
      <c r="J61" s="2320" t="str">
        <f>IF(berekeningen!G$108="N","",studie!J230)</f>
        <v>B</v>
      </c>
      <c r="K61" s="2320"/>
      <c r="L61" s="2320"/>
      <c r="M61" s="2320"/>
    </row>
    <row r="62" spans="1:20" s="208" customFormat="1" ht="13" x14ac:dyDescent="0.35">
      <c r="A62" s="208" t="str">
        <f>IF(berekeningen!$G$108="N","",studie!$B$231)</f>
        <v>Proefcondities:</v>
      </c>
      <c r="E62" s="208" t="str">
        <f>IF(berekeningen!$G$108="N","",studie!$E231)</f>
        <v>aantal gyraties:</v>
      </c>
      <c r="J62" s="311">
        <f>IF(berekeningen!G$108="N","",studie!J231)</f>
        <v>60</v>
      </c>
      <c r="K62" s="311"/>
      <c r="L62" s="311"/>
      <c r="M62" s="311"/>
    </row>
    <row r="63" spans="1:20" s="208" customFormat="1" ht="13" x14ac:dyDescent="0.35">
      <c r="E63" s="208" t="str">
        <f>IF(berekeningen!$G$108="N","",studie!$E232)</f>
        <v>draaisnelheid:</v>
      </c>
      <c r="J63" s="311" t="str">
        <f>IF(berekeningen!G$108="N","",studie!J232&amp;" tpm")</f>
        <v>30 tpm</v>
      </c>
      <c r="K63" s="311"/>
      <c r="L63" s="311"/>
      <c r="M63" s="311"/>
    </row>
    <row r="64" spans="1:20" s="208" customFormat="1" ht="13" x14ac:dyDescent="0.35">
      <c r="E64" s="208" t="str">
        <f>IF(berekeningen!$G$108="N","",studie!$E233)</f>
        <v>proeftemperatuur:</v>
      </c>
      <c r="J64" s="311" t="str">
        <f>IF(berekeningen!G$108="N","",studie!J233&amp;" °C")</f>
        <v>180 °C</v>
      </c>
      <c r="K64" s="311"/>
      <c r="L64" s="311"/>
      <c r="M64" s="311"/>
    </row>
    <row r="65" spans="1:15" s="208" customFormat="1" ht="13" x14ac:dyDescent="0.35">
      <c r="E65" s="208" t="str">
        <f>IF(berekeningen!$G$108="N","",studie!$E234)</f>
        <v>hoek:</v>
      </c>
      <c r="J65" s="311" t="str">
        <f>IF(berekeningen!G$108="N","",studie!J234&amp;" °")</f>
        <v>0,82 °</v>
      </c>
      <c r="K65" s="311"/>
      <c r="L65" s="311"/>
      <c r="M65" s="311"/>
    </row>
    <row r="66" spans="1:15" s="208" customFormat="1" ht="13" x14ac:dyDescent="0.35">
      <c r="E66" s="208" t="str">
        <f>IF(berekeningen!$G$108="N","",studie!$E235)</f>
        <v>drukspanning:</v>
      </c>
      <c r="J66" s="311" t="str">
        <f>IF(berekeningen!G$108="N","",studie!J235&amp;" kPa")</f>
        <v>600 kPa</v>
      </c>
      <c r="K66" s="311"/>
      <c r="L66" s="311"/>
      <c r="M66" s="311"/>
    </row>
    <row r="67" spans="1:15" s="208" customFormat="1" ht="13.5" thickBot="1" x14ac:dyDescent="0.4"/>
    <row r="68" spans="1:15" s="208" customFormat="1" ht="15.5" x14ac:dyDescent="0.35">
      <c r="A68" s="244" t="s">
        <v>183</v>
      </c>
      <c r="B68" s="245"/>
      <c r="C68" s="610" t="s">
        <v>336</v>
      </c>
      <c r="D68" s="611"/>
      <c r="E68" s="245" t="s">
        <v>436</v>
      </c>
      <c r="F68" s="987"/>
      <c r="G68" s="610" t="s">
        <v>1007</v>
      </c>
      <c r="H68" s="796"/>
      <c r="I68" s="713"/>
      <c r="J68" s="245" t="s">
        <v>437</v>
      </c>
      <c r="K68" s="245"/>
      <c r="L68" s="610" t="s">
        <v>438</v>
      </c>
      <c r="M68" s="713"/>
      <c r="N68" s="558" t="s">
        <v>825</v>
      </c>
      <c r="O68" s="702"/>
    </row>
    <row r="69" spans="1:15" s="208" customFormat="1" ht="13" x14ac:dyDescent="0.35">
      <c r="A69" s="247" t="s">
        <v>185</v>
      </c>
      <c r="B69" s="248"/>
      <c r="C69" s="612" t="s">
        <v>338</v>
      </c>
      <c r="D69" s="613"/>
      <c r="E69" s="248" t="s">
        <v>132</v>
      </c>
      <c r="F69" s="248"/>
      <c r="G69" s="612" t="s">
        <v>418</v>
      </c>
      <c r="H69" s="248"/>
      <c r="I69" s="705"/>
      <c r="J69" s="248" t="s">
        <v>132</v>
      </c>
      <c r="K69" s="248"/>
      <c r="L69" s="612" t="s">
        <v>132</v>
      </c>
      <c r="M69" s="705"/>
      <c r="N69" s="704" t="s">
        <v>132</v>
      </c>
      <c r="O69" s="249"/>
    </row>
    <row r="70" spans="1:15" s="208" customFormat="1" ht="13" x14ac:dyDescent="0.35">
      <c r="A70" s="1899">
        <f>IF(studie!B240="","",studie!B240)</f>
        <v>3.5500000000000003</v>
      </c>
      <c r="B70" s="1900"/>
      <c r="C70" s="631" t="str">
        <f>IF(studie!D240="","",studie!D240)</f>
        <v>A1</v>
      </c>
      <c r="D70" s="674"/>
      <c r="E70" s="637" t="str">
        <f>studie!J240</f>
        <v/>
      </c>
      <c r="F70" s="706"/>
      <c r="G70" s="653">
        <f>IF(studie!D240="","",studie!L240)</f>
        <v>2.2999999999999998</v>
      </c>
      <c r="H70" s="706"/>
      <c r="I70" s="988"/>
      <c r="J70" s="637">
        <f>IF(studie!D240="","",studie!N240)</f>
        <v>15</v>
      </c>
      <c r="K70" s="637"/>
      <c r="L70" s="632" t="str">
        <f>studie!P240</f>
        <v/>
      </c>
      <c r="M70" s="635"/>
      <c r="N70" s="636" t="str">
        <f>studie!Q240</f>
        <v/>
      </c>
      <c r="O70" s="722"/>
    </row>
    <row r="71" spans="1:15" s="208" customFormat="1" ht="13" x14ac:dyDescent="0.35">
      <c r="A71" s="1901"/>
      <c r="B71" s="1902"/>
      <c r="C71" s="634" t="str">
        <f>IF(studie!D241="","",studie!D241)</f>
        <v>A2</v>
      </c>
      <c r="D71" s="675"/>
      <c r="E71" s="643" t="str">
        <f>studie!J241</f>
        <v/>
      </c>
      <c r="F71" s="707"/>
      <c r="G71" s="654">
        <f>IF(studie!D241="","",studie!L241)</f>
        <v>2.31</v>
      </c>
      <c r="H71" s="707"/>
      <c r="I71" s="989"/>
      <c r="J71" s="643">
        <f>IF(studie!D241="","",studie!N241)</f>
        <v>15.1</v>
      </c>
      <c r="K71" s="643"/>
      <c r="L71" s="640" t="str">
        <f>studie!P241</f>
        <v/>
      </c>
      <c r="M71" s="641"/>
      <c r="N71" s="642" t="str">
        <f>studie!Q241</f>
        <v/>
      </c>
      <c r="O71" s="723"/>
    </row>
    <row r="72" spans="1:15" s="208" customFormat="1" ht="13" x14ac:dyDescent="0.35">
      <c r="A72" s="1901"/>
      <c r="B72" s="1902"/>
      <c r="C72" s="660" t="str">
        <f>IF(studie!D242="","",studie!D242)</f>
        <v>A3</v>
      </c>
      <c r="D72" s="676"/>
      <c r="E72" s="684" t="str">
        <f>studie!J242</f>
        <v/>
      </c>
      <c r="F72" s="708"/>
      <c r="G72" s="666">
        <f>IF(studie!D242="","",studie!L242)</f>
        <v>2.3199999999999998</v>
      </c>
      <c r="H72" s="708"/>
      <c r="I72" s="990"/>
      <c r="J72" s="684">
        <f>IF(studie!D242="","",studie!N242)</f>
        <v>15.2</v>
      </c>
      <c r="K72" s="684"/>
      <c r="L72" s="714" t="str">
        <f>studie!P242</f>
        <v/>
      </c>
      <c r="M72" s="715"/>
      <c r="N72" s="724" t="str">
        <f>studie!Q242</f>
        <v/>
      </c>
      <c r="O72" s="725"/>
    </row>
    <row r="73" spans="1:15" s="208" customFormat="1" ht="13" x14ac:dyDescent="0.35">
      <c r="A73" s="1903"/>
      <c r="B73" s="1904"/>
      <c r="C73" s="661"/>
      <c r="D73" s="677"/>
      <c r="E73" s="685" t="str">
        <f>studie!J244</f>
        <v/>
      </c>
      <c r="F73" s="709"/>
      <c r="G73" s="668">
        <f>IF(studie!D240="","",studie!L244)</f>
        <v>2.31</v>
      </c>
      <c r="H73" s="709"/>
      <c r="I73" s="991"/>
      <c r="J73" s="685">
        <f>IF(studie!D240="","",studie!N244)</f>
        <v>15.1</v>
      </c>
      <c r="K73" s="685"/>
      <c r="L73" s="716" t="str">
        <f>studie!P244</f>
        <v/>
      </c>
      <c r="M73" s="717"/>
      <c r="N73" s="726" t="str">
        <f>studie!Q244</f>
        <v/>
      </c>
      <c r="O73" s="727"/>
    </row>
    <row r="74" spans="1:15" s="208" customFormat="1" ht="13" x14ac:dyDescent="0.35">
      <c r="A74" s="1899">
        <f>IF(studie!B245="","",studie!B245)</f>
        <v>3.85</v>
      </c>
      <c r="B74" s="1900"/>
      <c r="C74" s="662" t="str">
        <f>IF(studie!D245="","",studie!D245)</f>
        <v>B1</v>
      </c>
      <c r="D74" s="678"/>
      <c r="E74" s="686">
        <f>studie!J245</f>
        <v>11.189097018581514</v>
      </c>
      <c r="F74" s="710"/>
      <c r="G74" s="670">
        <f>IF(studie!D245="","",studie!L245)</f>
        <v>2.34</v>
      </c>
      <c r="H74" s="710"/>
      <c r="I74" s="992"/>
      <c r="J74" s="686">
        <f>IF(studie!D245="","",studie!N245)</f>
        <v>15.4</v>
      </c>
      <c r="K74" s="686"/>
      <c r="L74" s="718">
        <f>studie!P245</f>
        <v>21.214328491716522</v>
      </c>
      <c r="M74" s="719"/>
      <c r="N74" s="728">
        <f>studie!Q245</f>
        <v>47.256888084152749</v>
      </c>
      <c r="O74" s="729"/>
    </row>
    <row r="75" spans="1:15" s="208" customFormat="1" ht="13" x14ac:dyDescent="0.35">
      <c r="A75" s="1901"/>
      <c r="B75" s="1902"/>
      <c r="C75" s="634" t="str">
        <f>IF(studie!D246="","",studie!D246)</f>
        <v>B2</v>
      </c>
      <c r="D75" s="675"/>
      <c r="E75" s="643">
        <f>studie!J246</f>
        <v>11.372198627182467</v>
      </c>
      <c r="F75" s="707"/>
      <c r="G75" s="654">
        <f>IF(studie!D246="","",studie!L246)</f>
        <v>2.35</v>
      </c>
      <c r="H75" s="707"/>
      <c r="I75" s="989"/>
      <c r="J75" s="643">
        <f>IF(studie!D246="","",studie!N246)</f>
        <v>15.5</v>
      </c>
      <c r="K75" s="643"/>
      <c r="L75" s="640">
        <f>studie!P246</f>
        <v>21.37676106140778</v>
      </c>
      <c r="M75" s="641"/>
      <c r="N75" s="642">
        <f>studie!Q246</f>
        <v>46.801114563079913</v>
      </c>
      <c r="O75" s="723"/>
    </row>
    <row r="76" spans="1:15" s="208" customFormat="1" ht="13" x14ac:dyDescent="0.35">
      <c r="A76" s="1901"/>
      <c r="B76" s="1902"/>
      <c r="C76" s="660" t="str">
        <f>IF(studie!D247="","",studie!D247)</f>
        <v>B3</v>
      </c>
      <c r="D76" s="676"/>
      <c r="E76" s="684">
        <f>studie!J247</f>
        <v>10.401916025668442</v>
      </c>
      <c r="F76" s="708"/>
      <c r="G76" s="666">
        <f>IF(studie!D247="","",studie!L247)</f>
        <v>2.36</v>
      </c>
      <c r="H76" s="708"/>
      <c r="I76" s="990"/>
      <c r="J76" s="684">
        <f>IF(studie!D247="","",studie!N247)</f>
        <v>15.6</v>
      </c>
      <c r="K76" s="684"/>
      <c r="L76" s="714">
        <f>studie!P247</f>
        <v>20.516006764955229</v>
      </c>
      <c r="M76" s="715"/>
      <c r="N76" s="724">
        <f>studie!Q247</f>
        <v>49.29853482288447</v>
      </c>
      <c r="O76" s="725"/>
    </row>
    <row r="77" spans="1:15" s="208" customFormat="1" ht="13" x14ac:dyDescent="0.35">
      <c r="A77" s="1903"/>
      <c r="B77" s="1904"/>
      <c r="C77" s="661"/>
      <c r="D77" s="677"/>
      <c r="E77" s="685">
        <f>studie!J249</f>
        <v>10.987737223810806</v>
      </c>
      <c r="F77" s="709"/>
      <c r="G77" s="668">
        <f>IF(studie!D245="","",studie!L249)</f>
        <v>2.3499999999999996</v>
      </c>
      <c r="H77" s="709"/>
      <c r="I77" s="991"/>
      <c r="J77" s="685">
        <f>IF(studie!D245="","",studie!N249)</f>
        <v>15.5</v>
      </c>
      <c r="K77" s="685"/>
      <c r="L77" s="716">
        <f>studie!P249</f>
        <v>21.035698772693177</v>
      </c>
      <c r="M77" s="717"/>
      <c r="N77" s="726">
        <f>studie!Q249</f>
        <v>47.785512490039046</v>
      </c>
      <c r="O77" s="727"/>
    </row>
    <row r="78" spans="1:15" s="208" customFormat="1" ht="13" x14ac:dyDescent="0.35">
      <c r="A78" s="1899">
        <f>IF(studie!B250="","",studie!B250)</f>
        <v>4.1500000000000004</v>
      </c>
      <c r="B78" s="1900"/>
      <c r="C78" s="662" t="str">
        <f>IF(studie!D250="","",studie!D250)</f>
        <v>C1</v>
      </c>
      <c r="D78" s="678"/>
      <c r="E78" s="686">
        <f>studie!J250</f>
        <v>-9.4107353952801738</v>
      </c>
      <c r="F78" s="710"/>
      <c r="G78" s="670">
        <f>IF(studie!D250="","",studie!L250)</f>
        <v>2.38</v>
      </c>
      <c r="H78" s="710"/>
      <c r="I78" s="992"/>
      <c r="J78" s="686">
        <f>IF(studie!D250="","",studie!N250)</f>
        <v>15.8</v>
      </c>
      <c r="K78" s="686"/>
      <c r="L78" s="718">
        <f>studie!P250</f>
        <v>-0.88153678405465463</v>
      </c>
      <c r="M78" s="719"/>
      <c r="N78" s="728">
        <f>studie!Q250</f>
        <v>-967.53746020616586</v>
      </c>
      <c r="O78" s="729"/>
    </row>
    <row r="79" spans="1:15" s="208" customFormat="1" ht="13" x14ac:dyDescent="0.35">
      <c r="A79" s="1901"/>
      <c r="B79" s="1902"/>
      <c r="C79" s="634" t="str">
        <f>IF(studie!D251="","",studie!D251)</f>
        <v>C2</v>
      </c>
      <c r="D79" s="675"/>
      <c r="E79" s="643">
        <f>studie!J251</f>
        <v>-9.4318115071060173</v>
      </c>
      <c r="F79" s="707"/>
      <c r="G79" s="654">
        <f>IF(studie!D251="","",studie!L251)</f>
        <v>2.39</v>
      </c>
      <c r="H79" s="707"/>
      <c r="I79" s="989"/>
      <c r="J79" s="643">
        <f>IF(studie!D251="","",studie!N251)</f>
        <v>15.9</v>
      </c>
      <c r="K79" s="643"/>
      <c r="L79" s="640">
        <f>studie!P251</f>
        <v>-0.90096989126065452</v>
      </c>
      <c r="M79" s="641"/>
      <c r="N79" s="642">
        <f>studie!Q251</f>
        <v>-946.85091017956711</v>
      </c>
      <c r="O79" s="723"/>
    </row>
    <row r="80" spans="1:15" s="208" customFormat="1" ht="12.75" customHeight="1" x14ac:dyDescent="0.35">
      <c r="A80" s="1901"/>
      <c r="B80" s="1902"/>
      <c r="C80" s="660" t="str">
        <f>IF(studie!D252="","",studie!D252)</f>
        <v>C3</v>
      </c>
      <c r="D80" s="676"/>
      <c r="E80" s="684">
        <f>studie!J252</f>
        <v>-10.234707044135213</v>
      </c>
      <c r="F80" s="708"/>
      <c r="G80" s="666">
        <f>IF(studie!D252="","",studie!L252)</f>
        <v>2.4</v>
      </c>
      <c r="H80" s="708"/>
      <c r="I80" s="990"/>
      <c r="J80" s="684">
        <f>IF(studie!D252="","",studie!N252)</f>
        <v>16</v>
      </c>
      <c r="K80" s="684"/>
      <c r="L80" s="714">
        <f>studie!P252</f>
        <v>-1.6412750848957778</v>
      </c>
      <c r="M80" s="715"/>
      <c r="N80" s="724">
        <f>studie!Q252</f>
        <v>-523.58267290611582</v>
      </c>
      <c r="O80" s="725"/>
    </row>
    <row r="81" spans="1:15" ht="12.75" customHeight="1" thickBot="1" x14ac:dyDescent="0.4">
      <c r="A81" s="1905"/>
      <c r="B81" s="1906"/>
      <c r="C81" s="663"/>
      <c r="D81" s="679"/>
      <c r="E81" s="687">
        <f>studie!J254</f>
        <v>-9.6924179821738008</v>
      </c>
      <c r="F81" s="687"/>
      <c r="G81" s="672">
        <f>IF(studie!D250="","",studie!L254)</f>
        <v>2.39</v>
      </c>
      <c r="H81" s="742"/>
      <c r="I81" s="993"/>
      <c r="J81" s="687">
        <f>IF(studie!D250="","",studie!N254)</f>
        <v>15.9</v>
      </c>
      <c r="K81" s="683"/>
      <c r="L81" s="720">
        <f>studie!P254</f>
        <v>-1.1412605867370289</v>
      </c>
      <c r="M81" s="721"/>
      <c r="N81" s="730">
        <f>studie!Q254</f>
        <v>-812.65701443061619</v>
      </c>
      <c r="O81" s="731"/>
    </row>
    <row r="82" spans="1:15" ht="12.75" customHeight="1" x14ac:dyDescent="0.35"/>
    <row r="83" spans="1:15" ht="12.75" customHeight="1" x14ac:dyDescent="0.35">
      <c r="B83" s="1445" t="str">
        <f>IF(studie!E222="J","","KENMERK NIET BEPAALD !")</f>
        <v/>
      </c>
    </row>
    <row r="84" spans="1:15" ht="12.75" customHeight="1" x14ac:dyDescent="0.35"/>
    <row r="85" spans="1:15" ht="12.75" customHeight="1" x14ac:dyDescent="0.35"/>
    <row r="86" spans="1:15" ht="12.75" customHeight="1" x14ac:dyDescent="0.35"/>
    <row r="87" spans="1:15" ht="12.75" customHeight="1" x14ac:dyDescent="0.35"/>
    <row r="88" spans="1:15" ht="12.75" customHeight="1" x14ac:dyDescent="0.35"/>
    <row r="89" spans="1:15" ht="12.75" customHeight="1" x14ac:dyDescent="0.35"/>
    <row r="90" spans="1:15" ht="12.75" customHeight="1" x14ac:dyDescent="0.35"/>
    <row r="91" spans="1:15" ht="12.75" customHeight="1" x14ac:dyDescent="0.35"/>
    <row r="92" spans="1:15" ht="12.75" customHeight="1" x14ac:dyDescent="0.35"/>
    <row r="93" spans="1:15" ht="12.75" customHeight="1" x14ac:dyDescent="0.35"/>
    <row r="94" spans="1:15" ht="12.75" customHeight="1" x14ac:dyDescent="0.35"/>
    <row r="95" spans="1:15" ht="12.75" customHeight="1" x14ac:dyDescent="0.35"/>
    <row r="96" spans="1:15"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s="210" customFormat="1" ht="10.5" x14ac:dyDescent="0.35">
      <c r="A110" s="2277" t="str">
        <f>'VN1'!$A$53</f>
        <v>801/64/</v>
      </c>
      <c r="B110" s="2277"/>
      <c r="C110" s="267" t="str">
        <f>algemeen!$J$66</f>
        <v>2010/13RE-1234/0</v>
      </c>
      <c r="D110" s="267"/>
      <c r="E110" s="268"/>
      <c r="F110" s="268"/>
      <c r="G110" s="268"/>
      <c r="H110" s="268"/>
      <c r="I110" s="269" t="str">
        <f>"blz. "&amp;berekeningen!G3+1&amp;" /"</f>
        <v>blz. 8 /</v>
      </c>
      <c r="J110" s="267">
        <f>berekeningen!O$2</f>
        <v>19</v>
      </c>
      <c r="K110" s="268"/>
      <c r="L110" s="268"/>
      <c r="M110" s="268" t="s">
        <v>610</v>
      </c>
      <c r="N110" s="268"/>
      <c r="O110" s="268"/>
      <c r="P110" s="268"/>
      <c r="Q110" s="268"/>
      <c r="R110" s="268"/>
      <c r="S110" s="268"/>
      <c r="T110" s="268"/>
    </row>
    <row r="111" spans="1:20" ht="12.75" customHeight="1" x14ac:dyDescent="0.35"/>
    <row r="112" spans="1:20" ht="12.75" customHeight="1" x14ac:dyDescent="0.35"/>
    <row r="113" ht="12.75" customHeight="1" x14ac:dyDescent="0.35"/>
    <row r="114" ht="12.75" customHeight="1" x14ac:dyDescent="0.35"/>
    <row r="115" ht="12.75" customHeight="1" x14ac:dyDescent="0.35"/>
  </sheetData>
  <sheetProtection algorithmName="SHA-512" hashValue="Q9V4n1VtUzeoeYjK1oIr3VFeyXRUpj9/unyAsWiERU5ziBQwFHndOkqVZ8zBFPP3jeo6H1k1/bDmgGrZH/h3Kg==" saltValue="wanWvBxzowaCGUALkY/BSQ==" spinCount="100000" sheet="1" objects="1" scenarios="1"/>
  <mergeCells count="4">
    <mergeCell ref="A110:B110"/>
    <mergeCell ref="J60:M60"/>
    <mergeCell ref="J61:M61"/>
    <mergeCell ref="A53:B53"/>
  </mergeCells>
  <pageMargins left="0.59055118110236227" right="0.19685039370078741" top="0.59055118110236227" bottom="0.59055118110236227" header="0.31496062992125984" footer="0.31496062992125984"/>
  <pageSetup paperSize="9" orientation="portrait" r:id="rId1"/>
  <rowBreaks count="1" manualBreakCount="1">
    <brk id="53"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AB228"/>
  <sheetViews>
    <sheetView workbookViewId="0">
      <selection activeCell="F94" sqref="F94"/>
    </sheetView>
  </sheetViews>
  <sheetFormatPr defaultRowHeight="14.5" x14ac:dyDescent="0.35"/>
  <cols>
    <col min="1" max="19" width="4.7265625" customWidth="1"/>
    <col min="20" max="20" width="5.453125" customWidth="1"/>
    <col min="21" max="21" width="4.7265625" customWidth="1"/>
    <col min="22" max="22" width="8.7265625" customWidth="1"/>
    <col min="23" max="26" width="4.7265625" customWidth="1"/>
  </cols>
  <sheetData>
    <row r="1" spans="1:20" ht="15" customHeight="1" x14ac:dyDescent="0.35">
      <c r="A1" s="736" t="s">
        <v>1344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P3" s="208" t="str">
        <f>studie!E276</f>
        <v>laboratoriumvalidatie</v>
      </c>
    </row>
    <row r="4" spans="1:20" s="208" customFormat="1" ht="12.75" customHeight="1" x14ac:dyDescent="0.35">
      <c r="A4" s="208" t="str">
        <f>studie!B279</f>
        <v>Toegepaste methode voor de verdichting van de proefstukken (volgens EN 13108-20):</v>
      </c>
      <c r="P4" s="311" t="str">
        <f>studie!L279</f>
        <v>C.1.5</v>
      </c>
    </row>
    <row r="5" spans="1:20" s="208" customFormat="1" ht="12.75" customHeight="1" x14ac:dyDescent="0.35">
      <c r="A5" s="208" t="s">
        <v>442</v>
      </c>
      <c r="P5" s="208" t="str">
        <f>studie!H31</f>
        <v>EN 12697-29</v>
      </c>
    </row>
    <row r="6" spans="1:20" s="208" customFormat="1" ht="12.75" customHeight="1" x14ac:dyDescent="0.35"/>
    <row r="7" spans="1:20" s="208" customFormat="1" ht="12.75" customHeight="1" x14ac:dyDescent="0.35"/>
    <row r="8" spans="1:20" s="208" customFormat="1" ht="12.75" customHeight="1" x14ac:dyDescent="0.35"/>
    <row r="9" spans="1:20" s="208" customFormat="1" ht="12.75" customHeight="1" x14ac:dyDescent="0.35"/>
    <row r="10" spans="1:20" s="208" customFormat="1" ht="12.75" customHeight="1" x14ac:dyDescent="0.35"/>
    <row r="11" spans="1:20" s="208" customFormat="1" ht="12.75" customHeight="1" thickBot="1" x14ac:dyDescent="0.4">
      <c r="A11" s="779" t="s">
        <v>449</v>
      </c>
    </row>
    <row r="12" spans="1:20" s="208" customFormat="1" ht="12.75" customHeight="1" x14ac:dyDescent="0.35">
      <c r="A12" s="1004" t="s">
        <v>829</v>
      </c>
      <c r="B12" s="996" t="s">
        <v>831</v>
      </c>
      <c r="C12" s="610" t="s">
        <v>374</v>
      </c>
      <c r="D12" s="245"/>
      <c r="E12" s="245"/>
      <c r="F12" s="245"/>
      <c r="G12" s="245"/>
      <c r="H12" s="610" t="s">
        <v>930</v>
      </c>
      <c r="I12" s="245"/>
      <c r="J12" s="245"/>
      <c r="K12" s="245"/>
      <c r="L12" s="245"/>
      <c r="M12" s="245"/>
      <c r="N12" s="245"/>
      <c r="O12" s="610" t="s">
        <v>448</v>
      </c>
      <c r="P12" s="245"/>
      <c r="Q12" s="610" t="s">
        <v>487</v>
      </c>
      <c r="R12" s="245"/>
      <c r="S12" s="245"/>
      <c r="T12" s="246"/>
    </row>
    <row r="13" spans="1:20" s="208" customFormat="1" ht="12.75" customHeight="1" x14ac:dyDescent="0.35">
      <c r="A13" s="1005" t="s">
        <v>830</v>
      </c>
      <c r="B13" s="997" t="s">
        <v>338</v>
      </c>
      <c r="C13" s="866"/>
      <c r="D13" s="738"/>
      <c r="E13" s="738"/>
      <c r="F13" s="738"/>
      <c r="G13" s="861"/>
      <c r="H13" s="866"/>
      <c r="I13" s="415"/>
      <c r="J13" s="415"/>
      <c r="K13" s="415"/>
      <c r="L13" s="415"/>
      <c r="M13" s="415"/>
      <c r="N13" s="415"/>
      <c r="O13" s="862" t="s">
        <v>929</v>
      </c>
      <c r="P13" s="738"/>
      <c r="Q13" s="862" t="s">
        <v>931</v>
      </c>
      <c r="R13" s="738"/>
      <c r="S13" s="863" t="s">
        <v>932</v>
      </c>
      <c r="T13" s="865"/>
    </row>
    <row r="14" spans="1:20" s="208" customFormat="1" ht="12.75" customHeight="1" x14ac:dyDescent="0.35">
      <c r="A14" s="1006" t="s">
        <v>185</v>
      </c>
      <c r="B14" s="998"/>
      <c r="C14" s="612">
        <v>1</v>
      </c>
      <c r="D14" s="614">
        <v>2</v>
      </c>
      <c r="E14" s="614">
        <v>3</v>
      </c>
      <c r="F14" s="614">
        <v>4</v>
      </c>
      <c r="G14" s="248" t="s">
        <v>339</v>
      </c>
      <c r="H14" s="612">
        <v>1</v>
      </c>
      <c r="I14" s="614">
        <v>2</v>
      </c>
      <c r="J14" s="614">
        <v>3</v>
      </c>
      <c r="K14" s="614">
        <v>4</v>
      </c>
      <c r="L14" s="614">
        <v>5</v>
      </c>
      <c r="M14" s="614">
        <v>6</v>
      </c>
      <c r="N14" s="248" t="s">
        <v>339</v>
      </c>
      <c r="O14" s="612" t="s">
        <v>371</v>
      </c>
      <c r="P14" s="248"/>
      <c r="Q14" s="612" t="s">
        <v>488</v>
      </c>
      <c r="R14" s="248"/>
      <c r="S14" s="704" t="s">
        <v>488</v>
      </c>
      <c r="T14" s="249"/>
    </row>
    <row r="15" spans="1:20" s="208" customFormat="1" ht="12.75" customHeight="1" x14ac:dyDescent="0.35">
      <c r="A15" s="1895">
        <f>A168</f>
        <v>3.5500000000000003</v>
      </c>
      <c r="B15" s="999" t="str">
        <f>B168</f>
        <v>A1</v>
      </c>
      <c r="C15" s="615">
        <f>IF($B15="","",VLOOKUP($B15,studie!$B$38:$Y$127,5,FALSE))</f>
        <v>62</v>
      </c>
      <c r="D15" s="616">
        <f>IF($B15="","",VLOOKUP($B15,studie!$B$38:$Y$127,6,FALSE))</f>
        <v>0</v>
      </c>
      <c r="E15" s="616">
        <f>IF($B15="","",VLOOKUP($B15,studie!$B$38:$Y$127,7,FALSE))</f>
        <v>0</v>
      </c>
      <c r="F15" s="616">
        <f>IF($B15="","",VLOOKUP($B15,studie!$B$38:$Y$127,8,FALSE))</f>
        <v>0</v>
      </c>
      <c r="G15" s="617">
        <f>IF($B15="","",VLOOKUP($B15,studie!$B$38:$Y$127,9,FALSE))</f>
        <v>62</v>
      </c>
      <c r="H15" s="615" t="str">
        <f>IF($B15="","",IF(VLOOKUP($B15,studie!$B$38:$Y$127,10,FALSE)="","",VLOOKUP($B15,studie!$B$38:$Y$127,10,FALSE)))</f>
        <v/>
      </c>
      <c r="I15" s="616" t="str">
        <f>IF($B15="","",IF(VLOOKUP($B15,studie!$B$38:$Y$127,11,FALSE)="","",VLOOKUP($B15,studie!$B$38:$Y$127,11,FALSE)))</f>
        <v/>
      </c>
      <c r="J15" s="616" t="str">
        <f>IF($B15="","",IF(VLOOKUP($B15,studie!$B$38:$Y$127,12,FALSE)="","",VLOOKUP($B15,studie!$B$38:$Y$127,12,FALSE)))</f>
        <v/>
      </c>
      <c r="K15" s="616" t="str">
        <f>IF($B15="","",IF(VLOOKUP($B15,studie!$B$38:$Y$127,13,FALSE)="","",VLOOKUP($B15,studie!$B$38:$Y$127,13,FALSE)))</f>
        <v/>
      </c>
      <c r="L15" s="616" t="str">
        <f>IF($B15="","",IF(VLOOKUP($B15,studie!$B$38:$Y$127,14,FALSE)="","",VLOOKUP($B15,studie!$B$38:$Y$127,14,FALSE)))</f>
        <v/>
      </c>
      <c r="M15" s="616" t="str">
        <f>IF($B15="","",IF(VLOOKUP($B15,studie!$B$38:$Y$127,15,FALSE)="","",VLOOKUP($B15,studie!$B$38:$Y$127,15,FALSE)))</f>
        <v/>
      </c>
      <c r="N15" s="617" t="str">
        <f>IF($B15="","",IF(VLOOKUP($B15,studie!$B$38:$Y$127,16,FALSE)="","",VLOOKUP($B15,studie!$B$38:$Y$127,16,FALSE)))</f>
        <v/>
      </c>
      <c r="O15" s="615">
        <f>IF($B15="","",VLOOKUP($B15,studie!$B$38:$Y$127,17,FALSE))</f>
        <v>100</v>
      </c>
      <c r="P15" s="617"/>
      <c r="Q15" s="1733">
        <f>IF($B15="","",VLOOKUP($B15,studie!$B$38:$Y$127,21,FALSE))</f>
        <v>170</v>
      </c>
      <c r="R15" s="1741"/>
      <c r="S15" s="1738">
        <f>IF($B15="","",VLOOKUP($B15,studie!$B$38:$Y$127,23,FALSE))</f>
        <v>140</v>
      </c>
      <c r="T15" s="1742"/>
    </row>
    <row r="16" spans="1:20" s="208" customFormat="1" ht="12.75" customHeight="1" x14ac:dyDescent="0.35">
      <c r="A16" s="1896"/>
      <c r="B16" s="1000" t="str">
        <f t="shared" ref="B16:B18" si="0">B169</f>
        <v>A2</v>
      </c>
      <c r="C16" s="615">
        <f>IF($B16="","",VLOOKUP($B16,studie!$B$38:$Y$127,5,FALSE))</f>
        <v>64</v>
      </c>
      <c r="D16" s="616">
        <f>IF($B16="","",VLOOKUP($B16,studie!$B$38:$Y$127,6,FALSE))</f>
        <v>0</v>
      </c>
      <c r="E16" s="616">
        <f>IF($B16="","",VLOOKUP($B16,studie!$B$38:$Y$127,7,FALSE))</f>
        <v>0</v>
      </c>
      <c r="F16" s="616">
        <f>IF($B16="","",VLOOKUP($B16,studie!$B$38:$Y$127,8,FALSE))</f>
        <v>0</v>
      </c>
      <c r="G16" s="617">
        <f>IF($B16="","",VLOOKUP($B16,studie!$B$38:$Y$127,9,FALSE))</f>
        <v>64</v>
      </c>
      <c r="H16" s="615">
        <f>IF($B16="","",IF(VLOOKUP($B16,studie!$B$38:$Y$127,10,FALSE)="","",VLOOKUP($B16,studie!$B$38:$Y$127,10,FALSE)))</f>
        <v>102</v>
      </c>
      <c r="I16" s="616" t="str">
        <f>IF($B16="","",IF(VLOOKUP($B16,studie!$B$38:$Y$127,11,FALSE)="","",VLOOKUP($B16,studie!$B$38:$Y$127,11,FALSE)))</f>
        <v/>
      </c>
      <c r="J16" s="616" t="str">
        <f>IF($B16="","",IF(VLOOKUP($B16,studie!$B$38:$Y$127,12,FALSE)="","",VLOOKUP($B16,studie!$B$38:$Y$127,12,FALSE)))</f>
        <v/>
      </c>
      <c r="K16" s="616" t="str">
        <f>IF($B16="","",IF(VLOOKUP($B16,studie!$B$38:$Y$127,13,FALSE)="","",VLOOKUP($B16,studie!$B$38:$Y$127,13,FALSE)))</f>
        <v/>
      </c>
      <c r="L16" s="616" t="str">
        <f>IF($B16="","",IF(VLOOKUP($B16,studie!$B$38:$Y$127,14,FALSE)="","",VLOOKUP($B16,studie!$B$38:$Y$127,14,FALSE)))</f>
        <v/>
      </c>
      <c r="M16" s="616" t="str">
        <f>IF($B16="","",IF(VLOOKUP($B16,studie!$B$38:$Y$127,15,FALSE)="","",VLOOKUP($B16,studie!$B$38:$Y$127,15,FALSE)))</f>
        <v/>
      </c>
      <c r="N16" s="617">
        <f>IF($B16="","",IF(VLOOKUP($B16,studie!$B$38:$Y$127,16,FALSE)="","",VLOOKUP($B16,studie!$B$38:$Y$127,16,FALSE)))</f>
        <v>102</v>
      </c>
      <c r="O16" s="615">
        <f>IF($B16="","",VLOOKUP($B16,studie!$B$38:$Y$127,17,FALSE))</f>
        <v>0</v>
      </c>
      <c r="P16" s="617"/>
      <c r="Q16" s="1733">
        <f>IF($B16="","",VLOOKUP($B16,studie!$B$38:$Y$127,21,FALSE))</f>
        <v>171</v>
      </c>
      <c r="R16" s="1741"/>
      <c r="S16" s="1738">
        <f>IF($B16="","",VLOOKUP($B16,studie!$B$38:$Y$127,23,FALSE))</f>
        <v>141</v>
      </c>
      <c r="T16" s="1742"/>
    </row>
    <row r="17" spans="1:20" s="208" customFormat="1" ht="12.75" customHeight="1" x14ac:dyDescent="0.35">
      <c r="A17" s="1896"/>
      <c r="B17" s="1000" t="str">
        <f t="shared" si="0"/>
        <v>A3</v>
      </c>
      <c r="C17" s="615">
        <f>IF($B17="","",VLOOKUP($B17,studie!$B$38:$Y$127,5,FALSE))</f>
        <v>63</v>
      </c>
      <c r="D17" s="616">
        <f>IF($B17="","",VLOOKUP($B17,studie!$B$38:$Y$127,6,FALSE))</f>
        <v>0</v>
      </c>
      <c r="E17" s="616">
        <f>IF($B17="","",VLOOKUP($B17,studie!$B$38:$Y$127,7,FALSE))</f>
        <v>0</v>
      </c>
      <c r="F17" s="616">
        <f>IF($B17="","",VLOOKUP($B17,studie!$B$38:$Y$127,8,FALSE))</f>
        <v>0</v>
      </c>
      <c r="G17" s="617">
        <f>IF($B17="","",VLOOKUP($B17,studie!$B$38:$Y$127,9,FALSE))</f>
        <v>63</v>
      </c>
      <c r="H17" s="615">
        <f>IF($B17="","",IF(VLOOKUP($B17,studie!$B$38:$Y$127,10,FALSE)="","",VLOOKUP($B17,studie!$B$38:$Y$127,10,FALSE)))</f>
        <v>103</v>
      </c>
      <c r="I17" s="616" t="str">
        <f>IF($B17="","",IF(VLOOKUP($B17,studie!$B$38:$Y$127,11,FALSE)="","",VLOOKUP($B17,studie!$B$38:$Y$127,11,FALSE)))</f>
        <v/>
      </c>
      <c r="J17" s="616" t="str">
        <f>IF($B17="","",IF(VLOOKUP($B17,studie!$B$38:$Y$127,12,FALSE)="","",VLOOKUP($B17,studie!$B$38:$Y$127,12,FALSE)))</f>
        <v/>
      </c>
      <c r="K17" s="616" t="str">
        <f>IF($B17="","",IF(VLOOKUP($B17,studie!$B$38:$Y$127,13,FALSE)="","",VLOOKUP($B17,studie!$B$38:$Y$127,13,FALSE)))</f>
        <v/>
      </c>
      <c r="L17" s="616" t="str">
        <f>IF($B17="","",IF(VLOOKUP($B17,studie!$B$38:$Y$127,14,FALSE)="","",VLOOKUP($B17,studie!$B$38:$Y$127,14,FALSE)))</f>
        <v/>
      </c>
      <c r="M17" s="616" t="str">
        <f>IF($B17="","",IF(VLOOKUP($B17,studie!$B$38:$Y$127,15,FALSE)="","",VLOOKUP($B17,studie!$B$38:$Y$127,15,FALSE)))</f>
        <v/>
      </c>
      <c r="N17" s="617">
        <f>IF($B17="","",IF(VLOOKUP($B17,studie!$B$38:$Y$127,16,FALSE)="","",VLOOKUP($B17,studie!$B$38:$Y$127,16,FALSE)))</f>
        <v>103</v>
      </c>
      <c r="O17" s="615">
        <f>IF($B17="","",VLOOKUP($B17,studie!$B$38:$Y$127,17,FALSE))</f>
        <v>101.6</v>
      </c>
      <c r="P17" s="617"/>
      <c r="Q17" s="1733">
        <f>IF($B17="","",VLOOKUP($B17,studie!$B$38:$Y$127,21,FALSE))</f>
        <v>172</v>
      </c>
      <c r="R17" s="1741"/>
      <c r="S17" s="1738">
        <f>IF($B17="","",VLOOKUP($B17,studie!$B$38:$Y$127,23,FALSE))</f>
        <v>142</v>
      </c>
      <c r="T17" s="1742"/>
    </row>
    <row r="18" spans="1:20" s="208" customFormat="1" ht="12.75" customHeight="1" x14ac:dyDescent="0.35">
      <c r="A18" s="1896"/>
      <c r="B18" s="1010" t="str">
        <f t="shared" si="0"/>
        <v/>
      </c>
      <c r="C18" s="1011" t="str">
        <f>IF($B18="","",VLOOKUP($B18,studie!$B$38:$Y$127,5,FALSE))</f>
        <v/>
      </c>
      <c r="D18" s="1012" t="str">
        <f>IF($B18="","",VLOOKUP($B18,studie!$B$38:$Y$127,6,FALSE))</f>
        <v/>
      </c>
      <c r="E18" s="1012" t="str">
        <f>IF($B18="","",VLOOKUP($B18,studie!$B$38:$Y$127,7,FALSE))</f>
        <v/>
      </c>
      <c r="F18" s="1012" t="str">
        <f>IF($B18="","",VLOOKUP($B18,studie!$B$38:$Y$127,8,FALSE))</f>
        <v/>
      </c>
      <c r="G18" s="1013" t="str">
        <f>IF($B18="","",VLOOKUP($B18,studie!$B$38:$Y$127,9,FALSE))</f>
        <v/>
      </c>
      <c r="H18" s="1011" t="str">
        <f>IF($B18="","",IF(VLOOKUP($B18,studie!$B$38:$Y$127,10,FALSE)="","",VLOOKUP($B18,studie!$B$38:$Y$127,10,FALSE)))</f>
        <v/>
      </c>
      <c r="I18" s="1012" t="str">
        <f>IF($B18="","",IF(VLOOKUP($B18,studie!$B$38:$Y$127,11,FALSE)="","",VLOOKUP($B18,studie!$B$38:$Y$127,11,FALSE)))</f>
        <v/>
      </c>
      <c r="J18" s="1012" t="str">
        <f>IF($B18="","",IF(VLOOKUP($B18,studie!$B$38:$Y$127,12,FALSE)="","",VLOOKUP($B18,studie!$B$38:$Y$127,12,FALSE)))</f>
        <v/>
      </c>
      <c r="K18" s="1012" t="str">
        <f>IF($B18="","",IF(VLOOKUP($B18,studie!$B$38:$Y$127,13,FALSE)="","",VLOOKUP($B18,studie!$B$38:$Y$127,13,FALSE)))</f>
        <v/>
      </c>
      <c r="L18" s="1012" t="str">
        <f>IF($B18="","",IF(VLOOKUP($B18,studie!$B$38:$Y$127,14,FALSE)="","",VLOOKUP($B18,studie!$B$38:$Y$127,14,FALSE)))</f>
        <v/>
      </c>
      <c r="M18" s="1012" t="str">
        <f>IF($B18="","",IF(VLOOKUP($B18,studie!$B$38:$Y$127,15,FALSE)="","",VLOOKUP($B18,studie!$B$38:$Y$127,15,FALSE)))</f>
        <v/>
      </c>
      <c r="N18" s="1013" t="str">
        <f>IF($B18="","",IF(VLOOKUP($B18,studie!$B$38:$Y$127,16,FALSE)="","",VLOOKUP($B18,studie!$B$38:$Y$127,16,FALSE)))</f>
        <v/>
      </c>
      <c r="O18" s="1011" t="str">
        <f>IF($B18="","",VLOOKUP($B18,studie!$B$38:$Y$127,17,FALSE))</f>
        <v/>
      </c>
      <c r="P18" s="1013"/>
      <c r="Q18" s="1743" t="str">
        <f>IF($B18="","",VLOOKUP($B18,studie!$B$38:$Y$127,21,FALSE))</f>
        <v/>
      </c>
      <c r="R18" s="1744"/>
      <c r="S18" s="1745" t="str">
        <f>IF($B18="","",VLOOKUP($B18,studie!$B$38:$Y$127,23,FALSE))</f>
        <v/>
      </c>
      <c r="T18" s="1746"/>
    </row>
    <row r="19" spans="1:20" s="208" customFormat="1" ht="12.75" customHeight="1" x14ac:dyDescent="0.35">
      <c r="A19" s="1896"/>
      <c r="B19" s="1020"/>
      <c r="C19" s="1021"/>
      <c r="D19" s="1022"/>
      <c r="E19" s="1022"/>
      <c r="F19" s="1022"/>
      <c r="G19" s="1031">
        <f>IF(SUM(G15:G18)=0,"",AVERAGE(G15:G18))</f>
        <v>63</v>
      </c>
      <c r="H19" s="1021"/>
      <c r="I19" s="1022"/>
      <c r="J19" s="1022"/>
      <c r="K19" s="1022"/>
      <c r="L19" s="1022"/>
      <c r="M19" s="1022"/>
      <c r="N19" s="1023">
        <f t="shared" ref="N19:O19" si="1">IF(SUM(N15:N18)=0,"",AVERAGE(N15:N18))</f>
        <v>102.5</v>
      </c>
      <c r="O19" s="1021">
        <f t="shared" si="1"/>
        <v>67.2</v>
      </c>
      <c r="P19" s="1023"/>
      <c r="Q19" s="1747"/>
      <c r="R19" s="1748"/>
      <c r="S19" s="1749"/>
      <c r="T19" s="1750"/>
    </row>
    <row r="20" spans="1:20" s="208" customFormat="1" ht="12.75" customHeight="1" x14ac:dyDescent="0.35">
      <c r="A20" s="1895">
        <f>A173</f>
        <v>3.85</v>
      </c>
      <c r="B20" s="1001" t="str">
        <f>B173</f>
        <v>B1</v>
      </c>
      <c r="C20" s="623">
        <f>IF($B20="","",VLOOKUP($B20,studie!$B$38:$Y$127,5,FALSE))</f>
        <v>75</v>
      </c>
      <c r="D20" s="622">
        <f>IF($B20="","",VLOOKUP($B20,studie!$B$38:$Y$127,6,FALSE))</f>
        <v>0</v>
      </c>
      <c r="E20" s="622">
        <f>IF($B20="","",VLOOKUP($B20,studie!$B$38:$Y$127,7,FALSE))</f>
        <v>0</v>
      </c>
      <c r="F20" s="622">
        <f>IF($B20="","",VLOOKUP($B20,studie!$B$38:$Y$127,8,FALSE))</f>
        <v>0</v>
      </c>
      <c r="G20" s="621">
        <f>IF($B20="","",VLOOKUP($B20,studie!$B$38:$Y$127,9,FALSE))</f>
        <v>75</v>
      </c>
      <c r="H20" s="623">
        <f>IF($B20="","",IF(VLOOKUP($B20,studie!$B$38:$Y$127,10,FALSE)="","",VLOOKUP($B20,studie!$B$38:$Y$127,10,FALSE)))</f>
        <v>101.1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101.1</v>
      </c>
      <c r="O20" s="623">
        <f>IF($B20="","",VLOOKUP($B20,studie!$B$38:$Y$127,17,FALSE))</f>
        <v>101.6</v>
      </c>
      <c r="P20" s="621"/>
      <c r="Q20" s="1735">
        <f>IF($B20="","",VLOOKUP($B20,studie!$B$38:$Y$127,21,FALSE))</f>
        <v>180</v>
      </c>
      <c r="R20" s="1751"/>
      <c r="S20" s="1740">
        <f>IF($B20="","",VLOOKUP($B20,studie!$B$38:$Y$127,23,FALSE))</f>
        <v>150</v>
      </c>
      <c r="T20" s="1752"/>
    </row>
    <row r="21" spans="1:20" s="208" customFormat="1" ht="12.75" customHeight="1" x14ac:dyDescent="0.35">
      <c r="A21" s="1896"/>
      <c r="B21" s="1000" t="str">
        <f t="shared" ref="B21:B23" si="2">B174</f>
        <v>B2</v>
      </c>
      <c r="C21" s="615">
        <f>IF($B21="","",VLOOKUP($B21,studie!$B$38:$Y$127,5,FALSE))</f>
        <v>74</v>
      </c>
      <c r="D21" s="616">
        <f>IF($B21="","",VLOOKUP($B21,studie!$B$38:$Y$127,6,FALSE))</f>
        <v>0</v>
      </c>
      <c r="E21" s="616">
        <f>IF($B21="","",VLOOKUP($B21,studie!$B$38:$Y$127,7,FALSE))</f>
        <v>0</v>
      </c>
      <c r="F21" s="616">
        <f>IF($B21="","",VLOOKUP($B21,studie!$B$38:$Y$127,8,FALSE))</f>
        <v>0</v>
      </c>
      <c r="G21" s="617">
        <f>IF($B21="","",VLOOKUP($B21,studie!$B$38:$Y$127,9,FALSE))</f>
        <v>74</v>
      </c>
      <c r="H21" s="615">
        <f>IF($B21="","",IF(VLOOKUP($B21,studie!$B$38:$Y$127,10,FALSE)="","",VLOOKUP($B21,studie!$B$38:$Y$127,10,FALSE)))</f>
        <v>101.2</v>
      </c>
      <c r="I21" s="616" t="str">
        <f>IF($B21="","",IF(VLOOKUP($B21,studie!$B$38:$Y$127,11,FALSE)="","",VLOOKUP($B21,studie!$B$38:$Y$127,11,FALSE)))</f>
        <v/>
      </c>
      <c r="J21" s="616" t="str">
        <f>IF($B21="","",IF(VLOOKUP($B21,studie!$B$38:$Y$127,12,FALSE)="","",VLOOKUP($B21,studie!$B$38:$Y$127,12,FALSE)))</f>
        <v/>
      </c>
      <c r="K21" s="616" t="str">
        <f>IF($B21="","",IF(VLOOKUP($B21,studie!$B$38:$Y$127,13,FALSE)="","",VLOOKUP($B21,studie!$B$38:$Y$127,13,FALSE)))</f>
        <v/>
      </c>
      <c r="L21" s="616" t="str">
        <f>IF($B21="","",IF(VLOOKUP($B21,studie!$B$38:$Y$127,14,FALSE)="","",VLOOKUP($B21,studie!$B$38:$Y$127,14,FALSE)))</f>
        <v/>
      </c>
      <c r="M21" s="616" t="str">
        <f>IF($B21="","",IF(VLOOKUP($B21,studie!$B$38:$Y$127,15,FALSE)="","",VLOOKUP($B21,studie!$B$38:$Y$127,15,FALSE)))</f>
        <v/>
      </c>
      <c r="N21" s="617">
        <f>IF($B21="","",IF(VLOOKUP($B21,studie!$B$38:$Y$127,16,FALSE)="","",VLOOKUP($B21,studie!$B$38:$Y$127,16,FALSE)))</f>
        <v>101.2</v>
      </c>
      <c r="O21" s="615">
        <f>IF($B21="","",VLOOKUP($B21,studie!$B$38:$Y$127,17,FALSE))</f>
        <v>101.6</v>
      </c>
      <c r="P21" s="617"/>
      <c r="Q21" s="1733">
        <f>IF($B21="","",VLOOKUP($B21,studie!$B$38:$Y$127,21,FALSE))</f>
        <v>181</v>
      </c>
      <c r="R21" s="1741"/>
      <c r="S21" s="1738">
        <f>IF($B21="","",VLOOKUP($B21,studie!$B$38:$Y$127,23,FALSE))</f>
        <v>151</v>
      </c>
      <c r="T21" s="1742"/>
    </row>
    <row r="22" spans="1:20" s="208" customFormat="1" ht="12.75" customHeight="1" x14ac:dyDescent="0.35">
      <c r="A22" s="1896"/>
      <c r="B22" s="1000" t="str">
        <f t="shared" si="2"/>
        <v>B3</v>
      </c>
      <c r="C22" s="615">
        <f>IF($B22="","",VLOOKUP($B22,studie!$B$38:$Y$127,5,FALSE))</f>
        <v>73</v>
      </c>
      <c r="D22" s="616">
        <f>IF($B22="","",VLOOKUP($B22,studie!$B$38:$Y$127,6,FALSE))</f>
        <v>0</v>
      </c>
      <c r="E22" s="616">
        <f>IF($B22="","",VLOOKUP($B22,studie!$B$38:$Y$127,7,FALSE))</f>
        <v>0</v>
      </c>
      <c r="F22" s="616">
        <f>IF($B22="","",VLOOKUP($B22,studie!$B$38:$Y$127,8,FALSE))</f>
        <v>0</v>
      </c>
      <c r="G22" s="617">
        <f>IF($B22="","",VLOOKUP($B22,studie!$B$38:$Y$127,9,FALSE))</f>
        <v>73</v>
      </c>
      <c r="H22" s="615">
        <f>IF($B22="","",IF(VLOOKUP($B22,studie!$B$38:$Y$127,10,FALSE)="","",VLOOKUP($B22,studie!$B$38:$Y$127,10,FALSE)))</f>
        <v>101.3</v>
      </c>
      <c r="I22" s="616" t="str">
        <f>IF($B22="","",IF(VLOOKUP($B22,studie!$B$38:$Y$127,11,FALSE)="","",VLOOKUP($B22,studie!$B$38:$Y$127,11,FALSE)))</f>
        <v/>
      </c>
      <c r="J22" s="616" t="str">
        <f>IF($B22="","",IF(VLOOKUP($B22,studie!$B$38:$Y$127,12,FALSE)="","",VLOOKUP($B22,studie!$B$38:$Y$127,12,FALSE)))</f>
        <v/>
      </c>
      <c r="K22" s="616" t="str">
        <f>IF($B22="","",IF(VLOOKUP($B22,studie!$B$38:$Y$127,13,FALSE)="","",VLOOKUP($B22,studie!$B$38:$Y$127,13,FALSE)))</f>
        <v/>
      </c>
      <c r="L22" s="616" t="str">
        <f>IF($B22="","",IF(VLOOKUP($B22,studie!$B$38:$Y$127,14,FALSE)="","",VLOOKUP($B22,studie!$B$38:$Y$127,14,FALSE)))</f>
        <v/>
      </c>
      <c r="M22" s="616" t="str">
        <f>IF($B22="","",IF(VLOOKUP($B22,studie!$B$38:$Y$127,15,FALSE)="","",VLOOKUP($B22,studie!$B$38:$Y$127,15,FALSE)))</f>
        <v/>
      </c>
      <c r="N22" s="617">
        <f>IF($B22="","",IF(VLOOKUP($B22,studie!$B$38:$Y$127,16,FALSE)="","",VLOOKUP($B22,studie!$B$38:$Y$127,16,FALSE)))</f>
        <v>101.3</v>
      </c>
      <c r="O22" s="615">
        <f>IF($B22="","",VLOOKUP($B22,studie!$B$38:$Y$127,17,FALSE))</f>
        <v>101.6</v>
      </c>
      <c r="P22" s="617"/>
      <c r="Q22" s="1733">
        <f>IF($B22="","",VLOOKUP($B22,studie!$B$38:$Y$127,21,FALSE))</f>
        <v>182</v>
      </c>
      <c r="R22" s="1741"/>
      <c r="S22" s="1738">
        <f>IF($B22="","",VLOOKUP($B22,studie!$B$38:$Y$127,23,FALSE))</f>
        <v>152</v>
      </c>
      <c r="T22" s="1742"/>
    </row>
    <row r="23" spans="1:20" s="208" customFormat="1" ht="12.75" customHeight="1" x14ac:dyDescent="0.35">
      <c r="A23" s="1896"/>
      <c r="B23" s="1002" t="str">
        <f t="shared" si="2"/>
        <v>B4</v>
      </c>
      <c r="C23" s="1014">
        <f>IF($B23="","",VLOOKUP($B23,studie!$B$38:$Y$127,5,FALSE))</f>
        <v>72</v>
      </c>
      <c r="D23" s="1015">
        <f>IF($B23="","",VLOOKUP($B23,studie!$B$38:$Y$127,6,FALSE))</f>
        <v>0</v>
      </c>
      <c r="E23" s="1015">
        <f>IF($B23="","",VLOOKUP($B23,studie!$B$38:$Y$127,7,FALSE))</f>
        <v>0</v>
      </c>
      <c r="F23" s="1015">
        <f>IF($B23="","",VLOOKUP($B23,studie!$B$38:$Y$127,8,FALSE))</f>
        <v>0</v>
      </c>
      <c r="G23" s="1016">
        <f>IF($B23="","",VLOOKUP($B23,studie!$B$38:$Y$127,9,FALSE))</f>
        <v>72</v>
      </c>
      <c r="H23" s="1014">
        <f>IF($B23="","",IF(VLOOKUP($B23,studie!$B$38:$Y$127,10,FALSE)="","",VLOOKUP($B23,studie!$B$38:$Y$127,10,FALSE)))</f>
        <v>101.4</v>
      </c>
      <c r="I23" s="1015" t="str">
        <f>IF($B23="","",IF(VLOOKUP($B23,studie!$B$38:$Y$127,11,FALSE)="","",VLOOKUP($B23,studie!$B$38:$Y$127,11,FALSE)))</f>
        <v/>
      </c>
      <c r="J23" s="1015" t="str">
        <f>IF($B23="","",IF(VLOOKUP($B23,studie!$B$38:$Y$127,12,FALSE)="","",VLOOKUP($B23,studie!$B$38:$Y$127,12,FALSE)))</f>
        <v/>
      </c>
      <c r="K23" s="1015" t="str">
        <f>IF($B23="","",IF(VLOOKUP($B23,studie!$B$38:$Y$127,13,FALSE)="","",VLOOKUP($B23,studie!$B$38:$Y$127,13,FALSE)))</f>
        <v/>
      </c>
      <c r="L23" s="1015" t="str">
        <f>IF($B23="","",IF(VLOOKUP($B23,studie!$B$38:$Y$127,14,FALSE)="","",VLOOKUP($B23,studie!$B$38:$Y$127,14,FALSE)))</f>
        <v/>
      </c>
      <c r="M23" s="1015" t="str">
        <f>IF($B23="","",IF(VLOOKUP($B23,studie!$B$38:$Y$127,15,FALSE)="","",VLOOKUP($B23,studie!$B$38:$Y$127,15,FALSE)))</f>
        <v/>
      </c>
      <c r="N23" s="1016">
        <f>IF($B23="","",IF(VLOOKUP($B23,studie!$B$38:$Y$127,16,FALSE)="","",VLOOKUP($B23,studie!$B$38:$Y$127,16,FALSE)))</f>
        <v>101.4</v>
      </c>
      <c r="O23" s="1014">
        <f>IF($B23="","",VLOOKUP($B23,studie!$B$38:$Y$127,17,FALSE))</f>
        <v>101.6</v>
      </c>
      <c r="P23" s="1016"/>
      <c r="Q23" s="1753">
        <f>IF($B23="","",VLOOKUP($B23,studie!$B$38:$Y$127,21,FALSE))</f>
        <v>183</v>
      </c>
      <c r="R23" s="1754"/>
      <c r="S23" s="1755">
        <f>IF($B23="","",VLOOKUP($B23,studie!$B$38:$Y$127,23,FALSE))</f>
        <v>153</v>
      </c>
      <c r="T23" s="1756"/>
    </row>
    <row r="24" spans="1:20" s="208" customFormat="1" ht="12.75" customHeight="1" x14ac:dyDescent="0.35">
      <c r="A24" s="1897"/>
      <c r="B24" s="1025"/>
      <c r="C24" s="1021"/>
      <c r="D24" s="1022"/>
      <c r="E24" s="1022"/>
      <c r="F24" s="1022"/>
      <c r="G24" s="1023">
        <f>IF(SUM(G20:G23)=0,"",AVERAGE(G20:G23))</f>
        <v>73.5</v>
      </c>
      <c r="H24" s="1032"/>
      <c r="I24" s="1022"/>
      <c r="J24" s="1022"/>
      <c r="K24" s="1022"/>
      <c r="L24" s="1022"/>
      <c r="M24" s="1022"/>
      <c r="N24" s="1023">
        <f t="shared" ref="N24" si="3">IF(SUM(N20:N23)=0,"",AVERAGE(N20:N23))</f>
        <v>101.25</v>
      </c>
      <c r="O24" s="1021">
        <f t="shared" ref="O24" si="4">IF(SUM(O20:O23)=0,"",AVERAGE(O20:O23))</f>
        <v>101.6</v>
      </c>
      <c r="P24" s="1023"/>
      <c r="Q24" s="1747"/>
      <c r="R24" s="1748"/>
      <c r="S24" s="1749"/>
      <c r="T24" s="1750"/>
    </row>
    <row r="25" spans="1:20" s="208" customFormat="1" ht="12.75" customHeight="1" x14ac:dyDescent="0.35">
      <c r="A25" s="1896">
        <f>A178</f>
        <v>4.1500000000000004</v>
      </c>
      <c r="B25" s="999" t="str">
        <f>B178</f>
        <v>C1</v>
      </c>
      <c r="C25" s="615">
        <f>IF($B25="","",VLOOKUP($B25,studie!$B$38:$Y$127,5,FALSE))</f>
        <v>85</v>
      </c>
      <c r="D25" s="616">
        <f>IF($B25="","",VLOOKUP($B25,studie!$B$38:$Y$127,6,FALSE))</f>
        <v>0</v>
      </c>
      <c r="E25" s="616">
        <f>IF($B25="","",VLOOKUP($B25,studie!$B$38:$Y$127,7,FALSE))</f>
        <v>0</v>
      </c>
      <c r="F25" s="616">
        <f>IF($B25="","",VLOOKUP($B25,studie!$B$38:$Y$127,8,FALSE))</f>
        <v>0</v>
      </c>
      <c r="G25" s="617">
        <f>IF($B25="","",VLOOKUP($B25,studie!$B$38:$Y$127,9,FALSE))</f>
        <v>85</v>
      </c>
      <c r="H25" s="615">
        <f>IF($B25="","",IF(VLOOKUP($B25,studie!$B$38:$Y$127,10,FALSE)="","",VLOOKUP($B25,studie!$B$38:$Y$127,10,FALSE)))</f>
        <v>102.1</v>
      </c>
      <c r="I25" s="616" t="str">
        <f>IF($B25="","",IF(VLOOKUP($B25,studie!$B$38:$Y$127,11,FALSE)="","",VLOOKUP($B25,studie!$B$38:$Y$127,11,FALSE)))</f>
        <v/>
      </c>
      <c r="J25" s="616" t="str">
        <f>IF($B25="","",IF(VLOOKUP($B25,studie!$B$38:$Y$127,12,FALSE)="","",VLOOKUP($B25,studie!$B$38:$Y$127,12,FALSE)))</f>
        <v/>
      </c>
      <c r="K25" s="616" t="str">
        <f>IF($B25="","",IF(VLOOKUP($B25,studie!$B$38:$Y$127,13,FALSE)="","",VLOOKUP($B25,studie!$B$38:$Y$127,13,FALSE)))</f>
        <v/>
      </c>
      <c r="L25" s="616" t="str">
        <f>IF($B25="","",IF(VLOOKUP($B25,studie!$B$38:$Y$127,14,FALSE)="","",VLOOKUP($B25,studie!$B$38:$Y$127,14,FALSE)))</f>
        <v/>
      </c>
      <c r="M25" s="616" t="str">
        <f>IF($B25="","",IF(VLOOKUP($B25,studie!$B$38:$Y$127,15,FALSE)="","",VLOOKUP($B25,studie!$B$38:$Y$127,15,FALSE)))</f>
        <v/>
      </c>
      <c r="N25" s="617">
        <f>IF($B25="","",IF(VLOOKUP($B25,studie!$B$38:$Y$127,16,FALSE)="","",VLOOKUP($B25,studie!$B$38:$Y$127,16,FALSE)))</f>
        <v>102.1</v>
      </c>
      <c r="O25" s="615">
        <f>IF($B25="","",VLOOKUP($B25,studie!$B$38:$Y$127,17,FALSE))</f>
        <v>101.6</v>
      </c>
      <c r="P25" s="617"/>
      <c r="Q25" s="1733">
        <f>IF($B25="","",VLOOKUP($B25,studie!$B$38:$Y$127,21,FALSE))</f>
        <v>190</v>
      </c>
      <c r="R25" s="1741"/>
      <c r="S25" s="1738">
        <f>IF($B25="","",VLOOKUP($B25,studie!$B$38:$Y$127,23,FALSE))</f>
        <v>160</v>
      </c>
      <c r="T25" s="1742"/>
    </row>
    <row r="26" spans="1:20" s="208" customFormat="1" ht="12.75" customHeight="1" x14ac:dyDescent="0.35">
      <c r="A26" s="1896"/>
      <c r="B26" s="1000" t="str">
        <f t="shared" ref="B26:B28" si="5">B179</f>
        <v>C2</v>
      </c>
      <c r="C26" s="615">
        <f>IF($B26="","",VLOOKUP($B26,studie!$B$38:$Y$127,5,FALSE))</f>
        <v>84</v>
      </c>
      <c r="D26" s="616">
        <f>IF($B26="","",VLOOKUP($B26,studie!$B$38:$Y$127,6,FALSE))</f>
        <v>0</v>
      </c>
      <c r="E26" s="616">
        <f>IF($B26="","",VLOOKUP($B26,studie!$B$38:$Y$127,7,FALSE))</f>
        <v>0</v>
      </c>
      <c r="F26" s="616">
        <f>IF($B26="","",VLOOKUP($B26,studie!$B$38:$Y$127,8,FALSE))</f>
        <v>0</v>
      </c>
      <c r="G26" s="617">
        <f>IF($B26="","",VLOOKUP($B26,studie!$B$38:$Y$127,9,FALSE))</f>
        <v>84</v>
      </c>
      <c r="H26" s="615">
        <f>IF($B26="","",IF(VLOOKUP($B26,studie!$B$38:$Y$127,10,FALSE)="","",VLOOKUP($B26,studie!$B$38:$Y$127,10,FALSE)))</f>
        <v>102.2</v>
      </c>
      <c r="I26" s="616" t="str">
        <f>IF($B26="","",IF(VLOOKUP($B26,studie!$B$38:$Y$127,11,FALSE)="","",VLOOKUP($B26,studie!$B$38:$Y$127,11,FALSE)))</f>
        <v/>
      </c>
      <c r="J26" s="616" t="str">
        <f>IF($B26="","",IF(VLOOKUP($B26,studie!$B$38:$Y$127,12,FALSE)="","",VLOOKUP($B26,studie!$B$38:$Y$127,12,FALSE)))</f>
        <v/>
      </c>
      <c r="K26" s="616" t="str">
        <f>IF($B26="","",IF(VLOOKUP($B26,studie!$B$38:$Y$127,13,FALSE)="","",VLOOKUP($B26,studie!$B$38:$Y$127,13,FALSE)))</f>
        <v/>
      </c>
      <c r="L26" s="616" t="str">
        <f>IF($B26="","",IF(VLOOKUP($B26,studie!$B$38:$Y$127,14,FALSE)="","",VLOOKUP($B26,studie!$B$38:$Y$127,14,FALSE)))</f>
        <v/>
      </c>
      <c r="M26" s="616" t="str">
        <f>IF($B26="","",IF(VLOOKUP($B26,studie!$B$38:$Y$127,15,FALSE)="","",VLOOKUP($B26,studie!$B$38:$Y$127,15,FALSE)))</f>
        <v/>
      </c>
      <c r="N26" s="617">
        <f>IF($B26="","",IF(VLOOKUP($B26,studie!$B$38:$Y$127,16,FALSE)="","",VLOOKUP($B26,studie!$B$38:$Y$127,16,FALSE)))</f>
        <v>102.2</v>
      </c>
      <c r="O26" s="615">
        <f>IF($B26="","",VLOOKUP($B26,studie!$B$38:$Y$127,17,FALSE))</f>
        <v>101.6</v>
      </c>
      <c r="P26" s="617"/>
      <c r="Q26" s="1733">
        <f>IF($B26="","",VLOOKUP($B26,studie!$B$38:$Y$127,21,FALSE))</f>
        <v>191</v>
      </c>
      <c r="R26" s="1741"/>
      <c r="S26" s="1738">
        <f>IF($B26="","",VLOOKUP($B26,studie!$B$38:$Y$127,23,FALSE))</f>
        <v>161</v>
      </c>
      <c r="T26" s="1742"/>
    </row>
    <row r="27" spans="1:20" s="208" customFormat="1" ht="12.75" customHeight="1" x14ac:dyDescent="0.35">
      <c r="A27" s="1896"/>
      <c r="B27" s="1000" t="str">
        <f t="shared" si="5"/>
        <v>C3</v>
      </c>
      <c r="C27" s="615">
        <f>IF($B27="","",VLOOKUP($B27,studie!$B$38:$Y$127,5,FALSE))</f>
        <v>83</v>
      </c>
      <c r="D27" s="616">
        <f>IF($B27="","",VLOOKUP($B27,studie!$B$38:$Y$127,6,FALSE))</f>
        <v>0</v>
      </c>
      <c r="E27" s="616">
        <f>IF($B27="","",VLOOKUP($B27,studie!$B$38:$Y$127,7,FALSE))</f>
        <v>0</v>
      </c>
      <c r="F27" s="616">
        <f>IF($B27="","",VLOOKUP($B27,studie!$B$38:$Y$127,8,FALSE))</f>
        <v>0</v>
      </c>
      <c r="G27" s="617">
        <f>IF($B27="","",VLOOKUP($B27,studie!$B$38:$Y$127,9,FALSE))</f>
        <v>83</v>
      </c>
      <c r="H27" s="615">
        <f>IF($B27="","",IF(VLOOKUP($B27,studie!$B$38:$Y$127,10,FALSE)="","",VLOOKUP($B27,studie!$B$38:$Y$127,10,FALSE)))</f>
        <v>102.3</v>
      </c>
      <c r="I27" s="616" t="str">
        <f>IF($B27="","",IF(VLOOKUP($B27,studie!$B$38:$Y$127,11,FALSE)="","",VLOOKUP($B27,studie!$B$38:$Y$127,11,FALSE)))</f>
        <v/>
      </c>
      <c r="J27" s="616" t="str">
        <f>IF($B27="","",IF(VLOOKUP($B27,studie!$B$38:$Y$127,12,FALSE)="","",VLOOKUP($B27,studie!$B$38:$Y$127,12,FALSE)))</f>
        <v/>
      </c>
      <c r="K27" s="616" t="str">
        <f>IF($B27="","",IF(VLOOKUP($B27,studie!$B$38:$Y$127,13,FALSE)="","",VLOOKUP($B27,studie!$B$38:$Y$127,13,FALSE)))</f>
        <v/>
      </c>
      <c r="L27" s="616" t="str">
        <f>IF($B27="","",IF(VLOOKUP($B27,studie!$B$38:$Y$127,14,FALSE)="","",VLOOKUP($B27,studie!$B$38:$Y$127,14,FALSE)))</f>
        <v/>
      </c>
      <c r="M27" s="616" t="str">
        <f>IF($B27="","",IF(VLOOKUP($B27,studie!$B$38:$Y$127,15,FALSE)="","",VLOOKUP($B27,studie!$B$38:$Y$127,15,FALSE)))</f>
        <v/>
      </c>
      <c r="N27" s="617">
        <f>IF($B27="","",IF(VLOOKUP($B27,studie!$B$38:$Y$127,16,FALSE)="","",VLOOKUP($B27,studie!$B$38:$Y$127,16,FALSE)))</f>
        <v>102.3</v>
      </c>
      <c r="O27" s="615">
        <f>IF($B27="","",VLOOKUP($B27,studie!$B$38:$Y$127,17,FALSE))</f>
        <v>101.6</v>
      </c>
      <c r="P27" s="617"/>
      <c r="Q27" s="1733">
        <f>IF($B27="","",VLOOKUP($B27,studie!$B$38:$Y$127,21,FALSE))</f>
        <v>192</v>
      </c>
      <c r="R27" s="1741"/>
      <c r="S27" s="1738">
        <f>IF($B27="","",VLOOKUP($B27,studie!$B$38:$Y$127,23,FALSE))</f>
        <v>162</v>
      </c>
      <c r="T27" s="1742"/>
    </row>
    <row r="28" spans="1:20" s="208" customFormat="1" ht="12.75" customHeight="1" x14ac:dyDescent="0.35">
      <c r="A28" s="1896"/>
      <c r="B28" s="1010" t="str">
        <f t="shared" si="5"/>
        <v>C4</v>
      </c>
      <c r="C28" s="1011">
        <f>IF($B28="","",VLOOKUP($B28,studie!$B$38:$Y$127,5,FALSE))</f>
        <v>82</v>
      </c>
      <c r="D28" s="1012">
        <f>IF($B28="","",VLOOKUP($B28,studie!$B$38:$Y$127,6,FALSE))</f>
        <v>0</v>
      </c>
      <c r="E28" s="1012">
        <f>IF($B28="","",VLOOKUP($B28,studie!$B$38:$Y$127,7,FALSE))</f>
        <v>0</v>
      </c>
      <c r="F28" s="1012">
        <f>IF($B28="","",VLOOKUP($B28,studie!$B$38:$Y$127,8,FALSE))</f>
        <v>0</v>
      </c>
      <c r="G28" s="1013">
        <f>IF($B28="","",VLOOKUP($B28,studie!$B$38:$Y$127,9,FALSE))</f>
        <v>82</v>
      </c>
      <c r="H28" s="1011">
        <f>IF($B28="","",IF(VLOOKUP($B28,studie!$B$38:$Y$127,10,FALSE)="","",VLOOKUP($B28,studie!$B$38:$Y$127,10,FALSE)))</f>
        <v>102.4</v>
      </c>
      <c r="I28" s="1012" t="str">
        <f>IF($B28="","",IF(VLOOKUP($B28,studie!$B$38:$Y$127,11,FALSE)="","",VLOOKUP($B28,studie!$B$38:$Y$127,11,FALSE)))</f>
        <v/>
      </c>
      <c r="J28" s="1012" t="str">
        <f>IF($B28="","",IF(VLOOKUP($B28,studie!$B$38:$Y$127,12,FALSE)="","",VLOOKUP($B28,studie!$B$38:$Y$127,12,FALSE)))</f>
        <v/>
      </c>
      <c r="K28" s="1012" t="str">
        <f>IF($B28="","",IF(VLOOKUP($B28,studie!$B$38:$Y$127,13,FALSE)="","",VLOOKUP($B28,studie!$B$38:$Y$127,13,FALSE)))</f>
        <v/>
      </c>
      <c r="L28" s="1012" t="str">
        <f>IF($B28="","",IF(VLOOKUP($B28,studie!$B$38:$Y$127,14,FALSE)="","",VLOOKUP($B28,studie!$B$38:$Y$127,14,FALSE)))</f>
        <v/>
      </c>
      <c r="M28" s="1012" t="str">
        <f>IF($B28="","",IF(VLOOKUP($B28,studie!$B$38:$Y$127,15,FALSE)="","",VLOOKUP($B28,studie!$B$38:$Y$127,15,FALSE)))</f>
        <v/>
      </c>
      <c r="N28" s="1013">
        <f>IF($B28="","",IF(VLOOKUP($B28,studie!$B$38:$Y$127,16,FALSE)="","",VLOOKUP($B28,studie!$B$38:$Y$127,16,FALSE)))</f>
        <v>102.4</v>
      </c>
      <c r="O28" s="1011">
        <f>IF($B28="","",VLOOKUP($B28,studie!$B$38:$Y$127,17,FALSE))</f>
        <v>101.6</v>
      </c>
      <c r="P28" s="1013"/>
      <c r="Q28" s="1743">
        <f>IF($B28="","",VLOOKUP($B28,studie!$B$38:$Y$127,21,FALSE))</f>
        <v>193</v>
      </c>
      <c r="R28" s="1744"/>
      <c r="S28" s="1745">
        <f>IF($B28="","",VLOOKUP($B28,studie!$B$38:$Y$127,23,FALSE))</f>
        <v>163</v>
      </c>
      <c r="T28" s="1746"/>
    </row>
    <row r="29" spans="1:20" s="208" customFormat="1" ht="12.75" customHeight="1" thickBot="1" x14ac:dyDescent="0.4">
      <c r="A29" s="1898"/>
      <c r="B29" s="1026"/>
      <c r="C29" s="1027"/>
      <c r="D29" s="1028"/>
      <c r="E29" s="1028"/>
      <c r="F29" s="1028"/>
      <c r="G29" s="1029">
        <f>IF(SUM(G25:G28)=0,"",AVERAGE(G25:G28))</f>
        <v>83.5</v>
      </c>
      <c r="H29" s="1033"/>
      <c r="I29" s="1028"/>
      <c r="J29" s="1028"/>
      <c r="K29" s="1028"/>
      <c r="L29" s="1028"/>
      <c r="M29" s="1028"/>
      <c r="N29" s="1029">
        <f t="shared" ref="N29" si="6">IF(SUM(N25:N28)=0,"",AVERAGE(N25:N28))</f>
        <v>102.25</v>
      </c>
      <c r="O29" s="1027">
        <f t="shared" ref="O29" si="7">IF(SUM(O25:O28)=0,"",AVERAGE(O25:O28))</f>
        <v>101.6</v>
      </c>
      <c r="P29" s="1029"/>
      <c r="Q29" s="1757"/>
      <c r="R29" s="1758"/>
      <c r="S29" s="1759"/>
      <c r="T29" s="1760"/>
    </row>
    <row r="30" spans="1:20" s="208" customFormat="1" ht="12.75" customHeight="1" x14ac:dyDescent="0.35"/>
    <row r="31" spans="1:20" s="208" customFormat="1" ht="12.75" customHeight="1" x14ac:dyDescent="0.35"/>
    <row r="32" spans="1:20" s="208" customFormat="1" ht="12.75" customHeight="1" x14ac:dyDescent="0.35"/>
    <row r="33" spans="1:20" s="208" customFormat="1" ht="12.75" customHeight="1" x14ac:dyDescent="0.35"/>
    <row r="34" spans="1:20" s="208" customFormat="1" ht="12.75" customHeight="1" x14ac:dyDescent="0.35"/>
    <row r="35" spans="1:20" s="208" customFormat="1" ht="12.75" customHeight="1" x14ac:dyDescent="0.35"/>
    <row r="36" spans="1:20" s="208" customFormat="1" ht="12.75" customHeight="1" thickBot="1" x14ac:dyDescent="0.4">
      <c r="A36" s="779" t="s">
        <v>1150</v>
      </c>
    </row>
    <row r="37" spans="1:20" s="208" customFormat="1" ht="12.75" customHeight="1" x14ac:dyDescent="0.35">
      <c r="A37" s="1004" t="s">
        <v>829</v>
      </c>
      <c r="B37" s="996" t="s">
        <v>831</v>
      </c>
      <c r="C37" s="610" t="s">
        <v>374</v>
      </c>
      <c r="D37" s="245"/>
      <c r="E37" s="245"/>
      <c r="F37" s="245"/>
      <c r="G37" s="245"/>
      <c r="H37" s="610" t="s">
        <v>930</v>
      </c>
      <c r="I37" s="245"/>
      <c r="J37" s="245"/>
      <c r="K37" s="245"/>
      <c r="L37" s="245"/>
      <c r="M37" s="245"/>
      <c r="N37" s="245"/>
      <c r="O37" s="610" t="s">
        <v>448</v>
      </c>
      <c r="P37" s="245"/>
      <c r="Q37" s="610" t="s">
        <v>487</v>
      </c>
      <c r="R37" s="245"/>
      <c r="S37" s="245"/>
      <c r="T37" s="246"/>
    </row>
    <row r="38" spans="1:20" s="208" customFormat="1" ht="12.75" customHeight="1" x14ac:dyDescent="0.35">
      <c r="A38" s="1005" t="s">
        <v>830</v>
      </c>
      <c r="B38" s="997" t="s">
        <v>338</v>
      </c>
      <c r="C38" s="866"/>
      <c r="D38" s="738"/>
      <c r="E38" s="738"/>
      <c r="F38" s="738"/>
      <c r="G38" s="861"/>
      <c r="H38" s="866"/>
      <c r="I38" s="415"/>
      <c r="J38" s="415"/>
      <c r="K38" s="415"/>
      <c r="L38" s="415"/>
      <c r="M38" s="415"/>
      <c r="N38" s="415"/>
      <c r="O38" s="862" t="s">
        <v>929</v>
      </c>
      <c r="P38" s="738"/>
      <c r="Q38" s="862" t="s">
        <v>931</v>
      </c>
      <c r="R38" s="738"/>
      <c r="S38" s="863" t="s">
        <v>932</v>
      </c>
      <c r="T38" s="865"/>
    </row>
    <row r="39" spans="1:20" s="208" customFormat="1" ht="12.75" customHeight="1" x14ac:dyDescent="0.35">
      <c r="A39" s="1006" t="s">
        <v>185</v>
      </c>
      <c r="B39" s="998"/>
      <c r="C39" s="612">
        <v>1</v>
      </c>
      <c r="D39" s="614">
        <v>2</v>
      </c>
      <c r="E39" s="614">
        <v>3</v>
      </c>
      <c r="F39" s="614">
        <v>4</v>
      </c>
      <c r="G39" s="248" t="s">
        <v>339</v>
      </c>
      <c r="H39" s="612">
        <v>1</v>
      </c>
      <c r="I39" s="614">
        <v>2</v>
      </c>
      <c r="J39" s="614">
        <v>3</v>
      </c>
      <c r="K39" s="614">
        <v>4</v>
      </c>
      <c r="L39" s="614">
        <v>5</v>
      </c>
      <c r="M39" s="614">
        <v>6</v>
      </c>
      <c r="N39" s="248" t="s">
        <v>339</v>
      </c>
      <c r="O39" s="612" t="s">
        <v>371</v>
      </c>
      <c r="P39" s="248"/>
      <c r="Q39" s="612" t="s">
        <v>488</v>
      </c>
      <c r="R39" s="248"/>
      <c r="S39" s="704" t="s">
        <v>488</v>
      </c>
      <c r="T39" s="249"/>
    </row>
    <row r="40" spans="1:20" s="208" customFormat="1" ht="12.75" customHeight="1" x14ac:dyDescent="0.35">
      <c r="A40" s="1895">
        <f>A168</f>
        <v>3.5500000000000003</v>
      </c>
      <c r="B40" s="999" t="str">
        <f>IF(studie!Q292="","",studie!Q292)</f>
        <v>A1v</v>
      </c>
      <c r="C40" s="615">
        <f>IF($B40="","",VLOOKUP($B40,studie!$B$38:$Y$127,5,FALSE))</f>
        <v>60</v>
      </c>
      <c r="D40" s="616">
        <f>IF($B40="","",VLOOKUP($B40,studie!$B$38:$Y$127,6,FALSE))</f>
        <v>0</v>
      </c>
      <c r="E40" s="616">
        <f>IF($B40="","",VLOOKUP($B40,studie!$B$38:$Y$127,7,FALSE))</f>
        <v>0</v>
      </c>
      <c r="F40" s="616">
        <f>IF($B40="","",VLOOKUP($B40,studie!$B$38:$Y$127,8,FALSE))</f>
        <v>0</v>
      </c>
      <c r="G40" s="617">
        <f>IF($B40="","",VLOOKUP($B40,studie!$B$38:$Y$127,9,FALSE))</f>
        <v>60</v>
      </c>
      <c r="H40" s="615">
        <f>IF($B40="","",IF(VLOOKUP($B40,studie!$B$38:$Y$127,10,FALSE)="","",VLOOKUP($B40,studie!$B$38:$Y$127,10,FALSE)))</f>
        <v>106</v>
      </c>
      <c r="I40" s="616" t="str">
        <f>IF($B40="","",IF(VLOOKUP($B40,studie!$B$38:$Y$127,11,FALSE)="","",VLOOKUP($B40,studie!$B$38:$Y$127,11,FALSE)))</f>
        <v/>
      </c>
      <c r="J40" s="616" t="str">
        <f>IF($B40="","",IF(VLOOKUP($B40,studie!$B$38:$Y$127,12,FALSE)="","",VLOOKUP($B40,studie!$B$38:$Y$127,12,FALSE)))</f>
        <v/>
      </c>
      <c r="K40" s="616" t="str">
        <f>IF($B40="","",IF(VLOOKUP($B40,studie!$B$38:$Y$127,13,FALSE)="","",VLOOKUP($B40,studie!$B$38:$Y$127,13,FALSE)))</f>
        <v/>
      </c>
      <c r="L40" s="616" t="str">
        <f>IF($B40="","",IF(VLOOKUP($B40,studie!$B$38:$Y$127,14,FALSE)="","",VLOOKUP($B40,studie!$B$38:$Y$127,14,FALSE)))</f>
        <v/>
      </c>
      <c r="M40" s="616" t="str">
        <f>IF($B40="","",IF(VLOOKUP($B40,studie!$B$38:$Y$127,15,FALSE)="","",VLOOKUP($B40,studie!$B$38:$Y$127,15,FALSE)))</f>
        <v/>
      </c>
      <c r="N40" s="617">
        <f>IF($B40="","",IF(VLOOKUP($B40,studie!$B$38:$Y$127,16,FALSE)="","",VLOOKUP($B40,studie!$B$38:$Y$127,16,FALSE)))</f>
        <v>106</v>
      </c>
      <c r="O40" s="615">
        <f>IF($B40="","",VLOOKUP($B40,studie!$B$38:$Y$127,17,FALSE))</f>
        <v>101.6</v>
      </c>
      <c r="P40" s="617"/>
      <c r="Q40" s="1733">
        <f>IF($B40="","",VLOOKUP($B40,studie!$B$38:$Y$127,21,FALSE))</f>
        <v>175</v>
      </c>
      <c r="R40" s="1741"/>
      <c r="S40" s="1738">
        <f>IF($B40="","",VLOOKUP($B40,studie!$B$38:$Y$127,23,FALSE))</f>
        <v>145</v>
      </c>
      <c r="T40" s="1742"/>
    </row>
    <row r="41" spans="1:20" s="208" customFormat="1" ht="12.75" customHeight="1" x14ac:dyDescent="0.35">
      <c r="A41" s="1896"/>
      <c r="B41" s="1000" t="str">
        <f>IF(studie!Q293="","",studie!Q293)</f>
        <v>A2v</v>
      </c>
      <c r="C41" s="615">
        <f>IF($B41="","",VLOOKUP($B41,studie!$B$38:$Y$127,5,FALSE))</f>
        <v>59</v>
      </c>
      <c r="D41" s="616">
        <f>IF($B41="","",VLOOKUP($B41,studie!$B$38:$Y$127,6,FALSE))</f>
        <v>0</v>
      </c>
      <c r="E41" s="616">
        <f>IF($B41="","",VLOOKUP($B41,studie!$B$38:$Y$127,7,FALSE))</f>
        <v>0</v>
      </c>
      <c r="F41" s="616">
        <f>IF($B41="","",VLOOKUP($B41,studie!$B$38:$Y$127,8,FALSE))</f>
        <v>0</v>
      </c>
      <c r="G41" s="617">
        <f>IF($B41="","",VLOOKUP($B41,studie!$B$38:$Y$127,9,FALSE))</f>
        <v>59</v>
      </c>
      <c r="H41" s="615">
        <f>IF($B41="","",IF(VLOOKUP($B41,studie!$B$38:$Y$127,10,FALSE)="","",VLOOKUP($B41,studie!$B$38:$Y$127,10,FALSE)))</f>
        <v>107</v>
      </c>
      <c r="I41" s="616" t="str">
        <f>IF($B41="","",IF(VLOOKUP($B41,studie!$B$38:$Y$127,11,FALSE)="","",VLOOKUP($B41,studie!$B$38:$Y$127,11,FALSE)))</f>
        <v/>
      </c>
      <c r="J41" s="616" t="str">
        <f>IF($B41="","",IF(VLOOKUP($B41,studie!$B$38:$Y$127,12,FALSE)="","",VLOOKUP($B41,studie!$B$38:$Y$127,12,FALSE)))</f>
        <v/>
      </c>
      <c r="K41" s="616" t="str">
        <f>IF($B41="","",IF(VLOOKUP($B41,studie!$B$38:$Y$127,13,FALSE)="","",VLOOKUP($B41,studie!$B$38:$Y$127,13,FALSE)))</f>
        <v/>
      </c>
      <c r="L41" s="616" t="str">
        <f>IF($B41="","",IF(VLOOKUP($B41,studie!$B$38:$Y$127,14,FALSE)="","",VLOOKUP($B41,studie!$B$38:$Y$127,14,FALSE)))</f>
        <v/>
      </c>
      <c r="M41" s="616" t="str">
        <f>IF($B41="","",IF(VLOOKUP($B41,studie!$B$38:$Y$127,15,FALSE)="","",VLOOKUP($B41,studie!$B$38:$Y$127,15,FALSE)))</f>
        <v/>
      </c>
      <c r="N41" s="617">
        <f>IF($B41="","",IF(VLOOKUP($B41,studie!$B$38:$Y$127,16,FALSE)="","",VLOOKUP($B41,studie!$B$38:$Y$127,16,FALSE)))</f>
        <v>107</v>
      </c>
      <c r="O41" s="615">
        <f>IF($B41="","",VLOOKUP($B41,studie!$B$38:$Y$127,17,FALSE))</f>
        <v>101.6</v>
      </c>
      <c r="P41" s="617"/>
      <c r="Q41" s="1733">
        <f>IF($B41="","",VLOOKUP($B41,studie!$B$38:$Y$127,21,FALSE))</f>
        <v>176</v>
      </c>
      <c r="R41" s="1741"/>
      <c r="S41" s="1738">
        <f>IF($B41="","",VLOOKUP($B41,studie!$B$38:$Y$127,23,FALSE))</f>
        <v>146</v>
      </c>
      <c r="T41" s="1742"/>
    </row>
    <row r="42" spans="1:20" s="208" customFormat="1" ht="12.75" customHeight="1" x14ac:dyDescent="0.35">
      <c r="A42" s="1896"/>
      <c r="B42" s="1000" t="str">
        <f>IF(studie!Q294="","",studie!Q294)</f>
        <v>A3v</v>
      </c>
      <c r="C42" s="615">
        <f>IF($B42="","",VLOOKUP($B42,studie!$B$38:$Y$127,5,FALSE))</f>
        <v>65</v>
      </c>
      <c r="D42" s="616">
        <f>IF($B42="","",VLOOKUP($B42,studie!$B$38:$Y$127,6,FALSE))</f>
        <v>0</v>
      </c>
      <c r="E42" s="616">
        <f>IF($B42="","",VLOOKUP($B42,studie!$B$38:$Y$127,7,FALSE))</f>
        <v>0</v>
      </c>
      <c r="F42" s="616">
        <f>IF($B42="","",VLOOKUP($B42,studie!$B$38:$Y$127,8,FALSE))</f>
        <v>0</v>
      </c>
      <c r="G42" s="617">
        <f>IF($B42="","",VLOOKUP($B42,studie!$B$38:$Y$127,9,FALSE))</f>
        <v>65</v>
      </c>
      <c r="H42" s="615" t="str">
        <f>IF($B42="","",IF(VLOOKUP($B42,studie!$B$38:$Y$127,10,FALSE)="","",VLOOKUP($B42,studie!$B$38:$Y$127,10,FALSE)))</f>
        <v/>
      </c>
      <c r="I42" s="616" t="str">
        <f>IF($B42="","",IF(VLOOKUP($B42,studie!$B$38:$Y$127,11,FALSE)="","",VLOOKUP($B42,studie!$B$38:$Y$127,11,FALSE)))</f>
        <v/>
      </c>
      <c r="J42" s="616" t="str">
        <f>IF($B42="","",IF(VLOOKUP($B42,studie!$B$38:$Y$127,12,FALSE)="","",VLOOKUP($B42,studie!$B$38:$Y$127,12,FALSE)))</f>
        <v/>
      </c>
      <c r="K42" s="616" t="str">
        <f>IF($B42="","",IF(VLOOKUP($B42,studie!$B$38:$Y$127,13,FALSE)="","",VLOOKUP($B42,studie!$B$38:$Y$127,13,FALSE)))</f>
        <v/>
      </c>
      <c r="L42" s="616" t="str">
        <f>IF($B42="","",IF(VLOOKUP($B42,studie!$B$38:$Y$127,14,FALSE)="","",VLOOKUP($B42,studie!$B$38:$Y$127,14,FALSE)))</f>
        <v/>
      </c>
      <c r="M42" s="616" t="str">
        <f>IF($B42="","",IF(VLOOKUP($B42,studie!$B$38:$Y$127,15,FALSE)="","",VLOOKUP($B42,studie!$B$38:$Y$127,15,FALSE)))</f>
        <v/>
      </c>
      <c r="N42" s="617" t="str">
        <f>IF($B42="","",IF(VLOOKUP($B42,studie!$B$38:$Y$127,16,FALSE)="","",VLOOKUP($B42,studie!$B$38:$Y$127,16,FALSE)))</f>
        <v/>
      </c>
      <c r="O42" s="615">
        <f>IF($B42="","",VLOOKUP($B42,studie!$B$38:$Y$127,17,FALSE))</f>
        <v>101.6</v>
      </c>
      <c r="P42" s="617"/>
      <c r="Q42" s="1733">
        <f>IF($B42="","",VLOOKUP($B42,studie!$B$38:$Y$127,21,FALSE))</f>
        <v>170</v>
      </c>
      <c r="R42" s="1741"/>
      <c r="S42" s="1738">
        <f>IF($B42="","",VLOOKUP($B42,studie!$B$38:$Y$127,23,FALSE))</f>
        <v>140</v>
      </c>
      <c r="T42" s="1742"/>
    </row>
    <row r="43" spans="1:20" s="208" customFormat="1" ht="12.75" customHeight="1" x14ac:dyDescent="0.35">
      <c r="A43" s="1896"/>
      <c r="B43" s="1010" t="str">
        <f>IF(studie!Q295="","",studie!Q295)</f>
        <v/>
      </c>
      <c r="C43" s="1011" t="str">
        <f>IF($B43="","",VLOOKUP($B43,studie!$B$38:$Y$127,5,FALSE))</f>
        <v/>
      </c>
      <c r="D43" s="1012" t="str">
        <f>IF($B43="","",VLOOKUP($B43,studie!$B$38:$Y$127,6,FALSE))</f>
        <v/>
      </c>
      <c r="E43" s="1012" t="str">
        <f>IF($B43="","",VLOOKUP($B43,studie!$B$38:$Y$127,7,FALSE))</f>
        <v/>
      </c>
      <c r="F43" s="1012" t="str">
        <f>IF($B43="","",VLOOKUP($B43,studie!$B$38:$Y$127,8,FALSE))</f>
        <v/>
      </c>
      <c r="G43" s="1013" t="str">
        <f>IF($B43="","",VLOOKUP($B43,studie!$B$38:$Y$127,9,FALSE))</f>
        <v/>
      </c>
      <c r="H43" s="1011" t="str">
        <f>IF($B43="","",IF(VLOOKUP($B43,studie!$B$38:$Y$127,10,FALSE)="","",VLOOKUP($B43,studie!$B$38:$Y$127,10,FALSE)))</f>
        <v/>
      </c>
      <c r="I43" s="1012" t="str">
        <f>IF($B43="","",IF(VLOOKUP($B43,studie!$B$38:$Y$127,11,FALSE)="","",VLOOKUP($B43,studie!$B$38:$Y$127,11,FALSE)))</f>
        <v/>
      </c>
      <c r="J43" s="1012" t="str">
        <f>IF($B43="","",IF(VLOOKUP($B43,studie!$B$38:$Y$127,12,FALSE)="","",VLOOKUP($B43,studie!$B$38:$Y$127,12,FALSE)))</f>
        <v/>
      </c>
      <c r="K43" s="1012" t="str">
        <f>IF($B43="","",IF(VLOOKUP($B43,studie!$B$38:$Y$127,13,FALSE)="","",VLOOKUP($B43,studie!$B$38:$Y$127,13,FALSE)))</f>
        <v/>
      </c>
      <c r="L43" s="1012" t="str">
        <f>IF($B43="","",IF(VLOOKUP($B43,studie!$B$38:$Y$127,14,FALSE)="","",VLOOKUP($B43,studie!$B$38:$Y$127,14,FALSE)))</f>
        <v/>
      </c>
      <c r="M43" s="1012" t="str">
        <f>IF($B43="","",IF(VLOOKUP($B43,studie!$B$38:$Y$127,15,FALSE)="","",VLOOKUP($B43,studie!$B$38:$Y$127,15,FALSE)))</f>
        <v/>
      </c>
      <c r="N43" s="1013" t="str">
        <f>IF($B43="","",IF(VLOOKUP($B43,studie!$B$38:$Y$127,16,FALSE)="","",VLOOKUP($B43,studie!$B$38:$Y$127,16,FALSE)))</f>
        <v/>
      </c>
      <c r="O43" s="1011" t="str">
        <f>IF($B43="","",VLOOKUP($B43,studie!$B$38:$Y$127,17,FALSE))</f>
        <v/>
      </c>
      <c r="P43" s="1013"/>
      <c r="Q43" s="1743" t="str">
        <f>IF($B43="","",VLOOKUP($B43,studie!$B$38:$Y$127,21,FALSE))</f>
        <v/>
      </c>
      <c r="R43" s="1744"/>
      <c r="S43" s="1745" t="str">
        <f>IF($B43="","",VLOOKUP($B43,studie!$B$38:$Y$127,23,FALSE))</f>
        <v/>
      </c>
      <c r="T43" s="1746"/>
    </row>
    <row r="44" spans="1:20" s="208" customFormat="1" ht="12.75" customHeight="1" x14ac:dyDescent="0.35">
      <c r="A44" s="1896"/>
      <c r="B44" s="1020"/>
      <c r="C44" s="1021"/>
      <c r="D44" s="1022"/>
      <c r="E44" s="1022"/>
      <c r="F44" s="1022"/>
      <c r="G44" s="1023">
        <f>IF(SUM(G40:G43)=0,"",AVERAGE(G40:G43))</f>
        <v>61.333333333333336</v>
      </c>
      <c r="H44" s="1032"/>
      <c r="I44" s="1022"/>
      <c r="J44" s="1022"/>
      <c r="K44" s="1022"/>
      <c r="L44" s="1022"/>
      <c r="M44" s="1022"/>
      <c r="N44" s="1023">
        <f t="shared" ref="N44" si="8">IF(SUM(N40:N43)=0,"",AVERAGE(N40:N43))</f>
        <v>106.5</v>
      </c>
      <c r="O44" s="1021">
        <f t="shared" ref="O44" si="9">IF(SUM(O40:O43)=0,"",AVERAGE(O40:O43))</f>
        <v>101.59999999999998</v>
      </c>
      <c r="P44" s="1023"/>
      <c r="Q44" s="1747"/>
      <c r="R44" s="1748"/>
      <c r="S44" s="1749"/>
      <c r="T44" s="1750"/>
    </row>
    <row r="45" spans="1:20" s="208" customFormat="1" ht="12.75" customHeight="1" x14ac:dyDescent="0.35">
      <c r="A45" s="1895">
        <f>A173</f>
        <v>3.85</v>
      </c>
      <c r="B45" s="1001" t="str">
        <f>IF(studie!Q298="","",studie!Q298)</f>
        <v>B1'</v>
      </c>
      <c r="C45" s="623">
        <f>IF($B45="","",VLOOKUP($B45,studie!$B$38:$Y$127,5,FALSE))</f>
        <v>70</v>
      </c>
      <c r="D45" s="622">
        <f>IF($B45="","",VLOOKUP($B45,studie!$B$38:$Y$127,6,FALSE))</f>
        <v>0</v>
      </c>
      <c r="E45" s="622">
        <f>IF($B45="","",VLOOKUP($B45,studie!$B$38:$Y$127,7,FALSE))</f>
        <v>0</v>
      </c>
      <c r="F45" s="622">
        <f>IF($B45="","",VLOOKUP($B45,studie!$B$38:$Y$127,8,FALSE))</f>
        <v>0</v>
      </c>
      <c r="G45" s="621">
        <f>IF($B45="","",VLOOKUP($B45,studie!$B$38:$Y$127,9,FALSE))</f>
        <v>70</v>
      </c>
      <c r="H45" s="623">
        <f>IF($B45="","",IF(VLOOKUP($B45,studie!$B$38:$Y$127,10,FALSE)="","",VLOOKUP($B45,studie!$B$38:$Y$127,10,FALSE)))</f>
        <v>101.6</v>
      </c>
      <c r="I45" s="622" t="str">
        <f>IF($B45="","",IF(VLOOKUP($B45,studie!$B$38:$Y$127,11,FALSE)="","",VLOOKUP($B45,studie!$B$38:$Y$127,11,FALSE)))</f>
        <v/>
      </c>
      <c r="J45" s="622" t="str">
        <f>IF($B45="","",IF(VLOOKUP($B45,studie!$B$38:$Y$127,12,FALSE)="","",VLOOKUP($B45,studie!$B$38:$Y$127,12,FALSE)))</f>
        <v/>
      </c>
      <c r="K45" s="622" t="str">
        <f>IF($B45="","",IF(VLOOKUP($B45,studie!$B$38:$Y$127,13,FALSE)="","",VLOOKUP($B45,studie!$B$38:$Y$127,13,FALSE)))</f>
        <v/>
      </c>
      <c r="L45" s="622" t="str">
        <f>IF($B45="","",IF(VLOOKUP($B45,studie!$B$38:$Y$127,14,FALSE)="","",VLOOKUP($B45,studie!$B$38:$Y$127,14,FALSE)))</f>
        <v/>
      </c>
      <c r="M45" s="622" t="str">
        <f>IF($B45="","",IF(VLOOKUP($B45,studie!$B$38:$Y$127,15,FALSE)="","",VLOOKUP($B45,studie!$B$38:$Y$127,15,FALSE)))</f>
        <v/>
      </c>
      <c r="N45" s="621">
        <f>IF($B45="","",IF(VLOOKUP($B45,studie!$B$38:$Y$127,16,FALSE)="","",VLOOKUP($B45,studie!$B$38:$Y$127,16,FALSE)))</f>
        <v>101.6</v>
      </c>
      <c r="O45" s="623">
        <f>IF($B45="","",VLOOKUP($B45,studie!$B$38:$Y$127,17,FALSE))</f>
        <v>101.6</v>
      </c>
      <c r="P45" s="621"/>
      <c r="Q45" s="1735">
        <f>IF($B45="","",VLOOKUP($B45,studie!$B$38:$Y$127,21,FALSE))</f>
        <v>185</v>
      </c>
      <c r="R45" s="1751"/>
      <c r="S45" s="1740">
        <f>IF($B45="","",VLOOKUP($B45,studie!$B$38:$Y$127,23,FALSE))</f>
        <v>155</v>
      </c>
      <c r="T45" s="1752"/>
    </row>
    <row r="46" spans="1:20" s="208" customFormat="1" ht="12.75" customHeight="1" x14ac:dyDescent="0.35">
      <c r="A46" s="1896"/>
      <c r="B46" s="1000" t="str">
        <f>IF(studie!Q299="","",studie!Q299)</f>
        <v>B2'</v>
      </c>
      <c r="C46" s="615">
        <f>IF($B46="","",VLOOKUP($B46,studie!$B$38:$Y$127,5,FALSE))</f>
        <v>69</v>
      </c>
      <c r="D46" s="616">
        <f>IF($B46="","",VLOOKUP($B46,studie!$B$38:$Y$127,6,FALSE))</f>
        <v>0</v>
      </c>
      <c r="E46" s="616">
        <f>IF($B46="","",VLOOKUP($B46,studie!$B$38:$Y$127,7,FALSE))</f>
        <v>0</v>
      </c>
      <c r="F46" s="616">
        <f>IF($B46="","",VLOOKUP($B46,studie!$B$38:$Y$127,8,FALSE))</f>
        <v>0</v>
      </c>
      <c r="G46" s="617">
        <f>IF($B46="","",VLOOKUP($B46,studie!$B$38:$Y$127,9,FALSE))</f>
        <v>69</v>
      </c>
      <c r="H46" s="615">
        <f>IF($B46="","",IF(VLOOKUP($B46,studie!$B$38:$Y$127,10,FALSE)="","",VLOOKUP($B46,studie!$B$38:$Y$127,10,FALSE)))</f>
        <v>101.7</v>
      </c>
      <c r="I46" s="616" t="str">
        <f>IF($B46="","",IF(VLOOKUP($B46,studie!$B$38:$Y$127,11,FALSE)="","",VLOOKUP($B46,studie!$B$38:$Y$127,11,FALSE)))</f>
        <v/>
      </c>
      <c r="J46" s="616" t="str">
        <f>IF($B46="","",IF(VLOOKUP($B46,studie!$B$38:$Y$127,12,FALSE)="","",VLOOKUP($B46,studie!$B$38:$Y$127,12,FALSE)))</f>
        <v/>
      </c>
      <c r="K46" s="616" t="str">
        <f>IF($B46="","",IF(VLOOKUP($B46,studie!$B$38:$Y$127,13,FALSE)="","",VLOOKUP($B46,studie!$B$38:$Y$127,13,FALSE)))</f>
        <v/>
      </c>
      <c r="L46" s="616" t="str">
        <f>IF($B46="","",IF(VLOOKUP($B46,studie!$B$38:$Y$127,14,FALSE)="","",VLOOKUP($B46,studie!$B$38:$Y$127,14,FALSE)))</f>
        <v/>
      </c>
      <c r="M46" s="616" t="str">
        <f>IF($B46="","",IF(VLOOKUP($B46,studie!$B$38:$Y$127,15,FALSE)="","",VLOOKUP($B46,studie!$B$38:$Y$127,15,FALSE)))</f>
        <v/>
      </c>
      <c r="N46" s="617">
        <f>IF($B46="","",IF(VLOOKUP($B46,studie!$B$38:$Y$127,16,FALSE)="","",VLOOKUP($B46,studie!$B$38:$Y$127,16,FALSE)))</f>
        <v>101.7</v>
      </c>
      <c r="O46" s="615">
        <f>IF($B46="","",VLOOKUP($B46,studie!$B$38:$Y$127,17,FALSE))</f>
        <v>101.6</v>
      </c>
      <c r="P46" s="617"/>
      <c r="Q46" s="1733">
        <f>IF($B46="","",VLOOKUP($B46,studie!$B$38:$Y$127,21,FALSE))</f>
        <v>186</v>
      </c>
      <c r="R46" s="1741"/>
      <c r="S46" s="1738">
        <f>IF($B46="","",VLOOKUP($B46,studie!$B$38:$Y$127,23,FALSE))</f>
        <v>156</v>
      </c>
      <c r="T46" s="1742"/>
    </row>
    <row r="47" spans="1:20" s="208" customFormat="1" ht="12.75" customHeight="1" x14ac:dyDescent="0.35">
      <c r="A47" s="1896"/>
      <c r="B47" s="1000" t="str">
        <f>IF(studie!Q300="","",studie!Q300)</f>
        <v>B3'</v>
      </c>
      <c r="C47" s="615">
        <f>IF($B47="","",VLOOKUP($B47,studie!$B$38:$Y$127,5,FALSE))</f>
        <v>75</v>
      </c>
      <c r="D47" s="616">
        <f>IF($B47="","",VLOOKUP($B47,studie!$B$38:$Y$127,6,FALSE))</f>
        <v>0</v>
      </c>
      <c r="E47" s="616">
        <f>IF($B47="","",VLOOKUP($B47,studie!$B$38:$Y$127,7,FALSE))</f>
        <v>0</v>
      </c>
      <c r="F47" s="616">
        <f>IF($B47="","",VLOOKUP($B47,studie!$B$38:$Y$127,8,FALSE))</f>
        <v>0</v>
      </c>
      <c r="G47" s="617">
        <f>IF($B47="","",VLOOKUP($B47,studie!$B$38:$Y$127,9,FALSE))</f>
        <v>75</v>
      </c>
      <c r="H47" s="615">
        <f>IF($B47="","",IF(VLOOKUP($B47,studie!$B$38:$Y$127,10,FALSE)="","",VLOOKUP($B47,studie!$B$38:$Y$127,10,FALSE)))</f>
        <v>101.1</v>
      </c>
      <c r="I47" s="616" t="str">
        <f>IF($B47="","",IF(VLOOKUP($B47,studie!$B$38:$Y$127,11,FALSE)="","",VLOOKUP($B47,studie!$B$38:$Y$127,11,FALSE)))</f>
        <v/>
      </c>
      <c r="J47" s="616" t="str">
        <f>IF($B47="","",IF(VLOOKUP($B47,studie!$B$38:$Y$127,12,FALSE)="","",VLOOKUP($B47,studie!$B$38:$Y$127,12,FALSE)))</f>
        <v/>
      </c>
      <c r="K47" s="616" t="str">
        <f>IF($B47="","",IF(VLOOKUP($B47,studie!$B$38:$Y$127,13,FALSE)="","",VLOOKUP($B47,studie!$B$38:$Y$127,13,FALSE)))</f>
        <v/>
      </c>
      <c r="L47" s="616" t="str">
        <f>IF($B47="","",IF(VLOOKUP($B47,studie!$B$38:$Y$127,14,FALSE)="","",VLOOKUP($B47,studie!$B$38:$Y$127,14,FALSE)))</f>
        <v/>
      </c>
      <c r="M47" s="616" t="str">
        <f>IF($B47="","",IF(VLOOKUP($B47,studie!$B$38:$Y$127,15,FALSE)="","",VLOOKUP($B47,studie!$B$38:$Y$127,15,FALSE)))</f>
        <v/>
      </c>
      <c r="N47" s="617">
        <f>IF($B47="","",IF(VLOOKUP($B47,studie!$B$38:$Y$127,16,FALSE)="","",VLOOKUP($B47,studie!$B$38:$Y$127,16,FALSE)))</f>
        <v>101.1</v>
      </c>
      <c r="O47" s="615">
        <f>IF($B47="","",VLOOKUP($B47,studie!$B$38:$Y$127,17,FALSE))</f>
        <v>101.6</v>
      </c>
      <c r="P47" s="617"/>
      <c r="Q47" s="1733">
        <f>IF($B47="","",VLOOKUP($B47,studie!$B$38:$Y$127,21,FALSE))</f>
        <v>180</v>
      </c>
      <c r="R47" s="1741"/>
      <c r="S47" s="1738">
        <f>IF($B47="","",VLOOKUP($B47,studie!$B$38:$Y$127,23,FALSE))</f>
        <v>150</v>
      </c>
      <c r="T47" s="1742"/>
    </row>
    <row r="48" spans="1:20" s="208" customFormat="1" ht="12.75" customHeight="1" x14ac:dyDescent="0.35">
      <c r="A48" s="1896"/>
      <c r="B48" s="1002" t="str">
        <f>IF(studie!Q301="","",studie!Q301)</f>
        <v>B4'</v>
      </c>
      <c r="C48" s="1014">
        <f>IF($B48="","",VLOOKUP($B48,studie!$B$38:$Y$127,5,FALSE))</f>
        <v>74</v>
      </c>
      <c r="D48" s="1015">
        <f>IF($B48="","",VLOOKUP($B48,studie!$B$38:$Y$127,6,FALSE))</f>
        <v>0</v>
      </c>
      <c r="E48" s="1015">
        <f>IF($B48="","",VLOOKUP($B48,studie!$B$38:$Y$127,7,FALSE))</f>
        <v>0</v>
      </c>
      <c r="F48" s="1015">
        <f>IF($B48="","",VLOOKUP($B48,studie!$B$38:$Y$127,8,FALSE))</f>
        <v>0</v>
      </c>
      <c r="G48" s="1016">
        <f>IF($B48="","",VLOOKUP($B48,studie!$B$38:$Y$127,9,FALSE))</f>
        <v>74</v>
      </c>
      <c r="H48" s="1014">
        <f>IF($B48="","",IF(VLOOKUP($B48,studie!$B$38:$Y$127,10,FALSE)="","",VLOOKUP($B48,studie!$B$38:$Y$127,10,FALSE)))</f>
        <v>101.2</v>
      </c>
      <c r="I48" s="1015" t="str">
        <f>IF($B48="","",IF(VLOOKUP($B48,studie!$B$38:$Y$127,11,FALSE)="","",VLOOKUP($B48,studie!$B$38:$Y$127,11,FALSE)))</f>
        <v/>
      </c>
      <c r="J48" s="1015" t="str">
        <f>IF($B48="","",IF(VLOOKUP($B48,studie!$B$38:$Y$127,12,FALSE)="","",VLOOKUP($B48,studie!$B$38:$Y$127,12,FALSE)))</f>
        <v/>
      </c>
      <c r="K48" s="1015" t="str">
        <f>IF($B48="","",IF(VLOOKUP($B48,studie!$B$38:$Y$127,13,FALSE)="","",VLOOKUP($B48,studie!$B$38:$Y$127,13,FALSE)))</f>
        <v/>
      </c>
      <c r="L48" s="1015" t="str">
        <f>IF($B48="","",IF(VLOOKUP($B48,studie!$B$38:$Y$127,14,FALSE)="","",VLOOKUP($B48,studie!$B$38:$Y$127,14,FALSE)))</f>
        <v/>
      </c>
      <c r="M48" s="1015" t="str">
        <f>IF($B48="","",IF(VLOOKUP($B48,studie!$B$38:$Y$127,15,FALSE)="","",VLOOKUP($B48,studie!$B$38:$Y$127,15,FALSE)))</f>
        <v/>
      </c>
      <c r="N48" s="1016">
        <f>IF($B48="","",IF(VLOOKUP($B48,studie!$B$38:$Y$127,16,FALSE)="","",VLOOKUP($B48,studie!$B$38:$Y$127,16,FALSE)))</f>
        <v>101.2</v>
      </c>
      <c r="O48" s="1014">
        <f>IF($B48="","",VLOOKUP($B48,studie!$B$38:$Y$127,17,FALSE))</f>
        <v>101.6</v>
      </c>
      <c r="P48" s="1016"/>
      <c r="Q48" s="1753">
        <f>IF($B48="","",VLOOKUP($B48,studie!$B$38:$Y$127,21,FALSE))</f>
        <v>181</v>
      </c>
      <c r="R48" s="1754"/>
      <c r="S48" s="1755">
        <f>IF($B48="","",VLOOKUP($B48,studie!$B$38:$Y$127,23,FALSE))</f>
        <v>151</v>
      </c>
      <c r="T48" s="1756"/>
    </row>
    <row r="49" spans="1:20" s="208" customFormat="1" ht="12.75" customHeight="1" x14ac:dyDescent="0.35">
      <c r="A49" s="1897"/>
      <c r="B49" s="1025"/>
      <c r="C49" s="1021"/>
      <c r="D49" s="1022"/>
      <c r="E49" s="1022"/>
      <c r="F49" s="1022"/>
      <c r="G49" s="1023">
        <f>IF(SUM(G45:G48)=0,"",AVERAGE(G45:G48))</f>
        <v>72</v>
      </c>
      <c r="H49" s="1032"/>
      <c r="I49" s="1022"/>
      <c r="J49" s="1022"/>
      <c r="K49" s="1022"/>
      <c r="L49" s="1022"/>
      <c r="M49" s="1022"/>
      <c r="N49" s="1023">
        <f t="shared" ref="N49" si="10">IF(SUM(N45:N48)=0,"",AVERAGE(N45:N48))</f>
        <v>101.39999999999999</v>
      </c>
      <c r="O49" s="1021">
        <f t="shared" ref="O49" si="11">IF(SUM(O45:O48)=0,"",AVERAGE(O45:O48))</f>
        <v>101.6</v>
      </c>
      <c r="P49" s="1023"/>
      <c r="Q49" s="1747"/>
      <c r="R49" s="1748"/>
      <c r="S49" s="1749"/>
      <c r="T49" s="1750"/>
    </row>
    <row r="50" spans="1:20" s="208" customFormat="1" ht="12.75" customHeight="1" x14ac:dyDescent="0.35">
      <c r="A50" s="1896">
        <f>A178</f>
        <v>4.1500000000000004</v>
      </c>
      <c r="B50" s="999" t="str">
        <f>IF(studie!Q304="","",studie!Q304)</f>
        <v>C1v</v>
      </c>
      <c r="C50" s="615">
        <f>IF($B50="","",VLOOKUP($B50,studie!$B$38:$Y$127,5,FALSE))</f>
        <v>80</v>
      </c>
      <c r="D50" s="616">
        <f>IF($B50="","",VLOOKUP($B50,studie!$B$38:$Y$127,6,FALSE))</f>
        <v>0</v>
      </c>
      <c r="E50" s="616">
        <f>IF($B50="","",VLOOKUP($B50,studie!$B$38:$Y$127,7,FALSE))</f>
        <v>0</v>
      </c>
      <c r="F50" s="616">
        <f>IF($B50="","",VLOOKUP($B50,studie!$B$38:$Y$127,8,FALSE))</f>
        <v>0</v>
      </c>
      <c r="G50" s="617">
        <f>IF($B50="","",VLOOKUP($B50,studie!$B$38:$Y$127,9,FALSE))</f>
        <v>80</v>
      </c>
      <c r="H50" s="615">
        <f>IF($B50="","",IF(VLOOKUP($B50,studie!$B$38:$Y$127,10,FALSE)="","",VLOOKUP($B50,studie!$B$38:$Y$127,10,FALSE)))</f>
        <v>102.6</v>
      </c>
      <c r="I50" s="616" t="str">
        <f>IF($B50="","",IF(VLOOKUP($B50,studie!$B$38:$Y$127,11,FALSE)="","",VLOOKUP($B50,studie!$B$38:$Y$127,11,FALSE)))</f>
        <v/>
      </c>
      <c r="J50" s="616" t="str">
        <f>IF($B50="","",IF(VLOOKUP($B50,studie!$B$38:$Y$127,12,FALSE)="","",VLOOKUP($B50,studie!$B$38:$Y$127,12,FALSE)))</f>
        <v/>
      </c>
      <c r="K50" s="616" t="str">
        <f>IF($B50="","",IF(VLOOKUP($B50,studie!$B$38:$Y$127,13,FALSE)="","",VLOOKUP($B50,studie!$B$38:$Y$127,13,FALSE)))</f>
        <v/>
      </c>
      <c r="L50" s="616" t="str">
        <f>IF($B50="","",IF(VLOOKUP($B50,studie!$B$38:$Y$127,14,FALSE)="","",VLOOKUP($B50,studie!$B$38:$Y$127,14,FALSE)))</f>
        <v/>
      </c>
      <c r="M50" s="616" t="str">
        <f>IF($B50="","",IF(VLOOKUP($B50,studie!$B$38:$Y$127,15,FALSE)="","",VLOOKUP($B50,studie!$B$38:$Y$127,15,FALSE)))</f>
        <v/>
      </c>
      <c r="N50" s="617">
        <f>IF($B50="","",IF(VLOOKUP($B50,studie!$B$38:$Y$127,16,FALSE)="","",VLOOKUP($B50,studie!$B$38:$Y$127,16,FALSE)))</f>
        <v>102.6</v>
      </c>
      <c r="O50" s="615">
        <f>IF($B50="","",VLOOKUP($B50,studie!$B$38:$Y$127,17,FALSE))</f>
        <v>101.6</v>
      </c>
      <c r="P50" s="617"/>
      <c r="Q50" s="1733">
        <f>IF($B50="","",VLOOKUP($B50,studie!$B$38:$Y$127,21,FALSE))</f>
        <v>195</v>
      </c>
      <c r="R50" s="1741"/>
      <c r="S50" s="1738">
        <f>IF($B50="","",VLOOKUP($B50,studie!$B$38:$Y$127,23,FALSE))</f>
        <v>165</v>
      </c>
      <c r="T50" s="1742"/>
    </row>
    <row r="51" spans="1:20" s="208" customFormat="1" ht="12.75" customHeight="1" x14ac:dyDescent="0.35">
      <c r="A51" s="1896"/>
      <c r="B51" s="1000" t="str">
        <f>IF(studie!Q305="","",studie!Q305)</f>
        <v>C2v</v>
      </c>
      <c r="C51" s="615">
        <f>IF($B51="","",VLOOKUP($B51,studie!$B$38:$Y$127,5,FALSE))</f>
        <v>79</v>
      </c>
      <c r="D51" s="616">
        <f>IF($B51="","",VLOOKUP($B51,studie!$B$38:$Y$127,6,FALSE))</f>
        <v>0</v>
      </c>
      <c r="E51" s="616">
        <f>IF($B51="","",VLOOKUP($B51,studie!$B$38:$Y$127,7,FALSE))</f>
        <v>0</v>
      </c>
      <c r="F51" s="616">
        <f>IF($B51="","",VLOOKUP($B51,studie!$B$38:$Y$127,8,FALSE))</f>
        <v>0</v>
      </c>
      <c r="G51" s="617">
        <f>IF($B51="","",VLOOKUP($B51,studie!$B$38:$Y$127,9,FALSE))</f>
        <v>79</v>
      </c>
      <c r="H51" s="615">
        <f>IF($B51="","",IF(VLOOKUP($B51,studie!$B$38:$Y$127,10,FALSE)="","",VLOOKUP($B51,studie!$B$38:$Y$127,10,FALSE)))</f>
        <v>102.7</v>
      </c>
      <c r="I51" s="616" t="str">
        <f>IF($B51="","",IF(VLOOKUP($B51,studie!$B$38:$Y$127,11,FALSE)="","",VLOOKUP($B51,studie!$B$38:$Y$127,11,FALSE)))</f>
        <v/>
      </c>
      <c r="J51" s="616" t="str">
        <f>IF($B51="","",IF(VLOOKUP($B51,studie!$B$38:$Y$127,12,FALSE)="","",VLOOKUP($B51,studie!$B$38:$Y$127,12,FALSE)))</f>
        <v/>
      </c>
      <c r="K51" s="616" t="str">
        <f>IF($B51="","",IF(VLOOKUP($B51,studie!$B$38:$Y$127,13,FALSE)="","",VLOOKUP($B51,studie!$B$38:$Y$127,13,FALSE)))</f>
        <v/>
      </c>
      <c r="L51" s="616" t="str">
        <f>IF($B51="","",IF(VLOOKUP($B51,studie!$B$38:$Y$127,14,FALSE)="","",VLOOKUP($B51,studie!$B$38:$Y$127,14,FALSE)))</f>
        <v/>
      </c>
      <c r="M51" s="616" t="str">
        <f>IF($B51="","",IF(VLOOKUP($B51,studie!$B$38:$Y$127,15,FALSE)="","",VLOOKUP($B51,studie!$B$38:$Y$127,15,FALSE)))</f>
        <v/>
      </c>
      <c r="N51" s="617">
        <f>IF($B51="","",IF(VLOOKUP($B51,studie!$B$38:$Y$127,16,FALSE)="","",VLOOKUP($B51,studie!$B$38:$Y$127,16,FALSE)))</f>
        <v>102.7</v>
      </c>
      <c r="O51" s="615">
        <f>IF($B51="","",VLOOKUP($B51,studie!$B$38:$Y$127,17,FALSE))</f>
        <v>101.6</v>
      </c>
      <c r="P51" s="617"/>
      <c r="Q51" s="1733">
        <f>IF($B51="","",VLOOKUP($B51,studie!$B$38:$Y$127,21,FALSE))</f>
        <v>196</v>
      </c>
      <c r="R51" s="1741"/>
      <c r="S51" s="1738">
        <f>IF($B51="","",VLOOKUP($B51,studie!$B$38:$Y$127,23,FALSE))</f>
        <v>166</v>
      </c>
      <c r="T51" s="1742"/>
    </row>
    <row r="52" spans="1:20" s="208" customFormat="1" ht="12.75" customHeight="1" x14ac:dyDescent="0.35">
      <c r="A52" s="1896"/>
      <c r="B52" s="1000" t="str">
        <f>IF(studie!Q306="","",studie!Q306)</f>
        <v>C3v</v>
      </c>
      <c r="C52" s="615">
        <f>IF($B52="","",VLOOKUP($B52,studie!$B$38:$Y$127,5,FALSE))</f>
        <v>85</v>
      </c>
      <c r="D52" s="616">
        <f>IF($B52="","",VLOOKUP($B52,studie!$B$38:$Y$127,6,FALSE))</f>
        <v>0</v>
      </c>
      <c r="E52" s="616">
        <f>IF($B52="","",VLOOKUP($B52,studie!$B$38:$Y$127,7,FALSE))</f>
        <v>0</v>
      </c>
      <c r="F52" s="616">
        <f>IF($B52="","",VLOOKUP($B52,studie!$B$38:$Y$127,8,FALSE))</f>
        <v>0</v>
      </c>
      <c r="G52" s="617">
        <f>IF($B52="","",VLOOKUP($B52,studie!$B$38:$Y$127,9,FALSE))</f>
        <v>85</v>
      </c>
      <c r="H52" s="615">
        <f>IF($B52="","",IF(VLOOKUP($B52,studie!$B$38:$Y$127,10,FALSE)="","",VLOOKUP($B52,studie!$B$38:$Y$127,10,FALSE)))</f>
        <v>102.1</v>
      </c>
      <c r="I52" s="616" t="str">
        <f>IF($B52="","",IF(VLOOKUP($B52,studie!$B$38:$Y$127,11,FALSE)="","",VLOOKUP($B52,studie!$B$38:$Y$127,11,FALSE)))</f>
        <v/>
      </c>
      <c r="J52" s="616" t="str">
        <f>IF($B52="","",IF(VLOOKUP($B52,studie!$B$38:$Y$127,12,FALSE)="","",VLOOKUP($B52,studie!$B$38:$Y$127,12,FALSE)))</f>
        <v/>
      </c>
      <c r="K52" s="616" t="str">
        <f>IF($B52="","",IF(VLOOKUP($B52,studie!$B$38:$Y$127,13,FALSE)="","",VLOOKUP($B52,studie!$B$38:$Y$127,13,FALSE)))</f>
        <v/>
      </c>
      <c r="L52" s="616" t="str">
        <f>IF($B52="","",IF(VLOOKUP($B52,studie!$B$38:$Y$127,14,FALSE)="","",VLOOKUP($B52,studie!$B$38:$Y$127,14,FALSE)))</f>
        <v/>
      </c>
      <c r="M52" s="616" t="str">
        <f>IF($B52="","",IF(VLOOKUP($B52,studie!$B$38:$Y$127,15,FALSE)="","",VLOOKUP($B52,studie!$B$38:$Y$127,15,FALSE)))</f>
        <v/>
      </c>
      <c r="N52" s="617">
        <f>IF($B52="","",IF(VLOOKUP($B52,studie!$B$38:$Y$127,16,FALSE)="","",VLOOKUP($B52,studie!$B$38:$Y$127,16,FALSE)))</f>
        <v>102.1</v>
      </c>
      <c r="O52" s="615">
        <f>IF($B52="","",VLOOKUP($B52,studie!$B$38:$Y$127,17,FALSE))</f>
        <v>101.6</v>
      </c>
      <c r="P52" s="617"/>
      <c r="Q52" s="1733">
        <f>IF($B52="","",VLOOKUP($B52,studie!$B$38:$Y$127,21,FALSE))</f>
        <v>190</v>
      </c>
      <c r="R52" s="1741"/>
      <c r="S52" s="1738">
        <f>IF($B52="","",VLOOKUP($B52,studie!$B$38:$Y$127,23,FALSE))</f>
        <v>160</v>
      </c>
      <c r="T52" s="1742"/>
    </row>
    <row r="53" spans="1:20" s="208" customFormat="1" ht="12.75" customHeight="1" x14ac:dyDescent="0.35">
      <c r="A53" s="1896"/>
      <c r="B53" s="1010" t="str">
        <f>IF(studie!Q307="","",studie!Q307)</f>
        <v>C4v</v>
      </c>
      <c r="C53" s="1011">
        <f>IF($B53="","",VLOOKUP($B53,studie!$B$38:$Y$127,5,FALSE))</f>
        <v>84</v>
      </c>
      <c r="D53" s="1012">
        <f>IF($B53="","",VLOOKUP($B53,studie!$B$38:$Y$127,6,FALSE))</f>
        <v>0</v>
      </c>
      <c r="E53" s="1012">
        <f>IF($B53="","",VLOOKUP($B53,studie!$B$38:$Y$127,7,FALSE))</f>
        <v>0</v>
      </c>
      <c r="F53" s="1012">
        <f>IF($B53="","",VLOOKUP($B53,studie!$B$38:$Y$127,8,FALSE))</f>
        <v>0</v>
      </c>
      <c r="G53" s="1013">
        <f>IF($B53="","",VLOOKUP($B53,studie!$B$38:$Y$127,9,FALSE))</f>
        <v>84</v>
      </c>
      <c r="H53" s="1011">
        <f>IF($B53="","",IF(VLOOKUP($B53,studie!$B$38:$Y$127,10,FALSE)="","",VLOOKUP($B53,studie!$B$38:$Y$127,10,FALSE)))</f>
        <v>102.2</v>
      </c>
      <c r="I53" s="1012" t="str">
        <f>IF($B53="","",IF(VLOOKUP($B53,studie!$B$38:$Y$127,11,FALSE)="","",VLOOKUP($B53,studie!$B$38:$Y$127,11,FALSE)))</f>
        <v/>
      </c>
      <c r="J53" s="1012" t="str">
        <f>IF($B53="","",IF(VLOOKUP($B53,studie!$B$38:$Y$127,12,FALSE)="","",VLOOKUP($B53,studie!$B$38:$Y$127,12,FALSE)))</f>
        <v/>
      </c>
      <c r="K53" s="1012" t="str">
        <f>IF($B53="","",IF(VLOOKUP($B53,studie!$B$38:$Y$127,13,FALSE)="","",VLOOKUP($B53,studie!$B$38:$Y$127,13,FALSE)))</f>
        <v/>
      </c>
      <c r="L53" s="1012" t="str">
        <f>IF($B53="","",IF(VLOOKUP($B53,studie!$B$38:$Y$127,14,FALSE)="","",VLOOKUP($B53,studie!$B$38:$Y$127,14,FALSE)))</f>
        <v/>
      </c>
      <c r="M53" s="1012" t="str">
        <f>IF($B53="","",IF(VLOOKUP($B53,studie!$B$38:$Y$127,15,FALSE)="","",VLOOKUP($B53,studie!$B$38:$Y$127,15,FALSE)))</f>
        <v/>
      </c>
      <c r="N53" s="1013">
        <f>IF($B53="","",IF(VLOOKUP($B53,studie!$B$38:$Y$127,16,FALSE)="","",VLOOKUP($B53,studie!$B$38:$Y$127,16,FALSE)))</f>
        <v>102.2</v>
      </c>
      <c r="O53" s="1011">
        <f>IF($B53="","",VLOOKUP($B53,studie!$B$38:$Y$127,17,FALSE))</f>
        <v>101.6</v>
      </c>
      <c r="P53" s="1013"/>
      <c r="Q53" s="1743">
        <f>IF($B53="","",VLOOKUP($B53,studie!$B$38:$Y$127,21,FALSE))</f>
        <v>191</v>
      </c>
      <c r="R53" s="1744"/>
      <c r="S53" s="1745">
        <f>IF($B53="","",VLOOKUP($B53,studie!$B$38:$Y$127,23,FALSE))</f>
        <v>161</v>
      </c>
      <c r="T53" s="1746"/>
    </row>
    <row r="54" spans="1:20" s="208" customFormat="1" ht="12.75" customHeight="1" thickBot="1" x14ac:dyDescent="0.4">
      <c r="A54" s="1898"/>
      <c r="B54" s="1034"/>
      <c r="C54" s="1027"/>
      <c r="D54" s="1028"/>
      <c r="E54" s="1028"/>
      <c r="F54" s="1028"/>
      <c r="G54" s="1029">
        <f>IF(SUM(G50:G53)=0,"",AVERAGE(G50:G53))</f>
        <v>82</v>
      </c>
      <c r="H54" s="1033"/>
      <c r="I54" s="1028"/>
      <c r="J54" s="1028"/>
      <c r="K54" s="1028"/>
      <c r="L54" s="1028"/>
      <c r="M54" s="1028"/>
      <c r="N54" s="1029">
        <f t="shared" ref="N54" si="12">IF(SUM(N50:N53)=0,"",AVERAGE(N50:N53))</f>
        <v>102.39999999999999</v>
      </c>
      <c r="O54" s="1027">
        <f t="shared" ref="O54" si="13">IF(SUM(O50:O53)=0,"",AVERAGE(O50:O53))</f>
        <v>101.6</v>
      </c>
      <c r="P54" s="1029"/>
      <c r="Q54" s="1757"/>
      <c r="R54" s="1758"/>
      <c r="S54" s="1759"/>
      <c r="T54" s="1760"/>
    </row>
    <row r="55" spans="1:20" s="208" customFormat="1" ht="12.75" customHeight="1" x14ac:dyDescent="0.35"/>
    <row r="56" spans="1:20" s="208" customFormat="1" ht="12.75" customHeight="1" x14ac:dyDescent="0.35"/>
    <row r="57" spans="1:20" s="208" customFormat="1" ht="12.75" customHeight="1" x14ac:dyDescent="0.35"/>
    <row r="58" spans="1:20" s="208" customFormat="1" ht="12.75" customHeight="1" x14ac:dyDescent="0.35"/>
    <row r="59" spans="1:20" s="208" customFormat="1" ht="12.75" customHeight="1" x14ac:dyDescent="0.35"/>
    <row r="60" spans="1:20" s="208" customFormat="1" ht="12.75" customHeight="1" x14ac:dyDescent="0.35"/>
    <row r="61" spans="1:20" s="208" customFormat="1" ht="12.75" customHeight="1" x14ac:dyDescent="0.35"/>
    <row r="62" spans="1:20" s="210" customFormat="1" ht="10.5" x14ac:dyDescent="0.35">
      <c r="A62" s="2277" t="str">
        <f>'VN1'!$A$53</f>
        <v>801/64/</v>
      </c>
      <c r="B62" s="2277"/>
      <c r="C62" s="267" t="str">
        <f>algemeen!$J$66</f>
        <v>2010/13RE-1234/0</v>
      </c>
      <c r="D62" s="267"/>
      <c r="E62" s="268"/>
      <c r="F62" s="268"/>
      <c r="G62" s="268"/>
      <c r="H62" s="268"/>
      <c r="I62" s="269" t="str">
        <f>"blz. "&amp;berekeningen!H3&amp;" /"</f>
        <v>blz. 9 /</v>
      </c>
      <c r="J62" s="267">
        <f>berekeningen!O$2</f>
        <v>19</v>
      </c>
      <c r="K62" s="268"/>
      <c r="L62" s="268"/>
      <c r="M62" s="268" t="s">
        <v>610</v>
      </c>
      <c r="N62" s="268"/>
      <c r="O62" s="268"/>
      <c r="P62" s="268"/>
      <c r="Q62" s="268"/>
      <c r="R62" s="268"/>
      <c r="S62" s="268"/>
      <c r="T62" s="268"/>
    </row>
    <row r="63" spans="1:20" s="210" customFormat="1" ht="10.5" x14ac:dyDescent="0.35">
      <c r="A63" s="1732"/>
      <c r="B63" s="1732"/>
      <c r="C63" s="1348"/>
      <c r="D63" s="1348"/>
      <c r="I63" s="1732"/>
      <c r="J63" s="1348"/>
    </row>
    <row r="64" spans="1:20" s="208" customFormat="1" ht="12.75" customHeight="1" thickBot="1" x14ac:dyDescent="0.4">
      <c r="A64" s="779" t="s">
        <v>1151</v>
      </c>
    </row>
    <row r="65" spans="1:28" s="208" customFormat="1" ht="12.75" customHeight="1" x14ac:dyDescent="0.3">
      <c r="A65" s="1004" t="s">
        <v>829</v>
      </c>
      <c r="B65" s="996" t="s">
        <v>831</v>
      </c>
      <c r="C65" s="610" t="s">
        <v>374</v>
      </c>
      <c r="D65" s="245"/>
      <c r="E65" s="245"/>
      <c r="F65" s="245"/>
      <c r="G65" s="245"/>
      <c r="H65" s="610" t="s">
        <v>930</v>
      </c>
      <c r="I65" s="245"/>
      <c r="J65" s="245"/>
      <c r="K65" s="245"/>
      <c r="L65" s="245"/>
      <c r="M65" s="245"/>
      <c r="N65" s="245"/>
      <c r="O65" s="917"/>
      <c r="P65" s="244" t="s">
        <v>1039</v>
      </c>
      <c r="Q65" s="245"/>
      <c r="R65" s="245"/>
      <c r="S65" s="245"/>
      <c r="T65" s="246"/>
      <c r="V65" s="1"/>
      <c r="W65" s="1"/>
      <c r="X65" s="1"/>
      <c r="Y65" s="1"/>
      <c r="Z65" s="1"/>
      <c r="AA65" s="1"/>
      <c r="AB65" s="1"/>
    </row>
    <row r="66" spans="1:28" s="208" customFormat="1" ht="12.75" customHeight="1" x14ac:dyDescent="0.35">
      <c r="A66" s="1005" t="s">
        <v>830</v>
      </c>
      <c r="B66" s="997" t="s">
        <v>338</v>
      </c>
      <c r="C66" s="866"/>
      <c r="D66" s="738"/>
      <c r="E66" s="738"/>
      <c r="F66" s="738"/>
      <c r="G66" s="861"/>
      <c r="H66" s="866"/>
      <c r="I66" s="415"/>
      <c r="J66" s="415"/>
      <c r="K66" s="415"/>
      <c r="L66" s="415"/>
      <c r="M66" s="415"/>
      <c r="N66" s="415"/>
      <c r="O66" s="917"/>
      <c r="P66" s="1038" t="s">
        <v>1040</v>
      </c>
      <c r="Q66" s="738"/>
      <c r="R66" s="738"/>
      <c r="S66" s="738"/>
      <c r="T66" s="865"/>
    </row>
    <row r="67" spans="1:28" s="208" customFormat="1" ht="12.75" customHeight="1" x14ac:dyDescent="0.35">
      <c r="A67" s="1006" t="s">
        <v>185</v>
      </c>
      <c r="B67" s="998"/>
      <c r="C67" s="612">
        <v>1</v>
      </c>
      <c r="D67" s="614">
        <v>2</v>
      </c>
      <c r="E67" s="614">
        <v>3</v>
      </c>
      <c r="F67" s="614">
        <v>4</v>
      </c>
      <c r="G67" s="248" t="s">
        <v>339</v>
      </c>
      <c r="H67" s="612">
        <v>1</v>
      </c>
      <c r="I67" s="614">
        <v>2</v>
      </c>
      <c r="J67" s="614">
        <v>3</v>
      </c>
      <c r="K67" s="614">
        <v>4</v>
      </c>
      <c r="L67" s="614">
        <v>5</v>
      </c>
      <c r="M67" s="614">
        <v>6</v>
      </c>
      <c r="N67" s="248" t="s">
        <v>339</v>
      </c>
      <c r="O67" s="917"/>
      <c r="P67" s="751" t="s">
        <v>1042</v>
      </c>
      <c r="Q67" s="248"/>
      <c r="R67" s="752" t="s">
        <v>1041</v>
      </c>
      <c r="S67" s="248"/>
      <c r="T67" s="249"/>
    </row>
    <row r="68" spans="1:28" s="208" customFormat="1" ht="12.75" customHeight="1" x14ac:dyDescent="0.35">
      <c r="A68" s="1895">
        <f>A168</f>
        <v>3.5500000000000003</v>
      </c>
      <c r="B68" s="999" t="str">
        <f>IF(studie!AC292="","",studie!AC292)</f>
        <v>A1n</v>
      </c>
      <c r="C68" s="615">
        <f>IF($B68="","",VLOOKUP($B68,studie!$B$38:$Y$127,5,FALSE))</f>
        <v>62</v>
      </c>
      <c r="D68" s="616">
        <f>IF($B68="","",VLOOKUP($B68,studie!$B$38:$Y$127,6,FALSE))</f>
        <v>0</v>
      </c>
      <c r="E68" s="616">
        <f>IF($B68="","",VLOOKUP($B68,studie!$B$38:$Y$127,7,FALSE))</f>
        <v>0</v>
      </c>
      <c r="F68" s="616">
        <f>IF($B68="","",VLOOKUP($B68,studie!$B$38:$Y$127,8,FALSE))</f>
        <v>0</v>
      </c>
      <c r="G68" s="617">
        <f>IF($B68="","",VLOOKUP($B68,studie!$B$38:$Y$127,9,FALSE))</f>
        <v>62</v>
      </c>
      <c r="H68" s="615">
        <f>IF($B68="","",IF(VLOOKUP($B68,studie!$B$38:$Y$127,10,FALSE)="","",VLOOKUP($B68,studie!$B$38:$Y$127,10,FALSE)))</f>
        <v>104</v>
      </c>
      <c r="I68" s="616" t="str">
        <f>IF($B68="","",IF(VLOOKUP($B68,studie!$B$38:$Y$127,11,FALSE)="","",VLOOKUP($B68,studie!$B$38:$Y$127,11,FALSE)))</f>
        <v/>
      </c>
      <c r="J68" s="616" t="str">
        <f>IF($B68="","",IF(VLOOKUP($B68,studie!$B$38:$Y$127,12,FALSE)="","",VLOOKUP($B68,studie!$B$38:$Y$127,12,FALSE)))</f>
        <v/>
      </c>
      <c r="K68" s="616" t="str">
        <f>IF($B68="","",IF(VLOOKUP($B68,studie!$B$38:$Y$127,13,FALSE)="","",VLOOKUP($B68,studie!$B$38:$Y$127,13,FALSE)))</f>
        <v/>
      </c>
      <c r="L68" s="616" t="str">
        <f>IF($B68="","",IF(VLOOKUP($B68,studie!$B$38:$Y$127,14,FALSE)="","",VLOOKUP($B68,studie!$B$38:$Y$127,14,FALSE)))</f>
        <v/>
      </c>
      <c r="M68" s="616" t="str">
        <f>IF($B68="","",IF(VLOOKUP($B68,studie!$B$38:$Y$127,15,FALSE)="","",VLOOKUP($B68,studie!$B$38:$Y$127,15,FALSE)))</f>
        <v/>
      </c>
      <c r="N68" s="617">
        <f>IF($B68="","",IF(VLOOKUP($B68,studie!$B$38:$Y$127,16,FALSE)="","",VLOOKUP($B68,studie!$B$38:$Y$127,16,FALSE)))</f>
        <v>104</v>
      </c>
      <c r="O68" s="1019"/>
      <c r="P68" s="1037"/>
      <c r="Q68" s="1017"/>
      <c r="R68" s="615">
        <f>studie!AH292</f>
        <v>-0.52925121632846595</v>
      </c>
      <c r="S68" s="617"/>
      <c r="T68" s="1044"/>
    </row>
    <row r="69" spans="1:28" s="208" customFormat="1" ht="12.75" customHeight="1" x14ac:dyDescent="0.35">
      <c r="A69" s="1896"/>
      <c r="B69" s="1000" t="str">
        <f>IF(studie!AC293="","",studie!AC293)</f>
        <v>A2n</v>
      </c>
      <c r="C69" s="615">
        <f>IF($B69="","",VLOOKUP($B69,studie!$B$38:$Y$127,5,FALSE))</f>
        <v>61</v>
      </c>
      <c r="D69" s="616">
        <f>IF($B69="","",VLOOKUP($B69,studie!$B$38:$Y$127,6,FALSE))</f>
        <v>0</v>
      </c>
      <c r="E69" s="616">
        <f>IF($B69="","",VLOOKUP($B69,studie!$B$38:$Y$127,7,FALSE))</f>
        <v>0</v>
      </c>
      <c r="F69" s="616">
        <f>IF($B69="","",VLOOKUP($B69,studie!$B$38:$Y$127,8,FALSE))</f>
        <v>0</v>
      </c>
      <c r="G69" s="617">
        <f>IF($B69="","",VLOOKUP($B69,studie!$B$38:$Y$127,9,FALSE))</f>
        <v>61</v>
      </c>
      <c r="H69" s="615">
        <f>IF($B69="","",IF(VLOOKUP($B69,studie!$B$38:$Y$127,10,FALSE)="","",VLOOKUP($B69,studie!$B$38:$Y$127,10,FALSE)))</f>
        <v>105</v>
      </c>
      <c r="I69" s="616" t="str">
        <f>IF($B69="","",IF(VLOOKUP($B69,studie!$B$38:$Y$127,11,FALSE)="","",VLOOKUP($B69,studie!$B$38:$Y$127,11,FALSE)))</f>
        <v/>
      </c>
      <c r="J69" s="616" t="str">
        <f>IF($B69="","",IF(VLOOKUP($B69,studie!$B$38:$Y$127,12,FALSE)="","",VLOOKUP($B69,studie!$B$38:$Y$127,12,FALSE)))</f>
        <v/>
      </c>
      <c r="K69" s="616" t="str">
        <f>IF($B69="","",IF(VLOOKUP($B69,studie!$B$38:$Y$127,13,FALSE)="","",VLOOKUP($B69,studie!$B$38:$Y$127,13,FALSE)))</f>
        <v/>
      </c>
      <c r="L69" s="616" t="str">
        <f>IF($B69="","",IF(VLOOKUP($B69,studie!$B$38:$Y$127,14,FALSE)="","",VLOOKUP($B69,studie!$B$38:$Y$127,14,FALSE)))</f>
        <v/>
      </c>
      <c r="M69" s="616" t="str">
        <f>IF($B69="","",IF(VLOOKUP($B69,studie!$B$38:$Y$127,15,FALSE)="","",VLOOKUP($B69,studie!$B$38:$Y$127,15,FALSE)))</f>
        <v/>
      </c>
      <c r="N69" s="617">
        <f>IF($B69="","",IF(VLOOKUP($B69,studie!$B$38:$Y$127,16,FALSE)="","",VLOOKUP($B69,studie!$B$38:$Y$127,16,FALSE)))</f>
        <v>105</v>
      </c>
      <c r="O69" s="1019"/>
      <c r="P69" s="251"/>
      <c r="Q69" s="1035"/>
      <c r="R69" s="620">
        <f>studie!AH293</f>
        <v>-0.43908801153532356</v>
      </c>
      <c r="S69" s="618"/>
      <c r="T69" s="1045"/>
    </row>
    <row r="70" spans="1:28" s="208" customFormat="1" ht="12.75" customHeight="1" x14ac:dyDescent="0.35">
      <c r="A70" s="1896"/>
      <c r="B70" s="1000" t="str">
        <f>IF(studie!AC294="","",studie!AC294)</f>
        <v>A3n</v>
      </c>
      <c r="C70" s="615">
        <f>IF($B70="","",VLOOKUP($B70,studie!$B$38:$Y$127,5,FALSE))</f>
        <v>60</v>
      </c>
      <c r="D70" s="616">
        <f>IF($B70="","",VLOOKUP($B70,studie!$B$38:$Y$127,6,FALSE))</f>
        <v>0</v>
      </c>
      <c r="E70" s="616">
        <f>IF($B70="","",VLOOKUP($B70,studie!$B$38:$Y$127,7,FALSE))</f>
        <v>0</v>
      </c>
      <c r="F70" s="616">
        <f>IF($B70="","",VLOOKUP($B70,studie!$B$38:$Y$127,8,FALSE))</f>
        <v>0</v>
      </c>
      <c r="G70" s="617">
        <f>IF($B70="","",VLOOKUP($B70,studie!$B$38:$Y$127,9,FALSE))</f>
        <v>60</v>
      </c>
      <c r="H70" s="615">
        <f>IF($B70="","",IF(VLOOKUP($B70,studie!$B$38:$Y$127,10,FALSE)="","",VLOOKUP($B70,studie!$B$38:$Y$127,10,FALSE)))</f>
        <v>106</v>
      </c>
      <c r="I70" s="616" t="str">
        <f>IF($B70="","",IF(VLOOKUP($B70,studie!$B$38:$Y$127,11,FALSE)="","",VLOOKUP($B70,studie!$B$38:$Y$127,11,FALSE)))</f>
        <v/>
      </c>
      <c r="J70" s="616" t="str">
        <f>IF($B70="","",IF(VLOOKUP($B70,studie!$B$38:$Y$127,12,FALSE)="","",VLOOKUP($B70,studie!$B$38:$Y$127,12,FALSE)))</f>
        <v/>
      </c>
      <c r="K70" s="616" t="str">
        <f>IF($B70="","",IF(VLOOKUP($B70,studie!$B$38:$Y$127,13,FALSE)="","",VLOOKUP($B70,studie!$B$38:$Y$127,13,FALSE)))</f>
        <v/>
      </c>
      <c r="L70" s="616" t="str">
        <f>IF($B70="","",IF(VLOOKUP($B70,studie!$B$38:$Y$127,14,FALSE)="","",VLOOKUP($B70,studie!$B$38:$Y$127,14,FALSE)))</f>
        <v/>
      </c>
      <c r="M70" s="616" t="str">
        <f>IF($B70="","",IF(VLOOKUP($B70,studie!$B$38:$Y$127,15,FALSE)="","",VLOOKUP($B70,studie!$B$38:$Y$127,15,FALSE)))</f>
        <v/>
      </c>
      <c r="N70" s="617">
        <f>IF($B70="","",IF(VLOOKUP($B70,studie!$B$38:$Y$127,16,FALSE)="","",VLOOKUP($B70,studie!$B$38:$Y$127,16,FALSE)))</f>
        <v>106</v>
      </c>
      <c r="O70" s="1019"/>
      <c r="P70" s="251"/>
      <c r="Q70" s="1035"/>
      <c r="R70" s="620">
        <f>studie!AH294</f>
        <v>0.47597018270960267</v>
      </c>
      <c r="S70" s="618"/>
      <c r="T70" s="1045"/>
    </row>
    <row r="71" spans="1:28" s="208" customFormat="1" ht="12.75" customHeight="1" x14ac:dyDescent="0.35">
      <c r="A71" s="1896"/>
      <c r="B71" s="1010" t="str">
        <f>IF(studie!AC295="","",studie!AC295)</f>
        <v/>
      </c>
      <c r="C71" s="1011" t="str">
        <f>IF($B71="","",VLOOKUP($B71,studie!$B$38:$Y$127,5,FALSE))</f>
        <v/>
      </c>
      <c r="D71" s="1012" t="str">
        <f>IF($B71="","",VLOOKUP($B71,studie!$B$38:$Y$127,6,FALSE))</f>
        <v/>
      </c>
      <c r="E71" s="1012" t="str">
        <f>IF($B71="","",VLOOKUP($B71,studie!$B$38:$Y$127,7,FALSE))</f>
        <v/>
      </c>
      <c r="F71" s="1012" t="str">
        <f>IF($B71="","",VLOOKUP($B71,studie!$B$38:$Y$127,8,FALSE))</f>
        <v/>
      </c>
      <c r="G71" s="1013" t="str">
        <f>IF($B71="","",VLOOKUP($B71,studie!$B$38:$Y$127,9,FALSE))</f>
        <v/>
      </c>
      <c r="H71" s="1011" t="str">
        <f>IF($B71="","",IF(VLOOKUP($B71,studie!$B$38:$Y$127,10,FALSE)="","",VLOOKUP($B71,studie!$B$38:$Y$127,10,FALSE)))</f>
        <v/>
      </c>
      <c r="I71" s="1012" t="str">
        <f>IF($B71="","",IF(VLOOKUP($B71,studie!$B$38:$Y$127,11,FALSE)="","",VLOOKUP($B71,studie!$B$38:$Y$127,11,FALSE)))</f>
        <v/>
      </c>
      <c r="J71" s="1012" t="str">
        <f>IF($B71="","",IF(VLOOKUP($B71,studie!$B$38:$Y$127,12,FALSE)="","",VLOOKUP($B71,studie!$B$38:$Y$127,12,FALSE)))</f>
        <v/>
      </c>
      <c r="K71" s="1012" t="str">
        <f>IF($B71="","",IF(VLOOKUP($B71,studie!$B$38:$Y$127,13,FALSE)="","",VLOOKUP($B71,studie!$B$38:$Y$127,13,FALSE)))</f>
        <v/>
      </c>
      <c r="L71" s="1012" t="str">
        <f>IF($B71="","",IF(VLOOKUP($B71,studie!$B$38:$Y$127,14,FALSE)="","",VLOOKUP($B71,studie!$B$38:$Y$127,14,FALSE)))</f>
        <v/>
      </c>
      <c r="M71" s="1012" t="str">
        <f>IF($B71="","",IF(VLOOKUP($B71,studie!$B$38:$Y$127,15,FALSE)="","",VLOOKUP($B71,studie!$B$38:$Y$127,15,FALSE)))</f>
        <v/>
      </c>
      <c r="N71" s="1013" t="str">
        <f>IF($B71="","",IF(VLOOKUP($B71,studie!$B$38:$Y$127,16,FALSE)="","",VLOOKUP($B71,studie!$B$38:$Y$127,16,FALSE)))</f>
        <v/>
      </c>
      <c r="O71" s="1019"/>
      <c r="P71" s="1039"/>
      <c r="Q71" s="1040"/>
      <c r="R71" s="1046" t="str">
        <f>studie!AH295</f>
        <v/>
      </c>
      <c r="S71" s="1047"/>
      <c r="T71" s="1048"/>
    </row>
    <row r="72" spans="1:28" s="208" customFormat="1" ht="12.75" customHeight="1" x14ac:dyDescent="0.35">
      <c r="A72" s="1896"/>
      <c r="B72" s="1020"/>
      <c r="C72" s="1021"/>
      <c r="D72" s="1022"/>
      <c r="E72" s="1022"/>
      <c r="F72" s="1022"/>
      <c r="G72" s="1023">
        <f>IF(SUM(G68:G71)=0,"",AVERAGE(G68:G71))</f>
        <v>61</v>
      </c>
      <c r="H72" s="1032"/>
      <c r="I72" s="1022"/>
      <c r="J72" s="1022"/>
      <c r="K72" s="1022"/>
      <c r="L72" s="1022"/>
      <c r="M72" s="1022"/>
      <c r="N72" s="1024">
        <f t="shared" ref="N72" si="14">IF(SUM(N68:N71)=0,"",AVERAGE(N68:N71))</f>
        <v>105</v>
      </c>
      <c r="O72" s="1019"/>
      <c r="P72" s="1042">
        <f>studie!V297</f>
        <v>1.6666666666666643</v>
      </c>
      <c r="Q72" s="1023"/>
      <c r="R72" s="1032"/>
      <c r="S72" s="1023"/>
      <c r="T72" s="1024"/>
    </row>
    <row r="73" spans="1:28" s="208" customFormat="1" ht="12.75" customHeight="1" x14ac:dyDescent="0.35">
      <c r="A73" s="1895">
        <f>A173</f>
        <v>3.85</v>
      </c>
      <c r="B73" s="1001" t="str">
        <f>IF(studie!AC298="","",studie!AC298)</f>
        <v>B1''</v>
      </c>
      <c r="C73" s="623">
        <f>IF($B73="","",VLOOKUP($B73,studie!$B$38:$Y$127,5,FALSE))</f>
        <v>72</v>
      </c>
      <c r="D73" s="622">
        <f>IF($B73="","",VLOOKUP($B73,studie!$B$38:$Y$127,6,FALSE))</f>
        <v>0</v>
      </c>
      <c r="E73" s="622">
        <f>IF($B73="","",VLOOKUP($B73,studie!$B$38:$Y$127,7,FALSE))</f>
        <v>0</v>
      </c>
      <c r="F73" s="622">
        <f>IF($B73="","",VLOOKUP($B73,studie!$B$38:$Y$127,8,FALSE))</f>
        <v>0</v>
      </c>
      <c r="G73" s="621">
        <f>IF($B73="","",VLOOKUP($B73,studie!$B$38:$Y$127,9,FALSE))</f>
        <v>72</v>
      </c>
      <c r="H73" s="623">
        <f>IF($B73="","",IF(VLOOKUP($B73,studie!$B$38:$Y$127,10,FALSE)="","",VLOOKUP($B73,studie!$B$38:$Y$127,10,FALSE)))</f>
        <v>101.4</v>
      </c>
      <c r="I73" s="622" t="str">
        <f>IF($B73="","",IF(VLOOKUP($B73,studie!$B$38:$Y$127,11,FALSE)="","",VLOOKUP($B73,studie!$B$38:$Y$127,11,FALSE)))</f>
        <v/>
      </c>
      <c r="J73" s="622" t="str">
        <f>IF($B73="","",IF(VLOOKUP($B73,studie!$B$38:$Y$127,12,FALSE)="","",VLOOKUP($B73,studie!$B$38:$Y$127,12,FALSE)))</f>
        <v/>
      </c>
      <c r="K73" s="622" t="str">
        <f>IF($B73="","",IF(VLOOKUP($B73,studie!$B$38:$Y$127,13,FALSE)="","",VLOOKUP($B73,studie!$B$38:$Y$127,13,FALSE)))</f>
        <v/>
      </c>
      <c r="L73" s="622" t="str">
        <f>IF($B73="","",IF(VLOOKUP($B73,studie!$B$38:$Y$127,14,FALSE)="","",VLOOKUP($B73,studie!$B$38:$Y$127,14,FALSE)))</f>
        <v/>
      </c>
      <c r="M73" s="622" t="str">
        <f>IF($B73="","",IF(VLOOKUP($B73,studie!$B$38:$Y$127,15,FALSE)="","",VLOOKUP($B73,studie!$B$38:$Y$127,15,FALSE)))</f>
        <v/>
      </c>
      <c r="N73" s="621">
        <f>IF($B73="","",IF(VLOOKUP($B73,studie!$B$38:$Y$127,16,FALSE)="","",VLOOKUP($B73,studie!$B$38:$Y$127,16,FALSE)))</f>
        <v>101.4</v>
      </c>
      <c r="O73" s="1019"/>
      <c r="P73" s="1041"/>
      <c r="Q73" s="1017"/>
      <c r="R73" s="615">
        <f>studie!AH298</f>
        <v>2.4525920480412653</v>
      </c>
      <c r="S73" s="617"/>
      <c r="T73" s="1044"/>
    </row>
    <row r="74" spans="1:28" s="208" customFormat="1" ht="12.75" customHeight="1" x14ac:dyDescent="0.35">
      <c r="A74" s="1896"/>
      <c r="B74" s="1000" t="str">
        <f>IF(studie!AC299="","",studie!AC299)</f>
        <v>B2''</v>
      </c>
      <c r="C74" s="615">
        <f>IF($B74="","",VLOOKUP($B74,studie!$B$38:$Y$127,5,FALSE))</f>
        <v>71</v>
      </c>
      <c r="D74" s="616">
        <f>IF($B74="","",VLOOKUP($B74,studie!$B$38:$Y$127,6,FALSE))</f>
        <v>0</v>
      </c>
      <c r="E74" s="616">
        <f>IF($B74="","",VLOOKUP($B74,studie!$B$38:$Y$127,7,FALSE))</f>
        <v>0</v>
      </c>
      <c r="F74" s="616">
        <f>IF($B74="","",VLOOKUP($B74,studie!$B$38:$Y$127,8,FALSE))</f>
        <v>0</v>
      </c>
      <c r="G74" s="617">
        <f>IF($B74="","",VLOOKUP($B74,studie!$B$38:$Y$127,9,FALSE))</f>
        <v>71</v>
      </c>
      <c r="H74" s="615">
        <f>IF($B74="","",IF(VLOOKUP($B74,studie!$B$38:$Y$127,10,FALSE)="","",VLOOKUP($B74,studie!$B$38:$Y$127,10,FALSE)))</f>
        <v>101.5</v>
      </c>
      <c r="I74" s="616" t="str">
        <f>IF($B74="","",IF(VLOOKUP($B74,studie!$B$38:$Y$127,11,FALSE)="","",VLOOKUP($B74,studie!$B$38:$Y$127,11,FALSE)))</f>
        <v/>
      </c>
      <c r="J74" s="616" t="str">
        <f>IF($B74="","",IF(VLOOKUP($B74,studie!$B$38:$Y$127,12,FALSE)="","",VLOOKUP($B74,studie!$B$38:$Y$127,12,FALSE)))</f>
        <v/>
      </c>
      <c r="K74" s="616" t="str">
        <f>IF($B74="","",IF(VLOOKUP($B74,studie!$B$38:$Y$127,13,FALSE)="","",VLOOKUP($B74,studie!$B$38:$Y$127,13,FALSE)))</f>
        <v/>
      </c>
      <c r="L74" s="616" t="str">
        <f>IF($B74="","",IF(VLOOKUP($B74,studie!$B$38:$Y$127,14,FALSE)="","",VLOOKUP($B74,studie!$B$38:$Y$127,14,FALSE)))</f>
        <v/>
      </c>
      <c r="M74" s="616" t="str">
        <f>IF($B74="","",IF(VLOOKUP($B74,studie!$B$38:$Y$127,15,FALSE)="","",VLOOKUP($B74,studie!$B$38:$Y$127,15,FALSE)))</f>
        <v/>
      </c>
      <c r="N74" s="617">
        <f>IF($B74="","",IF(VLOOKUP($B74,studie!$B$38:$Y$127,16,FALSE)="","",VLOOKUP($B74,studie!$B$38:$Y$127,16,FALSE)))</f>
        <v>101.5</v>
      </c>
      <c r="O74" s="1019"/>
      <c r="P74" s="1036"/>
      <c r="Q74" s="1035"/>
      <c r="R74" s="620">
        <f>studie!AH299</f>
        <v>2.4942346097559449</v>
      </c>
      <c r="S74" s="618"/>
      <c r="T74" s="1045"/>
    </row>
    <row r="75" spans="1:28" s="208" customFormat="1" ht="12.75" customHeight="1" x14ac:dyDescent="0.35">
      <c r="A75" s="1896"/>
      <c r="B75" s="1000" t="str">
        <f>IF(studie!AC300="","",studie!AC300)</f>
        <v>B3''</v>
      </c>
      <c r="C75" s="615">
        <f>IF($B75="","",VLOOKUP($B75,studie!$B$38:$Y$127,5,FALSE))</f>
        <v>70</v>
      </c>
      <c r="D75" s="616">
        <f>IF($B75="","",VLOOKUP($B75,studie!$B$38:$Y$127,6,FALSE))</f>
        <v>0</v>
      </c>
      <c r="E75" s="616">
        <f>IF($B75="","",VLOOKUP($B75,studie!$B$38:$Y$127,7,FALSE))</f>
        <v>0</v>
      </c>
      <c r="F75" s="616">
        <f>IF($B75="","",VLOOKUP($B75,studie!$B$38:$Y$127,8,FALSE))</f>
        <v>0</v>
      </c>
      <c r="G75" s="617">
        <f>IF($B75="","",VLOOKUP($B75,studie!$B$38:$Y$127,9,FALSE))</f>
        <v>70</v>
      </c>
      <c r="H75" s="615">
        <f>IF($B75="","",IF(VLOOKUP($B75,studie!$B$38:$Y$127,10,FALSE)="","",VLOOKUP($B75,studie!$B$38:$Y$127,10,FALSE)))</f>
        <v>101.6</v>
      </c>
      <c r="I75" s="616" t="str">
        <f>IF($B75="","",IF(VLOOKUP($B75,studie!$B$38:$Y$127,11,FALSE)="","",VLOOKUP($B75,studie!$B$38:$Y$127,11,FALSE)))</f>
        <v/>
      </c>
      <c r="J75" s="616" t="str">
        <f>IF($B75="","",IF(VLOOKUP($B75,studie!$B$38:$Y$127,12,FALSE)="","",VLOOKUP($B75,studie!$B$38:$Y$127,12,FALSE)))</f>
        <v/>
      </c>
      <c r="K75" s="616" t="str">
        <f>IF($B75="","",IF(VLOOKUP($B75,studie!$B$38:$Y$127,13,FALSE)="","",VLOOKUP($B75,studie!$B$38:$Y$127,13,FALSE)))</f>
        <v/>
      </c>
      <c r="L75" s="616" t="str">
        <f>IF($B75="","",IF(VLOOKUP($B75,studie!$B$38:$Y$127,14,FALSE)="","",VLOOKUP($B75,studie!$B$38:$Y$127,14,FALSE)))</f>
        <v/>
      </c>
      <c r="M75" s="616" t="str">
        <f>IF($B75="","",IF(VLOOKUP($B75,studie!$B$38:$Y$127,15,FALSE)="","",VLOOKUP($B75,studie!$B$38:$Y$127,15,FALSE)))</f>
        <v/>
      </c>
      <c r="N75" s="617">
        <f>IF($B75="","",IF(VLOOKUP($B75,studie!$B$38:$Y$127,16,FALSE)="","",VLOOKUP($B75,studie!$B$38:$Y$127,16,FALSE)))</f>
        <v>101.6</v>
      </c>
      <c r="O75" s="1019"/>
      <c r="P75" s="1036"/>
      <c r="Q75" s="1035"/>
      <c r="R75" s="620">
        <f>studie!AH300</f>
        <v>-5.7412054606711695</v>
      </c>
      <c r="S75" s="618"/>
      <c r="T75" s="1045"/>
    </row>
    <row r="76" spans="1:28" s="208" customFormat="1" ht="12.75" customHeight="1" x14ac:dyDescent="0.35">
      <c r="A76" s="1896"/>
      <c r="B76" s="1002" t="str">
        <f>IF(studie!AC301="","",studie!AC301)</f>
        <v>B4''</v>
      </c>
      <c r="C76" s="1014">
        <f>IF($B76="","",VLOOKUP($B76,studie!$B$38:$Y$127,5,FALSE))</f>
        <v>69</v>
      </c>
      <c r="D76" s="1015">
        <f>IF($B76="","",VLOOKUP($B76,studie!$B$38:$Y$127,6,FALSE))</f>
        <v>0</v>
      </c>
      <c r="E76" s="1015">
        <f>IF($B76="","",VLOOKUP($B76,studie!$B$38:$Y$127,7,FALSE))</f>
        <v>0</v>
      </c>
      <c r="F76" s="1015">
        <f>IF($B76="","",VLOOKUP($B76,studie!$B$38:$Y$127,8,FALSE))</f>
        <v>0</v>
      </c>
      <c r="G76" s="1016">
        <f>IF($B76="","",VLOOKUP($B76,studie!$B$38:$Y$127,9,FALSE))</f>
        <v>69</v>
      </c>
      <c r="H76" s="1014">
        <f>IF($B76="","",IF(VLOOKUP($B76,studie!$B$38:$Y$127,10,FALSE)="","",VLOOKUP($B76,studie!$B$38:$Y$127,10,FALSE)))</f>
        <v>101.7</v>
      </c>
      <c r="I76" s="1015" t="str">
        <f>IF($B76="","",IF(VLOOKUP($B76,studie!$B$38:$Y$127,11,FALSE)="","",VLOOKUP($B76,studie!$B$38:$Y$127,11,FALSE)))</f>
        <v/>
      </c>
      <c r="J76" s="1015" t="str">
        <f>IF($B76="","",IF(VLOOKUP($B76,studie!$B$38:$Y$127,12,FALSE)="","",VLOOKUP($B76,studie!$B$38:$Y$127,12,FALSE)))</f>
        <v/>
      </c>
      <c r="K76" s="1015" t="str">
        <f>IF($B76="","",IF(VLOOKUP($B76,studie!$B$38:$Y$127,13,FALSE)="","",VLOOKUP($B76,studie!$B$38:$Y$127,13,FALSE)))</f>
        <v/>
      </c>
      <c r="L76" s="1015" t="str">
        <f>IF($B76="","",IF(VLOOKUP($B76,studie!$B$38:$Y$127,14,FALSE)="","",VLOOKUP($B76,studie!$B$38:$Y$127,14,FALSE)))</f>
        <v/>
      </c>
      <c r="M76" s="1015" t="str">
        <f>IF($B76="","",IF(VLOOKUP($B76,studie!$B$38:$Y$127,15,FALSE)="","",VLOOKUP($B76,studie!$B$38:$Y$127,15,FALSE)))</f>
        <v/>
      </c>
      <c r="N76" s="1016">
        <f>IF($B76="","",IF(VLOOKUP($B76,studie!$B$38:$Y$127,16,FALSE)="","",VLOOKUP($B76,studie!$B$38:$Y$127,16,FALSE)))</f>
        <v>101.7</v>
      </c>
      <c r="O76" s="1019"/>
      <c r="P76" s="1039"/>
      <c r="Q76" s="1040"/>
      <c r="R76" s="1046">
        <f>studie!AH301</f>
        <v>-5.8331047090928552</v>
      </c>
      <c r="S76" s="1047"/>
      <c r="T76" s="1048"/>
    </row>
    <row r="77" spans="1:28" s="208" customFormat="1" ht="12.75" customHeight="1" x14ac:dyDescent="0.35">
      <c r="A77" s="1897"/>
      <c r="B77" s="1025"/>
      <c r="C77" s="1021"/>
      <c r="D77" s="1022"/>
      <c r="E77" s="1022"/>
      <c r="F77" s="1022"/>
      <c r="G77" s="1023">
        <f>IF(SUM(G73:G76)=0,"",AVERAGE(G73:G76))</f>
        <v>70.5</v>
      </c>
      <c r="H77" s="1032"/>
      <c r="I77" s="1022"/>
      <c r="J77" s="1022"/>
      <c r="K77" s="1022"/>
      <c r="L77" s="1022"/>
      <c r="M77" s="1022"/>
      <c r="N77" s="1024">
        <f t="shared" ref="N77" si="15">IF(SUM(N73:N76)=0,"",AVERAGE(N73:N76))</f>
        <v>101.55</v>
      </c>
      <c r="O77" s="1019"/>
      <c r="P77" s="1042">
        <f>studie!V303</f>
        <v>2.6666666666666714</v>
      </c>
      <c r="Q77" s="1023"/>
      <c r="R77" s="1032"/>
      <c r="S77" s="1023"/>
      <c r="T77" s="1024"/>
    </row>
    <row r="78" spans="1:28" s="208" customFormat="1" ht="12.75" customHeight="1" x14ac:dyDescent="0.35">
      <c r="A78" s="1896">
        <f>A178</f>
        <v>4.1500000000000004</v>
      </c>
      <c r="B78" s="999" t="str">
        <f>IF(studie!AC304="","",studie!AC304)</f>
        <v>C1n</v>
      </c>
      <c r="C78" s="615">
        <f>IF($B78="","",VLOOKUP($B78,studie!$B$38:$Y$127,5,FALSE))</f>
        <v>82</v>
      </c>
      <c r="D78" s="616">
        <f>IF($B78="","",VLOOKUP($B78,studie!$B$38:$Y$127,6,FALSE))</f>
        <v>0</v>
      </c>
      <c r="E78" s="616">
        <f>IF($B78="","",VLOOKUP($B78,studie!$B$38:$Y$127,7,FALSE))</f>
        <v>0</v>
      </c>
      <c r="F78" s="616">
        <f>IF($B78="","",VLOOKUP($B78,studie!$B$38:$Y$127,8,FALSE))</f>
        <v>0</v>
      </c>
      <c r="G78" s="617">
        <f>IF($B78="","",VLOOKUP($B78,studie!$B$38:$Y$127,9,FALSE))</f>
        <v>82</v>
      </c>
      <c r="H78" s="615">
        <f>IF($B78="","",IF(VLOOKUP($B78,studie!$B$38:$Y$127,10,FALSE)="","",VLOOKUP($B78,studie!$B$38:$Y$127,10,FALSE)))</f>
        <v>102.4</v>
      </c>
      <c r="I78" s="616" t="str">
        <f>IF($B78="","",IF(VLOOKUP($B78,studie!$B$38:$Y$127,11,FALSE)="","",VLOOKUP($B78,studie!$B$38:$Y$127,11,FALSE)))</f>
        <v/>
      </c>
      <c r="J78" s="616" t="str">
        <f>IF($B78="","",IF(VLOOKUP($B78,studie!$B$38:$Y$127,12,FALSE)="","",VLOOKUP($B78,studie!$B$38:$Y$127,12,FALSE)))</f>
        <v/>
      </c>
      <c r="K78" s="616" t="str">
        <f>IF($B78="","",IF(VLOOKUP($B78,studie!$B$38:$Y$127,13,FALSE)="","",VLOOKUP($B78,studie!$B$38:$Y$127,13,FALSE)))</f>
        <v/>
      </c>
      <c r="L78" s="616" t="str">
        <f>IF($B78="","",IF(VLOOKUP($B78,studie!$B$38:$Y$127,14,FALSE)="","",VLOOKUP($B78,studie!$B$38:$Y$127,14,FALSE)))</f>
        <v/>
      </c>
      <c r="M78" s="616" t="str">
        <f>IF($B78="","",IF(VLOOKUP($B78,studie!$B$38:$Y$127,15,FALSE)="","",VLOOKUP($B78,studie!$B$38:$Y$127,15,FALSE)))</f>
        <v/>
      </c>
      <c r="N78" s="617">
        <f>IF($B78="","",IF(VLOOKUP($B78,studie!$B$38:$Y$127,16,FALSE)="","",VLOOKUP($B78,studie!$B$38:$Y$127,16,FALSE)))</f>
        <v>102.4</v>
      </c>
      <c r="O78" s="1019"/>
      <c r="P78" s="1041"/>
      <c r="Q78" s="1017"/>
      <c r="R78" s="615">
        <f>studie!AH304</f>
        <v>2.1007793471115628</v>
      </c>
      <c r="S78" s="617"/>
      <c r="T78" s="1044"/>
    </row>
    <row r="79" spans="1:28" s="208" customFormat="1" ht="12.75" customHeight="1" x14ac:dyDescent="0.35">
      <c r="A79" s="1896"/>
      <c r="B79" s="1000" t="str">
        <f>IF(studie!AC305="","",studie!AC305)</f>
        <v>C2n</v>
      </c>
      <c r="C79" s="615">
        <f>IF($B79="","",VLOOKUP($B79,studie!$B$38:$Y$127,5,FALSE))</f>
        <v>81</v>
      </c>
      <c r="D79" s="616">
        <f>IF($B79="","",VLOOKUP($B79,studie!$B$38:$Y$127,6,FALSE))</f>
        <v>0</v>
      </c>
      <c r="E79" s="616">
        <f>IF($B79="","",VLOOKUP($B79,studie!$B$38:$Y$127,7,FALSE))</f>
        <v>0</v>
      </c>
      <c r="F79" s="616">
        <f>IF($B79="","",VLOOKUP($B79,studie!$B$38:$Y$127,8,FALSE))</f>
        <v>0</v>
      </c>
      <c r="G79" s="617">
        <f>IF($B79="","",VLOOKUP($B79,studie!$B$38:$Y$127,9,FALSE))</f>
        <v>81</v>
      </c>
      <c r="H79" s="615">
        <f>IF($B79="","",IF(VLOOKUP($B79,studie!$B$38:$Y$127,10,FALSE)="","",VLOOKUP($B79,studie!$B$38:$Y$127,10,FALSE)))</f>
        <v>102.5</v>
      </c>
      <c r="I79" s="616" t="str">
        <f>IF($B79="","",IF(VLOOKUP($B79,studie!$B$38:$Y$127,11,FALSE)="","",VLOOKUP($B79,studie!$B$38:$Y$127,11,FALSE)))</f>
        <v/>
      </c>
      <c r="J79" s="616" t="str">
        <f>IF($B79="","",IF(VLOOKUP($B79,studie!$B$38:$Y$127,12,FALSE)="","",VLOOKUP($B79,studie!$B$38:$Y$127,12,FALSE)))</f>
        <v/>
      </c>
      <c r="K79" s="616" t="str">
        <f>IF($B79="","",IF(VLOOKUP($B79,studie!$B$38:$Y$127,13,FALSE)="","",VLOOKUP($B79,studie!$B$38:$Y$127,13,FALSE)))</f>
        <v/>
      </c>
      <c r="L79" s="616" t="str">
        <f>IF($B79="","",IF(VLOOKUP($B79,studie!$B$38:$Y$127,14,FALSE)="","",VLOOKUP($B79,studie!$B$38:$Y$127,14,FALSE)))</f>
        <v/>
      </c>
      <c r="M79" s="616" t="str">
        <f>IF($B79="","",IF(VLOOKUP($B79,studie!$B$38:$Y$127,15,FALSE)="","",VLOOKUP($B79,studie!$B$38:$Y$127,15,FALSE)))</f>
        <v/>
      </c>
      <c r="N79" s="617">
        <f>IF($B79="","",IF(VLOOKUP($B79,studie!$B$38:$Y$127,16,FALSE)="","",VLOOKUP($B79,studie!$B$38:$Y$127,16,FALSE)))</f>
        <v>102.5</v>
      </c>
      <c r="O79" s="1019"/>
      <c r="P79" s="1036"/>
      <c r="Q79" s="1035"/>
      <c r="R79" s="620">
        <f>studie!AH305</f>
        <v>2.1326901285375466</v>
      </c>
      <c r="S79" s="618"/>
      <c r="T79" s="1045"/>
    </row>
    <row r="80" spans="1:28" s="208" customFormat="1" ht="12.75" customHeight="1" x14ac:dyDescent="0.35">
      <c r="A80" s="1896"/>
      <c r="B80" s="1000" t="str">
        <f>IF(studie!AC306="","",studie!AC306)</f>
        <v>C3n</v>
      </c>
      <c r="C80" s="615">
        <f>IF($B80="","",VLOOKUP($B80,studie!$B$38:$Y$127,5,FALSE))</f>
        <v>80</v>
      </c>
      <c r="D80" s="616">
        <f>IF($B80="","",VLOOKUP($B80,studie!$B$38:$Y$127,6,FALSE))</f>
        <v>0</v>
      </c>
      <c r="E80" s="616">
        <f>IF($B80="","",VLOOKUP($B80,studie!$B$38:$Y$127,7,FALSE))</f>
        <v>0</v>
      </c>
      <c r="F80" s="616">
        <f>IF($B80="","",VLOOKUP($B80,studie!$B$38:$Y$127,8,FALSE))</f>
        <v>0</v>
      </c>
      <c r="G80" s="617">
        <f>IF($B80="","",VLOOKUP($B80,studie!$B$38:$Y$127,9,FALSE))</f>
        <v>80</v>
      </c>
      <c r="H80" s="615">
        <f>IF($B80="","",IF(VLOOKUP($B80,studie!$B$38:$Y$127,10,FALSE)="","",VLOOKUP($B80,studie!$B$38:$Y$127,10,FALSE)))</f>
        <v>102.6</v>
      </c>
      <c r="I80" s="616" t="str">
        <f>IF($B80="","",IF(VLOOKUP($B80,studie!$B$38:$Y$127,11,FALSE)="","",VLOOKUP($B80,studie!$B$38:$Y$127,11,FALSE)))</f>
        <v/>
      </c>
      <c r="J80" s="616" t="str">
        <f>IF($B80="","",IF(VLOOKUP($B80,studie!$B$38:$Y$127,12,FALSE)="","",VLOOKUP($B80,studie!$B$38:$Y$127,12,FALSE)))</f>
        <v/>
      </c>
      <c r="K80" s="616" t="str">
        <f>IF($B80="","",IF(VLOOKUP($B80,studie!$B$38:$Y$127,13,FALSE)="","",VLOOKUP($B80,studie!$B$38:$Y$127,13,FALSE)))</f>
        <v/>
      </c>
      <c r="L80" s="616" t="str">
        <f>IF($B80="","",IF(VLOOKUP($B80,studie!$B$38:$Y$127,14,FALSE)="","",VLOOKUP($B80,studie!$B$38:$Y$127,14,FALSE)))</f>
        <v/>
      </c>
      <c r="M80" s="616" t="str">
        <f>IF($B80="","",IF(VLOOKUP($B80,studie!$B$38:$Y$127,15,FALSE)="","",VLOOKUP($B80,studie!$B$38:$Y$127,15,FALSE)))</f>
        <v/>
      </c>
      <c r="N80" s="617">
        <f>IF($B80="","",IF(VLOOKUP($B80,studie!$B$38:$Y$127,16,FALSE)="","",VLOOKUP($B80,studie!$B$38:$Y$127,16,FALSE)))</f>
        <v>102.6</v>
      </c>
      <c r="O80" s="1019"/>
      <c r="P80" s="1036"/>
      <c r="Q80" s="1035"/>
      <c r="R80" s="620">
        <f>studie!AH306</f>
        <v>-4.9582775089485791</v>
      </c>
      <c r="S80" s="618"/>
      <c r="T80" s="1045"/>
    </row>
    <row r="81" spans="1:28" s="208" customFormat="1" ht="12.75" customHeight="1" x14ac:dyDescent="0.35">
      <c r="A81" s="1896"/>
      <c r="B81" s="1010" t="str">
        <f>IF(studie!AC307="","",studie!AC307)</f>
        <v>C4n</v>
      </c>
      <c r="C81" s="1011">
        <f>IF($B81="","",VLOOKUP($B81,studie!$B$38:$Y$127,5,FALSE))</f>
        <v>79</v>
      </c>
      <c r="D81" s="1012">
        <f>IF($B81="","",VLOOKUP($B81,studie!$B$38:$Y$127,6,FALSE))</f>
        <v>0</v>
      </c>
      <c r="E81" s="1012">
        <f>IF($B81="","",VLOOKUP($B81,studie!$B$38:$Y$127,7,FALSE))</f>
        <v>0</v>
      </c>
      <c r="F81" s="1012">
        <f>IF($B81="","",VLOOKUP($B81,studie!$B$38:$Y$127,8,FALSE))</f>
        <v>0</v>
      </c>
      <c r="G81" s="1013">
        <f>IF($B81="","",VLOOKUP($B81,studie!$B$38:$Y$127,9,FALSE))</f>
        <v>79</v>
      </c>
      <c r="H81" s="1011">
        <f>IF($B81="","",IF(VLOOKUP($B81,studie!$B$38:$Y$127,10,FALSE)="","",VLOOKUP($B81,studie!$B$38:$Y$127,10,FALSE)))</f>
        <v>102.7</v>
      </c>
      <c r="I81" s="1012" t="str">
        <f>IF($B81="","",IF(VLOOKUP($B81,studie!$B$38:$Y$127,11,FALSE)="","",VLOOKUP($B81,studie!$B$38:$Y$127,11,FALSE)))</f>
        <v/>
      </c>
      <c r="J81" s="1012" t="str">
        <f>IF($B81="","",IF(VLOOKUP($B81,studie!$B$38:$Y$127,12,FALSE)="","",VLOOKUP($B81,studie!$B$38:$Y$127,12,FALSE)))</f>
        <v/>
      </c>
      <c r="K81" s="1012" t="str">
        <f>IF($B81="","",IF(VLOOKUP($B81,studie!$B$38:$Y$127,13,FALSE)="","",VLOOKUP($B81,studie!$B$38:$Y$127,13,FALSE)))</f>
        <v/>
      </c>
      <c r="L81" s="1012" t="str">
        <f>IF($B81="","",IF(VLOOKUP($B81,studie!$B$38:$Y$127,14,FALSE)="","",VLOOKUP($B81,studie!$B$38:$Y$127,14,FALSE)))</f>
        <v/>
      </c>
      <c r="M81" s="1012" t="str">
        <f>IF($B81="","",IF(VLOOKUP($B81,studie!$B$38:$Y$127,15,FALSE)="","",VLOOKUP($B81,studie!$B$38:$Y$127,15,FALSE)))</f>
        <v/>
      </c>
      <c r="N81" s="1013">
        <f>IF($B81="","",IF(VLOOKUP($B81,studie!$B$38:$Y$127,16,FALSE)="","",VLOOKUP($B81,studie!$B$38:$Y$127,16,FALSE)))</f>
        <v>102.7</v>
      </c>
      <c r="O81" s="1019"/>
      <c r="P81" s="1039"/>
      <c r="Q81" s="1040"/>
      <c r="R81" s="1046">
        <f>studie!AH307</f>
        <v>-5.0298987916749232</v>
      </c>
      <c r="S81" s="1047"/>
      <c r="T81" s="1048"/>
    </row>
    <row r="82" spans="1:28" s="208" customFormat="1" ht="12.75" customHeight="1" thickBot="1" x14ac:dyDescent="0.4">
      <c r="A82" s="1898"/>
      <c r="B82" s="1034"/>
      <c r="C82" s="1027"/>
      <c r="D82" s="1028"/>
      <c r="E82" s="1028"/>
      <c r="F82" s="1028"/>
      <c r="G82" s="1029">
        <f>IF(SUM(G78:G81)=0,"",AVERAGE(G78:G81))</f>
        <v>80.5</v>
      </c>
      <c r="H82" s="1033"/>
      <c r="I82" s="1028"/>
      <c r="J82" s="1028"/>
      <c r="K82" s="1028"/>
      <c r="L82" s="1028"/>
      <c r="M82" s="1028"/>
      <c r="N82" s="1030">
        <f t="shared" ref="N82" si="16">IF(SUM(N78:N81)=0,"",AVERAGE(N78:N81))</f>
        <v>102.55</v>
      </c>
      <c r="O82" s="1018"/>
      <c r="P82" s="1043">
        <f>studie!V309</f>
        <v>2.6666666666666714</v>
      </c>
      <c r="Q82" s="1029"/>
      <c r="R82" s="1033"/>
      <c r="S82" s="1029"/>
      <c r="T82" s="1030"/>
    </row>
    <row r="83" spans="1:28" s="208" customFormat="1" ht="12.75" customHeight="1" x14ac:dyDescent="0.35">
      <c r="A83" s="1399"/>
      <c r="B83" s="1399"/>
      <c r="C83" s="1013"/>
      <c r="D83" s="1013"/>
      <c r="E83" s="1013"/>
      <c r="F83" s="1013"/>
      <c r="G83" s="1013"/>
      <c r="H83" s="1018"/>
      <c r="I83" s="1013"/>
      <c r="J83" s="1013"/>
      <c r="K83" s="1013"/>
      <c r="L83" s="1013"/>
      <c r="M83" s="1013"/>
      <c r="N83" s="1013"/>
      <c r="O83" s="1018"/>
      <c r="P83" s="1013"/>
      <c r="Q83" s="1013"/>
      <c r="R83" s="1018"/>
      <c r="S83" s="1013"/>
      <c r="T83" s="1013"/>
    </row>
    <row r="84" spans="1:28" s="208" customFormat="1" ht="12.75" customHeight="1" thickBot="1" x14ac:dyDescent="0.4">
      <c r="A84" s="779" t="s">
        <v>1149</v>
      </c>
    </row>
    <row r="85" spans="1:28" s="208" customFormat="1" ht="12.75" customHeight="1" x14ac:dyDescent="0.3">
      <c r="A85" s="1004" t="s">
        <v>829</v>
      </c>
      <c r="B85" s="996" t="s">
        <v>831</v>
      </c>
      <c r="C85" s="610" t="s">
        <v>374</v>
      </c>
      <c r="D85" s="245"/>
      <c r="E85" s="245"/>
      <c r="F85" s="245"/>
      <c r="G85" s="245"/>
      <c r="H85" s="610" t="s">
        <v>930</v>
      </c>
      <c r="I85" s="245"/>
      <c r="J85" s="245"/>
      <c r="K85" s="245"/>
      <c r="L85" s="245"/>
      <c r="M85" s="245"/>
      <c r="N85" s="245"/>
      <c r="O85" s="917"/>
      <c r="P85" s="852"/>
      <c r="Q85" s="852"/>
      <c r="R85" s="852"/>
      <c r="S85" s="852"/>
      <c r="T85" s="852"/>
      <c r="V85" s="1"/>
      <c r="W85" s="1"/>
      <c r="X85" s="1"/>
      <c r="Y85" s="1"/>
      <c r="Z85" s="1"/>
      <c r="AA85" s="1"/>
      <c r="AB85" s="1"/>
    </row>
    <row r="86" spans="1:28" s="208" customFormat="1" ht="12.75" customHeight="1" x14ac:dyDescent="0.35">
      <c r="A86" s="1005" t="s">
        <v>830</v>
      </c>
      <c r="B86" s="997" t="s">
        <v>338</v>
      </c>
      <c r="C86" s="866"/>
      <c r="D86" s="738"/>
      <c r="E86" s="738"/>
      <c r="F86" s="738"/>
      <c r="G86" s="861"/>
      <c r="H86" s="866"/>
      <c r="I86" s="415"/>
      <c r="J86" s="415"/>
      <c r="K86" s="415"/>
      <c r="L86" s="415"/>
      <c r="M86" s="415"/>
      <c r="N86" s="415"/>
      <c r="O86" s="917"/>
      <c r="P86" s="852"/>
      <c r="Q86" s="852"/>
      <c r="R86" s="852"/>
      <c r="S86" s="852"/>
      <c r="T86" s="852"/>
    </row>
    <row r="87" spans="1:28" s="208" customFormat="1" ht="12.75" customHeight="1" x14ac:dyDescent="0.35">
      <c r="A87" s="1006" t="s">
        <v>185</v>
      </c>
      <c r="B87" s="998"/>
      <c r="C87" s="612">
        <v>1</v>
      </c>
      <c r="D87" s="614">
        <v>2</v>
      </c>
      <c r="E87" s="614">
        <v>3</v>
      </c>
      <c r="F87" s="614">
        <v>4</v>
      </c>
      <c r="G87" s="248" t="s">
        <v>339</v>
      </c>
      <c r="H87" s="612">
        <v>1</v>
      </c>
      <c r="I87" s="614">
        <v>2</v>
      </c>
      <c r="J87" s="614">
        <v>3</v>
      </c>
      <c r="K87" s="614">
        <v>4</v>
      </c>
      <c r="L87" s="614">
        <v>5</v>
      </c>
      <c r="M87" s="614">
        <v>6</v>
      </c>
      <c r="N87" s="248" t="s">
        <v>339</v>
      </c>
      <c r="O87" s="917"/>
      <c r="P87" s="1731"/>
      <c r="Q87" s="852"/>
      <c r="R87" s="1731"/>
      <c r="S87" s="852"/>
      <c r="T87" s="852"/>
    </row>
    <row r="88" spans="1:28" s="208" customFormat="1" ht="12.75" customHeight="1" x14ac:dyDescent="0.35">
      <c r="A88" s="1895">
        <f>A168</f>
        <v>3.5500000000000003</v>
      </c>
      <c r="B88" s="999" t="str">
        <f>IF(studie!AK292="","",studie!AK292)</f>
        <v>A1nw</v>
      </c>
      <c r="C88" s="615">
        <f>IF($B88="","",VLOOKUP($B88,studie!$B$38:$Y$127,5,FALSE))</f>
        <v>64</v>
      </c>
      <c r="D88" s="616">
        <f>IF($B88="","",VLOOKUP($B88,studie!$B$38:$Y$127,6,FALSE))</f>
        <v>0</v>
      </c>
      <c r="E88" s="616">
        <f>IF($B88="","",VLOOKUP($B88,studie!$B$38:$Y$127,7,FALSE))</f>
        <v>0</v>
      </c>
      <c r="F88" s="616">
        <f>IF($B88="","",VLOOKUP($B88,studie!$B$38:$Y$127,8,FALSE))</f>
        <v>0</v>
      </c>
      <c r="G88" s="617">
        <f>IF($B88="","",VLOOKUP($B88,studie!$B$38:$Y$127,9,FALSE))</f>
        <v>64</v>
      </c>
      <c r="H88" s="615">
        <f>IF($B88="","",IF(VLOOKUP($B88,studie!$B$38:$Y$127,10,FALSE)="","",VLOOKUP($B88,studie!$B$38:$Y$127,10,FALSE)))</f>
        <v>102</v>
      </c>
      <c r="I88" s="616" t="str">
        <f>IF($B88="","",IF(VLOOKUP($B88,studie!$B$38:$Y$127,11,FALSE)="","",VLOOKUP($B88,studie!$B$38:$Y$127,11,FALSE)))</f>
        <v/>
      </c>
      <c r="J88" s="616" t="str">
        <f>IF($B88="","",IF(VLOOKUP($B88,studie!$B$38:$Y$127,12,FALSE)="","",VLOOKUP($B88,studie!$B$38:$Y$127,12,FALSE)))</f>
        <v/>
      </c>
      <c r="K88" s="616" t="str">
        <f>IF($B88="","",IF(VLOOKUP($B88,studie!$B$38:$Y$127,13,FALSE)="","",VLOOKUP($B88,studie!$B$38:$Y$127,13,FALSE)))</f>
        <v/>
      </c>
      <c r="L88" s="616" t="str">
        <f>IF($B88="","",IF(VLOOKUP($B88,studie!$B$38:$Y$127,14,FALSE)="","",VLOOKUP($B88,studie!$B$38:$Y$127,14,FALSE)))</f>
        <v/>
      </c>
      <c r="M88" s="616" t="str">
        <f>IF($B88="","",IF(VLOOKUP($B88,studie!$B$38:$Y$127,15,FALSE)="","",VLOOKUP($B88,studie!$B$38:$Y$127,15,FALSE)))</f>
        <v/>
      </c>
      <c r="N88" s="617">
        <f>IF($B88="","",IF(VLOOKUP($B88,studie!$B$38:$Y$127,16,FALSE)="","",VLOOKUP($B88,studie!$B$38:$Y$127,16,FALSE)))</f>
        <v>102</v>
      </c>
      <c r="O88" s="1019"/>
      <c r="P88" s="1730"/>
      <c r="Q88" s="1018"/>
      <c r="R88" s="1013"/>
      <c r="S88" s="1013"/>
      <c r="T88" s="1013"/>
    </row>
    <row r="89" spans="1:28" s="208" customFormat="1" ht="12.75" customHeight="1" x14ac:dyDescent="0.35">
      <c r="A89" s="1896"/>
      <c r="B89" s="1000" t="str">
        <f>IF(studie!AK293="","",studie!AK293)</f>
        <v>A2nw</v>
      </c>
      <c r="C89" s="615">
        <f>IF($B89="","",VLOOKUP($B89,studie!$B$38:$Y$127,5,FALSE))</f>
        <v>63</v>
      </c>
      <c r="D89" s="616">
        <f>IF($B89="","",VLOOKUP($B89,studie!$B$38:$Y$127,6,FALSE))</f>
        <v>0</v>
      </c>
      <c r="E89" s="616">
        <f>IF($B89="","",VLOOKUP($B89,studie!$B$38:$Y$127,7,FALSE))</f>
        <v>0</v>
      </c>
      <c r="F89" s="616">
        <f>IF($B89="","",VLOOKUP($B89,studie!$B$38:$Y$127,8,FALSE))</f>
        <v>0</v>
      </c>
      <c r="G89" s="617">
        <f>IF($B89="","",VLOOKUP($B89,studie!$B$38:$Y$127,9,FALSE))</f>
        <v>63</v>
      </c>
      <c r="H89" s="615">
        <f>IF($B89="","",IF(VLOOKUP($B89,studie!$B$38:$Y$127,10,FALSE)="","",VLOOKUP($B89,studie!$B$38:$Y$127,10,FALSE)))</f>
        <v>103</v>
      </c>
      <c r="I89" s="616" t="str">
        <f>IF($B89="","",IF(VLOOKUP($B89,studie!$B$38:$Y$127,11,FALSE)="","",VLOOKUP($B89,studie!$B$38:$Y$127,11,FALSE)))</f>
        <v/>
      </c>
      <c r="J89" s="616" t="str">
        <f>IF($B89="","",IF(VLOOKUP($B89,studie!$B$38:$Y$127,12,FALSE)="","",VLOOKUP($B89,studie!$B$38:$Y$127,12,FALSE)))</f>
        <v/>
      </c>
      <c r="K89" s="616" t="str">
        <f>IF($B89="","",IF(VLOOKUP($B89,studie!$B$38:$Y$127,13,FALSE)="","",VLOOKUP($B89,studie!$B$38:$Y$127,13,FALSE)))</f>
        <v/>
      </c>
      <c r="L89" s="616" t="str">
        <f>IF($B89="","",IF(VLOOKUP($B89,studie!$B$38:$Y$127,14,FALSE)="","",VLOOKUP($B89,studie!$B$38:$Y$127,14,FALSE)))</f>
        <v/>
      </c>
      <c r="M89" s="616" t="str">
        <f>IF($B89="","",IF(VLOOKUP($B89,studie!$B$38:$Y$127,15,FALSE)="","",VLOOKUP($B89,studie!$B$38:$Y$127,15,FALSE)))</f>
        <v/>
      </c>
      <c r="N89" s="617">
        <f>IF($B89="","",IF(VLOOKUP($B89,studie!$B$38:$Y$127,16,FALSE)="","",VLOOKUP($B89,studie!$B$38:$Y$127,16,FALSE)))</f>
        <v>103</v>
      </c>
      <c r="O89" s="1019"/>
      <c r="Q89" s="1018"/>
      <c r="R89" s="1013"/>
      <c r="S89" s="1013"/>
      <c r="T89" s="1013"/>
    </row>
    <row r="90" spans="1:28" s="208" customFormat="1" ht="12.75" customHeight="1" x14ac:dyDescent="0.35">
      <c r="A90" s="1896"/>
      <c r="B90" s="1000" t="str">
        <f>IF(studie!AK294="","",studie!AK294)</f>
        <v>A3nw</v>
      </c>
      <c r="C90" s="615">
        <f>IF($B90="","",VLOOKUP($B90,studie!$B$38:$Y$127,5,FALSE))</f>
        <v>62</v>
      </c>
      <c r="D90" s="616">
        <f>IF($B90="","",VLOOKUP($B90,studie!$B$38:$Y$127,6,FALSE))</f>
        <v>0</v>
      </c>
      <c r="E90" s="616">
        <f>IF($B90="","",VLOOKUP($B90,studie!$B$38:$Y$127,7,FALSE))</f>
        <v>0</v>
      </c>
      <c r="F90" s="616">
        <f>IF($B90="","",VLOOKUP($B90,studie!$B$38:$Y$127,8,FALSE))</f>
        <v>0</v>
      </c>
      <c r="G90" s="617">
        <f>IF($B90="","",VLOOKUP($B90,studie!$B$38:$Y$127,9,FALSE))</f>
        <v>62</v>
      </c>
      <c r="H90" s="615">
        <f>IF($B90="","",IF(VLOOKUP($B90,studie!$B$38:$Y$127,10,FALSE)="","",VLOOKUP($B90,studie!$B$38:$Y$127,10,FALSE)))</f>
        <v>104</v>
      </c>
      <c r="I90" s="616" t="str">
        <f>IF($B90="","",IF(VLOOKUP($B90,studie!$B$38:$Y$127,11,FALSE)="","",VLOOKUP($B90,studie!$B$38:$Y$127,11,FALSE)))</f>
        <v/>
      </c>
      <c r="J90" s="616" t="str">
        <f>IF($B90="","",IF(VLOOKUP($B90,studie!$B$38:$Y$127,12,FALSE)="","",VLOOKUP($B90,studie!$B$38:$Y$127,12,FALSE)))</f>
        <v/>
      </c>
      <c r="K90" s="616" t="str">
        <f>IF($B90="","",IF(VLOOKUP($B90,studie!$B$38:$Y$127,13,FALSE)="","",VLOOKUP($B90,studie!$B$38:$Y$127,13,FALSE)))</f>
        <v/>
      </c>
      <c r="L90" s="616" t="str">
        <f>IF($B90="","",IF(VLOOKUP($B90,studie!$B$38:$Y$127,14,FALSE)="","",VLOOKUP($B90,studie!$B$38:$Y$127,14,FALSE)))</f>
        <v/>
      </c>
      <c r="M90" s="616" t="str">
        <f>IF($B90="","",IF(VLOOKUP($B90,studie!$B$38:$Y$127,15,FALSE)="","",VLOOKUP($B90,studie!$B$38:$Y$127,15,FALSE)))</f>
        <v/>
      </c>
      <c r="N90" s="617">
        <f>IF($B90="","",IF(VLOOKUP($B90,studie!$B$38:$Y$127,16,FALSE)="","",VLOOKUP($B90,studie!$B$38:$Y$127,16,FALSE)))</f>
        <v>104</v>
      </c>
      <c r="O90" s="1019"/>
      <c r="Q90" s="1018"/>
      <c r="R90" s="1013"/>
      <c r="S90" s="1013"/>
      <c r="T90" s="1013"/>
    </row>
    <row r="91" spans="1:28" s="208" customFormat="1" ht="12.75" customHeight="1" x14ac:dyDescent="0.35">
      <c r="A91" s="1896"/>
      <c r="B91" s="1010" t="str">
        <f>IF(studie!AK295="","",studie!AK295)</f>
        <v/>
      </c>
      <c r="C91" s="1011" t="str">
        <f>IF($B91="","",VLOOKUP($B91,studie!$B$38:$Y$127,5,FALSE))</f>
        <v/>
      </c>
      <c r="D91" s="1012" t="str">
        <f>IF($B91="","",VLOOKUP($B91,studie!$B$38:$Y$127,6,FALSE))</f>
        <v/>
      </c>
      <c r="E91" s="1012" t="str">
        <f>IF($B91="","",VLOOKUP($B91,studie!$B$38:$Y$127,7,FALSE))</f>
        <v/>
      </c>
      <c r="F91" s="1012" t="str">
        <f>IF($B91="","",VLOOKUP($B91,studie!$B$38:$Y$127,8,FALSE))</f>
        <v/>
      </c>
      <c r="G91" s="1013" t="str">
        <f>IF($B91="","",VLOOKUP($B91,studie!$B$38:$Y$127,9,FALSE))</f>
        <v/>
      </c>
      <c r="H91" s="1011" t="str">
        <f>IF($B91="","",IF(VLOOKUP($B91,studie!$B$38:$Y$127,10,FALSE)="","",VLOOKUP($B91,studie!$B$38:$Y$127,10,FALSE)))</f>
        <v/>
      </c>
      <c r="I91" s="1012" t="str">
        <f>IF($B91="","",IF(VLOOKUP($B91,studie!$B$38:$Y$127,11,FALSE)="","",VLOOKUP($B91,studie!$B$38:$Y$127,11,FALSE)))</f>
        <v/>
      </c>
      <c r="J91" s="1012" t="str">
        <f>IF($B91="","",IF(VLOOKUP($B91,studie!$B$38:$Y$127,12,FALSE)="","",VLOOKUP($B91,studie!$B$38:$Y$127,12,FALSE)))</f>
        <v/>
      </c>
      <c r="K91" s="1012" t="str">
        <f>IF($B91="","",IF(VLOOKUP($B91,studie!$B$38:$Y$127,13,FALSE)="","",VLOOKUP($B91,studie!$B$38:$Y$127,13,FALSE)))</f>
        <v/>
      </c>
      <c r="L91" s="1012" t="str">
        <f>IF($B91="","",IF(VLOOKUP($B91,studie!$B$38:$Y$127,14,FALSE)="","",VLOOKUP($B91,studie!$B$38:$Y$127,14,FALSE)))</f>
        <v/>
      </c>
      <c r="M91" s="1012" t="str">
        <f>IF($B91="","",IF(VLOOKUP($B91,studie!$B$38:$Y$127,15,FALSE)="","",VLOOKUP($B91,studie!$B$38:$Y$127,15,FALSE)))</f>
        <v/>
      </c>
      <c r="N91" s="1013" t="str">
        <f>IF($B91="","",IF(VLOOKUP($B91,studie!$B$38:$Y$127,16,FALSE)="","",VLOOKUP($B91,studie!$B$38:$Y$127,16,FALSE)))</f>
        <v/>
      </c>
      <c r="O91" s="1019"/>
      <c r="P91" s="1018"/>
      <c r="Q91" s="1018"/>
      <c r="R91" s="1013"/>
      <c r="S91" s="1013"/>
      <c r="T91" s="1013"/>
    </row>
    <row r="92" spans="1:28" s="208" customFormat="1" ht="12.75" customHeight="1" x14ac:dyDescent="0.35">
      <c r="A92" s="1896"/>
      <c r="B92" s="1020"/>
      <c r="C92" s="1021"/>
      <c r="D92" s="1022"/>
      <c r="E92" s="1022"/>
      <c r="F92" s="1022"/>
      <c r="G92" s="1023">
        <f>IF(SUM(G88:G91)=0,"",AVERAGE(G88:G91))</f>
        <v>63</v>
      </c>
      <c r="H92" s="1032"/>
      <c r="I92" s="1022"/>
      <c r="J92" s="1022"/>
      <c r="K92" s="1022"/>
      <c r="L92" s="1022"/>
      <c r="M92" s="1022"/>
      <c r="N92" s="1024">
        <f t="shared" ref="N92" si="17">IF(SUM(N88:N91)=0,"",AVERAGE(N88:N91))</f>
        <v>103</v>
      </c>
      <c r="O92" s="1019"/>
      <c r="P92" s="1013"/>
      <c r="Q92" s="1013"/>
      <c r="R92" s="1018"/>
      <c r="S92" s="1013"/>
      <c r="T92" s="1013"/>
    </row>
    <row r="93" spans="1:28" s="208" customFormat="1" ht="12.75" customHeight="1" x14ac:dyDescent="0.35">
      <c r="A93" s="1895">
        <f>A173</f>
        <v>3.85</v>
      </c>
      <c r="B93" s="1001" t="str">
        <f>IF(studie!AK298="","",studie!AK298)</f>
        <v>B1'''</v>
      </c>
      <c r="C93" s="623">
        <f>IF($B93="","",VLOOKUP($B93,studie!$B$38:$Y$127,5,FALSE))</f>
        <v>74</v>
      </c>
      <c r="D93" s="622">
        <f>IF($B93="","",VLOOKUP($B93,studie!$B$38:$Y$127,6,FALSE))</f>
        <v>0</v>
      </c>
      <c r="E93" s="622">
        <f>IF($B93="","",VLOOKUP($B93,studie!$B$38:$Y$127,7,FALSE))</f>
        <v>0</v>
      </c>
      <c r="F93" s="622">
        <f>IF($B93="","",VLOOKUP($B93,studie!$B$38:$Y$127,8,FALSE))</f>
        <v>0</v>
      </c>
      <c r="G93" s="621">
        <f>IF($B93="","",VLOOKUP($B93,studie!$B$38:$Y$127,9,FALSE))</f>
        <v>74</v>
      </c>
      <c r="H93" s="623">
        <f>IF($B93="","",IF(VLOOKUP($B93,studie!$B$38:$Y$127,10,FALSE)="","",VLOOKUP($B93,studie!$B$38:$Y$127,10,FALSE)))</f>
        <v>101.2</v>
      </c>
      <c r="I93" s="622" t="str">
        <f>IF($B93="","",IF(VLOOKUP($B93,studie!$B$38:$Y$127,11,FALSE)="","",VLOOKUP($B93,studie!$B$38:$Y$127,11,FALSE)))</f>
        <v/>
      </c>
      <c r="J93" s="622" t="str">
        <f>IF($B93="","",IF(VLOOKUP($B93,studie!$B$38:$Y$127,12,FALSE)="","",VLOOKUP($B93,studie!$B$38:$Y$127,12,FALSE)))</f>
        <v/>
      </c>
      <c r="K93" s="622" t="str">
        <f>IF($B93="","",IF(VLOOKUP($B93,studie!$B$38:$Y$127,13,FALSE)="","",VLOOKUP($B93,studie!$B$38:$Y$127,13,FALSE)))</f>
        <v/>
      </c>
      <c r="L93" s="622" t="str">
        <f>IF($B93="","",IF(VLOOKUP($B93,studie!$B$38:$Y$127,14,FALSE)="","",VLOOKUP($B93,studie!$B$38:$Y$127,14,FALSE)))</f>
        <v/>
      </c>
      <c r="M93" s="622" t="str">
        <f>IF($B93="","",IF(VLOOKUP($B93,studie!$B$38:$Y$127,15,FALSE)="","",VLOOKUP($B93,studie!$B$38:$Y$127,15,FALSE)))</f>
        <v/>
      </c>
      <c r="N93" s="621">
        <f>IF($B93="","",IF(VLOOKUP($B93,studie!$B$38:$Y$127,16,FALSE)="","",VLOOKUP($B93,studie!$B$38:$Y$127,16,FALSE)))</f>
        <v>101.2</v>
      </c>
      <c r="O93" s="1019"/>
      <c r="P93" s="1018"/>
      <c r="Q93" s="1018"/>
      <c r="R93" s="1013"/>
      <c r="S93" s="1013"/>
      <c r="T93" s="1013"/>
    </row>
    <row r="94" spans="1:28" s="208" customFormat="1" ht="12.75" customHeight="1" x14ac:dyDescent="0.35">
      <c r="A94" s="1896"/>
      <c r="B94" s="1000" t="str">
        <f>IF(studie!AK299="","",studie!AK299)</f>
        <v>B2'''</v>
      </c>
      <c r="C94" s="615">
        <f>IF($B94="","",VLOOKUP($B94,studie!$B$38:$Y$127,5,FALSE))</f>
        <v>73</v>
      </c>
      <c r="D94" s="616">
        <f>IF($B94="","",VLOOKUP($B94,studie!$B$38:$Y$127,6,FALSE))</f>
        <v>0</v>
      </c>
      <c r="E94" s="616">
        <f>IF($B94="","",VLOOKUP($B94,studie!$B$38:$Y$127,7,FALSE))</f>
        <v>0</v>
      </c>
      <c r="F94" s="616">
        <f>IF($B94="","",VLOOKUP($B94,studie!$B$38:$Y$127,8,FALSE))</f>
        <v>0</v>
      </c>
      <c r="G94" s="617">
        <f>IF($B94="","",VLOOKUP($B94,studie!$B$38:$Y$127,9,FALSE))</f>
        <v>73</v>
      </c>
      <c r="H94" s="615">
        <f>IF($B94="","",IF(VLOOKUP($B94,studie!$B$38:$Y$127,10,FALSE)="","",VLOOKUP($B94,studie!$B$38:$Y$127,10,FALSE)))</f>
        <v>101.3</v>
      </c>
      <c r="I94" s="616" t="str">
        <f>IF($B94="","",IF(VLOOKUP($B94,studie!$B$38:$Y$127,11,FALSE)="","",VLOOKUP($B94,studie!$B$38:$Y$127,11,FALSE)))</f>
        <v/>
      </c>
      <c r="J94" s="616" t="str">
        <f>IF($B94="","",IF(VLOOKUP($B94,studie!$B$38:$Y$127,12,FALSE)="","",VLOOKUP($B94,studie!$B$38:$Y$127,12,FALSE)))</f>
        <v/>
      </c>
      <c r="K94" s="616" t="str">
        <f>IF($B94="","",IF(VLOOKUP($B94,studie!$B$38:$Y$127,13,FALSE)="","",VLOOKUP($B94,studie!$B$38:$Y$127,13,FALSE)))</f>
        <v/>
      </c>
      <c r="L94" s="616" t="str">
        <f>IF($B94="","",IF(VLOOKUP($B94,studie!$B$38:$Y$127,14,FALSE)="","",VLOOKUP($B94,studie!$B$38:$Y$127,14,FALSE)))</f>
        <v/>
      </c>
      <c r="M94" s="616" t="str">
        <f>IF($B94="","",IF(VLOOKUP($B94,studie!$B$38:$Y$127,15,FALSE)="","",VLOOKUP($B94,studie!$B$38:$Y$127,15,FALSE)))</f>
        <v/>
      </c>
      <c r="N94" s="617">
        <f>IF($B94="","",IF(VLOOKUP($B94,studie!$B$38:$Y$127,16,FALSE)="","",VLOOKUP($B94,studie!$B$38:$Y$127,16,FALSE)))</f>
        <v>101.3</v>
      </c>
      <c r="O94" s="1019"/>
      <c r="P94" s="1018"/>
      <c r="Q94" s="1018"/>
      <c r="R94" s="1013"/>
      <c r="S94" s="1013"/>
      <c r="T94" s="1013"/>
    </row>
    <row r="95" spans="1:28" s="208" customFormat="1" ht="12.75" customHeight="1" x14ac:dyDescent="0.35">
      <c r="A95" s="1896"/>
      <c r="B95" s="1000" t="str">
        <f>IF(studie!AK300="","",studie!AK300)</f>
        <v>B3'''</v>
      </c>
      <c r="C95" s="615">
        <f>IF($B95="","",VLOOKUP($B95,studie!$B$38:$Y$127,5,FALSE))</f>
        <v>72</v>
      </c>
      <c r="D95" s="616">
        <f>IF($B95="","",VLOOKUP($B95,studie!$B$38:$Y$127,6,FALSE))</f>
        <v>0</v>
      </c>
      <c r="E95" s="616">
        <f>IF($B95="","",VLOOKUP($B95,studie!$B$38:$Y$127,7,FALSE))</f>
        <v>0</v>
      </c>
      <c r="F95" s="616">
        <f>IF($B95="","",VLOOKUP($B95,studie!$B$38:$Y$127,8,FALSE))</f>
        <v>0</v>
      </c>
      <c r="G95" s="617">
        <f>IF($B95="","",VLOOKUP($B95,studie!$B$38:$Y$127,9,FALSE))</f>
        <v>72</v>
      </c>
      <c r="H95" s="615">
        <f>IF($B95="","",IF(VLOOKUP($B95,studie!$B$38:$Y$127,10,FALSE)="","",VLOOKUP($B95,studie!$B$38:$Y$127,10,FALSE)))</f>
        <v>101.4</v>
      </c>
      <c r="I95" s="616" t="str">
        <f>IF($B95="","",IF(VLOOKUP($B95,studie!$B$38:$Y$127,11,FALSE)="","",VLOOKUP($B95,studie!$B$38:$Y$127,11,FALSE)))</f>
        <v/>
      </c>
      <c r="J95" s="616" t="str">
        <f>IF($B95="","",IF(VLOOKUP($B95,studie!$B$38:$Y$127,12,FALSE)="","",VLOOKUP($B95,studie!$B$38:$Y$127,12,FALSE)))</f>
        <v/>
      </c>
      <c r="K95" s="616" t="str">
        <f>IF($B95="","",IF(VLOOKUP($B95,studie!$B$38:$Y$127,13,FALSE)="","",VLOOKUP($B95,studie!$B$38:$Y$127,13,FALSE)))</f>
        <v/>
      </c>
      <c r="L95" s="616" t="str">
        <f>IF($B95="","",IF(VLOOKUP($B95,studie!$B$38:$Y$127,14,FALSE)="","",VLOOKUP($B95,studie!$B$38:$Y$127,14,FALSE)))</f>
        <v/>
      </c>
      <c r="M95" s="616" t="str">
        <f>IF($B95="","",IF(VLOOKUP($B95,studie!$B$38:$Y$127,15,FALSE)="","",VLOOKUP($B95,studie!$B$38:$Y$127,15,FALSE)))</f>
        <v/>
      </c>
      <c r="N95" s="617">
        <f>IF($B95="","",IF(VLOOKUP($B95,studie!$B$38:$Y$127,16,FALSE)="","",VLOOKUP($B95,studie!$B$38:$Y$127,16,FALSE)))</f>
        <v>101.4</v>
      </c>
      <c r="O95" s="1019"/>
      <c r="P95" s="1018"/>
      <c r="Q95" s="1018"/>
      <c r="R95" s="1013"/>
      <c r="S95" s="1013"/>
      <c r="T95" s="1013"/>
    </row>
    <row r="96" spans="1:28" s="208" customFormat="1" ht="12.75" customHeight="1" x14ac:dyDescent="0.35">
      <c r="A96" s="1896"/>
      <c r="B96" s="1002" t="str">
        <f>IF(studie!AK301="","",studie!AK301)</f>
        <v>B4'''</v>
      </c>
      <c r="C96" s="1014">
        <f>IF($B96="","",VLOOKUP($B96,studie!$B$38:$Y$127,5,FALSE))</f>
        <v>75</v>
      </c>
      <c r="D96" s="1015">
        <f>IF($B96="","",VLOOKUP($B96,studie!$B$38:$Y$127,6,FALSE))</f>
        <v>0</v>
      </c>
      <c r="E96" s="1015">
        <f>IF($B96="","",VLOOKUP($B96,studie!$B$38:$Y$127,7,FALSE))</f>
        <v>0</v>
      </c>
      <c r="F96" s="1015">
        <f>IF($B96="","",VLOOKUP($B96,studie!$B$38:$Y$127,8,FALSE))</f>
        <v>0</v>
      </c>
      <c r="G96" s="1016">
        <f>IF($B96="","",VLOOKUP($B96,studie!$B$38:$Y$127,9,FALSE))</f>
        <v>75</v>
      </c>
      <c r="H96" s="1014">
        <f>IF($B96="","",IF(VLOOKUP($B96,studie!$B$38:$Y$127,10,FALSE)="","",VLOOKUP($B96,studie!$B$38:$Y$127,10,FALSE)))</f>
        <v>101.1</v>
      </c>
      <c r="I96" s="1015" t="str">
        <f>IF($B96="","",IF(VLOOKUP($B96,studie!$B$38:$Y$127,11,FALSE)="","",VLOOKUP($B96,studie!$B$38:$Y$127,11,FALSE)))</f>
        <v/>
      </c>
      <c r="J96" s="1015" t="str">
        <f>IF($B96="","",IF(VLOOKUP($B96,studie!$B$38:$Y$127,12,FALSE)="","",VLOOKUP($B96,studie!$B$38:$Y$127,12,FALSE)))</f>
        <v/>
      </c>
      <c r="K96" s="1015" t="str">
        <f>IF($B96="","",IF(VLOOKUP($B96,studie!$B$38:$Y$127,13,FALSE)="","",VLOOKUP($B96,studie!$B$38:$Y$127,13,FALSE)))</f>
        <v/>
      </c>
      <c r="L96" s="1015" t="str">
        <f>IF($B96="","",IF(VLOOKUP($B96,studie!$B$38:$Y$127,14,FALSE)="","",VLOOKUP($B96,studie!$B$38:$Y$127,14,FALSE)))</f>
        <v/>
      </c>
      <c r="M96" s="1015" t="str">
        <f>IF($B96="","",IF(VLOOKUP($B96,studie!$B$38:$Y$127,15,FALSE)="","",VLOOKUP($B96,studie!$B$38:$Y$127,15,FALSE)))</f>
        <v/>
      </c>
      <c r="N96" s="1016">
        <f>IF($B96="","",IF(VLOOKUP($B96,studie!$B$38:$Y$127,16,FALSE)="","",VLOOKUP($B96,studie!$B$38:$Y$127,16,FALSE)))</f>
        <v>101.1</v>
      </c>
      <c r="O96" s="1019"/>
      <c r="P96" s="1018"/>
      <c r="Q96" s="1018"/>
      <c r="R96" s="1013"/>
      <c r="S96" s="1013"/>
      <c r="T96" s="1013"/>
    </row>
    <row r="97" spans="1:20" s="208" customFormat="1" ht="12.75" customHeight="1" x14ac:dyDescent="0.35">
      <c r="A97" s="1897"/>
      <c r="B97" s="1025"/>
      <c r="C97" s="1021"/>
      <c r="D97" s="1022"/>
      <c r="E97" s="1022"/>
      <c r="F97" s="1022"/>
      <c r="G97" s="1023">
        <f>IF(SUM(G93:G96)=0,"",AVERAGE(G93:G96))</f>
        <v>73.5</v>
      </c>
      <c r="H97" s="1032"/>
      <c r="I97" s="1022"/>
      <c r="J97" s="1022"/>
      <c r="K97" s="1022"/>
      <c r="L97" s="1022"/>
      <c r="M97" s="1022"/>
      <c r="N97" s="1024">
        <f t="shared" ref="N97" si="18">IF(SUM(N93:N96)=0,"",AVERAGE(N93:N96))</f>
        <v>101.25</v>
      </c>
      <c r="O97" s="1019"/>
      <c r="P97" s="1013"/>
      <c r="Q97" s="1013"/>
      <c r="R97" s="1018"/>
      <c r="S97" s="1013"/>
      <c r="T97" s="1013"/>
    </row>
    <row r="98" spans="1:20" s="208" customFormat="1" ht="12.75" customHeight="1" x14ac:dyDescent="0.35">
      <c r="A98" s="1896">
        <f>A178</f>
        <v>4.1500000000000004</v>
      </c>
      <c r="B98" s="999" t="str">
        <f>IF(studie!AK304="","",studie!AK304)</f>
        <v>C1nw</v>
      </c>
      <c r="C98" s="615">
        <f>IF($B98="","",VLOOKUP($B98,studie!$B$38:$Y$127,5,FALSE))</f>
        <v>84</v>
      </c>
      <c r="D98" s="616">
        <f>IF($B98="","",VLOOKUP($B98,studie!$B$38:$Y$127,6,FALSE))</f>
        <v>0</v>
      </c>
      <c r="E98" s="616">
        <f>IF($B98="","",VLOOKUP($B98,studie!$B$38:$Y$127,7,FALSE))</f>
        <v>0</v>
      </c>
      <c r="F98" s="616">
        <f>IF($B98="","",VLOOKUP($B98,studie!$B$38:$Y$127,8,FALSE))</f>
        <v>0</v>
      </c>
      <c r="G98" s="617">
        <f>IF($B98="","",VLOOKUP($B98,studie!$B$38:$Y$127,9,FALSE))</f>
        <v>84</v>
      </c>
      <c r="H98" s="615">
        <f>IF($B98="","",IF(VLOOKUP($B98,studie!$B$38:$Y$127,10,FALSE)="","",VLOOKUP($B98,studie!$B$38:$Y$127,10,FALSE)))</f>
        <v>102.2</v>
      </c>
      <c r="I98" s="616" t="str">
        <f>IF($B98="","",IF(VLOOKUP($B98,studie!$B$38:$Y$127,11,FALSE)="","",VLOOKUP($B98,studie!$B$38:$Y$127,11,FALSE)))</f>
        <v/>
      </c>
      <c r="J98" s="616" t="str">
        <f>IF($B98="","",IF(VLOOKUP($B98,studie!$B$38:$Y$127,12,FALSE)="","",VLOOKUP($B98,studie!$B$38:$Y$127,12,FALSE)))</f>
        <v/>
      </c>
      <c r="K98" s="616" t="str">
        <f>IF($B98="","",IF(VLOOKUP($B98,studie!$B$38:$Y$127,13,FALSE)="","",VLOOKUP($B98,studie!$B$38:$Y$127,13,FALSE)))</f>
        <v/>
      </c>
      <c r="L98" s="616" t="str">
        <f>IF($B98="","",IF(VLOOKUP($B98,studie!$B$38:$Y$127,14,FALSE)="","",VLOOKUP($B98,studie!$B$38:$Y$127,14,FALSE)))</f>
        <v/>
      </c>
      <c r="M98" s="616" t="str">
        <f>IF($B98="","",IF(VLOOKUP($B98,studie!$B$38:$Y$127,15,FALSE)="","",VLOOKUP($B98,studie!$B$38:$Y$127,15,FALSE)))</f>
        <v/>
      </c>
      <c r="N98" s="617">
        <f>IF($B98="","",IF(VLOOKUP($B98,studie!$B$38:$Y$127,16,FALSE)="","",VLOOKUP($B98,studie!$B$38:$Y$127,16,FALSE)))</f>
        <v>102.2</v>
      </c>
      <c r="O98" s="1019"/>
      <c r="P98" s="1018"/>
      <c r="Q98" s="1018"/>
      <c r="R98" s="1013"/>
      <c r="S98" s="1013"/>
      <c r="T98" s="1013"/>
    </row>
    <row r="99" spans="1:20" s="208" customFormat="1" ht="12.75" customHeight="1" x14ac:dyDescent="0.35">
      <c r="A99" s="1896"/>
      <c r="B99" s="1000" t="str">
        <f>IF(studie!AK305="","",studie!AK305)</f>
        <v>C2nw</v>
      </c>
      <c r="C99" s="615">
        <f>IF($B99="","",VLOOKUP($B99,studie!$B$38:$Y$127,5,FALSE))</f>
        <v>83</v>
      </c>
      <c r="D99" s="616">
        <f>IF($B99="","",VLOOKUP($B99,studie!$B$38:$Y$127,6,FALSE))</f>
        <v>0</v>
      </c>
      <c r="E99" s="616">
        <f>IF($B99="","",VLOOKUP($B99,studie!$B$38:$Y$127,7,FALSE))</f>
        <v>0</v>
      </c>
      <c r="F99" s="616">
        <f>IF($B99="","",VLOOKUP($B99,studie!$B$38:$Y$127,8,FALSE))</f>
        <v>0</v>
      </c>
      <c r="G99" s="617">
        <f>IF($B99="","",VLOOKUP($B99,studie!$B$38:$Y$127,9,FALSE))</f>
        <v>83</v>
      </c>
      <c r="H99" s="615">
        <f>IF($B99="","",IF(VLOOKUP($B99,studie!$B$38:$Y$127,10,FALSE)="","",VLOOKUP($B99,studie!$B$38:$Y$127,10,FALSE)))</f>
        <v>102.3</v>
      </c>
      <c r="I99" s="616" t="str">
        <f>IF($B99="","",IF(VLOOKUP($B99,studie!$B$38:$Y$127,11,FALSE)="","",VLOOKUP($B99,studie!$B$38:$Y$127,11,FALSE)))</f>
        <v/>
      </c>
      <c r="J99" s="616" t="str">
        <f>IF($B99="","",IF(VLOOKUP($B99,studie!$B$38:$Y$127,12,FALSE)="","",VLOOKUP($B99,studie!$B$38:$Y$127,12,FALSE)))</f>
        <v/>
      </c>
      <c r="K99" s="616" t="str">
        <f>IF($B99="","",IF(VLOOKUP($B99,studie!$B$38:$Y$127,13,FALSE)="","",VLOOKUP($B99,studie!$B$38:$Y$127,13,FALSE)))</f>
        <v/>
      </c>
      <c r="L99" s="616" t="str">
        <f>IF($B99="","",IF(VLOOKUP($B99,studie!$B$38:$Y$127,14,FALSE)="","",VLOOKUP($B99,studie!$B$38:$Y$127,14,FALSE)))</f>
        <v/>
      </c>
      <c r="M99" s="616" t="str">
        <f>IF($B99="","",IF(VLOOKUP($B99,studie!$B$38:$Y$127,15,FALSE)="","",VLOOKUP($B99,studie!$B$38:$Y$127,15,FALSE)))</f>
        <v/>
      </c>
      <c r="N99" s="617">
        <f>IF($B99="","",IF(VLOOKUP($B99,studie!$B$38:$Y$127,16,FALSE)="","",VLOOKUP($B99,studie!$B$38:$Y$127,16,FALSE)))</f>
        <v>102.3</v>
      </c>
      <c r="O99" s="1019"/>
      <c r="P99" s="1018"/>
      <c r="Q99" s="1018"/>
      <c r="R99" s="1013"/>
      <c r="S99" s="1013"/>
      <c r="T99" s="1013"/>
    </row>
    <row r="100" spans="1:20" s="208" customFormat="1" ht="12.75" customHeight="1" x14ac:dyDescent="0.35">
      <c r="A100" s="1896"/>
      <c r="B100" s="1000" t="str">
        <f>IF(studie!AK306="","",studie!AK306)</f>
        <v>C3nw</v>
      </c>
      <c r="C100" s="615">
        <f>IF($B100="","",VLOOKUP($B100,studie!$B$38:$Y$127,5,FALSE))</f>
        <v>82</v>
      </c>
      <c r="D100" s="616">
        <f>IF($B100="","",VLOOKUP($B100,studie!$B$38:$Y$127,6,FALSE))</f>
        <v>0</v>
      </c>
      <c r="E100" s="616">
        <f>IF($B100="","",VLOOKUP($B100,studie!$B$38:$Y$127,7,FALSE))</f>
        <v>0</v>
      </c>
      <c r="F100" s="616">
        <f>IF($B100="","",VLOOKUP($B100,studie!$B$38:$Y$127,8,FALSE))</f>
        <v>0</v>
      </c>
      <c r="G100" s="617">
        <f>IF($B100="","",VLOOKUP($B100,studie!$B$38:$Y$127,9,FALSE))</f>
        <v>82</v>
      </c>
      <c r="H100" s="615">
        <f>IF($B100="","",IF(VLOOKUP($B100,studie!$B$38:$Y$127,10,FALSE)="","",VLOOKUP($B100,studie!$B$38:$Y$127,10,FALSE)))</f>
        <v>102.4</v>
      </c>
      <c r="I100" s="616" t="str">
        <f>IF($B100="","",IF(VLOOKUP($B100,studie!$B$38:$Y$127,11,FALSE)="","",VLOOKUP($B100,studie!$B$38:$Y$127,11,FALSE)))</f>
        <v/>
      </c>
      <c r="J100" s="616" t="str">
        <f>IF($B100="","",IF(VLOOKUP($B100,studie!$B$38:$Y$127,12,FALSE)="","",VLOOKUP($B100,studie!$B$38:$Y$127,12,FALSE)))</f>
        <v/>
      </c>
      <c r="K100" s="616" t="str">
        <f>IF($B100="","",IF(VLOOKUP($B100,studie!$B$38:$Y$127,13,FALSE)="","",VLOOKUP($B100,studie!$B$38:$Y$127,13,FALSE)))</f>
        <v/>
      </c>
      <c r="L100" s="616" t="str">
        <f>IF($B100="","",IF(VLOOKUP($B100,studie!$B$38:$Y$127,14,FALSE)="","",VLOOKUP($B100,studie!$B$38:$Y$127,14,FALSE)))</f>
        <v/>
      </c>
      <c r="M100" s="616" t="str">
        <f>IF($B100="","",IF(VLOOKUP($B100,studie!$B$38:$Y$127,15,FALSE)="","",VLOOKUP($B100,studie!$B$38:$Y$127,15,FALSE)))</f>
        <v/>
      </c>
      <c r="N100" s="617">
        <f>IF($B100="","",IF(VLOOKUP($B100,studie!$B$38:$Y$127,16,FALSE)="","",VLOOKUP($B100,studie!$B$38:$Y$127,16,FALSE)))</f>
        <v>102.4</v>
      </c>
      <c r="O100" s="1019"/>
      <c r="P100" s="1018"/>
      <c r="Q100" s="1018"/>
      <c r="R100" s="1013"/>
      <c r="S100" s="1013"/>
      <c r="T100" s="1013"/>
    </row>
    <row r="101" spans="1:20" s="208" customFormat="1" ht="12.75" customHeight="1" x14ac:dyDescent="0.35">
      <c r="A101" s="1896"/>
      <c r="B101" s="1010" t="str">
        <f>IF(studie!AK307="","",studie!AK307)</f>
        <v>C4nw</v>
      </c>
      <c r="C101" s="1011">
        <f>IF($B101="","",VLOOKUP($B101,studie!$B$38:$Y$127,5,FALSE))</f>
        <v>85</v>
      </c>
      <c r="D101" s="1012">
        <f>IF($B101="","",VLOOKUP($B101,studie!$B$38:$Y$127,6,FALSE))</f>
        <v>0</v>
      </c>
      <c r="E101" s="1012">
        <f>IF($B101="","",VLOOKUP($B101,studie!$B$38:$Y$127,7,FALSE))</f>
        <v>0</v>
      </c>
      <c r="F101" s="1012">
        <f>IF($B101="","",VLOOKUP($B101,studie!$B$38:$Y$127,8,FALSE))</f>
        <v>0</v>
      </c>
      <c r="G101" s="1013">
        <f>IF($B101="","",VLOOKUP($B101,studie!$B$38:$Y$127,9,FALSE))</f>
        <v>85</v>
      </c>
      <c r="H101" s="1011">
        <f>IF($B101="","",IF(VLOOKUP($B101,studie!$B$38:$Y$127,10,FALSE)="","",VLOOKUP($B101,studie!$B$38:$Y$127,10,FALSE)))</f>
        <v>102.1</v>
      </c>
      <c r="I101" s="1012" t="str">
        <f>IF($B101="","",IF(VLOOKUP($B101,studie!$B$38:$Y$127,11,FALSE)="","",VLOOKUP($B101,studie!$B$38:$Y$127,11,FALSE)))</f>
        <v/>
      </c>
      <c r="J101" s="1012" t="str">
        <f>IF($B101="","",IF(VLOOKUP($B101,studie!$B$38:$Y$127,12,FALSE)="","",VLOOKUP($B101,studie!$B$38:$Y$127,12,FALSE)))</f>
        <v/>
      </c>
      <c r="K101" s="1012" t="str">
        <f>IF($B101="","",IF(VLOOKUP($B101,studie!$B$38:$Y$127,13,FALSE)="","",VLOOKUP($B101,studie!$B$38:$Y$127,13,FALSE)))</f>
        <v/>
      </c>
      <c r="L101" s="1012" t="str">
        <f>IF($B101="","",IF(VLOOKUP($B101,studie!$B$38:$Y$127,14,FALSE)="","",VLOOKUP($B101,studie!$B$38:$Y$127,14,FALSE)))</f>
        <v/>
      </c>
      <c r="M101" s="1012" t="str">
        <f>IF($B101="","",IF(VLOOKUP($B101,studie!$B$38:$Y$127,15,FALSE)="","",VLOOKUP($B101,studie!$B$38:$Y$127,15,FALSE)))</f>
        <v/>
      </c>
      <c r="N101" s="1013">
        <f>IF($B101="","",IF(VLOOKUP($B101,studie!$B$38:$Y$127,16,FALSE)="","",VLOOKUP($B101,studie!$B$38:$Y$127,16,FALSE)))</f>
        <v>102.1</v>
      </c>
      <c r="O101" s="1019"/>
      <c r="P101" s="1018"/>
      <c r="Q101" s="1018"/>
      <c r="R101" s="1013"/>
      <c r="S101" s="1013"/>
      <c r="T101" s="1013"/>
    </row>
    <row r="102" spans="1:20" s="208" customFormat="1" ht="12.75" customHeight="1" thickBot="1" x14ac:dyDescent="0.4">
      <c r="A102" s="1898"/>
      <c r="B102" s="1034"/>
      <c r="C102" s="1027"/>
      <c r="D102" s="1028"/>
      <c r="E102" s="1028"/>
      <c r="F102" s="1028"/>
      <c r="G102" s="1029">
        <f>IF(SUM(G98:G101)=0,"",AVERAGE(G98:G101))</f>
        <v>83.5</v>
      </c>
      <c r="H102" s="1033"/>
      <c r="I102" s="1028"/>
      <c r="J102" s="1028"/>
      <c r="K102" s="1028"/>
      <c r="L102" s="1028"/>
      <c r="M102" s="1028"/>
      <c r="N102" s="1030">
        <f t="shared" ref="N102" si="19">IF(SUM(N98:N101)=0,"",AVERAGE(N98:N101))</f>
        <v>102.25</v>
      </c>
      <c r="O102" s="1018"/>
      <c r="P102" s="1013"/>
      <c r="Q102" s="1013"/>
      <c r="R102" s="1018"/>
      <c r="S102" s="1013"/>
      <c r="T102" s="1013"/>
    </row>
    <row r="103" spans="1:20" s="208" customFormat="1" ht="12.75" customHeight="1" x14ac:dyDescent="0.35">
      <c r="A103" s="1399"/>
      <c r="B103" s="1399"/>
      <c r="C103" s="1013"/>
      <c r="D103" s="1013"/>
      <c r="E103" s="1013"/>
      <c r="F103" s="1013"/>
      <c r="G103" s="1013"/>
      <c r="H103" s="1018"/>
      <c r="I103" s="1013"/>
      <c r="J103" s="1013"/>
      <c r="K103" s="1013"/>
      <c r="L103" s="1013"/>
      <c r="M103" s="1013"/>
      <c r="N103" s="1013"/>
      <c r="O103" s="1018"/>
      <c r="P103" s="1013"/>
      <c r="Q103" s="1013"/>
      <c r="R103" s="1018"/>
      <c r="S103" s="1013"/>
      <c r="T103" s="1013"/>
    </row>
    <row r="104" spans="1:20" s="208" customFormat="1" ht="12.4" customHeight="1" x14ac:dyDescent="0.35">
      <c r="A104" s="208" t="str">
        <f>studie!$B$160</f>
        <v>Toegepaste norm voor de bepaling van de bulkdichtheid:</v>
      </c>
      <c r="P104" s="311" t="str">
        <f>studie!$K$160</f>
        <v>EN 12697-6</v>
      </c>
    </row>
    <row r="105" spans="1:20" s="208" customFormat="1" ht="12.4" customHeight="1" x14ac:dyDescent="0.35">
      <c r="A105" s="208" t="str">
        <f>IF(studie!L280="","",studie!B280)</f>
        <v>Toegepaste methode voor de bepaling van de bulkdichtheid:</v>
      </c>
      <c r="P105" s="311" t="str">
        <f>IF(studie!L280="","",studie!L280)</f>
        <v>C</v>
      </c>
    </row>
    <row r="106" spans="1:20" s="208" customFormat="1" ht="8.15" customHeight="1" x14ac:dyDescent="0.35"/>
    <row r="107" spans="1:20" s="208" customFormat="1" ht="12.4" customHeight="1" thickBot="1" x14ac:dyDescent="0.4">
      <c r="A107" s="779" t="str">
        <f>A11</f>
        <v>Droge proefstukken</v>
      </c>
    </row>
    <row r="108" spans="1:20" s="208" customFormat="1" ht="12.4" customHeight="1" x14ac:dyDescent="0.35">
      <c r="A108" s="244" t="s">
        <v>183</v>
      </c>
      <c r="B108" s="245"/>
      <c r="C108" s="610" t="s">
        <v>336</v>
      </c>
      <c r="D108" s="611"/>
      <c r="E108" s="610" t="str">
        <f>studie!K164</f>
        <v>Massa's (g)</v>
      </c>
      <c r="F108" s="245"/>
      <c r="G108" s="245"/>
      <c r="H108" s="245"/>
      <c r="I108" s="245"/>
      <c r="J108" s="245"/>
      <c r="K108" s="245"/>
      <c r="L108" s="610" t="s">
        <v>487</v>
      </c>
      <c r="M108" s="245"/>
      <c r="N108" s="611"/>
      <c r="O108" s="245" t="s">
        <v>1004</v>
      </c>
      <c r="P108" s="245"/>
      <c r="Q108" s="245"/>
      <c r="R108" s="245"/>
      <c r="S108" s="658" t="s">
        <v>820</v>
      </c>
      <c r="T108" s="659" t="str">
        <f>IF(studie!$L$280="A","b dry",IF(studie!$L$280="B","b ssd",IF(studie!$L$280="C","b sea",IF(studie!$L$280="D","b dim",""))))</f>
        <v>b sea</v>
      </c>
    </row>
    <row r="109" spans="1:20" s="208" customFormat="1" ht="12.4" customHeight="1" x14ac:dyDescent="0.35">
      <c r="A109" s="247" t="s">
        <v>185</v>
      </c>
      <c r="B109" s="248"/>
      <c r="C109" s="612" t="s">
        <v>338</v>
      </c>
      <c r="D109" s="613"/>
      <c r="E109" s="612" t="str">
        <f>studie!K165</f>
        <v>in lucht</v>
      </c>
      <c r="F109" s="248"/>
      <c r="G109" s="248" t="str">
        <f>IF(studie!L280="D","",studie!L165)</f>
        <v>in water</v>
      </c>
      <c r="H109" s="248"/>
      <c r="I109" s="248" t="str">
        <f>IF(studie!L280="B","afgedroogd",IF(studie!L280="C","met paraffine",""))</f>
        <v>met paraffine</v>
      </c>
      <c r="J109" s="248"/>
      <c r="K109" s="248"/>
      <c r="L109" s="612" t="s">
        <v>1002</v>
      </c>
      <c r="M109" s="248"/>
      <c r="N109" s="613"/>
      <c r="O109" s="248" t="s">
        <v>568</v>
      </c>
      <c r="P109" s="248"/>
      <c r="Q109" s="704" t="str">
        <f>IF(studie!L280="C","paraffine","")</f>
        <v>paraffine</v>
      </c>
      <c r="R109" s="248"/>
      <c r="S109" s="612" t="s">
        <v>418</v>
      </c>
      <c r="T109" s="249"/>
    </row>
    <row r="110" spans="1:20" s="208" customFormat="1" ht="12.4" customHeight="1" x14ac:dyDescent="0.35">
      <c r="A110" s="1899">
        <f>A168</f>
        <v>3.5500000000000003</v>
      </c>
      <c r="B110" s="1900"/>
      <c r="C110" s="631" t="str">
        <f>B168</f>
        <v>A1</v>
      </c>
      <c r="D110" s="674"/>
      <c r="E110" s="637">
        <f>IF($C110="","",VLOOKUP($C110,studie!$D$166:$Z$216,8,FALSE))</f>
        <v>0</v>
      </c>
      <c r="F110" s="637"/>
      <c r="G110" s="637">
        <f>IF($C110="","",VLOOKUP($C110,studie!$D$166:$Z$216,9,FALSE))</f>
        <v>0</v>
      </c>
      <c r="H110" s="637"/>
      <c r="I110" s="637">
        <f>IF($C110="","",VLOOKUP($C110,studie!$D$166:$Z$216,10,FALSE))</f>
        <v>0</v>
      </c>
      <c r="J110" s="637"/>
      <c r="K110" s="680"/>
      <c r="L110" s="632">
        <f>IF($C110="","",VLOOKUP($C110,studie!$D$166:$Z$216,14,FALSE))</f>
        <v>0</v>
      </c>
      <c r="M110" s="1761"/>
      <c r="N110" s="1049"/>
      <c r="O110" s="1061" t="str">
        <f>IF($C110="","",VLOOKUP($C110,studie!$D$166:$Z$216,16,FALSE))</f>
        <v/>
      </c>
      <c r="P110" s="872"/>
      <c r="Q110" s="1050">
        <f>IF(OR($C110="",studie!$L$280&lt;&gt;"C"),"",VLOOKUP($C110,studie!$D$166:$Z$216,18,FALSE))</f>
        <v>0</v>
      </c>
      <c r="R110" s="872"/>
      <c r="S110" s="653" t="str">
        <f>IF($C110="","",VLOOKUP($C110,studie!$D$166:$Z$216,23,FALSE))</f>
        <v/>
      </c>
      <c r="T110" s="664"/>
    </row>
    <row r="111" spans="1:20" s="208" customFormat="1" ht="12.4" customHeight="1" x14ac:dyDescent="0.35">
      <c r="A111" s="1901"/>
      <c r="B111" s="1902"/>
      <c r="C111" s="634" t="str">
        <f>B169</f>
        <v>A2</v>
      </c>
      <c r="D111" s="675"/>
      <c r="E111" s="643">
        <f>IF($C111="","",VLOOKUP($C111,studie!$D$166:$Z$216,8,FALSE))</f>
        <v>0</v>
      </c>
      <c r="F111" s="643"/>
      <c r="G111" s="643">
        <f>IF($C111="","",VLOOKUP($C111,studie!$D$166:$Z$216,9,FALSE))</f>
        <v>0</v>
      </c>
      <c r="H111" s="643"/>
      <c r="I111" s="643">
        <f>IF($C111="","",VLOOKUP($C111,studie!$D$166:$Z$216,10,FALSE))</f>
        <v>0</v>
      </c>
      <c r="J111" s="643"/>
      <c r="K111" s="633"/>
      <c r="L111" s="640">
        <f>IF($C111="","",VLOOKUP($C111,studie!$D$166:$Z$216,14,FALSE))</f>
        <v>0</v>
      </c>
      <c r="M111" s="1762"/>
      <c r="N111" s="1051"/>
      <c r="O111" s="1062" t="str">
        <f>IF($C111="","",VLOOKUP($C111,studie!$D$166:$Z$216,16,FALSE))</f>
        <v/>
      </c>
      <c r="P111" s="856"/>
      <c r="Q111" s="1052">
        <f>IF(OR($C111="",studie!$L$280&lt;&gt;"C"),"",VLOOKUP($C111,studie!$D$166:$Z$216,18,FALSE))</f>
        <v>0</v>
      </c>
      <c r="R111" s="856"/>
      <c r="S111" s="654" t="str">
        <f>IF($C111="","",VLOOKUP($C111,studie!$D$166:$Z$216,23,FALSE))</f>
        <v/>
      </c>
      <c r="T111" s="665"/>
    </row>
    <row r="112" spans="1:20" s="208" customFormat="1" ht="12.4" customHeight="1" x14ac:dyDescent="0.35">
      <c r="A112" s="1901"/>
      <c r="B112" s="1902"/>
      <c r="C112" s="634" t="str">
        <f>B170</f>
        <v>A3</v>
      </c>
      <c r="D112" s="675"/>
      <c r="E112" s="643">
        <f>IF($C112="","",VLOOKUP($C112,studie!$D$166:$Z$216,8,FALSE))</f>
        <v>0</v>
      </c>
      <c r="F112" s="643"/>
      <c r="G112" s="643">
        <f>IF($C112="","",VLOOKUP($C112,studie!$D$166:$Z$216,9,FALSE))</f>
        <v>0</v>
      </c>
      <c r="H112" s="643"/>
      <c r="I112" s="643">
        <f>IF($C112="","",VLOOKUP($C112,studie!$D$166:$Z$216,10,FALSE))</f>
        <v>0</v>
      </c>
      <c r="J112" s="643"/>
      <c r="K112" s="633"/>
      <c r="L112" s="640">
        <f>IF($C112="","",VLOOKUP($C112,studie!$D$166:$Z$216,14,FALSE))</f>
        <v>0</v>
      </c>
      <c r="M112" s="1762"/>
      <c r="N112" s="1051"/>
      <c r="O112" s="1062" t="str">
        <f>IF($C112="","",VLOOKUP($C112,studie!$D$166:$Z$216,16,FALSE))</f>
        <v/>
      </c>
      <c r="P112" s="856"/>
      <c r="Q112" s="1052">
        <f>IF(OR($C112="",studie!$L$280&lt;&gt;"C"),"",VLOOKUP($C112,studie!$D$166:$Z$216,18,FALSE))</f>
        <v>0</v>
      </c>
      <c r="R112" s="856"/>
      <c r="S112" s="654" t="str">
        <f>IF($C112="","",VLOOKUP($C112,studie!$D$166:$Z$216,23,FALSE))</f>
        <v/>
      </c>
      <c r="T112" s="665"/>
    </row>
    <row r="113" spans="1:20" s="208" customFormat="1" ht="12.4" customHeight="1" x14ac:dyDescent="0.35">
      <c r="A113" s="1901"/>
      <c r="B113" s="1902"/>
      <c r="C113" s="660" t="str">
        <f>B171</f>
        <v/>
      </c>
      <c r="D113" s="676"/>
      <c r="E113" s="684" t="str">
        <f>IF($C113="","",VLOOKUP($C113,studie!$D$166:$Z$216,8,FALSE))</f>
        <v/>
      </c>
      <c r="F113" s="684"/>
      <c r="G113" s="684" t="str">
        <f>IF($C113="","",VLOOKUP($C113,studie!$D$166:$Z$216,9,FALSE))</f>
        <v/>
      </c>
      <c r="H113" s="684"/>
      <c r="I113" s="684" t="str">
        <f>IF($C113="","",VLOOKUP($C113,studie!$D$166:$Z$216,10,FALSE))</f>
        <v/>
      </c>
      <c r="J113" s="684"/>
      <c r="K113" s="681"/>
      <c r="L113" s="714" t="str">
        <f>IF($C113="","",VLOOKUP($C113,studie!$D$166:$Z$216,14,FALSE))</f>
        <v/>
      </c>
      <c r="M113" s="1763"/>
      <c r="N113" s="1053"/>
      <c r="O113" s="1063" t="str">
        <f>IF($C113="","",VLOOKUP($C113,studie!$D$166:$Z$216,16,FALSE))</f>
        <v/>
      </c>
      <c r="P113" s="857"/>
      <c r="Q113" s="1054" t="str">
        <f>IF(OR($C113="",studie!$L$280&lt;&gt;"C"),"",VLOOKUP($C113,studie!$D$166:$Z$216,18,FALSE))</f>
        <v/>
      </c>
      <c r="R113" s="857"/>
      <c r="S113" s="666" t="str">
        <f>IF($C113="","",VLOOKUP($C113,studie!$D$166:$Z$216,23,FALSE))</f>
        <v/>
      </c>
      <c r="T113" s="667"/>
    </row>
    <row r="114" spans="1:20" s="208" customFormat="1" ht="12.4" customHeight="1" x14ac:dyDescent="0.35">
      <c r="A114" s="1903"/>
      <c r="B114" s="1904"/>
      <c r="C114" s="661"/>
      <c r="D114" s="677"/>
      <c r="E114" s="685"/>
      <c r="F114" s="685"/>
      <c r="G114" s="685"/>
      <c r="H114" s="685"/>
      <c r="I114" s="685"/>
      <c r="J114" s="685"/>
      <c r="K114" s="682"/>
      <c r="L114" s="716"/>
      <c r="M114" s="1764"/>
      <c r="N114" s="1055"/>
      <c r="O114" s="1064"/>
      <c r="P114" s="858"/>
      <c r="Q114" s="1056"/>
      <c r="R114" s="858"/>
      <c r="S114" s="668" t="str">
        <f>IF(studie!I297="","",studie!I297)</f>
        <v/>
      </c>
      <c r="T114" s="669"/>
    </row>
    <row r="115" spans="1:20" s="208" customFormat="1" ht="12.4" customHeight="1" x14ac:dyDescent="0.35">
      <c r="A115" s="1899">
        <f>A173</f>
        <v>3.85</v>
      </c>
      <c r="B115" s="1900"/>
      <c r="C115" s="662" t="str">
        <f>B173</f>
        <v>B1</v>
      </c>
      <c r="D115" s="678"/>
      <c r="E115" s="686">
        <f>IF($C115="","",VLOOKUP($C115,studie!$D$166:$Z$216,8,FALSE))</f>
        <v>1120</v>
      </c>
      <c r="F115" s="686"/>
      <c r="G115" s="686">
        <f>IF($C115="","",VLOOKUP($C115,studie!$D$166:$Z$216,9,FALSE))</f>
        <v>700</v>
      </c>
      <c r="H115" s="686"/>
      <c r="I115" s="686">
        <f>IF($C115="","",VLOOKUP($C115,studie!$D$166:$Z$216,10,FALSE))</f>
        <v>1225</v>
      </c>
      <c r="J115" s="686"/>
      <c r="K115" s="630"/>
      <c r="L115" s="718">
        <f>IF($C115="","",VLOOKUP($C115,studie!$D$166:$Z$216,14,FALSE))</f>
        <v>24.6</v>
      </c>
      <c r="M115" s="1765"/>
      <c r="N115" s="1057"/>
      <c r="O115" s="1065">
        <f>IF($C115="","",VLOOKUP($C115,studie!$D$166:$Z$216,16,FALSE))</f>
        <v>0.99721931280000009</v>
      </c>
      <c r="P115" s="859"/>
      <c r="Q115" s="1058">
        <f>IF(OR($C115="",studie!$L$280&lt;&gt;"C"),"",VLOOKUP($C115,studie!$D$166:$Z$216,18,FALSE))</f>
        <v>0.97</v>
      </c>
      <c r="R115" s="859"/>
      <c r="S115" s="670">
        <f>IF($C115="","",VLOOKUP($C115,studie!$D$166:$Z$216,23,FALSE))</f>
        <v>2.6780387104261854</v>
      </c>
      <c r="T115" s="671"/>
    </row>
    <row r="116" spans="1:20" s="208" customFormat="1" ht="12.4" customHeight="1" x14ac:dyDescent="0.35">
      <c r="A116" s="1901"/>
      <c r="B116" s="1902"/>
      <c r="C116" s="634" t="str">
        <f>B174</f>
        <v>B2</v>
      </c>
      <c r="D116" s="675"/>
      <c r="E116" s="643">
        <f>IF($C116="","",VLOOKUP($C116,studie!$D$166:$Z$216,8,FALSE))</f>
        <v>1130</v>
      </c>
      <c r="F116" s="643"/>
      <c r="G116" s="643">
        <f>IF($C116="","",VLOOKUP($C116,studie!$D$166:$Z$216,9,FALSE))</f>
        <v>705</v>
      </c>
      <c r="H116" s="643"/>
      <c r="I116" s="643">
        <f>IF($C116="","",VLOOKUP($C116,studie!$D$166:$Z$216,10,FALSE))</f>
        <v>1250</v>
      </c>
      <c r="J116" s="643"/>
      <c r="K116" s="633"/>
      <c r="L116" s="640">
        <f>IF($C116="","",VLOOKUP($C116,studie!$D$166:$Z$216,14,FALSE))</f>
        <v>24.7</v>
      </c>
      <c r="M116" s="1762"/>
      <c r="N116" s="1051"/>
      <c r="O116" s="1062">
        <f>IF($C116="","",VLOOKUP($C116,studie!$D$166:$Z$216,16,FALSE))</f>
        <v>0.99719384420000001</v>
      </c>
      <c r="P116" s="856"/>
      <c r="Q116" s="1052">
        <f>IF(OR($C116="",studie!$L$280&lt;&gt;"C"),"",VLOOKUP($C116,studie!$D$166:$Z$216,18,FALSE))</f>
        <v>0.97</v>
      </c>
      <c r="R116" s="856"/>
      <c r="S116" s="654">
        <f>IF($C116="","",VLOOKUP($C116,studie!$D$166:$Z$216,23,FALSE))</f>
        <v>2.67251739289294</v>
      </c>
      <c r="T116" s="665"/>
    </row>
    <row r="117" spans="1:20" s="208" customFormat="1" ht="12.4" customHeight="1" x14ac:dyDescent="0.35">
      <c r="A117" s="1901"/>
      <c r="B117" s="1902"/>
      <c r="C117" s="634" t="str">
        <f>B175</f>
        <v>B3</v>
      </c>
      <c r="D117" s="675"/>
      <c r="E117" s="643">
        <f>IF($C117="","",VLOOKUP($C117,studie!$D$166:$Z$216,8,FALSE))</f>
        <v>1130</v>
      </c>
      <c r="F117" s="643"/>
      <c r="G117" s="643">
        <f>IF($C117="","",VLOOKUP($C117,studie!$D$166:$Z$216,9,FALSE))</f>
        <v>710</v>
      </c>
      <c r="H117" s="643"/>
      <c r="I117" s="643">
        <f>IF($C117="","",VLOOKUP($C117,studie!$D$166:$Z$216,10,FALSE))</f>
        <v>1235</v>
      </c>
      <c r="J117" s="643"/>
      <c r="K117" s="633"/>
      <c r="L117" s="640">
        <f>IF($C117="","",VLOOKUP($C117,studie!$D$166:$Z$216,14,FALSE))</f>
        <v>24.8</v>
      </c>
      <c r="M117" s="1762"/>
      <c r="N117" s="1051"/>
      <c r="O117" s="1062">
        <f>IF($C117="","",VLOOKUP($C117,studie!$D$166:$Z$216,16,FALSE))</f>
        <v>0.99716826920000001</v>
      </c>
      <c r="P117" s="856"/>
      <c r="Q117" s="1052">
        <f>IF(OR($C117="",studie!$L$280&lt;&gt;"C"),"",VLOOKUP($C117,studie!$D$166:$Z$216,18,FALSE))</f>
        <v>0.97</v>
      </c>
      <c r="R117" s="856"/>
      <c r="S117" s="654">
        <f>IF($C117="","",VLOOKUP($C117,studie!$D$166:$Z$216,23,FALSE))</f>
        <v>2.7017756740237067</v>
      </c>
      <c r="T117" s="665"/>
    </row>
    <row r="118" spans="1:20" s="208" customFormat="1" ht="12.4" customHeight="1" x14ac:dyDescent="0.35">
      <c r="A118" s="1901"/>
      <c r="B118" s="1902"/>
      <c r="C118" s="660" t="str">
        <f>B176</f>
        <v>B4</v>
      </c>
      <c r="D118" s="676"/>
      <c r="E118" s="684">
        <f>IF($C118="","",VLOOKUP($C118,studie!$D$166:$Z$216,8,FALSE))</f>
        <v>0</v>
      </c>
      <c r="F118" s="684"/>
      <c r="G118" s="684">
        <f>IF($C118="","",VLOOKUP($C118,studie!$D$166:$Z$216,9,FALSE))</f>
        <v>0</v>
      </c>
      <c r="H118" s="684"/>
      <c r="I118" s="684">
        <f>IF($C118="","",VLOOKUP($C118,studie!$D$166:$Z$216,10,FALSE))</f>
        <v>0</v>
      </c>
      <c r="J118" s="684"/>
      <c r="K118" s="681"/>
      <c r="L118" s="714">
        <f>IF($C118="","",VLOOKUP($C118,studie!$D$166:$Z$216,14,FALSE))</f>
        <v>24.9</v>
      </c>
      <c r="M118" s="1763"/>
      <c r="N118" s="1053"/>
      <c r="O118" s="1063">
        <f>IF($C118="","",VLOOKUP($C118,studie!$D$166:$Z$216,16,FALSE))</f>
        <v>0.99714258780000009</v>
      </c>
      <c r="P118" s="857"/>
      <c r="Q118" s="1054">
        <f>IF(OR($C118="",studie!$L$280&lt;&gt;"C"),"",VLOOKUP($C118,studie!$D$166:$Z$216,18,FALSE))</f>
        <v>0.97</v>
      </c>
      <c r="R118" s="857"/>
      <c r="S118" s="666" t="str">
        <f>IF($C118="","",VLOOKUP($C118,studie!$D$166:$Z$216,23,FALSE))</f>
        <v/>
      </c>
      <c r="T118" s="667"/>
    </row>
    <row r="119" spans="1:20" s="208" customFormat="1" ht="12.4" customHeight="1" x14ac:dyDescent="0.35">
      <c r="A119" s="1903"/>
      <c r="B119" s="1904"/>
      <c r="C119" s="661"/>
      <c r="D119" s="677"/>
      <c r="E119" s="685"/>
      <c r="F119" s="685"/>
      <c r="G119" s="685"/>
      <c r="H119" s="685"/>
      <c r="I119" s="685"/>
      <c r="J119" s="685"/>
      <c r="K119" s="682"/>
      <c r="L119" s="716"/>
      <c r="M119" s="1764"/>
      <c r="N119" s="1055"/>
      <c r="O119" s="1064"/>
      <c r="P119" s="858"/>
      <c r="Q119" s="1056"/>
      <c r="R119" s="858"/>
      <c r="S119" s="668">
        <f>IF(studie!I303="","",studie!I303)</f>
        <v>2.684110592447611</v>
      </c>
      <c r="T119" s="669"/>
    </row>
    <row r="120" spans="1:20" s="208" customFormat="1" ht="12.4" customHeight="1" x14ac:dyDescent="0.35">
      <c r="A120" s="1899">
        <f>A178</f>
        <v>4.1500000000000004</v>
      </c>
      <c r="B120" s="1900"/>
      <c r="C120" s="662" t="str">
        <f>B178</f>
        <v>C1</v>
      </c>
      <c r="D120" s="678"/>
      <c r="E120" s="686">
        <f>IF($C120="","",VLOOKUP($C120,studie!$D$166:$Z$216,8,FALSE))</f>
        <v>1320</v>
      </c>
      <c r="F120" s="686"/>
      <c r="G120" s="686">
        <f>IF($C120="","",VLOOKUP($C120,studie!$D$166:$Z$216,9,FALSE))</f>
        <v>700</v>
      </c>
      <c r="H120" s="686"/>
      <c r="I120" s="686">
        <f>IF($C120="","",VLOOKUP($C120,studie!$D$166:$Z$216,10,FALSE))</f>
        <v>1225</v>
      </c>
      <c r="J120" s="686"/>
      <c r="K120" s="630"/>
      <c r="L120" s="718">
        <f>IF($C120="","",VLOOKUP($C120,studie!$D$166:$Z$216,14,FALSE))</f>
        <v>25.3</v>
      </c>
      <c r="M120" s="1765"/>
      <c r="N120" s="1057"/>
      <c r="O120" s="1065">
        <f>IF($C120="","",VLOOKUP($C120,studie!$D$166:$Z$216,16,FALSE))</f>
        <v>0.99703879820000008</v>
      </c>
      <c r="P120" s="859"/>
      <c r="Q120" s="1058">
        <f>IF(OR($C120="",studie!$L$280&lt;&gt;"C"),"",VLOOKUP($C120,studie!$D$166:$Z$216,18,FALSE))</f>
        <v>0.97</v>
      </c>
      <c r="R120" s="859"/>
      <c r="S120" s="670">
        <f>IF($C120="","",VLOOKUP($C120,studie!$D$166:$Z$216,23,FALSE))</f>
        <v>2.1136997780986331</v>
      </c>
      <c r="T120" s="671"/>
    </row>
    <row r="121" spans="1:20" s="208" customFormat="1" ht="12.4" customHeight="1" x14ac:dyDescent="0.35">
      <c r="A121" s="1901"/>
      <c r="B121" s="1902"/>
      <c r="C121" s="634" t="str">
        <f>B179</f>
        <v>C2</v>
      </c>
      <c r="D121" s="675"/>
      <c r="E121" s="643">
        <f>IF($C121="","",VLOOKUP($C121,studie!$D$166:$Z$216,8,FALSE))</f>
        <v>1330</v>
      </c>
      <c r="F121" s="643"/>
      <c r="G121" s="643">
        <f>IF($C121="","",VLOOKUP($C121,studie!$D$166:$Z$216,9,FALSE))</f>
        <v>705</v>
      </c>
      <c r="H121" s="643"/>
      <c r="I121" s="643">
        <f>IF($C121="","",VLOOKUP($C121,studie!$D$166:$Z$216,10,FALSE))</f>
        <v>1250</v>
      </c>
      <c r="J121" s="643"/>
      <c r="K121" s="633"/>
      <c r="L121" s="640">
        <f>IF($C121="","",VLOOKUP($C121,studie!$D$166:$Z$216,14,FALSE))</f>
        <v>25.4</v>
      </c>
      <c r="M121" s="1762"/>
      <c r="N121" s="1051"/>
      <c r="O121" s="1062">
        <f>IF($C121="","",VLOOKUP($C121,studie!$D$166:$Z$216,16,FALSE))</f>
        <v>0.9970125848000001</v>
      </c>
      <c r="P121" s="856"/>
      <c r="Q121" s="1052">
        <f>IF(OR($C121="",studie!$L$280&lt;&gt;"C"),"",VLOOKUP($C121,studie!$D$166:$Z$216,18,FALSE))</f>
        <v>0.97</v>
      </c>
      <c r="R121" s="856"/>
      <c r="S121" s="654">
        <f>IF($C121="","",VLOOKUP($C121,studie!$D$166:$Z$216,23,FALSE))</f>
        <v>2.1141069463050117</v>
      </c>
      <c r="T121" s="665"/>
    </row>
    <row r="122" spans="1:20" s="208" customFormat="1" ht="12.4" customHeight="1" x14ac:dyDescent="0.35">
      <c r="A122" s="1901"/>
      <c r="B122" s="1902"/>
      <c r="C122" s="634" t="str">
        <f>B180</f>
        <v>C3</v>
      </c>
      <c r="D122" s="675"/>
      <c r="E122" s="643">
        <f>IF($C122="","",VLOOKUP($C122,studie!$D$166:$Z$216,8,FALSE))</f>
        <v>1330</v>
      </c>
      <c r="F122" s="643"/>
      <c r="G122" s="643">
        <f>IF($C122="","",VLOOKUP($C122,studie!$D$166:$Z$216,9,FALSE))</f>
        <v>710</v>
      </c>
      <c r="H122" s="643"/>
      <c r="I122" s="643">
        <f>IF($C122="","",VLOOKUP($C122,studie!$D$166:$Z$216,10,FALSE))</f>
        <v>1235</v>
      </c>
      <c r="J122" s="643"/>
      <c r="K122" s="633"/>
      <c r="L122" s="640">
        <f>IF($C122="","",VLOOKUP($C122,studie!$D$166:$Z$216,14,FALSE))</f>
        <v>25.5</v>
      </c>
      <c r="M122" s="1762"/>
      <c r="N122" s="1051"/>
      <c r="O122" s="1062">
        <f>IF($C122="","",VLOOKUP($C122,studie!$D$166:$Z$216,16,FALSE))</f>
        <v>0.99698626500000009</v>
      </c>
      <c r="P122" s="856"/>
      <c r="Q122" s="1052">
        <f>IF(OR($C122="",studie!$L$280&lt;&gt;"C"),"",VLOOKUP($C122,studie!$D$166:$Z$216,18,FALSE))</f>
        <v>0.97</v>
      </c>
      <c r="R122" s="856"/>
      <c r="S122" s="654">
        <f>IF($C122="","",VLOOKUP($C122,studie!$D$166:$Z$216,23,FALSE))</f>
        <v>2.1296180395475877</v>
      </c>
      <c r="T122" s="665"/>
    </row>
    <row r="123" spans="1:20" s="208" customFormat="1" ht="12.4" customHeight="1" x14ac:dyDescent="0.35">
      <c r="A123" s="1901"/>
      <c r="B123" s="1902"/>
      <c r="C123" s="660" t="str">
        <f>B181</f>
        <v>C4</v>
      </c>
      <c r="D123" s="676"/>
      <c r="E123" s="684">
        <f>IF($C123="","",VLOOKUP($C123,studie!$D$166:$Z$216,8,FALSE))</f>
        <v>0</v>
      </c>
      <c r="F123" s="684"/>
      <c r="G123" s="684">
        <f>IF($C123="","",VLOOKUP($C123,studie!$D$166:$Z$216,9,FALSE))</f>
        <v>0</v>
      </c>
      <c r="H123" s="684"/>
      <c r="I123" s="684">
        <f>IF($C123="","",VLOOKUP($C123,studie!$D$166:$Z$216,10,FALSE))</f>
        <v>0</v>
      </c>
      <c r="J123" s="684"/>
      <c r="K123" s="681"/>
      <c r="L123" s="714">
        <f>IF($C123="","",VLOOKUP($C123,studie!$D$166:$Z$216,14,FALSE))</f>
        <v>24.6</v>
      </c>
      <c r="M123" s="1763"/>
      <c r="N123" s="1053"/>
      <c r="O123" s="1063">
        <f>IF($C123="","",VLOOKUP($C123,studie!$D$166:$Z$216,16,FALSE))</f>
        <v>0.99721931280000009</v>
      </c>
      <c r="P123" s="857"/>
      <c r="Q123" s="1054">
        <f>IF(OR($C123="",studie!$L$280&lt;&gt;"C"),"",VLOOKUP($C123,studie!$D$166:$Z$216,18,FALSE))</f>
        <v>0.97</v>
      </c>
      <c r="R123" s="857"/>
      <c r="S123" s="666" t="str">
        <f>IF($C123="","",VLOOKUP($C123,studie!$D$166:$Z$216,23,FALSE))</f>
        <v/>
      </c>
      <c r="T123" s="667"/>
    </row>
    <row r="124" spans="1:20" s="208" customFormat="1" ht="12.4" customHeight="1" thickBot="1" x14ac:dyDescent="0.4">
      <c r="A124" s="1905"/>
      <c r="B124" s="1906"/>
      <c r="C124" s="663"/>
      <c r="D124" s="679"/>
      <c r="E124" s="687"/>
      <c r="F124" s="687"/>
      <c r="G124" s="687"/>
      <c r="H124" s="687"/>
      <c r="I124" s="683"/>
      <c r="J124" s="683"/>
      <c r="K124" s="683"/>
      <c r="L124" s="720"/>
      <c r="M124" s="921"/>
      <c r="N124" s="1059"/>
      <c r="O124" s="1066"/>
      <c r="P124" s="860"/>
      <c r="Q124" s="1060"/>
      <c r="R124" s="860"/>
      <c r="S124" s="672">
        <f>IF(studie!I309="","",studie!I309)</f>
        <v>2.1191415879837443</v>
      </c>
      <c r="T124" s="673"/>
    </row>
    <row r="125" spans="1:20" s="208" customFormat="1" ht="12.75" customHeight="1" x14ac:dyDescent="0.35"/>
    <row r="126" spans="1:20" s="210" customFormat="1" ht="10.5" x14ac:dyDescent="0.35">
      <c r="A126" s="2277" t="str">
        <f>'VN1'!$A$53</f>
        <v>801/64/</v>
      </c>
      <c r="B126" s="2277"/>
      <c r="C126" s="267" t="str">
        <f>algemeen!$J$66</f>
        <v>2010/13RE-1234/0</v>
      </c>
      <c r="D126" s="267"/>
      <c r="E126" s="268"/>
      <c r="F126" s="268"/>
      <c r="G126" s="268"/>
      <c r="H126" s="268"/>
      <c r="I126" s="269" t="str">
        <f>"blz. "&amp;berekeningen!H3+1&amp;" /"</f>
        <v>blz. 10 /</v>
      </c>
      <c r="J126" s="267">
        <f>berekeningen!O$2</f>
        <v>19</v>
      </c>
      <c r="K126" s="268"/>
      <c r="L126" s="268"/>
      <c r="M126" s="268" t="s">
        <v>610</v>
      </c>
      <c r="N126" s="268"/>
      <c r="O126" s="268"/>
      <c r="P126" s="268"/>
      <c r="Q126" s="268"/>
      <c r="R126" s="268"/>
      <c r="S126" s="268"/>
      <c r="T126" s="268"/>
    </row>
    <row r="127" spans="1:20" s="208" customFormat="1" ht="12.75" customHeight="1" x14ac:dyDescent="0.35">
      <c r="A127" s="852"/>
      <c r="B127" s="852"/>
      <c r="C127" s="852"/>
      <c r="D127" s="852"/>
      <c r="E127" s="994"/>
      <c r="F127" s="994"/>
      <c r="G127" s="994"/>
      <c r="H127" s="994"/>
      <c r="I127" s="852"/>
      <c r="J127" s="852"/>
      <c r="K127" s="852"/>
      <c r="L127" s="995"/>
      <c r="M127" s="995"/>
    </row>
    <row r="128" spans="1:20" s="208" customFormat="1" ht="12.75" customHeight="1" x14ac:dyDescent="0.35">
      <c r="A128" s="852"/>
      <c r="B128" s="852"/>
      <c r="C128" s="852"/>
      <c r="D128" s="852"/>
      <c r="E128" s="994"/>
      <c r="F128" s="994"/>
      <c r="G128" s="994"/>
      <c r="H128" s="994"/>
      <c r="I128" s="852"/>
      <c r="J128" s="852"/>
      <c r="K128" s="852"/>
      <c r="L128" s="995"/>
      <c r="M128" s="995"/>
    </row>
    <row r="129" spans="1:20" s="208" customFormat="1" ht="12.75" customHeight="1" x14ac:dyDescent="0.35">
      <c r="A129" s="852"/>
      <c r="B129" s="852"/>
      <c r="C129" s="852"/>
      <c r="D129" s="852"/>
      <c r="E129" s="994"/>
      <c r="F129" s="994"/>
      <c r="G129" s="994"/>
      <c r="H129" s="994"/>
      <c r="I129" s="852"/>
      <c r="J129" s="852"/>
      <c r="K129" s="852"/>
      <c r="L129" s="995"/>
      <c r="M129" s="995"/>
    </row>
    <row r="130" spans="1:20" s="208" customFormat="1" ht="12.4" customHeight="1" thickBot="1" x14ac:dyDescent="0.4">
      <c r="A130" s="779" t="str">
        <f>A36</f>
        <v>Vochtige proefstukken vóór exsiccator</v>
      </c>
    </row>
    <row r="131" spans="1:20" s="208" customFormat="1" ht="12.4" customHeight="1" x14ac:dyDescent="0.35">
      <c r="A131" s="244" t="s">
        <v>183</v>
      </c>
      <c r="B131" s="245"/>
      <c r="C131" s="610" t="s">
        <v>336</v>
      </c>
      <c r="D131" s="611"/>
      <c r="E131" s="610" t="str">
        <f>studie!K164</f>
        <v>Massa's (g)</v>
      </c>
      <c r="F131" s="245"/>
      <c r="G131" s="245"/>
      <c r="H131" s="245"/>
      <c r="I131" s="245"/>
      <c r="J131" s="245"/>
      <c r="K131" s="245"/>
      <c r="L131" s="610" t="s">
        <v>487</v>
      </c>
      <c r="M131" s="245"/>
      <c r="N131" s="611"/>
      <c r="O131" s="245" t="s">
        <v>1004</v>
      </c>
      <c r="P131" s="245"/>
      <c r="Q131" s="245"/>
      <c r="R131" s="245"/>
      <c r="S131" s="658" t="s">
        <v>820</v>
      </c>
      <c r="T131" s="659" t="str">
        <f>IF(studie!$L$280="A","b dry",IF(studie!$L$280="B","b ssd",IF(studie!$L$280="C","b sea",IF(studie!$L$280="D","b dim",""))))</f>
        <v>b sea</v>
      </c>
    </row>
    <row r="132" spans="1:20" s="208" customFormat="1" ht="12.4" customHeight="1" x14ac:dyDescent="0.35">
      <c r="A132" s="247" t="s">
        <v>185</v>
      </c>
      <c r="B132" s="248"/>
      <c r="C132" s="612" t="s">
        <v>338</v>
      </c>
      <c r="D132" s="613"/>
      <c r="E132" s="612" t="str">
        <f>studie!K165</f>
        <v>in lucht</v>
      </c>
      <c r="F132" s="248"/>
      <c r="G132" s="248" t="str">
        <f>IF(studie!L280="D","",studie!L165)</f>
        <v>in water</v>
      </c>
      <c r="H132" s="248"/>
      <c r="I132" s="248" t="str">
        <f>IF(studie!L280="B","afgedroogd",IF(studie!L280="C","met paraffine",""))</f>
        <v>met paraffine</v>
      </c>
      <c r="J132" s="248"/>
      <c r="K132" s="248"/>
      <c r="L132" s="612" t="s">
        <v>1002</v>
      </c>
      <c r="M132" s="248"/>
      <c r="N132" s="613"/>
      <c r="O132" s="248" t="s">
        <v>568</v>
      </c>
      <c r="P132" s="248"/>
      <c r="Q132" s="704" t="str">
        <f>IF(studie!L280="C","paraffine","")</f>
        <v>paraffine</v>
      </c>
      <c r="R132" s="248"/>
      <c r="S132" s="612" t="s">
        <v>418</v>
      </c>
      <c r="T132" s="249"/>
    </row>
    <row r="133" spans="1:20" s="208" customFormat="1" ht="12.4" customHeight="1" x14ac:dyDescent="0.35">
      <c r="A133" s="1899">
        <f>A168</f>
        <v>3.5500000000000003</v>
      </c>
      <c r="B133" s="1900"/>
      <c r="C133" s="631" t="str">
        <f>IF(studie!Q292="","",studie!Q292)</f>
        <v>A1v</v>
      </c>
      <c r="D133" s="674"/>
      <c r="E133" s="637">
        <f>IF($C133="","",VLOOKUP($C133,studie!$D$166:$Z$216,8,FALSE))</f>
        <v>1220</v>
      </c>
      <c r="F133" s="637"/>
      <c r="G133" s="637">
        <f>IF($C133="","",VLOOKUP($C133,studie!$D$166:$Z$216,9,FALSE))</f>
        <v>700</v>
      </c>
      <c r="H133" s="637"/>
      <c r="I133" s="637">
        <f>IF($C133="","",VLOOKUP($C133,studie!$D$166:$Z$216,10,FALSE))</f>
        <v>1225</v>
      </c>
      <c r="J133" s="637"/>
      <c r="K133" s="680"/>
      <c r="L133" s="632">
        <f>IF($C133="","",VLOOKUP($C133,studie!$D$166:$Z$216,14,FALSE))</f>
        <v>24.1</v>
      </c>
      <c r="M133" s="1761"/>
      <c r="N133" s="1766"/>
      <c r="O133" s="1061">
        <f>IF($C133="","",VLOOKUP($C133,studie!$D$166:$Z$216,16,FALSE))</f>
        <v>0.9973450598000001</v>
      </c>
      <c r="P133" s="872"/>
      <c r="Q133" s="1050">
        <f>IF(OR($C133="",studie!$L$280&lt;&gt;"C"),"",VLOOKUP($C133,studie!$D$166:$Z$216,18,FALSE))</f>
        <v>0.97</v>
      </c>
      <c r="R133" s="872"/>
      <c r="S133" s="653">
        <f>IF($C133="","",VLOOKUP($C133,studie!$D$166:$Z$216,23,FALSE))</f>
        <v>2.3176399484876193</v>
      </c>
      <c r="T133" s="664"/>
    </row>
    <row r="134" spans="1:20" s="208" customFormat="1" ht="12.4" customHeight="1" x14ac:dyDescent="0.35">
      <c r="A134" s="1901"/>
      <c r="B134" s="1902"/>
      <c r="C134" s="634" t="str">
        <f>IF(studie!Q293="","",studie!Q293)</f>
        <v>A2v</v>
      </c>
      <c r="D134" s="675"/>
      <c r="E134" s="643">
        <f>IF($C134="","",VLOOKUP($C134,studie!$D$166:$Z$216,8,FALSE))</f>
        <v>1230</v>
      </c>
      <c r="F134" s="643"/>
      <c r="G134" s="643">
        <f>IF($C134="","",VLOOKUP($C134,studie!$D$166:$Z$216,9,FALSE))</f>
        <v>705</v>
      </c>
      <c r="H134" s="643"/>
      <c r="I134" s="643">
        <f>IF($C134="","",VLOOKUP($C134,studie!$D$166:$Z$216,10,FALSE))</f>
        <v>1250</v>
      </c>
      <c r="J134" s="643"/>
      <c r="K134" s="633"/>
      <c r="L134" s="640">
        <f>IF($C134="","",VLOOKUP($C134,studie!$D$166:$Z$216,14,FALSE))</f>
        <v>24.2</v>
      </c>
      <c r="M134" s="1762"/>
      <c r="N134" s="1767"/>
      <c r="O134" s="1062">
        <f>IF($C134="","",VLOOKUP($C134,studie!$D$166:$Z$216,16,FALSE))</f>
        <v>0.99732012320000007</v>
      </c>
      <c r="P134" s="856"/>
      <c r="Q134" s="1052">
        <f>IF(OR($C134="",studie!$L$280&lt;&gt;"C"),"",VLOOKUP($C134,studie!$D$166:$Z$216,18,FALSE))</f>
        <v>0.97</v>
      </c>
      <c r="R134" s="856"/>
      <c r="S134" s="654">
        <f>IF($C134="","",VLOOKUP($C134,studie!$D$166:$Z$216,23,FALSE))</f>
        <v>2.2508325716256881</v>
      </c>
      <c r="T134" s="665"/>
    </row>
    <row r="135" spans="1:20" s="208" customFormat="1" ht="12.4" customHeight="1" x14ac:dyDescent="0.35">
      <c r="A135" s="1901"/>
      <c r="B135" s="1902"/>
      <c r="C135" s="634" t="str">
        <f>IF(studie!Q294="","",studie!Q294)</f>
        <v>A3v</v>
      </c>
      <c r="D135" s="675"/>
      <c r="E135" s="643">
        <f>IF($C135="","",VLOOKUP($C135,studie!$D$166:$Z$216,8,FALSE))</f>
        <v>1230</v>
      </c>
      <c r="F135" s="643"/>
      <c r="G135" s="643">
        <f>IF($C135="","",VLOOKUP($C135,studie!$D$166:$Z$216,9,FALSE))</f>
        <v>710</v>
      </c>
      <c r="H135" s="643"/>
      <c r="I135" s="643">
        <f>IF($C135="","",VLOOKUP($C135,studie!$D$166:$Z$216,10,FALSE))</f>
        <v>1235</v>
      </c>
      <c r="J135" s="643"/>
      <c r="K135" s="633"/>
      <c r="L135" s="640">
        <f>IF($C135="","",VLOOKUP($C135,studie!$D$166:$Z$216,14,FALSE))</f>
        <v>24.3</v>
      </c>
      <c r="M135" s="1762"/>
      <c r="N135" s="1767"/>
      <c r="O135" s="1062">
        <f>IF($C135="","",VLOOKUP($C135,studie!$D$166:$Z$216,16,FALSE))</f>
        <v>0.99729508020000002</v>
      </c>
      <c r="P135" s="856"/>
      <c r="Q135" s="1052">
        <f>IF(OR($C135="",studie!$L$280&lt;&gt;"C"),"",VLOOKUP($C135,studie!$D$166:$Z$216,18,FALSE))</f>
        <v>0.97</v>
      </c>
      <c r="R135" s="856"/>
      <c r="S135" s="654">
        <f>IF($C135="","",VLOOKUP($C135,studie!$D$166:$Z$216,23,FALSE))</f>
        <v>2.3365199021828573</v>
      </c>
      <c r="T135" s="665"/>
    </row>
    <row r="136" spans="1:20" s="208" customFormat="1" ht="12.4" customHeight="1" x14ac:dyDescent="0.35">
      <c r="A136" s="1901"/>
      <c r="B136" s="1902"/>
      <c r="C136" s="660" t="str">
        <f>IF(studie!Q295="","",studie!Q295)</f>
        <v/>
      </c>
      <c r="D136" s="676"/>
      <c r="E136" s="684" t="str">
        <f>IF($C136="","",VLOOKUP($C136,studie!$D$166:$Z$216,8,FALSE))</f>
        <v/>
      </c>
      <c r="F136" s="684"/>
      <c r="G136" s="684" t="str">
        <f>IF($C136="","",VLOOKUP($C136,studie!$D$166:$Z$216,9,FALSE))</f>
        <v/>
      </c>
      <c r="H136" s="684"/>
      <c r="I136" s="684" t="str">
        <f>IF($C136="","",VLOOKUP($C136,studie!$D$166:$Z$216,10,FALSE))</f>
        <v/>
      </c>
      <c r="J136" s="684"/>
      <c r="K136" s="681"/>
      <c r="L136" s="714" t="str">
        <f>IF($C136="","",VLOOKUP($C136,studie!$D$166:$Z$216,14,FALSE))</f>
        <v/>
      </c>
      <c r="M136" s="1763"/>
      <c r="N136" s="1768"/>
      <c r="O136" s="1063" t="str">
        <f>IF($C136="","",VLOOKUP($C136,studie!$D$166:$Z$216,16,FALSE))</f>
        <v/>
      </c>
      <c r="P136" s="857"/>
      <c r="Q136" s="1054" t="str">
        <f>IF(OR($C136="",studie!$L$280&lt;&gt;"C"),"",VLOOKUP($C136,studie!$D$166:$Z$216,18,FALSE))</f>
        <v/>
      </c>
      <c r="R136" s="857"/>
      <c r="S136" s="666" t="str">
        <f>IF($C136="","",VLOOKUP($C136,studie!$D$166:$Z$216,23,FALSE))</f>
        <v/>
      </c>
      <c r="T136" s="667"/>
    </row>
    <row r="137" spans="1:20" s="208" customFormat="1" ht="12.4" customHeight="1" x14ac:dyDescent="0.35">
      <c r="A137" s="1903"/>
      <c r="B137" s="1904"/>
      <c r="C137" s="661"/>
      <c r="D137" s="677"/>
      <c r="E137" s="685"/>
      <c r="F137" s="685"/>
      <c r="G137" s="685"/>
      <c r="H137" s="685"/>
      <c r="I137" s="685"/>
      <c r="J137" s="685"/>
      <c r="K137" s="682"/>
      <c r="L137" s="716"/>
      <c r="M137" s="1764"/>
      <c r="N137" s="1769"/>
      <c r="O137" s="1064"/>
      <c r="P137" s="858"/>
      <c r="Q137" s="1056"/>
      <c r="R137" s="858"/>
      <c r="S137" s="668">
        <f>IF(studie!X297="","",studie!X297)</f>
        <v>2.3016641407653879</v>
      </c>
      <c r="T137" s="669"/>
    </row>
    <row r="138" spans="1:20" s="208" customFormat="1" ht="12.4" customHeight="1" x14ac:dyDescent="0.35">
      <c r="A138" s="1899">
        <f>A173</f>
        <v>3.85</v>
      </c>
      <c r="B138" s="1900"/>
      <c r="C138" s="662" t="str">
        <f>IF(studie!Q298="","",studie!Q298)</f>
        <v>B1'</v>
      </c>
      <c r="D138" s="678"/>
      <c r="E138" s="686">
        <f>IF($C138="","",VLOOKUP($C138,studie!$D$166:$Z$216,8,FALSE))</f>
        <v>1120</v>
      </c>
      <c r="F138" s="686"/>
      <c r="G138" s="686">
        <f>IF($C138="","",VLOOKUP($C138,studie!$D$166:$Z$216,9,FALSE))</f>
        <v>700</v>
      </c>
      <c r="H138" s="686"/>
      <c r="I138" s="686">
        <f>IF($C138="","",VLOOKUP($C138,studie!$D$166:$Z$216,10,FALSE))</f>
        <v>1225</v>
      </c>
      <c r="J138" s="686"/>
      <c r="K138" s="630"/>
      <c r="L138" s="718">
        <f>IF($C138="","",VLOOKUP($C138,studie!$D$166:$Z$216,14,FALSE))</f>
        <v>25.1</v>
      </c>
      <c r="M138" s="1765"/>
      <c r="N138" s="1770"/>
      <c r="O138" s="1065">
        <f>IF($C138="","",VLOOKUP($C138,studie!$D$166:$Z$216,16,FALSE))</f>
        <v>0.99709090580000004</v>
      </c>
      <c r="P138" s="859"/>
      <c r="Q138" s="1058">
        <f>IF(OR($C138="",studie!$L$280&lt;&gt;"C"),"",VLOOKUP($C138,studie!$D$166:$Z$216,18,FALSE))</f>
        <v>0.97</v>
      </c>
      <c r="R138" s="859"/>
      <c r="S138" s="670">
        <f>IF($C138="","",VLOOKUP($C138,studie!$D$166:$Z$216,23,FALSE))</f>
        <v>2.6776046323562217</v>
      </c>
      <c r="T138" s="671"/>
    </row>
    <row r="139" spans="1:20" s="208" customFormat="1" ht="12.4" customHeight="1" x14ac:dyDescent="0.35">
      <c r="A139" s="1901"/>
      <c r="B139" s="1902"/>
      <c r="C139" s="634" t="str">
        <f>IF(studie!Q299="","",studie!Q299)</f>
        <v>B2'</v>
      </c>
      <c r="D139" s="675"/>
      <c r="E139" s="643">
        <f>IF($C139="","",VLOOKUP($C139,studie!$D$166:$Z$216,8,FALSE))</f>
        <v>1130</v>
      </c>
      <c r="F139" s="643"/>
      <c r="G139" s="643">
        <f>IF($C139="","",VLOOKUP($C139,studie!$D$166:$Z$216,9,FALSE))</f>
        <v>705</v>
      </c>
      <c r="H139" s="643"/>
      <c r="I139" s="643">
        <f>IF($C139="","",VLOOKUP($C139,studie!$D$166:$Z$216,10,FALSE))</f>
        <v>1250</v>
      </c>
      <c r="J139" s="643"/>
      <c r="K139" s="633"/>
      <c r="L139" s="640">
        <f>IF($C139="","",VLOOKUP($C139,studie!$D$166:$Z$216,14,FALSE))</f>
        <v>25.2</v>
      </c>
      <c r="M139" s="1762"/>
      <c r="N139" s="1767"/>
      <c r="O139" s="1062">
        <f>IF($C139="","",VLOOKUP($C139,studie!$D$166:$Z$216,16,FALSE))</f>
        <v>0.99706490520000002</v>
      </c>
      <c r="P139" s="856"/>
      <c r="Q139" s="1052">
        <f>IF(OR($C139="",studie!$L$280&lt;&gt;"C"),"",VLOOKUP($C139,studie!$D$166:$Z$216,18,FALSE))</f>
        <v>0.97</v>
      </c>
      <c r="R139" s="856"/>
      <c r="S139" s="654">
        <f>IF($C139="","",VLOOKUP($C139,studie!$D$166:$Z$216,23,FALSE))</f>
        <v>2.6720707423877994</v>
      </c>
      <c r="T139" s="665"/>
    </row>
    <row r="140" spans="1:20" s="208" customFormat="1" ht="12.4" customHeight="1" x14ac:dyDescent="0.35">
      <c r="A140" s="1901"/>
      <c r="B140" s="1902"/>
      <c r="C140" s="634" t="str">
        <f>IF(studie!Q300="","",studie!Q300)</f>
        <v>B3'</v>
      </c>
      <c r="D140" s="675"/>
      <c r="E140" s="643">
        <f>IF($C140="","",VLOOKUP($C140,studie!$D$166:$Z$216,8,FALSE))</f>
        <v>1130</v>
      </c>
      <c r="F140" s="643"/>
      <c r="G140" s="643">
        <f>IF($C140="","",VLOOKUP($C140,studie!$D$166:$Z$216,9,FALSE))</f>
        <v>710</v>
      </c>
      <c r="H140" s="643"/>
      <c r="I140" s="643">
        <f>IF($C140="","",VLOOKUP($C140,studie!$D$166:$Z$216,10,FALSE))</f>
        <v>1235</v>
      </c>
      <c r="J140" s="643"/>
      <c r="K140" s="633"/>
      <c r="L140" s="640">
        <f>IF($C140="","",VLOOKUP($C140,studie!$D$166:$Z$216,14,FALSE))</f>
        <v>25.3</v>
      </c>
      <c r="M140" s="1762"/>
      <c r="N140" s="1767"/>
      <c r="O140" s="1062">
        <f>IF($C140="","",VLOOKUP($C140,studie!$D$166:$Z$216,16,FALSE))</f>
        <v>0.99703879820000008</v>
      </c>
      <c r="P140" s="856"/>
      <c r="Q140" s="1052">
        <f>IF(OR($C140="",studie!$L$280&lt;&gt;"C"),"",VLOOKUP($C140,studie!$D$166:$Z$216,18,FALSE))</f>
        <v>0.97</v>
      </c>
      <c r="R140" s="856"/>
      <c r="S140" s="654">
        <f>IF($C140="","",VLOOKUP($C140,studie!$D$166:$Z$216,23,FALSE))</f>
        <v>2.7013341031270728</v>
      </c>
      <c r="T140" s="665"/>
    </row>
    <row r="141" spans="1:20" s="208" customFormat="1" ht="12.4" customHeight="1" x14ac:dyDescent="0.35">
      <c r="A141" s="1901"/>
      <c r="B141" s="1902"/>
      <c r="C141" s="660" t="str">
        <f>IF(studie!Q301="","",studie!Q301)</f>
        <v>B4'</v>
      </c>
      <c r="D141" s="676"/>
      <c r="E141" s="684">
        <f>IF($C141="","",VLOOKUP($C141,studie!$D$166:$Z$216,8,FALSE))</f>
        <v>0</v>
      </c>
      <c r="F141" s="684"/>
      <c r="G141" s="684">
        <f>IF($C141="","",VLOOKUP($C141,studie!$D$166:$Z$216,9,FALSE))</f>
        <v>0</v>
      </c>
      <c r="H141" s="684"/>
      <c r="I141" s="684">
        <f>IF($C141="","",VLOOKUP($C141,studie!$D$166:$Z$216,10,FALSE))</f>
        <v>0</v>
      </c>
      <c r="J141" s="684"/>
      <c r="K141" s="681"/>
      <c r="L141" s="714">
        <f>IF($C141="","",VLOOKUP($C141,studie!$D$166:$Z$216,14,FALSE))</f>
        <v>25.4</v>
      </c>
      <c r="M141" s="1763"/>
      <c r="N141" s="1768"/>
      <c r="O141" s="1063">
        <f>IF($C141="","",VLOOKUP($C141,studie!$D$166:$Z$216,16,FALSE))</f>
        <v>0.9970125848000001</v>
      </c>
      <c r="P141" s="857"/>
      <c r="Q141" s="1054">
        <f>IF(OR($C141="",studie!$L$280&lt;&gt;"C"),"",VLOOKUP($C141,studie!$D$166:$Z$216,18,FALSE))</f>
        <v>0.97</v>
      </c>
      <c r="R141" s="857"/>
      <c r="S141" s="666" t="str">
        <f>IF($C141="","",VLOOKUP($C141,studie!$D$166:$Z$216,23,FALSE))</f>
        <v/>
      </c>
      <c r="T141" s="667"/>
    </row>
    <row r="142" spans="1:20" s="208" customFormat="1" ht="12.4" customHeight="1" x14ac:dyDescent="0.35">
      <c r="A142" s="1903"/>
      <c r="B142" s="1904"/>
      <c r="C142" s="661"/>
      <c r="D142" s="677"/>
      <c r="E142" s="685"/>
      <c r="F142" s="685"/>
      <c r="G142" s="685"/>
      <c r="H142" s="685"/>
      <c r="I142" s="685"/>
      <c r="J142" s="685"/>
      <c r="K142" s="682"/>
      <c r="L142" s="716"/>
      <c r="M142" s="1764"/>
      <c r="N142" s="1769"/>
      <c r="O142" s="1064"/>
      <c r="P142" s="858"/>
      <c r="Q142" s="1056"/>
      <c r="R142" s="858"/>
      <c r="S142" s="668">
        <f>IF(studie!X303="","",studie!X303)</f>
        <v>2.6836698259570313</v>
      </c>
      <c r="T142" s="669"/>
    </row>
    <row r="143" spans="1:20" s="208" customFormat="1" ht="12.4" customHeight="1" x14ac:dyDescent="0.35">
      <c r="A143" s="1899">
        <f>A178</f>
        <v>4.1500000000000004</v>
      </c>
      <c r="B143" s="1900"/>
      <c r="C143" s="662" t="str">
        <f>IF(studie!Q304="","",studie!Q304)</f>
        <v>C1v</v>
      </c>
      <c r="D143" s="678"/>
      <c r="E143" s="686">
        <f>IF($C143="","",VLOOKUP($C143,studie!$D$166:$Z$216,8,FALSE))</f>
        <v>1320</v>
      </c>
      <c r="F143" s="686"/>
      <c r="G143" s="686">
        <f>IF($C143="","",VLOOKUP($C143,studie!$D$166:$Z$216,9,FALSE))</f>
        <v>700</v>
      </c>
      <c r="H143" s="686"/>
      <c r="I143" s="686">
        <f>IF($C143="","",VLOOKUP($C143,studie!$D$166:$Z$216,10,FALSE))</f>
        <v>1225</v>
      </c>
      <c r="J143" s="686"/>
      <c r="K143" s="630"/>
      <c r="L143" s="718">
        <f>IF($C143="","",VLOOKUP($C143,studie!$D$166:$Z$216,14,FALSE))</f>
        <v>24.8</v>
      </c>
      <c r="M143" s="1765"/>
      <c r="N143" s="1770"/>
      <c r="O143" s="1065">
        <f>IF($C143="","",VLOOKUP($C143,studie!$D$166:$Z$216,16,FALSE))</f>
        <v>0.99716826920000001</v>
      </c>
      <c r="P143" s="859"/>
      <c r="Q143" s="1058">
        <f>IF(OR($C143="",studie!$L$280&lt;&gt;"C"),"",VLOOKUP($C143,studie!$D$166:$Z$216,18,FALSE))</f>
        <v>0.97</v>
      </c>
      <c r="R143" s="859"/>
      <c r="S143" s="670">
        <f>IF($C143="","",VLOOKUP($C143,studie!$D$166:$Z$216,23,FALSE))</f>
        <v>2.1139312037617932</v>
      </c>
      <c r="T143" s="671"/>
    </row>
    <row r="144" spans="1:20" s="208" customFormat="1" ht="12.4" customHeight="1" x14ac:dyDescent="0.35">
      <c r="A144" s="1901"/>
      <c r="B144" s="1902"/>
      <c r="C144" s="634" t="str">
        <f>IF(studie!Q305="","",studie!Q305)</f>
        <v>C2v</v>
      </c>
      <c r="D144" s="675"/>
      <c r="E144" s="643">
        <f>IF($C144="","",VLOOKUP($C144,studie!$D$166:$Z$216,8,FALSE))</f>
        <v>1330</v>
      </c>
      <c r="F144" s="643"/>
      <c r="G144" s="643">
        <f>IF($C144="","",VLOOKUP($C144,studie!$D$166:$Z$216,9,FALSE))</f>
        <v>705</v>
      </c>
      <c r="H144" s="643"/>
      <c r="I144" s="643">
        <f>IF($C144="","",VLOOKUP($C144,studie!$D$166:$Z$216,10,FALSE))</f>
        <v>1250</v>
      </c>
      <c r="J144" s="643"/>
      <c r="K144" s="633"/>
      <c r="L144" s="640">
        <f>IF($C144="","",VLOOKUP($C144,studie!$D$166:$Z$216,14,FALSE))</f>
        <v>24.9</v>
      </c>
      <c r="M144" s="1762"/>
      <c r="N144" s="1767"/>
      <c r="O144" s="1062">
        <f>IF($C144="","",VLOOKUP($C144,studie!$D$166:$Z$216,16,FALSE))</f>
        <v>0.99714258780000009</v>
      </c>
      <c r="P144" s="856"/>
      <c r="Q144" s="1052">
        <f>IF(OR($C144="",studie!$L$280&lt;&gt;"C"),"",VLOOKUP($C144,studie!$D$166:$Z$216,18,FALSE))</f>
        <v>0.97</v>
      </c>
      <c r="R144" s="856"/>
      <c r="S144" s="654">
        <f>IF($C144="","",VLOOKUP($C144,studie!$D$166:$Z$216,23,FALSE))</f>
        <v>2.1143464672176395</v>
      </c>
      <c r="T144" s="665"/>
    </row>
    <row r="145" spans="1:20" s="208" customFormat="1" ht="12.4" customHeight="1" x14ac:dyDescent="0.35">
      <c r="A145" s="1901"/>
      <c r="B145" s="1902"/>
      <c r="C145" s="634" t="str">
        <f>IF(studie!Q306="","",studie!Q306)</f>
        <v>C3v</v>
      </c>
      <c r="D145" s="675"/>
      <c r="E145" s="643">
        <f>IF($C145="","",VLOOKUP($C145,studie!$D$166:$Z$216,8,FALSE))</f>
        <v>1330</v>
      </c>
      <c r="F145" s="643"/>
      <c r="G145" s="643">
        <f>IF($C145="","",VLOOKUP($C145,studie!$D$166:$Z$216,9,FALSE))</f>
        <v>710</v>
      </c>
      <c r="H145" s="643"/>
      <c r="I145" s="643">
        <f>IF($C145="","",VLOOKUP($C145,studie!$D$166:$Z$216,10,FALSE))</f>
        <v>1235</v>
      </c>
      <c r="J145" s="643"/>
      <c r="K145" s="633"/>
      <c r="L145" s="640">
        <f>IF($C145="","",VLOOKUP($C145,studie!$D$166:$Z$216,14,FALSE))</f>
        <v>25</v>
      </c>
      <c r="M145" s="1762"/>
      <c r="N145" s="1767"/>
      <c r="O145" s="1062">
        <f>IF($C145="","",VLOOKUP($C145,studie!$D$166:$Z$216,16,FALSE))</f>
        <v>0.99711680000000003</v>
      </c>
      <c r="P145" s="856"/>
      <c r="Q145" s="1052">
        <f>IF(OR($C145="",studie!$L$280&lt;&gt;"C"),"",VLOOKUP($C145,studie!$D$166:$Z$216,18,FALSE))</f>
        <v>0.97</v>
      </c>
      <c r="R145" s="856"/>
      <c r="S145" s="654">
        <f>IF($C145="","",VLOOKUP($C145,studie!$D$166:$Z$216,23,FALSE))</f>
        <v>2.1298531385586492</v>
      </c>
      <c r="T145" s="665"/>
    </row>
    <row r="146" spans="1:20" s="208" customFormat="1" ht="12.4" customHeight="1" x14ac:dyDescent="0.35">
      <c r="A146" s="1901"/>
      <c r="B146" s="1902"/>
      <c r="C146" s="660" t="str">
        <f>IF(studie!Q307="","",studie!Q307)</f>
        <v>C4v</v>
      </c>
      <c r="D146" s="676"/>
      <c r="E146" s="684">
        <f>IF($C146="","",VLOOKUP($C146,studie!$D$166:$Z$216,8,FALSE))</f>
        <v>0</v>
      </c>
      <c r="F146" s="684"/>
      <c r="G146" s="684">
        <f>IF($C146="","",VLOOKUP($C146,studie!$D$166:$Z$216,9,FALSE))</f>
        <v>0</v>
      </c>
      <c r="H146" s="684"/>
      <c r="I146" s="684">
        <f>IF($C146="","",VLOOKUP($C146,studie!$D$166:$Z$216,10,FALSE))</f>
        <v>0</v>
      </c>
      <c r="J146" s="684"/>
      <c r="K146" s="681"/>
      <c r="L146" s="714">
        <f>IF($C146="","",VLOOKUP($C146,studie!$D$166:$Z$216,14,FALSE))</f>
        <v>25.1</v>
      </c>
      <c r="M146" s="1763"/>
      <c r="N146" s="1768"/>
      <c r="O146" s="1063">
        <f>IF($C146="","",VLOOKUP($C146,studie!$D$166:$Z$216,16,FALSE))</f>
        <v>0.99709090580000004</v>
      </c>
      <c r="P146" s="857"/>
      <c r="Q146" s="1054">
        <f>IF(OR($C146="",studie!$L$280&lt;&gt;"C"),"",VLOOKUP($C146,studie!$D$166:$Z$216,18,FALSE))</f>
        <v>0.97</v>
      </c>
      <c r="R146" s="857"/>
      <c r="S146" s="666" t="str">
        <f>IF($C146="","",VLOOKUP($C146,studie!$D$166:$Z$216,23,FALSE))</f>
        <v/>
      </c>
      <c r="T146" s="667"/>
    </row>
    <row r="147" spans="1:20" s="208" customFormat="1" ht="12.4" customHeight="1" thickBot="1" x14ac:dyDescent="0.4">
      <c r="A147" s="1905"/>
      <c r="B147" s="1906"/>
      <c r="C147" s="663"/>
      <c r="D147" s="679"/>
      <c r="E147" s="687"/>
      <c r="F147" s="687"/>
      <c r="G147" s="687"/>
      <c r="H147" s="687"/>
      <c r="I147" s="683"/>
      <c r="J147" s="683"/>
      <c r="K147" s="683"/>
      <c r="L147" s="720"/>
      <c r="M147" s="860"/>
      <c r="N147" s="1059"/>
      <c r="O147" s="1066"/>
      <c r="P147" s="860"/>
      <c r="Q147" s="1060"/>
      <c r="R147" s="860"/>
      <c r="S147" s="672">
        <f>IF(studie!X309="","",studie!X309)</f>
        <v>2.119376936512694</v>
      </c>
      <c r="T147" s="673"/>
    </row>
    <row r="148" spans="1:20" s="208" customFormat="1" ht="12.75" customHeight="1" x14ac:dyDescent="0.35">
      <c r="A148" s="852"/>
      <c r="B148" s="852"/>
      <c r="C148" s="852"/>
      <c r="D148" s="852"/>
      <c r="E148" s="994"/>
      <c r="F148" s="994"/>
      <c r="G148" s="994"/>
      <c r="H148" s="994"/>
      <c r="I148" s="852"/>
      <c r="J148" s="852"/>
      <c r="K148" s="852"/>
      <c r="L148" s="995"/>
      <c r="M148" s="995"/>
    </row>
    <row r="149" spans="1:20" s="208" customFormat="1" ht="12.75" customHeight="1" x14ac:dyDescent="0.35">
      <c r="A149" s="852"/>
      <c r="B149" s="852"/>
      <c r="C149" s="852"/>
      <c r="D149" s="852"/>
      <c r="E149" s="994"/>
      <c r="F149" s="994"/>
      <c r="G149" s="994"/>
      <c r="H149" s="994"/>
      <c r="I149" s="852"/>
      <c r="J149" s="852"/>
      <c r="K149" s="852"/>
      <c r="L149" s="995"/>
      <c r="M149" s="995"/>
    </row>
    <row r="150" spans="1:20" s="208" customFormat="1" ht="12.75" customHeight="1" thickBot="1" x14ac:dyDescent="0.4">
      <c r="A150" s="852"/>
      <c r="B150" s="852"/>
      <c r="C150" s="852"/>
      <c r="D150" s="852"/>
      <c r="E150" s="994"/>
      <c r="F150" s="994"/>
      <c r="G150" s="994"/>
      <c r="H150" s="994"/>
      <c r="I150" s="852"/>
      <c r="J150" s="852"/>
      <c r="K150" s="852"/>
      <c r="L150" s="995"/>
      <c r="M150" s="995"/>
    </row>
    <row r="151" spans="1:20" s="208" customFormat="1" ht="12.4" customHeight="1" x14ac:dyDescent="0.35">
      <c r="A151" s="244" t="s">
        <v>1043</v>
      </c>
      <c r="B151" s="245"/>
      <c r="C151" s="245"/>
      <c r="D151" s="245"/>
      <c r="E151" s="1068"/>
      <c r="F151" s="1068"/>
      <c r="G151" s="1068"/>
      <c r="H151" s="1069"/>
      <c r="I151" s="311"/>
      <c r="J151" s="1447" t="str">
        <f>IF(studie!E275="J","","PROEF NIET UITGEVOERD !")</f>
        <v/>
      </c>
      <c r="K151" s="852"/>
      <c r="L151" s="995"/>
      <c r="M151" s="995"/>
    </row>
    <row r="152" spans="1:20" s="208" customFormat="1" ht="12.4" customHeight="1" x14ac:dyDescent="0.35">
      <c r="A152" s="247" t="s">
        <v>1044</v>
      </c>
      <c r="B152" s="248"/>
      <c r="C152" s="248"/>
      <c r="D152" s="248"/>
      <c r="E152" s="1073" t="str">
        <f>S131</f>
        <v>r</v>
      </c>
      <c r="F152" s="1070" t="str">
        <f>T131</f>
        <v>b sea</v>
      </c>
      <c r="G152" s="1071" t="str">
        <f>S132</f>
        <v>(Mg/m³)</v>
      </c>
      <c r="H152" s="1072"/>
      <c r="I152" s="311"/>
      <c r="J152" s="852"/>
      <c r="K152" s="852"/>
      <c r="L152" s="995"/>
      <c r="M152" s="995"/>
    </row>
    <row r="153" spans="1:20" s="208" customFormat="1" ht="12.4" customHeight="1" x14ac:dyDescent="0.35">
      <c r="A153" s="1907">
        <f>A168</f>
        <v>3.5500000000000003</v>
      </c>
      <c r="B153" s="686"/>
      <c r="C153" s="686"/>
      <c r="D153" s="686"/>
      <c r="E153" s="670" t="str">
        <f>studie!Y297</f>
        <v/>
      </c>
      <c r="F153" s="686"/>
      <c r="G153" s="686"/>
      <c r="H153" s="729"/>
      <c r="I153" s="311"/>
      <c r="J153" s="852"/>
      <c r="K153" s="852"/>
      <c r="L153" s="995"/>
      <c r="M153" s="995"/>
    </row>
    <row r="154" spans="1:20" s="208" customFormat="1" ht="12.4" customHeight="1" x14ac:dyDescent="0.35">
      <c r="A154" s="1908">
        <f>A173</f>
        <v>3.85</v>
      </c>
      <c r="B154" s="643"/>
      <c r="C154" s="643"/>
      <c r="D154" s="643"/>
      <c r="E154" s="654">
        <f>studie!Y303</f>
        <v>4.4076649057966932E-4</v>
      </c>
      <c r="F154" s="643"/>
      <c r="G154" s="643"/>
      <c r="H154" s="723"/>
      <c r="I154" s="311"/>
      <c r="J154" s="852"/>
      <c r="K154" s="852"/>
      <c r="L154" s="995"/>
      <c r="M154" s="995"/>
    </row>
    <row r="155" spans="1:20" s="208" customFormat="1" ht="12.4" customHeight="1" thickBot="1" x14ac:dyDescent="0.4">
      <c r="A155" s="1909">
        <f>A178</f>
        <v>4.1500000000000004</v>
      </c>
      <c r="B155" s="647"/>
      <c r="C155" s="647"/>
      <c r="D155" s="647"/>
      <c r="E155" s="655">
        <f>studie!Y309</f>
        <v>2.3534852894968594E-4</v>
      </c>
      <c r="F155" s="647"/>
      <c r="G155" s="647"/>
      <c r="H155" s="1067"/>
      <c r="I155" s="311"/>
      <c r="J155" s="852"/>
      <c r="K155" s="852"/>
      <c r="L155" s="995"/>
      <c r="M155" s="995"/>
    </row>
    <row r="156" spans="1:20" s="208" customFormat="1" ht="12.75" customHeight="1" x14ac:dyDescent="0.35">
      <c r="A156" s="852"/>
      <c r="B156" s="852"/>
      <c r="C156" s="852"/>
      <c r="D156" s="852"/>
      <c r="E156" s="994"/>
      <c r="F156" s="994"/>
      <c r="G156" s="994"/>
      <c r="H156" s="994"/>
      <c r="I156" s="852"/>
      <c r="J156" s="852"/>
      <c r="K156" s="852"/>
      <c r="L156" s="995"/>
      <c r="M156" s="995"/>
    </row>
    <row r="157" spans="1:20" s="208" customFormat="1" ht="12.75" customHeight="1" x14ac:dyDescent="0.35">
      <c r="A157" s="852"/>
      <c r="B157" s="852"/>
      <c r="C157" s="852"/>
      <c r="D157" s="852"/>
      <c r="E157" s="994"/>
      <c r="F157" s="994"/>
      <c r="G157" s="994"/>
      <c r="H157" s="994"/>
      <c r="I157" s="852"/>
      <c r="J157" s="852"/>
      <c r="K157" s="852"/>
      <c r="L157" s="995"/>
      <c r="M157" s="995"/>
    </row>
    <row r="158" spans="1:20" s="208" customFormat="1" ht="12.75" customHeight="1" x14ac:dyDescent="0.35">
      <c r="A158" s="852"/>
      <c r="B158" s="852"/>
      <c r="C158" s="852"/>
      <c r="D158" s="852"/>
      <c r="E158" s="994"/>
      <c r="F158" s="994"/>
      <c r="G158" s="994"/>
      <c r="H158" s="994"/>
      <c r="I158" s="852"/>
      <c r="J158" s="852"/>
      <c r="K158" s="852"/>
      <c r="L158" s="995"/>
      <c r="M158" s="995"/>
    </row>
    <row r="159" spans="1:20" s="208" customFormat="1" ht="12.75" customHeight="1" x14ac:dyDescent="0.35">
      <c r="A159" s="852"/>
      <c r="B159" s="852"/>
      <c r="C159" s="852"/>
      <c r="D159" s="852"/>
      <c r="E159" s="994"/>
      <c r="F159" s="994"/>
      <c r="G159" s="994"/>
      <c r="H159" s="994"/>
      <c r="I159" s="852"/>
      <c r="J159" s="852"/>
      <c r="K159" s="852"/>
      <c r="L159" s="995"/>
      <c r="M159" s="995"/>
    </row>
    <row r="160" spans="1:20" s="208" customFormat="1" ht="12.4" customHeight="1" x14ac:dyDescent="0.35">
      <c r="A160" s="208" t="str">
        <f>studie!B281</f>
        <v>Toegepaste norm voor de bepaling van de watergevoeligheid:</v>
      </c>
      <c r="P160" s="311" t="str">
        <f>studie!L281</f>
        <v>EN 12697-12</v>
      </c>
      <c r="S160" s="311" t="str">
        <f>studie!N281</f>
        <v>Methode A</v>
      </c>
    </row>
    <row r="161" spans="1:22" s="208" customFormat="1" ht="12.4" customHeight="1" x14ac:dyDescent="0.35">
      <c r="A161" s="208" t="str">
        <f>studie!B282</f>
        <v>Toegepaste norm voor de bepaling van de splijttreksterkte:</v>
      </c>
      <c r="P161" s="311" t="str">
        <f>studie!L282</f>
        <v>EN 12697-23</v>
      </c>
    </row>
    <row r="162" spans="1:22" s="208" customFormat="1" ht="12.4" customHeight="1" x14ac:dyDescent="0.35">
      <c r="A162" s="208" t="s">
        <v>1360</v>
      </c>
      <c r="P162" s="311" t="str">
        <f>studie!L283&amp;" h bij "&amp;studie!L284&amp;" °C"</f>
        <v>11 h bij 24 °C</v>
      </c>
    </row>
    <row r="163" spans="1:22" s="208" customFormat="1" ht="12.4" customHeight="1" x14ac:dyDescent="0.35">
      <c r="A163" s="208" t="str">
        <f>studie!B285</f>
        <v>Proeftemperatuur bij de bepaling van de splijttreksterkte:</v>
      </c>
      <c r="P163" s="311" t="str">
        <f>studie!L285&amp;" °C"</f>
        <v>25 °C</v>
      </c>
    </row>
    <row r="164" spans="1:22" s="208" customFormat="1" ht="12.75" customHeight="1" thickBot="1" x14ac:dyDescent="0.4"/>
    <row r="165" spans="1:22" s="208" customFormat="1" ht="12.4" customHeight="1" x14ac:dyDescent="0.35">
      <c r="A165" s="748" t="s">
        <v>829</v>
      </c>
      <c r="B165" s="740" t="s">
        <v>449</v>
      </c>
      <c r="C165" s="740"/>
      <c r="D165" s="739"/>
      <c r="E165" s="739"/>
      <c r="F165" s="739"/>
      <c r="G165" s="739"/>
      <c r="H165" s="739"/>
      <c r="I165" s="741"/>
      <c r="J165" s="739"/>
      <c r="K165" s="740" t="s">
        <v>451</v>
      </c>
      <c r="L165" s="740"/>
      <c r="M165" s="739"/>
      <c r="N165" s="739"/>
      <c r="O165" s="739"/>
      <c r="P165" s="739"/>
      <c r="Q165" s="739"/>
      <c r="R165" s="741"/>
      <c r="S165" s="739"/>
      <c r="T165" s="754" t="s">
        <v>455</v>
      </c>
    </row>
    <row r="166" spans="1:22" s="208" customFormat="1" ht="12.4" customHeight="1" x14ac:dyDescent="0.35">
      <c r="A166" s="749" t="s">
        <v>830</v>
      </c>
      <c r="B166" s="750" t="s">
        <v>831</v>
      </c>
      <c r="C166" s="862" t="str">
        <f>studie!J290</f>
        <v>Kracht</v>
      </c>
      <c r="D166" s="1074"/>
      <c r="E166" s="743" t="s">
        <v>450</v>
      </c>
      <c r="F166" s="744"/>
      <c r="G166" s="745" t="s">
        <v>832</v>
      </c>
      <c r="H166" s="743" t="s">
        <v>139</v>
      </c>
      <c r="I166" s="745" t="s">
        <v>462</v>
      </c>
      <c r="J166" s="738"/>
      <c r="K166" s="750" t="s">
        <v>831</v>
      </c>
      <c r="L166" s="862" t="str">
        <f>studie!J290</f>
        <v>Kracht</v>
      </c>
      <c r="M166" s="1074"/>
      <c r="N166" s="743" t="s">
        <v>1510</v>
      </c>
      <c r="O166" s="744"/>
      <c r="P166" s="745" t="s">
        <v>832</v>
      </c>
      <c r="Q166" s="743" t="s">
        <v>139</v>
      </c>
      <c r="R166" s="745" t="s">
        <v>462</v>
      </c>
      <c r="S166" s="738"/>
      <c r="T166" s="753"/>
    </row>
    <row r="167" spans="1:22" s="208" customFormat="1" ht="12.4" customHeight="1" x14ac:dyDescent="0.35">
      <c r="A167" s="751" t="s">
        <v>185</v>
      </c>
      <c r="B167" s="752" t="s">
        <v>338</v>
      </c>
      <c r="C167" s="612" t="str">
        <f>studie!J291</f>
        <v>(N)</v>
      </c>
      <c r="D167" s="248"/>
      <c r="E167" s="612" t="s">
        <v>1465</v>
      </c>
      <c r="F167" s="248"/>
      <c r="G167" s="704" t="s">
        <v>132</v>
      </c>
      <c r="H167" s="612" t="s">
        <v>460</v>
      </c>
      <c r="I167" s="704" t="s">
        <v>262</v>
      </c>
      <c r="J167" s="248"/>
      <c r="K167" s="752" t="s">
        <v>338</v>
      </c>
      <c r="L167" s="612" t="str">
        <f>studie!J291</f>
        <v>(N)</v>
      </c>
      <c r="M167" s="248"/>
      <c r="N167" s="612" t="s">
        <v>1465</v>
      </c>
      <c r="O167" s="248"/>
      <c r="P167" s="704" t="s">
        <v>132</v>
      </c>
      <c r="Q167" s="612" t="s">
        <v>833</v>
      </c>
      <c r="R167" s="704" t="s">
        <v>262</v>
      </c>
      <c r="S167" s="248"/>
      <c r="T167" s="652" t="s">
        <v>132</v>
      </c>
    </row>
    <row r="168" spans="1:22" s="208" customFormat="1" ht="12.4" customHeight="1" x14ac:dyDescent="0.35">
      <c r="A168" s="1910">
        <f>IF(studie!B292="","",studie!B292)</f>
        <v>3.5500000000000003</v>
      </c>
      <c r="B168" s="631" t="str">
        <f>IF(studie!D292="","",studie!D292)</f>
        <v>A1</v>
      </c>
      <c r="C168" s="802">
        <f>IF(studie!D292="","",studie!J292)</f>
        <v>18000</v>
      </c>
      <c r="D168" s="1761"/>
      <c r="E168" s="802">
        <f>studie!K292</f>
        <v>1850</v>
      </c>
      <c r="F168" s="1761"/>
      <c r="G168" s="1190">
        <f>studie!L292</f>
        <v>9.4674556213017809</v>
      </c>
      <c r="H168" s="631" t="str">
        <f>IF(studie!M292="","",studie!M292)</f>
        <v>a</v>
      </c>
      <c r="I168" s="755" t="str">
        <f>IF(studie!N292="","",studie!N292)</f>
        <v>p</v>
      </c>
      <c r="J168" s="630"/>
      <c r="K168" s="631" t="str">
        <f>IF(studie!AK292="","",studie!AK292)</f>
        <v>A1nw</v>
      </c>
      <c r="L168" s="802">
        <f>IF(studie!AK292="","",studie!AP292)</f>
        <v>6780</v>
      </c>
      <c r="M168" s="706"/>
      <c r="N168" s="802">
        <f>studie!AQ292</f>
        <v>661</v>
      </c>
      <c r="O168" s="1761"/>
      <c r="P168" s="1190">
        <f>studie!AR292</f>
        <v>-0.45180722891565495</v>
      </c>
      <c r="Q168" s="631" t="str">
        <f>IF(studie!AS292="","",studie!AS292)</f>
        <v>aa</v>
      </c>
      <c r="R168" s="755" t="str">
        <f>IF(studie!AT292="","",studie!AT292)</f>
        <v>pp</v>
      </c>
      <c r="S168" s="630"/>
      <c r="T168" s="1453"/>
      <c r="V168" s="1121"/>
    </row>
    <row r="169" spans="1:22" s="208" customFormat="1" ht="12.4" customHeight="1" x14ac:dyDescent="0.35">
      <c r="A169" s="1911"/>
      <c r="B169" s="634" t="str">
        <f>IF(studie!D293="","",studie!D293)</f>
        <v>A2</v>
      </c>
      <c r="C169" s="869">
        <f>IF(studie!D293="","",studie!J293)</f>
        <v>17000</v>
      </c>
      <c r="D169" s="1762"/>
      <c r="E169" s="869">
        <f>studie!K293</f>
        <v>1660</v>
      </c>
      <c r="F169" s="1762"/>
      <c r="G169" s="1189">
        <f>studie!L293</f>
        <v>-1.7751479289940875</v>
      </c>
      <c r="H169" s="634" t="str">
        <f>IF(studie!M293="","",studie!M293)</f>
        <v>b</v>
      </c>
      <c r="I169" s="756" t="str">
        <f>IF(studie!N293="","",studie!N293)</f>
        <v>q</v>
      </c>
      <c r="J169" s="633"/>
      <c r="K169" s="634" t="str">
        <f>IF(studie!AK293="","",studie!AK293)</f>
        <v>A2nw</v>
      </c>
      <c r="L169" s="869">
        <f>IF(studie!AK293="","",studie!AP293)</f>
        <v>6760</v>
      </c>
      <c r="M169" s="707"/>
      <c r="N169" s="869">
        <f>studie!AQ293</f>
        <v>663</v>
      </c>
      <c r="O169" s="1762"/>
      <c r="P169" s="1189">
        <f>studie!AR293</f>
        <v>-0.15060240963855165</v>
      </c>
      <c r="Q169" s="634" t="str">
        <f>IF(studie!AS293="","",studie!AS293)</f>
        <v>bb</v>
      </c>
      <c r="R169" s="756" t="str">
        <f>IF(studie!AT293="","",studie!AT293)</f>
        <v>qq</v>
      </c>
      <c r="S169" s="633"/>
      <c r="T169" s="1454"/>
    </row>
    <row r="170" spans="1:22" s="208" customFormat="1" ht="12.4" customHeight="1" x14ac:dyDescent="0.35">
      <c r="A170" s="1911"/>
      <c r="B170" s="634" t="str">
        <f>IF(studie!D294="","",studie!D294)</f>
        <v>A3</v>
      </c>
      <c r="C170" s="869">
        <f>IF(studie!D294="","",studie!J294)</f>
        <v>16000</v>
      </c>
      <c r="D170" s="1762"/>
      <c r="E170" s="869">
        <f>studie!K294</f>
        <v>1570</v>
      </c>
      <c r="F170" s="1762"/>
      <c r="G170" s="1189">
        <f>studie!L294</f>
        <v>-7.1005917159763356</v>
      </c>
      <c r="H170" s="634" t="str">
        <f>IF(studie!M294="","",studie!M294)</f>
        <v>c</v>
      </c>
      <c r="I170" s="756" t="str">
        <f>IF(studie!N294="","",studie!N294)</f>
        <v>r</v>
      </c>
      <c r="J170" s="633"/>
      <c r="K170" s="634" t="str">
        <f>IF(studie!AK294="","",studie!AK294)</f>
        <v>A3nw</v>
      </c>
      <c r="L170" s="869">
        <f>IF(studie!AK294="","",studie!AP294)</f>
        <v>6770</v>
      </c>
      <c r="M170" s="707"/>
      <c r="N170" s="869">
        <f>studie!AQ294</f>
        <v>668</v>
      </c>
      <c r="O170" s="1762"/>
      <c r="P170" s="1189">
        <f>studie!AR294</f>
        <v>0.60240963855422081</v>
      </c>
      <c r="Q170" s="634" t="str">
        <f>IF(studie!AS294="","",studie!AS294)</f>
        <v>cc</v>
      </c>
      <c r="R170" s="756" t="str">
        <f>IF(studie!AT294="","",studie!AT294)</f>
        <v>rr</v>
      </c>
      <c r="S170" s="633"/>
      <c r="T170" s="1454"/>
    </row>
    <row r="171" spans="1:22" s="208" customFormat="1" ht="12.4" customHeight="1" x14ac:dyDescent="0.35">
      <c r="A171" s="1911"/>
      <c r="B171" s="660" t="str">
        <f>IF(studie!D295="","",studie!D295)</f>
        <v/>
      </c>
      <c r="C171" s="870" t="str">
        <f>IF(studie!D295="","",studie!J295)</f>
        <v/>
      </c>
      <c r="D171" s="1763"/>
      <c r="E171" s="870" t="str">
        <f>studie!K295</f>
        <v/>
      </c>
      <c r="F171" s="1763"/>
      <c r="G171" s="1191" t="str">
        <f>studie!L295</f>
        <v/>
      </c>
      <c r="H171" s="660" t="str">
        <f>IF(studie!M295="","",studie!M295)</f>
        <v/>
      </c>
      <c r="I171" s="757" t="str">
        <f>IF(studie!N295="","",studie!N295)</f>
        <v/>
      </c>
      <c r="J171" s="681"/>
      <c r="K171" s="660" t="str">
        <f>IF(studie!AK295="","",studie!AK295)</f>
        <v/>
      </c>
      <c r="L171" s="870" t="str">
        <f>IF(studie!AK295="","",studie!AP295)</f>
        <v/>
      </c>
      <c r="M171" s="708"/>
      <c r="N171" s="870" t="str">
        <f>studie!AQ295</f>
        <v/>
      </c>
      <c r="O171" s="1763"/>
      <c r="P171" s="1191" t="str">
        <f>studie!AR295</f>
        <v/>
      </c>
      <c r="Q171" s="660" t="str">
        <f>IF(studie!AS295="","",studie!AS295)</f>
        <v/>
      </c>
      <c r="R171" s="757" t="str">
        <f>IF(studie!AT295="","",studie!AT295)</f>
        <v/>
      </c>
      <c r="S171" s="681"/>
      <c r="T171" s="1455"/>
    </row>
    <row r="172" spans="1:22" s="208" customFormat="1" ht="12.4" customHeight="1" x14ac:dyDescent="0.35">
      <c r="A172" s="1912"/>
      <c r="B172" s="661"/>
      <c r="C172" s="805"/>
      <c r="D172" s="1764"/>
      <c r="E172" s="805">
        <f>studie!K297</f>
        <v>1690</v>
      </c>
      <c r="F172" s="1764"/>
      <c r="G172" s="1192"/>
      <c r="H172" s="661"/>
      <c r="I172" s="758"/>
      <c r="J172" s="682"/>
      <c r="K172" s="661"/>
      <c r="L172" s="805"/>
      <c r="M172" s="709"/>
      <c r="N172" s="805">
        <f>studie!AQ297</f>
        <v>664</v>
      </c>
      <c r="O172" s="1764"/>
      <c r="P172" s="1192"/>
      <c r="Q172" s="661"/>
      <c r="R172" s="758"/>
      <c r="S172" s="682"/>
      <c r="T172" s="1782">
        <f>studie!AU297</f>
        <v>39.299999999999997</v>
      </c>
    </row>
    <row r="173" spans="1:22" s="208" customFormat="1" ht="12.4" customHeight="1" x14ac:dyDescent="0.35">
      <c r="A173" s="1910">
        <f>IF(studie!B298="","",studie!B298)</f>
        <v>3.85</v>
      </c>
      <c r="B173" s="662" t="str">
        <f>IF(studie!D298="","",studie!D298)</f>
        <v>B1</v>
      </c>
      <c r="C173" s="806">
        <f>IF(studie!D298="","",studie!J298)</f>
        <v>12000</v>
      </c>
      <c r="D173" s="1765"/>
      <c r="E173" s="806">
        <f>studie!K298</f>
        <v>1010</v>
      </c>
      <c r="F173" s="1765"/>
      <c r="G173" s="1193">
        <f>studie!L298</f>
        <v>7.982897647287885</v>
      </c>
      <c r="H173" s="662" t="str">
        <f>IF(studie!M298="","",studie!M298)</f>
        <v>f</v>
      </c>
      <c r="I173" s="755" t="str">
        <f>IF(studie!N298="","",studie!N298)</f>
        <v>u</v>
      </c>
      <c r="J173" s="630"/>
      <c r="K173" s="662" t="str">
        <f>IF(studie!AK298="","",studie!AK298)</f>
        <v>B1'''</v>
      </c>
      <c r="L173" s="806">
        <f>IF(studie!AK298="","",studie!AP298)</f>
        <v>6800</v>
      </c>
      <c r="M173" s="710"/>
      <c r="N173" s="806">
        <f>studie!AQ298</f>
        <v>578</v>
      </c>
      <c r="O173" s="1765"/>
      <c r="P173" s="1193">
        <f>studie!AR298</f>
        <v>-1.4212564764784759</v>
      </c>
      <c r="Q173" s="662" t="str">
        <f>IF(studie!AS298="","",studie!AS298)</f>
        <v>ff</v>
      </c>
      <c r="R173" s="755" t="str">
        <f>IF(studie!AT298="","",studie!AT298)</f>
        <v>uu</v>
      </c>
      <c r="S173" s="630"/>
      <c r="T173" s="1453"/>
    </row>
    <row r="174" spans="1:22" s="208" customFormat="1" ht="12.4" customHeight="1" x14ac:dyDescent="0.35">
      <c r="A174" s="1911"/>
      <c r="B174" s="634" t="str">
        <f>IF(studie!D299="","",studie!D299)</f>
        <v>B2</v>
      </c>
      <c r="C174" s="869">
        <f>IF(studie!D299="","",studie!J299)</f>
        <v>11000</v>
      </c>
      <c r="D174" s="1762"/>
      <c r="E174" s="869">
        <f>studie!K299</f>
        <v>935</v>
      </c>
      <c r="F174" s="1762"/>
      <c r="G174" s="1189">
        <f>studie!L299</f>
        <v>-3.5634356223596342E-2</v>
      </c>
      <c r="H174" s="634" t="str">
        <f>IF(studie!M299="","",studie!M299)</f>
        <v>g</v>
      </c>
      <c r="I174" s="756" t="str">
        <f>IF(studie!N299="","",studie!N299)</f>
        <v>v</v>
      </c>
      <c r="J174" s="633"/>
      <c r="K174" s="634" t="str">
        <f>IF(studie!AK299="","",studie!AK299)</f>
        <v>B2'''</v>
      </c>
      <c r="L174" s="869">
        <f>IF(studie!AK299="","",studie!AP299)</f>
        <v>6810</v>
      </c>
      <c r="M174" s="707"/>
      <c r="N174" s="869">
        <f>studie!AQ299</f>
        <v>586</v>
      </c>
      <c r="O174" s="1762"/>
      <c r="P174" s="1189">
        <f>studie!AR299</f>
        <v>-5.6844801412438528E-2</v>
      </c>
      <c r="Q174" s="634" t="str">
        <f>IF(studie!AS299="","",studie!AS299)</f>
        <v>gg</v>
      </c>
      <c r="R174" s="756" t="str">
        <f>IF(studie!AT299="","",studie!AT299)</f>
        <v>vv</v>
      </c>
      <c r="S174" s="633"/>
      <c r="T174" s="1454"/>
    </row>
    <row r="175" spans="1:22" s="208" customFormat="1" ht="12.4" customHeight="1" x14ac:dyDescent="0.35">
      <c r="A175" s="1911"/>
      <c r="B175" s="634" t="str">
        <f>IF(studie!D300="","",studie!D300)</f>
        <v>B3</v>
      </c>
      <c r="C175" s="869">
        <f>IF(studie!D300="","",studie!J300)</f>
        <v>10000</v>
      </c>
      <c r="D175" s="1762"/>
      <c r="E175" s="869">
        <f>studie!K300</f>
        <v>861</v>
      </c>
      <c r="F175" s="1762"/>
      <c r="G175" s="1189">
        <f>studie!L300</f>
        <v>-7.9472525996882553</v>
      </c>
      <c r="H175" s="634" t="str">
        <f>IF(studie!M300="","",studie!M300)</f>
        <v>h</v>
      </c>
      <c r="I175" s="756" t="str">
        <f>IF(studie!N300="","",studie!N300)</f>
        <v>w</v>
      </c>
      <c r="J175" s="633"/>
      <c r="K175" s="634" t="str">
        <f>IF(studie!AK300="","",studie!AK300)</f>
        <v>B3'''</v>
      </c>
      <c r="L175" s="869">
        <f>IF(studie!AK300="","",studie!AP300)</f>
        <v>6820</v>
      </c>
      <c r="M175" s="707"/>
      <c r="N175" s="869">
        <f>studie!AQ300</f>
        <v>595</v>
      </c>
      <c r="O175" s="1762"/>
      <c r="P175" s="1189">
        <f>studie!AR300</f>
        <v>1.4781183330368606</v>
      </c>
      <c r="Q175" s="634" t="str">
        <f>IF(studie!AS300="","",studie!AS300)</f>
        <v>hh</v>
      </c>
      <c r="R175" s="756" t="str">
        <f>IF(studie!AT300="","",studie!AT300)</f>
        <v>ww</v>
      </c>
      <c r="S175" s="633"/>
      <c r="T175" s="1454"/>
    </row>
    <row r="176" spans="1:22" s="208" customFormat="1" ht="12.4" customHeight="1" x14ac:dyDescent="0.35">
      <c r="A176" s="1911"/>
      <c r="B176" s="660" t="str">
        <f>IF(studie!D301="","",studie!D301)</f>
        <v>B4</v>
      </c>
      <c r="C176" s="870">
        <f>IF(studie!D301="","",studie!J301)</f>
        <v>9000</v>
      </c>
      <c r="D176" s="1763"/>
      <c r="E176" s="870">
        <f>studie!K301</f>
        <v>785</v>
      </c>
      <c r="F176" s="1763"/>
      <c r="G176" s="1191">
        <f>studie!L301</f>
        <v>-16.072698363246545</v>
      </c>
      <c r="H176" s="660" t="str">
        <f>IF(studie!M301="","",studie!M301)</f>
        <v>i</v>
      </c>
      <c r="I176" s="757" t="str">
        <f>IF(studie!N301="","",studie!N301)</f>
        <v>x</v>
      </c>
      <c r="J176" s="681"/>
      <c r="K176" s="660" t="str">
        <f>IF(studie!AK301="","",studie!AK301)</f>
        <v>B4'''</v>
      </c>
      <c r="L176" s="870">
        <f>IF(studie!AK301="","",studie!AP301)</f>
        <v>6830</v>
      </c>
      <c r="M176" s="708"/>
      <c r="N176" s="870">
        <f>studie!AQ301</f>
        <v>573</v>
      </c>
      <c r="O176" s="1763"/>
      <c r="P176" s="1191">
        <f>studie!AR301</f>
        <v>-2.2740137733947563</v>
      </c>
      <c r="Q176" s="660" t="str">
        <f>IF(studie!AS301="","",studie!AS301)</f>
        <v>ii</v>
      </c>
      <c r="R176" s="757" t="str">
        <f>IF(studie!AT301="","",studie!AT301)</f>
        <v>xx</v>
      </c>
      <c r="S176" s="681"/>
      <c r="T176" s="1455"/>
    </row>
    <row r="177" spans="1:20" s="208" customFormat="1" ht="12.4" customHeight="1" x14ac:dyDescent="0.35">
      <c r="A177" s="1912"/>
      <c r="B177" s="661"/>
      <c r="C177" s="805"/>
      <c r="D177" s="1764"/>
      <c r="E177" s="805">
        <f>studie!K303</f>
        <v>935.33330000000001</v>
      </c>
      <c r="F177" s="1764"/>
      <c r="G177" s="1192"/>
      <c r="H177" s="661"/>
      <c r="I177" s="758"/>
      <c r="J177" s="682"/>
      <c r="K177" s="661"/>
      <c r="L177" s="805"/>
      <c r="M177" s="709"/>
      <c r="N177" s="805">
        <f>studie!AQ303</f>
        <v>586.33330000000001</v>
      </c>
      <c r="O177" s="1764"/>
      <c r="P177" s="1192"/>
      <c r="Q177" s="661"/>
      <c r="R177" s="758"/>
      <c r="S177" s="682"/>
      <c r="T177" s="1782">
        <f>studie!AU303</f>
        <v>62.7</v>
      </c>
    </row>
    <row r="178" spans="1:20" s="208" customFormat="1" ht="12.4" customHeight="1" x14ac:dyDescent="0.35">
      <c r="A178" s="1910">
        <f>IF(studie!B304="","",studie!B304)</f>
        <v>4.1500000000000004</v>
      </c>
      <c r="B178" s="662" t="str">
        <f>IF(studie!D304="","",studie!D304)</f>
        <v>C1</v>
      </c>
      <c r="C178" s="806">
        <f>IF(studie!D304="","",studie!J304)</f>
        <v>7000</v>
      </c>
      <c r="D178" s="1765"/>
      <c r="E178" s="806">
        <f>studie!K304</f>
        <v>513</v>
      </c>
      <c r="F178" s="1765"/>
      <c r="G178" s="1193">
        <f>studie!L304</f>
        <v>15.45387212707216</v>
      </c>
      <c r="H178" s="662" t="str">
        <f>IF(studie!M304="","",studie!M304)</f>
        <v>k</v>
      </c>
      <c r="I178" s="755" t="str">
        <f>IF(studie!N304="","",studie!N304)</f>
        <v>z</v>
      </c>
      <c r="J178" s="630"/>
      <c r="K178" s="662" t="str">
        <f>IF(studie!AK304="","",studie!AK304)</f>
        <v>C1nw</v>
      </c>
      <c r="L178" s="806">
        <f>IF(studie!AK304="","",studie!AP304)</f>
        <v>6850</v>
      </c>
      <c r="M178" s="710"/>
      <c r="N178" s="806">
        <f>studie!AQ304</f>
        <v>508</v>
      </c>
      <c r="O178" s="1765"/>
      <c r="P178" s="1193">
        <f>studie!AR304</f>
        <v>-1.2313610648970297</v>
      </c>
      <c r="Q178" s="662" t="str">
        <f>IF(studie!AS304="","",studie!AS304)</f>
        <v>kk</v>
      </c>
      <c r="R178" s="755" t="str">
        <f>IF(studie!AT304="","",studie!AT304)</f>
        <v>zz</v>
      </c>
      <c r="S178" s="630"/>
      <c r="T178" s="1453"/>
    </row>
    <row r="179" spans="1:20" s="208" customFormat="1" ht="12.4" customHeight="1" x14ac:dyDescent="0.35">
      <c r="A179" s="1911"/>
      <c r="B179" s="634" t="str">
        <f>IF(studie!D305="","",studie!D305)</f>
        <v>C2</v>
      </c>
      <c r="C179" s="869">
        <f>IF(studie!D305="","",studie!J305)</f>
        <v>6000</v>
      </c>
      <c r="D179" s="1762"/>
      <c r="E179" s="869">
        <f>studie!K305</f>
        <v>445</v>
      </c>
      <c r="F179" s="1762"/>
      <c r="G179" s="1189">
        <f>studie!L305</f>
        <v>0.15004502250899066</v>
      </c>
      <c r="H179" s="634" t="str">
        <f>IF(studie!M305="","",studie!M305)</f>
        <v>l</v>
      </c>
      <c r="I179" s="756" t="str">
        <f>IF(studie!N305="","",studie!N305)</f>
        <v>a</v>
      </c>
      <c r="J179" s="633"/>
      <c r="K179" s="634" t="str">
        <f>IF(studie!AK305="","",studie!AK305)</f>
        <v>C2nw</v>
      </c>
      <c r="L179" s="869">
        <f>IF(studie!AK305="","",studie!AP305)</f>
        <v>6860</v>
      </c>
      <c r="M179" s="707"/>
      <c r="N179" s="869">
        <f>studie!AQ305</f>
        <v>514</v>
      </c>
      <c r="O179" s="1762"/>
      <c r="P179" s="1189">
        <f>studie!AR305</f>
        <v>-6.4802337317075853E-2</v>
      </c>
      <c r="Q179" s="634" t="str">
        <f>IF(studie!AS305="","",studie!AS305)</f>
        <v>ll</v>
      </c>
      <c r="R179" s="756" t="str">
        <f>IF(studie!AT305="","",studie!AT305)</f>
        <v>aaa</v>
      </c>
      <c r="S179" s="633"/>
      <c r="T179" s="1454"/>
    </row>
    <row r="180" spans="1:20" s="208" customFormat="1" ht="12.4" customHeight="1" x14ac:dyDescent="0.35">
      <c r="A180" s="1911"/>
      <c r="B180" s="634" t="str">
        <f>IF(studie!D306="","",studie!D306)</f>
        <v>C3</v>
      </c>
      <c r="C180" s="869">
        <f>IF(studie!D306="","",studie!J306)</f>
        <v>5000</v>
      </c>
      <c r="D180" s="1762"/>
      <c r="E180" s="869">
        <f>studie!K306</f>
        <v>375</v>
      </c>
      <c r="F180" s="1762"/>
      <c r="G180" s="1189">
        <f>studie!L306</f>
        <v>-15.603894643953083</v>
      </c>
      <c r="H180" s="634" t="str">
        <f>IF(studie!M306="","",studie!M306)</f>
        <v>m</v>
      </c>
      <c r="I180" s="756" t="str">
        <f>IF(studie!N306="","",studie!N306)</f>
        <v>b</v>
      </c>
      <c r="J180" s="633"/>
      <c r="K180" s="634" t="str">
        <f>IF(studie!AK306="","",studie!AK306)</f>
        <v>C3nw</v>
      </c>
      <c r="L180" s="869">
        <f>IF(studie!AK306="","",studie!AP306)</f>
        <v>6870</v>
      </c>
      <c r="M180" s="707"/>
      <c r="N180" s="869">
        <f>studie!AQ306</f>
        <v>521</v>
      </c>
      <c r="O180" s="1762"/>
      <c r="P180" s="1189">
        <f>studie!AR306</f>
        <v>1.296182844859544</v>
      </c>
      <c r="Q180" s="634" t="str">
        <f>IF(studie!AS306="","",studie!AS306)</f>
        <v>mm</v>
      </c>
      <c r="R180" s="756" t="str">
        <f>IF(studie!AT306="","",studie!AT306)</f>
        <v>bbb</v>
      </c>
      <c r="S180" s="633"/>
      <c r="T180" s="1454"/>
    </row>
    <row r="181" spans="1:20" s="208" customFormat="1" ht="12.4" customHeight="1" x14ac:dyDescent="0.35">
      <c r="A181" s="1911"/>
      <c r="B181" s="660" t="str">
        <f>IF(studie!D307="","",studie!D307)</f>
        <v>C4</v>
      </c>
      <c r="C181" s="870">
        <f>IF(studie!D307="","",studie!J307)</f>
        <v>4000</v>
      </c>
      <c r="D181" s="1763"/>
      <c r="E181" s="870">
        <f>studie!K307</f>
        <v>303</v>
      </c>
      <c r="F181" s="1763"/>
      <c r="G181" s="1191">
        <f>studie!L307</f>
        <v>-31.807946872314091</v>
      </c>
      <c r="H181" s="660" t="str">
        <f>IF(studie!M307="","",studie!M307)</f>
        <v>n</v>
      </c>
      <c r="I181" s="757" t="str">
        <f>IF(studie!N307="","",studie!N307)</f>
        <v>c</v>
      </c>
      <c r="J181" s="681"/>
      <c r="K181" s="660" t="str">
        <f>IF(studie!AK307="","",studie!AK307)</f>
        <v>C4nw</v>
      </c>
      <c r="L181" s="870">
        <f>IF(studie!AK307="","",studie!AP307)</f>
        <v>6880</v>
      </c>
      <c r="M181" s="708"/>
      <c r="N181" s="870">
        <f>studie!AQ307</f>
        <v>505</v>
      </c>
      <c r="O181" s="1763"/>
      <c r="P181" s="1191">
        <f>studie!AR307</f>
        <v>-1.8146404286869995</v>
      </c>
      <c r="Q181" s="660" t="str">
        <f>IF(studie!AS307="","",studie!AS307)</f>
        <v>nn</v>
      </c>
      <c r="R181" s="757" t="str">
        <f>IF(studie!AT307="","",studie!AT307)</f>
        <v>ccc</v>
      </c>
      <c r="S181" s="681"/>
      <c r="T181" s="1455"/>
    </row>
    <row r="182" spans="1:20" s="208" customFormat="1" ht="12.4" customHeight="1" thickBot="1" x14ac:dyDescent="0.4">
      <c r="A182" s="1913"/>
      <c r="B182" s="663"/>
      <c r="C182" s="672"/>
      <c r="D182" s="742"/>
      <c r="E182" s="831">
        <f>studie!K309</f>
        <v>444.33330000000001</v>
      </c>
      <c r="F182" s="921"/>
      <c r="G182" s="1194"/>
      <c r="H182" s="663"/>
      <c r="I182" s="759"/>
      <c r="J182" s="683"/>
      <c r="K182" s="663"/>
      <c r="L182" s="1080"/>
      <c r="M182" s="742"/>
      <c r="N182" s="831">
        <f>studie!AQ309</f>
        <v>514.33330000000001</v>
      </c>
      <c r="O182" s="921"/>
      <c r="P182" s="1194"/>
      <c r="Q182" s="663"/>
      <c r="R182" s="759"/>
      <c r="S182" s="683"/>
      <c r="T182" s="1783">
        <f>studie!AU309</f>
        <v>115.8</v>
      </c>
    </row>
    <row r="183" spans="1:20" s="208" customFormat="1" ht="12.75" customHeight="1" x14ac:dyDescent="0.35"/>
    <row r="184" spans="1:20" s="208" customFormat="1" ht="12.75" customHeight="1" x14ac:dyDescent="0.35"/>
    <row r="185" spans="1:20" s="208" customFormat="1" ht="12.75" customHeight="1" x14ac:dyDescent="0.35"/>
    <row r="186" spans="1:20" s="208" customFormat="1" ht="12.75" customHeight="1" x14ac:dyDescent="0.35"/>
    <row r="187" spans="1:20" s="208" customFormat="1" ht="12.75" customHeight="1" x14ac:dyDescent="0.35"/>
    <row r="188" spans="1:20" s="208" customFormat="1" ht="12.75" customHeight="1" x14ac:dyDescent="0.35"/>
    <row r="189" spans="1:20" s="208" customFormat="1" ht="12.75" customHeight="1" x14ac:dyDescent="0.35"/>
    <row r="190" spans="1:20" s="210" customFormat="1" ht="12.4" customHeight="1" x14ac:dyDescent="0.35">
      <c r="A190" s="2277" t="str">
        <f>'VN1'!$A$53</f>
        <v>801/64/</v>
      </c>
      <c r="B190" s="2277"/>
      <c r="C190" s="267" t="str">
        <f>algemeen!$J$66</f>
        <v>2010/13RE-1234/0</v>
      </c>
      <c r="D190" s="267"/>
      <c r="E190" s="268"/>
      <c r="F190" s="268"/>
      <c r="G190" s="268"/>
      <c r="H190" s="268"/>
      <c r="I190" s="269" t="str">
        <f>"blz. "&amp;berekeningen!H3+2&amp;" /"</f>
        <v>blz. 11 /</v>
      </c>
      <c r="J190" s="267">
        <f>berekeningen!O$2</f>
        <v>19</v>
      </c>
      <c r="K190" s="268"/>
      <c r="L190" s="268"/>
      <c r="M190" s="268" t="s">
        <v>610</v>
      </c>
      <c r="N190" s="268"/>
      <c r="O190" s="268"/>
      <c r="P190" s="268"/>
      <c r="Q190" s="268"/>
      <c r="R190" s="268"/>
      <c r="S190" s="268"/>
      <c r="T190" s="268"/>
    </row>
    <row r="191" spans="1:20" ht="12.75" customHeight="1" x14ac:dyDescent="0.35"/>
    <row r="192" spans="1:20"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sheetData>
  <sheetProtection algorithmName="SHA-512" hashValue="JUXz2zp694PPRq9TR+hZDcixYcyavCB2SVcpLvoVlpL/gxL8cZHyvWlL00xQTdB6DUUCLcmtJ3CrgUdmUc4vqw==" saltValue="/hNO7jSV7C/DK+KJjOnMzg==" spinCount="100000" sheet="1" objects="1" scenarios="1"/>
  <mergeCells count="3">
    <mergeCell ref="A126:B126"/>
    <mergeCell ref="A190:B190"/>
    <mergeCell ref="A62:B62"/>
  </mergeCells>
  <pageMargins left="0.59055118110236227" right="0.19685039370078741" top="0.39370078740157483" bottom="0.59055118110236227" header="0.31496062992125984" footer="0.31496062992125984"/>
  <pageSetup paperSize="9" orientation="portrait" r:id="rId1"/>
  <rowBreaks count="2" manualBreakCount="2">
    <brk id="62" max="19" man="1"/>
    <brk id="126" max="1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AF65"/>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1457</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IF(studie!E325="J",studie!E326,"")</f>
        <v>laboratoriumvalidatie</v>
      </c>
    </row>
    <row r="4" spans="1:20" s="208" customFormat="1" ht="13" x14ac:dyDescent="0.35">
      <c r="A4" s="208" t="str">
        <f>studie!B330</f>
        <v>Toegepaste methode voor de verdichting van de proefstukken (volgens EN 13108-20):</v>
      </c>
      <c r="P4" s="311" t="str">
        <f>IF(studie!E325="J",studie!L330,"")</f>
        <v>C.1.16</v>
      </c>
    </row>
    <row r="5" spans="1:20" s="208" customFormat="1" ht="13" x14ac:dyDescent="0.35">
      <c r="A5" s="208" t="str">
        <f>studie!B331</f>
        <v>Proefparameters (volgens EN 13108-20):</v>
      </c>
      <c r="P5" s="311" t="str">
        <f>IF(studie!E325="J",studie!L331,"")</f>
        <v>D.1.7</v>
      </c>
    </row>
    <row r="6" spans="1:20" s="208" customFormat="1" ht="13" x14ac:dyDescent="0.35">
      <c r="A6" s="208" t="str">
        <f>studie!B332</f>
        <v>Mengtemperatuur:</v>
      </c>
      <c r="P6" s="311" t="str">
        <f>IF(studie!E325="J",studie!L332&amp;" °C","")</f>
        <v>180 °C</v>
      </c>
    </row>
    <row r="7" spans="1:20" s="208" customFormat="1" ht="13" x14ac:dyDescent="0.35">
      <c r="A7" s="208" t="str">
        <f>studie!B333</f>
        <v>Verdichtingstemperatuur:</v>
      </c>
      <c r="P7" s="311" t="str">
        <f>IF(studie!E325="J",studie!L333&amp;" °C","")</f>
        <v>160 °C</v>
      </c>
    </row>
    <row r="8" spans="1:20" s="208" customFormat="1" ht="13" x14ac:dyDescent="0.35">
      <c r="A8" s="208" t="str">
        <f>studie!B334</f>
        <v xml:space="preserve">Toestel: </v>
      </c>
      <c r="P8" s="311" t="str">
        <f>IF(studie!E325="J",studie!J334,"")</f>
        <v>Large Size Device</v>
      </c>
      <c r="Q8" s="311"/>
      <c r="R8" s="311"/>
      <c r="S8" s="311"/>
    </row>
    <row r="9" spans="1:20" s="208" customFormat="1" ht="13" x14ac:dyDescent="0.35">
      <c r="A9" s="208" t="str">
        <f>studie!B335</f>
        <v>Proeftemperatuur:</v>
      </c>
      <c r="P9" s="311" t="str">
        <f>IF(studie!E325="J",studie!L335&amp;" °C","")</f>
        <v>50 °C</v>
      </c>
    </row>
    <row r="10" spans="1:20" s="208" customFormat="1" ht="13" x14ac:dyDescent="0.35">
      <c r="A10" s="208" t="str">
        <f>studie!B336</f>
        <v>Aantal cycli:</v>
      </c>
      <c r="P10" s="2320">
        <f>IF(studie!E325="J",studie!L336,"")</f>
        <v>30000</v>
      </c>
      <c r="Q10" s="2320"/>
      <c r="R10" s="2320"/>
      <c r="S10" s="2320"/>
      <c r="T10" s="2320"/>
    </row>
    <row r="11" spans="1:20" s="208" customFormat="1" ht="7.15" customHeight="1" thickBot="1" x14ac:dyDescent="0.4"/>
    <row r="12" spans="1:20" s="208" customFormat="1" ht="15" x14ac:dyDescent="0.35">
      <c r="A12" s="853" t="s">
        <v>1044</v>
      </c>
      <c r="B12" s="739"/>
      <c r="C12" s="739"/>
      <c r="D12" s="739"/>
      <c r="E12" s="740" t="s">
        <v>845</v>
      </c>
      <c r="F12" s="854"/>
      <c r="H12" s="779" t="str">
        <f>IF(studie!E325="J",studie!B329,"Dit kenmerk werd niet bepaald.")</f>
        <v>Zie afzonderlijk proefverslag van extern laboratorium.</v>
      </c>
    </row>
    <row r="13" spans="1:20" s="208" customFormat="1" ht="13.5" thickBot="1" x14ac:dyDescent="0.4">
      <c r="A13" s="1914">
        <f>IF(studie!B341="","",studie!B341)</f>
        <v>3.85</v>
      </c>
      <c r="B13" s="683"/>
      <c r="C13" s="683"/>
      <c r="D13" s="683"/>
      <c r="E13" s="720">
        <f>IF(studie!E325="J",studie!D341,"NPD")</f>
        <v>7.2</v>
      </c>
      <c r="F13" s="765"/>
    </row>
    <row r="14" spans="1:20" s="208" customFormat="1" ht="12.75" customHeight="1" x14ac:dyDescent="0.35"/>
    <row r="15" spans="1:20" ht="15" customHeight="1" x14ac:dyDescent="0.35">
      <c r="A15" s="736" t="s">
        <v>516</v>
      </c>
      <c r="B15" s="737"/>
      <c r="C15" s="737"/>
      <c r="D15" s="737"/>
      <c r="E15" s="737"/>
      <c r="F15" s="737"/>
      <c r="G15" s="737"/>
      <c r="H15" s="737"/>
      <c r="I15" s="737"/>
      <c r="J15" s="737"/>
      <c r="K15" s="737"/>
      <c r="L15" s="737"/>
      <c r="M15" s="737"/>
      <c r="N15" s="737"/>
      <c r="O15" s="737"/>
      <c r="P15" s="733" t="str">
        <f>'VN1'!$A$53</f>
        <v>801/64/</v>
      </c>
      <c r="Q15" s="732" t="str">
        <f>algemeen!$J$66</f>
        <v>2010/13RE-1234/0</v>
      </c>
      <c r="R15" s="542"/>
      <c r="S15" s="542"/>
      <c r="T15" s="543"/>
    </row>
    <row r="16" spans="1:20" s="208" customFormat="1" ht="13" x14ac:dyDescent="0.35"/>
    <row r="17" spans="1:20" s="208" customFormat="1" ht="13" x14ac:dyDescent="0.35">
      <c r="A17" s="208" t="s">
        <v>779</v>
      </c>
      <c r="F17" s="208" t="str">
        <f>IF(studie!E514="J",studie!E515,"")</f>
        <v>laboratoriumvalidatie</v>
      </c>
    </row>
    <row r="18" spans="1:20" s="208" customFormat="1" ht="13" x14ac:dyDescent="0.35">
      <c r="A18" s="208" t="str">
        <f>studie!B519</f>
        <v xml:space="preserve">Toestel en methode: </v>
      </c>
      <c r="F18" s="311" t="str">
        <f>IF(studie!E514="J",studie!E519,"")</f>
        <v>Tweepuntsbuigproef op trapezoïdale proefstukken</v>
      </c>
    </row>
    <row r="19" spans="1:20" s="208" customFormat="1" ht="13" x14ac:dyDescent="0.35">
      <c r="A19" s="208" t="str">
        <f>studie!B520</f>
        <v>Toegepaste methode voor de verdichting van de proefstukken (volgens EN 13108-20):</v>
      </c>
      <c r="F19" s="311"/>
      <c r="P19" s="311" t="str">
        <f>IF(studie!E514="J",studie!L520,"")</f>
        <v>C.1.16</v>
      </c>
    </row>
    <row r="20" spans="1:20" s="208" customFormat="1" ht="13" x14ac:dyDescent="0.35">
      <c r="A20" s="208" t="str">
        <f>studie!B521</f>
        <v>Temperatuur waarbij de proefstukken werden verdicht:</v>
      </c>
      <c r="F20" s="311"/>
      <c r="P20" s="311" t="str">
        <f>IF(studie!E514="J",studie!L521&amp;" °C","")</f>
        <v>180 °C</v>
      </c>
    </row>
    <row r="21" spans="1:20" s="208" customFormat="1" ht="7.15" customHeight="1" thickBot="1" x14ac:dyDescent="0.4"/>
    <row r="22" spans="1:20" s="208" customFormat="1" ht="13" x14ac:dyDescent="0.35">
      <c r="A22" s="244" t="s">
        <v>183</v>
      </c>
      <c r="B22" s="245"/>
      <c r="C22" s="610" t="s">
        <v>854</v>
      </c>
      <c r="D22" s="245"/>
      <c r="E22" s="245"/>
      <c r="F22" s="245"/>
      <c r="G22" s="245"/>
      <c r="H22" s="610" t="s">
        <v>487</v>
      </c>
      <c r="I22" s="245"/>
      <c r="J22" s="611"/>
      <c r="K22" s="245" t="s">
        <v>520</v>
      </c>
      <c r="L22" s="245"/>
      <c r="M22" s="245"/>
      <c r="N22" s="610" t="s">
        <v>522</v>
      </c>
      <c r="O22" s="245"/>
      <c r="P22" s="246"/>
    </row>
    <row r="23" spans="1:20" s="208" customFormat="1" ht="13" x14ac:dyDescent="0.35">
      <c r="A23" s="247" t="s">
        <v>185</v>
      </c>
      <c r="B23" s="248"/>
      <c r="C23" s="612" t="s">
        <v>855</v>
      </c>
      <c r="D23" s="248"/>
      <c r="E23" s="248"/>
      <c r="F23" s="248"/>
      <c r="G23" s="248"/>
      <c r="H23" s="768"/>
      <c r="I23" s="771" t="s">
        <v>488</v>
      </c>
      <c r="J23" s="772"/>
      <c r="K23" s="771"/>
      <c r="L23" s="771" t="s">
        <v>521</v>
      </c>
      <c r="M23" s="771"/>
      <c r="N23" s="768"/>
      <c r="O23" s="771" t="s">
        <v>523</v>
      </c>
      <c r="P23" s="769"/>
    </row>
    <row r="24" spans="1:20" s="208" customFormat="1" ht="13" x14ac:dyDescent="0.35">
      <c r="A24" s="1899">
        <f>IF(studie!E514="N","",IF(studie!B526="","",studie!B526))</f>
        <v>3.85</v>
      </c>
      <c r="B24" s="774"/>
      <c r="C24" s="631" t="str">
        <f>IF(studie!E514="N","",IF(studie!D526="","",studie!D526))</f>
        <v>D.3.1</v>
      </c>
      <c r="D24" s="680"/>
      <c r="E24" s="680"/>
      <c r="F24" s="680"/>
      <c r="G24" s="680"/>
      <c r="H24" s="631">
        <f>IF(studie!E514="N","",IF(studie!G526="","",studie!G526))</f>
        <v>15</v>
      </c>
      <c r="I24" s="680"/>
      <c r="J24" s="674"/>
      <c r="K24" s="680">
        <f>IF(studie!E514="N","",IF(studie!I526="","",studie!I526))</f>
        <v>10</v>
      </c>
      <c r="L24" s="680"/>
      <c r="M24" s="680"/>
      <c r="N24" s="631">
        <f>IF(studie!E514="N","",IF(studie!K526="","",studie!K526))</f>
        <v>12000</v>
      </c>
      <c r="O24" s="680"/>
      <c r="P24" s="777"/>
    </row>
    <row r="25" spans="1:20" s="208" customFormat="1" ht="13.5" thickBot="1" x14ac:dyDescent="0.4">
      <c r="A25" s="1905"/>
      <c r="B25" s="776"/>
      <c r="C25" s="766" t="str">
        <f>IF(studie!E514="N","",IF(studie!D527="","",studie!D527))</f>
        <v/>
      </c>
      <c r="D25" s="770"/>
      <c r="E25" s="770"/>
      <c r="F25" s="770"/>
      <c r="G25" s="770"/>
      <c r="H25" s="766" t="str">
        <f>IF(studie!E514="N","",IF(studie!G527="","",studie!G527))</f>
        <v/>
      </c>
      <c r="I25" s="770"/>
      <c r="J25" s="778"/>
      <c r="K25" s="770" t="str">
        <f>IF(studie!E514="N","",IF(studie!I527="","",studie!I527))</f>
        <v/>
      </c>
      <c r="L25" s="770"/>
      <c r="M25" s="770"/>
      <c r="N25" s="766" t="str">
        <f>IF(studie!E514="N","",IF(studie!K527="","",studie!K527))</f>
        <v/>
      </c>
      <c r="O25" s="770"/>
      <c r="P25" s="767"/>
    </row>
    <row r="26" spans="1:20" s="208" customFormat="1" ht="13" x14ac:dyDescent="0.35">
      <c r="A26" s="779" t="str">
        <f>IF(studie!E514="J",studie!B518,"Dit kenmerk werd niet bepaald.")</f>
        <v>Zie afzonderlijk proefverslag van extern laboratorium.</v>
      </c>
      <c r="B26" s="852"/>
      <c r="C26" s="852"/>
      <c r="D26" s="852"/>
      <c r="E26" s="852"/>
      <c r="F26" s="852"/>
      <c r="G26" s="852"/>
      <c r="H26" s="852"/>
      <c r="I26" s="852"/>
      <c r="J26" s="852"/>
      <c r="K26" s="852"/>
      <c r="L26" s="852"/>
      <c r="M26" s="852"/>
      <c r="N26" s="852"/>
      <c r="O26" s="852"/>
    </row>
    <row r="27" spans="1:20" s="208" customFormat="1" ht="12.75" customHeight="1" x14ac:dyDescent="0.35"/>
    <row r="28" spans="1:20" ht="15" customHeight="1" x14ac:dyDescent="0.35">
      <c r="A28" s="736" t="s">
        <v>527</v>
      </c>
      <c r="B28" s="737"/>
      <c r="C28" s="737"/>
      <c r="D28" s="737"/>
      <c r="E28" s="737"/>
      <c r="F28" s="737"/>
      <c r="G28" s="737"/>
      <c r="H28" s="737"/>
      <c r="I28" s="737"/>
      <c r="J28" s="737"/>
      <c r="K28" s="737"/>
      <c r="L28" s="737"/>
      <c r="M28" s="737"/>
      <c r="N28" s="737"/>
      <c r="O28" s="737"/>
      <c r="P28" s="733" t="str">
        <f>'VN1'!$A$53</f>
        <v>801/64/</v>
      </c>
      <c r="Q28" s="732" t="str">
        <f>algemeen!$J$66</f>
        <v>2010/13RE-1234/0</v>
      </c>
      <c r="R28" s="542"/>
      <c r="S28" s="542"/>
      <c r="T28" s="543"/>
    </row>
    <row r="29" spans="1:20" s="208" customFormat="1" ht="13" x14ac:dyDescent="0.35"/>
    <row r="30" spans="1:20" s="208" customFormat="1" ht="13" x14ac:dyDescent="0.35">
      <c r="A30" s="208" t="s">
        <v>779</v>
      </c>
      <c r="F30" s="208" t="str">
        <f>IF(studie!E537="J",studie!E538,"")</f>
        <v>laboratoriumvalidatie</v>
      </c>
    </row>
    <row r="31" spans="1:20" s="208" customFormat="1" ht="13" x14ac:dyDescent="0.35">
      <c r="A31" s="208" t="str">
        <f>studie!B542</f>
        <v xml:space="preserve">Toestel en methode: </v>
      </c>
      <c r="F31" s="311" t="str">
        <f>IF(studie!E537="J",studie!E542,"")</f>
        <v>Tweepuntsbuigproef op trapezoïdale proefstukken</v>
      </c>
    </row>
    <row r="32" spans="1:20" s="208" customFormat="1" ht="13" x14ac:dyDescent="0.35">
      <c r="A32" s="208" t="str">
        <f>studie!B543</f>
        <v>Toegepaste methode voor de verdichting van de proefstukken (volgens EN 13108-20):</v>
      </c>
      <c r="F32" s="311"/>
      <c r="P32" s="311" t="str">
        <f>IF(studie!E537="J",studie!L543,"")</f>
        <v>C.1.16</v>
      </c>
    </row>
    <row r="33" spans="1:32" s="208" customFormat="1" ht="13" x14ac:dyDescent="0.35">
      <c r="A33" s="208" t="str">
        <f>studie!B544</f>
        <v>Temperatuur waarbij de proefstukken werden verdicht:</v>
      </c>
      <c r="F33" s="311"/>
      <c r="P33" s="311" t="str">
        <f>IF(studie!E537="J",studie!L544&amp;" °C","")</f>
        <v>180 °C</v>
      </c>
    </row>
    <row r="34" spans="1:32" s="208" customFormat="1" ht="7.15" customHeight="1" thickBot="1" x14ac:dyDescent="0.4"/>
    <row r="35" spans="1:32" s="208" customFormat="1" ht="13" x14ac:dyDescent="0.35">
      <c r="A35" s="244" t="s">
        <v>183</v>
      </c>
      <c r="B35" s="245"/>
      <c r="C35" s="610" t="s">
        <v>854</v>
      </c>
      <c r="D35" s="245"/>
      <c r="E35" s="245"/>
      <c r="F35" s="245"/>
      <c r="G35" s="245"/>
      <c r="H35" s="610" t="s">
        <v>487</v>
      </c>
      <c r="I35" s="245"/>
      <c r="J35" s="611"/>
      <c r="K35" s="245" t="s">
        <v>520</v>
      </c>
      <c r="L35" s="245"/>
      <c r="M35" s="245"/>
      <c r="N35" s="610" t="s">
        <v>541</v>
      </c>
      <c r="O35" s="245"/>
      <c r="P35" s="246"/>
    </row>
    <row r="36" spans="1:32" s="208" customFormat="1" ht="15" x14ac:dyDescent="0.35">
      <c r="A36" s="247" t="s">
        <v>185</v>
      </c>
      <c r="B36" s="248"/>
      <c r="C36" s="612" t="s">
        <v>855</v>
      </c>
      <c r="D36" s="248"/>
      <c r="E36" s="248"/>
      <c r="F36" s="248"/>
      <c r="G36" s="248"/>
      <c r="H36" s="768"/>
      <c r="I36" s="771" t="s">
        <v>488</v>
      </c>
      <c r="J36" s="772"/>
      <c r="K36" s="771"/>
      <c r="L36" s="771" t="s">
        <v>521</v>
      </c>
      <c r="M36" s="771"/>
      <c r="N36" s="768"/>
      <c r="O36" s="771" t="s">
        <v>834</v>
      </c>
      <c r="P36" s="769"/>
    </row>
    <row r="37" spans="1:32" s="208" customFormat="1" ht="13" x14ac:dyDescent="0.35">
      <c r="A37" s="1899">
        <f>IF(studie!E537="N","",IF(studie!B549="","",studie!B549))</f>
        <v>3.85</v>
      </c>
      <c r="B37" s="774"/>
      <c r="C37" s="631" t="str">
        <f>IF(studie!E537="N","",IF(studie!D549="","",studie!D549))</f>
        <v>D.4.3</v>
      </c>
      <c r="D37" s="680"/>
      <c r="E37" s="680"/>
      <c r="F37" s="680"/>
      <c r="G37" s="680"/>
      <c r="H37" s="631">
        <f>IF(studie!E537="N","",IF(studie!G549="","",studie!G549))</f>
        <v>15</v>
      </c>
      <c r="I37" s="680"/>
      <c r="J37" s="674"/>
      <c r="K37" s="680">
        <f>IF(studie!E537="N","",IF(studie!I549="","",studie!I549))</f>
        <v>10</v>
      </c>
      <c r="L37" s="680"/>
      <c r="M37" s="680"/>
      <c r="N37" s="631">
        <f>IF(studie!E537="N","",IF(studie!K549="","",studie!K549))</f>
        <v>150</v>
      </c>
      <c r="O37" s="680"/>
      <c r="P37" s="777"/>
    </row>
    <row r="38" spans="1:32" s="208" customFormat="1" ht="13.5" thickBot="1" x14ac:dyDescent="0.4">
      <c r="A38" s="1905"/>
      <c r="B38" s="776"/>
      <c r="C38" s="766" t="str">
        <f>IF(studie!E537="N","",IF(studie!D550="","",studie!D550))</f>
        <v/>
      </c>
      <c r="D38" s="770"/>
      <c r="E38" s="770"/>
      <c r="F38" s="770"/>
      <c r="G38" s="770"/>
      <c r="H38" s="766" t="str">
        <f>IF(studie!E537="N","",IF(studie!G550="","",studie!G550))</f>
        <v/>
      </c>
      <c r="I38" s="770"/>
      <c r="J38" s="778"/>
      <c r="K38" s="770" t="str">
        <f>IF(studie!E537="N","",IF(studie!I550="","",studie!I550))</f>
        <v/>
      </c>
      <c r="L38" s="770"/>
      <c r="M38" s="770"/>
      <c r="N38" s="766" t="str">
        <f>IF(studie!E537="N","",IF(studie!K550="","",studie!K550))</f>
        <v/>
      </c>
      <c r="O38" s="770"/>
      <c r="P38" s="767"/>
    </row>
    <row r="39" spans="1:32" s="208" customFormat="1" ht="13" x14ac:dyDescent="0.35">
      <c r="A39" s="779" t="str">
        <f>IF(studie!E537="J",studie!B541,"Dit kenmerk werd niet bepaald.")</f>
        <v>Zie afzonderlijk proefverslag van extern laboratorium.</v>
      </c>
      <c r="B39" s="852"/>
      <c r="C39" s="852"/>
      <c r="D39" s="852"/>
      <c r="E39" s="852"/>
      <c r="F39" s="852"/>
      <c r="G39" s="852"/>
      <c r="H39" s="852"/>
      <c r="I39" s="852"/>
      <c r="J39" s="852"/>
      <c r="K39" s="852"/>
      <c r="L39" s="852"/>
      <c r="M39" s="852"/>
      <c r="N39" s="852"/>
      <c r="O39" s="852"/>
    </row>
    <row r="40" spans="1:32" s="208" customFormat="1" ht="12.75" customHeight="1" x14ac:dyDescent="0.35"/>
    <row r="41" spans="1:32" ht="15" customHeight="1" x14ac:dyDescent="0.35">
      <c r="A41" s="736" t="s">
        <v>1345</v>
      </c>
      <c r="B41" s="737"/>
      <c r="C41" s="737"/>
      <c r="D41" s="737"/>
      <c r="E41" s="737"/>
      <c r="F41" s="737"/>
      <c r="G41" s="737"/>
      <c r="H41" s="737"/>
      <c r="I41" s="737"/>
      <c r="J41" s="737"/>
      <c r="K41" s="737"/>
      <c r="L41" s="737"/>
      <c r="M41" s="737"/>
      <c r="N41" s="737"/>
      <c r="O41" s="737"/>
      <c r="P41" s="733" t="str">
        <f>'VN1'!$A$53</f>
        <v>801/64/</v>
      </c>
      <c r="Q41" s="732" t="str">
        <f>algemeen!$J$66</f>
        <v>2010/13RE-1234/0</v>
      </c>
      <c r="R41" s="542"/>
      <c r="S41" s="542"/>
      <c r="T41" s="543"/>
    </row>
    <row r="42" spans="1:32" s="208" customFormat="1" ht="12.75" customHeight="1" x14ac:dyDescent="0.35">
      <c r="V42" s="852"/>
      <c r="W42" s="852"/>
      <c r="Z42" s="852"/>
      <c r="AA42" s="852"/>
      <c r="AB42" s="852"/>
      <c r="AC42" s="852"/>
      <c r="AD42" s="852"/>
      <c r="AE42" s="852"/>
      <c r="AF42" s="852"/>
    </row>
    <row r="43" spans="1:32" s="208" customFormat="1" ht="12.75" customHeight="1" x14ac:dyDescent="0.35">
      <c r="A43" s="208" t="s">
        <v>779</v>
      </c>
      <c r="L43" s="208" t="str">
        <f>IF(studie!E559="J",studie!E560,"")</f>
        <v>laboratoriumvalidatie</v>
      </c>
      <c r="V43" s="852"/>
      <c r="W43" s="852"/>
      <c r="Z43" s="852"/>
      <c r="AA43" s="852"/>
      <c r="AB43" s="852"/>
      <c r="AC43" s="852"/>
      <c r="AD43" s="852"/>
      <c r="AE43" s="852"/>
      <c r="AF43" s="852"/>
    </row>
    <row r="44" spans="1:32" s="208" customFormat="1" ht="12.75" customHeight="1" x14ac:dyDescent="0.35">
      <c r="A44" s="208" t="str">
        <f>studie!B563</f>
        <v>Toegepaste norm voor de bepaling van de indringing:</v>
      </c>
      <c r="L44" s="311" t="str">
        <f>IF(studie!E559="J",studie!I563,"")</f>
        <v>EN 1426</v>
      </c>
      <c r="O44" s="779"/>
      <c r="P44" s="311"/>
      <c r="V44" s="852"/>
      <c r="W44" s="852"/>
      <c r="X44" s="852"/>
      <c r="Y44" s="852"/>
      <c r="AD44" s="852"/>
      <c r="AF44" s="852"/>
    </row>
    <row r="45" spans="1:32" s="208" customFormat="1" ht="12.75" customHeight="1" x14ac:dyDescent="0.35">
      <c r="A45" s="208" t="str">
        <f>studie!B564</f>
        <v>Penetrometer:</v>
      </c>
      <c r="L45" s="311" t="str">
        <f>IF(studie!E559="J",studie!I564,"")</f>
        <v>automatisch</v>
      </c>
      <c r="V45" s="852"/>
      <c r="W45" s="852"/>
      <c r="X45" s="852"/>
      <c r="Y45" s="852"/>
      <c r="AA45" s="852"/>
      <c r="AB45" s="852"/>
      <c r="AD45" s="852"/>
      <c r="AE45" s="852"/>
      <c r="AF45" s="852"/>
    </row>
    <row r="46" spans="1:32" s="208" customFormat="1" ht="12.75" customHeight="1" x14ac:dyDescent="0.35">
      <c r="A46" s="208" t="str">
        <f>studie!B565</f>
        <v>Toegepaste norm voor de bepaling van het verwekingspunt:</v>
      </c>
      <c r="L46" s="311" t="str">
        <f>IF(studie!E559="J",studie!I565,"")</f>
        <v>EN 1427</v>
      </c>
      <c r="O46" s="1446"/>
    </row>
    <row r="47" spans="1:32" s="208" customFormat="1" ht="12.75" customHeight="1" x14ac:dyDescent="0.35">
      <c r="A47" s="208" t="str">
        <f>studie!B566</f>
        <v>Ring- en kogeltoestel:</v>
      </c>
      <c r="L47" s="311" t="str">
        <f>IF(studie!E559="J",studie!I566,"")</f>
        <v>halfautomatisch</v>
      </c>
    </row>
    <row r="48" spans="1:32" s="208" customFormat="1" ht="12.75" customHeight="1" x14ac:dyDescent="0.35">
      <c r="A48" s="208" t="str">
        <f>studie!B567</f>
        <v>Vloeistof voor de bepaling van het verwekingspunt:</v>
      </c>
      <c r="L48" s="311" t="str">
        <f>IF(studie!E559="J",studie!I567,"")</f>
        <v>water</v>
      </c>
    </row>
    <row r="49" spans="1:20" s="208" customFormat="1" ht="12.75" customHeight="1" x14ac:dyDescent="0.35">
      <c r="A49" s="208" t="s">
        <v>879</v>
      </c>
      <c r="L49" s="311" t="str">
        <f>IF(studie!E559="J",studie!I568,"")</f>
        <v>EN 12697-1</v>
      </c>
    </row>
    <row r="50" spans="1:20" s="208" customFormat="1" ht="12.75" customHeight="1" x14ac:dyDescent="0.35">
      <c r="A50" s="208" t="str">
        <f>IF(studie!I568="EN 12697-1",studie!B569,"")</f>
        <v>Extractiemethode volgens EN 12697-1 Annex B.2:</v>
      </c>
      <c r="L50" s="311" t="str">
        <f>IF(studie!J569="","",studie!J569)</f>
        <v>B.2.1</v>
      </c>
    </row>
    <row r="51" spans="1:20" s="208" customFormat="1" ht="12.75" customHeight="1" x14ac:dyDescent="0.35">
      <c r="A51" s="208" t="str">
        <f>IF(studie!I568="EN 12697-1",studie!B570,"")</f>
        <v>Gebruikt oplosmiddel:</v>
      </c>
      <c r="L51" s="311" t="str">
        <f>IF(studie!H570="","",studie!H570)</f>
        <v>dichloormethaan</v>
      </c>
    </row>
    <row r="52" spans="1:20" s="208" customFormat="1" ht="7.15" customHeight="1" thickBot="1" x14ac:dyDescent="0.4">
      <c r="L52" s="311"/>
    </row>
    <row r="53" spans="1:20" s="208" customFormat="1" ht="12.75" customHeight="1" x14ac:dyDescent="0.35">
      <c r="A53" s="853" t="s">
        <v>881</v>
      </c>
      <c r="B53" s="739"/>
      <c r="C53" s="739"/>
      <c r="D53" s="739"/>
      <c r="E53" s="739"/>
      <c r="F53" s="854"/>
      <c r="H53" s="853" t="s">
        <v>882</v>
      </c>
      <c r="I53" s="739"/>
      <c r="J53" s="739"/>
      <c r="K53" s="739"/>
      <c r="L53" s="739"/>
      <c r="M53" s="854"/>
      <c r="O53" s="853" t="s">
        <v>1444</v>
      </c>
      <c r="P53" s="853"/>
      <c r="Q53" s="739"/>
      <c r="R53" s="739"/>
      <c r="S53" s="739"/>
      <c r="T53" s="854"/>
    </row>
    <row r="54" spans="1:20" s="208" customFormat="1" ht="12.75" customHeight="1" x14ac:dyDescent="0.35">
      <c r="A54" s="582" t="s">
        <v>880</v>
      </c>
      <c r="B54" s="264"/>
      <c r="C54" s="264"/>
      <c r="D54" s="631">
        <f>IF(studie!D575="","",studie!D575)</f>
        <v>10</v>
      </c>
      <c r="E54" s="680">
        <f>IF(studie!D576="","",studie!D576)</f>
        <v>11</v>
      </c>
      <c r="F54" s="777">
        <f>IF(studie!D577="","",studie!D577)</f>
        <v>12</v>
      </c>
      <c r="H54" s="582" t="s">
        <v>880</v>
      </c>
      <c r="I54" s="264"/>
      <c r="J54" s="264"/>
      <c r="K54" s="1449">
        <f>IF(studie!F575="","",studie!F575)</f>
        <v>47.5</v>
      </c>
      <c r="L54" s="1448"/>
      <c r="M54" s="1450">
        <f>IF(studie!F576="","",studie!F576)</f>
        <v>49</v>
      </c>
      <c r="O54" s="908"/>
      <c r="P54" s="914" t="str">
        <f>IF(studie!D582="","",studie!B582&amp;" %")</f>
        <v>3,55 %</v>
      </c>
      <c r="Q54" s="576"/>
      <c r="R54" s="573"/>
      <c r="S54" s="264">
        <f>IF(studie!D582="","",studie!D582)</f>
        <v>3.51</v>
      </c>
      <c r="T54" s="271"/>
    </row>
    <row r="55" spans="1:20" s="208" customFormat="1" ht="12.75" customHeight="1" thickBot="1" x14ac:dyDescent="0.4">
      <c r="A55" s="255" t="s">
        <v>458</v>
      </c>
      <c r="B55" s="256"/>
      <c r="C55" s="256"/>
      <c r="D55" s="911"/>
      <c r="E55" s="867">
        <f>IF(studie!E559="J",studie!D578,"")</f>
        <v>11</v>
      </c>
      <c r="F55" s="609"/>
      <c r="H55" s="255" t="s">
        <v>458</v>
      </c>
      <c r="I55" s="256"/>
      <c r="J55" s="256"/>
      <c r="K55" s="911"/>
      <c r="L55" s="867">
        <f>IF(studie!E559="J",studie!F578,"")</f>
        <v>48.3</v>
      </c>
      <c r="M55" s="609"/>
      <c r="O55" s="909"/>
      <c r="P55" s="915" t="str">
        <f>IF(studie!D583="","",studie!B583&amp;" %")</f>
        <v>3,85 %</v>
      </c>
      <c r="Q55" s="578"/>
      <c r="R55" s="594"/>
      <c r="S55" s="252">
        <f>IF(studie!D583="","",studie!D583)</f>
        <v>3.83</v>
      </c>
      <c r="T55" s="261"/>
    </row>
    <row r="56" spans="1:20" s="208" customFormat="1" ht="12.75" customHeight="1" thickBot="1" x14ac:dyDescent="0.4">
      <c r="A56" s="779" t="str">
        <f>IF(studie!E559="J","","Deze kenmerken werden niet bepaald.")</f>
        <v/>
      </c>
      <c r="O56" s="910"/>
      <c r="P56" s="916" t="str">
        <f>IF(studie!D584="","",studie!B584&amp;" %")</f>
        <v>4,15 %</v>
      </c>
      <c r="Q56" s="579"/>
      <c r="R56" s="595"/>
      <c r="S56" s="262">
        <f>IF(studie!D584="","",studie!D584)</f>
        <v>4.12</v>
      </c>
      <c r="T56" s="263"/>
    </row>
    <row r="57" spans="1:20" ht="12.75" customHeight="1" x14ac:dyDescent="0.35"/>
    <row r="58" spans="1:20" s="210" customFormat="1" ht="10.5" x14ac:dyDescent="0.35">
      <c r="A58" s="2277" t="str">
        <f>'VN1'!$A$53</f>
        <v>801/64/</v>
      </c>
      <c r="B58" s="2277"/>
      <c r="C58" s="267" t="str">
        <f>algemeen!$J$66</f>
        <v>2010/13RE-1234/0</v>
      </c>
      <c r="D58" s="267"/>
      <c r="E58" s="268"/>
      <c r="F58" s="268"/>
      <c r="G58" s="268"/>
      <c r="H58" s="268"/>
      <c r="I58" s="269" t="str">
        <f>"blz. "&amp;berekeningen!I3&amp;" /"</f>
        <v>blz. 12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sheetData>
  <sheetProtection algorithmName="SHA-512" hashValue="kKb7XI5l7I+MmVtkVoJgMxTvUqtjmIcxHa+ADNns3H2yBFdjDLkFI6MBE0MMtyjYb4PPsZrn9aFhMyVvDnuKpw==" saltValue="2CdNAWq6Z12DkrlWyzFrcg==" spinCount="100000" sheet="1" objects="1" scenarios="1"/>
  <mergeCells count="2">
    <mergeCell ref="P10:T10"/>
    <mergeCell ref="A58:B58"/>
  </mergeCells>
  <pageMargins left="0.59055118110236227" right="0.19685039370078741" top="0.39370078740157483" bottom="0.59055118110236227" header="0.31496062992125984" footer="0.31496062992125984"/>
  <pageSetup paperSize="9" orientation="portrait" r:id="rId1"/>
  <rowBreaks count="1" manualBreakCount="1">
    <brk id="58"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T72"/>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x14ac:dyDescent="0.35">
      <c r="A1" s="736" t="s">
        <v>470</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tr">
        <f>studie!B350</f>
        <v>Toegepaste norm voor de bepaling van het afdruipen van bindmiddel:</v>
      </c>
      <c r="M3" s="311" t="str">
        <f>studie!J350</f>
        <v>EN 12697-18</v>
      </c>
      <c r="O3" s="311"/>
    </row>
    <row r="4" spans="1:20" s="208" customFormat="1" ht="13" x14ac:dyDescent="0.35">
      <c r="A4" s="208" t="str">
        <f>studie!B351</f>
        <v>Vooropgestelde proeftemperatuur:</v>
      </c>
      <c r="M4" s="311" t="str">
        <f>studie!K351&amp;" °C"</f>
        <v>180 °C</v>
      </c>
    </row>
    <row r="5" spans="1:20" s="208" customFormat="1" ht="13" x14ac:dyDescent="0.35">
      <c r="M5" s="311"/>
    </row>
    <row r="6" spans="1:20" s="208" customFormat="1" ht="13" x14ac:dyDescent="0.35">
      <c r="A6" s="779" t="str">
        <f>IF(studie!E358=0,"PROEF ZONDER AFDRUIPREMMER","PROEF MET "&amp;studie!E358&amp;" % AFDRUIPREMMER")</f>
        <v>PROEF ZONDER AFDRUIPREMMER</v>
      </c>
      <c r="H6" s="779" t="str">
        <f>IF(studie!F354="J","","WERD NIET UITGEVOERD")</f>
        <v/>
      </c>
      <c r="M6" s="311"/>
    </row>
    <row r="7" spans="1:20" s="208" customFormat="1" ht="13" x14ac:dyDescent="0.35">
      <c r="A7" s="208" t="s">
        <v>779</v>
      </c>
      <c r="D7" s="208" t="str">
        <f>IF(studie!F354="N","",studie!D355)</f>
        <v>laboratoriumvalidatie</v>
      </c>
    </row>
    <row r="8" spans="1:20" s="208" customFormat="1" ht="13" x14ac:dyDescent="0.35">
      <c r="A8" s="208" t="str">
        <f>studie!B356</f>
        <v>Methode:</v>
      </c>
      <c r="D8" s="311" t="str">
        <f>IF(studie!F354="N","",IF(studie!F356="S","Beker","Basket (mandjes)"))</f>
        <v>Beker</v>
      </c>
    </row>
    <row r="9" spans="1:20" s="208" customFormat="1" ht="13.5" thickBot="1" x14ac:dyDescent="0.4"/>
    <row r="10" spans="1:20" s="208" customFormat="1" ht="15" x14ac:dyDescent="0.35">
      <c r="A10" s="244" t="s">
        <v>183</v>
      </c>
      <c r="B10" s="245"/>
      <c r="C10" s="610" t="s">
        <v>474</v>
      </c>
      <c r="D10" s="611"/>
      <c r="E10" s="610" t="str">
        <f>IF(studie!$F$356="S","Temp.","")</f>
        <v>Temp.</v>
      </c>
      <c r="F10" s="796"/>
      <c r="G10" s="610" t="str">
        <f>IF(studie!$F$356="S","Tarra","Plaat")</f>
        <v>Tarra</v>
      </c>
      <c r="H10" s="245"/>
      <c r="I10" s="558" t="str">
        <f>IF(studie!$F$356="S","T + monster","P + verlies")</f>
        <v>T + monster</v>
      </c>
      <c r="J10" s="797"/>
      <c r="K10" s="558" t="str">
        <f>IF(studie!$F$356="S","T + rest","Monster")</f>
        <v>T + rest</v>
      </c>
      <c r="L10" s="245"/>
      <c r="M10" s="558" t="str">
        <f>IF(studie!$F$356="S","Rest","")</f>
        <v>Rest</v>
      </c>
      <c r="N10" s="797"/>
      <c r="O10" s="245" t="str">
        <f>IF(studie!$F$356="S","Op 1 mm","")</f>
        <v>Op 1 mm</v>
      </c>
      <c r="P10" s="796"/>
      <c r="Q10" s="558" t="s">
        <v>489</v>
      </c>
      <c r="R10" s="797"/>
      <c r="S10" s="558" t="str">
        <f>IF(studie!$F$356="S","Zeefrest","")</f>
        <v>Zeefrest</v>
      </c>
      <c r="T10" s="246"/>
    </row>
    <row r="11" spans="1:20" s="208" customFormat="1" ht="13" x14ac:dyDescent="0.35">
      <c r="A11" s="247" t="s">
        <v>185</v>
      </c>
      <c r="B11" s="248"/>
      <c r="C11" s="612" t="s">
        <v>338</v>
      </c>
      <c r="D11" s="613"/>
      <c r="E11" s="612" t="str">
        <f>IF(studie!$F$356="S","(°C)","")</f>
        <v>(°C)</v>
      </c>
      <c r="F11" s="248"/>
      <c r="G11" s="612" t="s">
        <v>480</v>
      </c>
      <c r="H11" s="248"/>
      <c r="I11" s="704" t="s">
        <v>481</v>
      </c>
      <c r="J11" s="705"/>
      <c r="K11" s="704" t="str">
        <f>IF(studie!$F$356="S","M3 (g)","(g)")</f>
        <v>M3 (g)</v>
      </c>
      <c r="L11" s="248"/>
      <c r="M11" s="704" t="str">
        <f>IF(studie!$F$356="S","(%)","")</f>
        <v>(%)</v>
      </c>
      <c r="N11" s="705"/>
      <c r="O11" s="248" t="str">
        <f>IF(studie!$F$356="S","M4 (g)","")</f>
        <v>M4 (g)</v>
      </c>
      <c r="P11" s="248"/>
      <c r="Q11" s="704" t="s">
        <v>1357</v>
      </c>
      <c r="R11" s="705"/>
      <c r="S11" s="704" t="str">
        <f>IF(studie!$F$356="S","R (%)","")</f>
        <v>R (%)</v>
      </c>
      <c r="T11" s="249"/>
    </row>
    <row r="12" spans="1:20" s="208" customFormat="1" ht="13" x14ac:dyDescent="0.35">
      <c r="A12" s="1899">
        <f>IF(studie!B361="","",studie!B361)</f>
        <v>3.5500000000000003</v>
      </c>
      <c r="B12" s="774"/>
      <c r="C12" s="631" t="str">
        <f>IF(studie!D361="","",studie!D361)</f>
        <v>a</v>
      </c>
      <c r="D12" s="674"/>
      <c r="E12" s="802">
        <f>IF(studie!$F$356="S",IF(studie!I361="","",studie!I361),"")</f>
        <v>165.1</v>
      </c>
      <c r="F12" s="706"/>
      <c r="G12" s="809"/>
      <c r="H12" s="410"/>
      <c r="I12" s="810"/>
      <c r="J12" s="811"/>
      <c r="K12" s="812"/>
      <c r="L12" s="408"/>
      <c r="M12" s="810"/>
      <c r="N12" s="815"/>
      <c r="O12" s="813"/>
      <c r="P12" s="813"/>
      <c r="Q12" s="814"/>
      <c r="R12" s="815"/>
      <c r="S12" s="812"/>
      <c r="T12" s="409"/>
    </row>
    <row r="13" spans="1:20" s="208" customFormat="1" ht="13" x14ac:dyDescent="0.35">
      <c r="A13" s="798"/>
      <c r="B13" s="799"/>
      <c r="C13" s="634" t="str">
        <f>IF(studie!D362="","",studie!D362)</f>
        <v>b</v>
      </c>
      <c r="D13" s="675"/>
      <c r="E13" s="803"/>
      <c r="F13" s="707"/>
      <c r="G13" s="640">
        <f>IF(studie!$F$356="S",IF(studie!F362="","",studie!F362),IF(studie!P362="","",studie!P362))</f>
        <v>1000</v>
      </c>
      <c r="H13" s="643"/>
      <c r="I13" s="642">
        <f>IF(studie!$F$356="S",IF(studie!G362="","",studie!G362),IF(studie!Q362="","",studie!Q362))</f>
        <v>2000</v>
      </c>
      <c r="J13" s="780"/>
      <c r="K13" s="642">
        <f>IF(studie!$F$356="S",IF(studie!K362="","",studie!K362),IF(studie!S362="","",studie!S362))</f>
        <v>1001</v>
      </c>
      <c r="L13" s="633"/>
      <c r="M13" s="642">
        <f>IF(studie!$F$356="S",IF(studie!L362="","",studie!L362),"")</f>
        <v>0.1</v>
      </c>
      <c r="N13" s="641"/>
      <c r="O13" s="643">
        <f>IF(studie!$F$356="S",IF(studie!M362="","",studie!M362),"")</f>
        <v>5</v>
      </c>
      <c r="P13" s="707"/>
      <c r="Q13" s="642">
        <f>IF(studie!V362="","",studie!V362)</f>
        <v>-0.4</v>
      </c>
      <c r="R13" s="641"/>
      <c r="S13" s="642">
        <f>IF(studie!$F$356="S",IF(studie!O362="","",studie!O362),"")</f>
        <v>0.5</v>
      </c>
      <c r="T13" s="762"/>
    </row>
    <row r="14" spans="1:20" s="208" customFormat="1" ht="13" x14ac:dyDescent="0.35">
      <c r="A14" s="798"/>
      <c r="B14" s="799"/>
      <c r="C14" s="660" t="str">
        <f>IF(studie!D363="","",studie!D363)</f>
        <v>c</v>
      </c>
      <c r="D14" s="676"/>
      <c r="E14" s="804"/>
      <c r="F14" s="708"/>
      <c r="G14" s="714">
        <f>IF(studie!$F$356="S",IF(studie!F363="","",studie!F363),IF(studie!P363="","",studie!P363))</f>
        <v>1000</v>
      </c>
      <c r="H14" s="684"/>
      <c r="I14" s="724">
        <f>IF(studie!$F$356="S",IF(studie!G363="","",studie!G363),IF(studie!Q363="","",studie!Q363))</f>
        <v>2000</v>
      </c>
      <c r="J14" s="781"/>
      <c r="K14" s="724">
        <f>IF(studie!$F$356="S",IF(studie!K363="","",studie!K363),IF(studie!S363="","",studie!S363))</f>
        <v>1002</v>
      </c>
      <c r="L14" s="681"/>
      <c r="M14" s="724">
        <f>IF(studie!$F$356="S",IF(studie!L363="","",studie!L363),"")</f>
        <v>0.2</v>
      </c>
      <c r="N14" s="715"/>
      <c r="O14" s="684">
        <f>IF(studie!$F$356="S",IF(studie!M363="","",studie!M363),"")</f>
        <v>0</v>
      </c>
      <c r="P14" s="708"/>
      <c r="Q14" s="724">
        <f>IF(studie!V363="","",studie!V363)</f>
        <v>0.2</v>
      </c>
      <c r="R14" s="715"/>
      <c r="S14" s="724">
        <f>IF(studie!$F$356="S",IF(studie!O363="","",studie!O363),"")</f>
        <v>0</v>
      </c>
      <c r="T14" s="763"/>
    </row>
    <row r="15" spans="1:20" s="208" customFormat="1" ht="13" x14ac:dyDescent="0.35">
      <c r="A15" s="800"/>
      <c r="B15" s="801"/>
      <c r="C15" s="661"/>
      <c r="D15" s="677"/>
      <c r="E15" s="805"/>
      <c r="F15" s="709"/>
      <c r="G15" s="746"/>
      <c r="H15" s="685"/>
      <c r="I15" s="760"/>
      <c r="J15" s="782"/>
      <c r="K15" s="758"/>
      <c r="L15" s="682"/>
      <c r="M15" s="726"/>
      <c r="N15" s="717"/>
      <c r="O15" s="709"/>
      <c r="P15" s="709"/>
      <c r="Q15" s="726">
        <f>IF(studie!D362="","",IF(studie!F354="J",studie!V366,""))</f>
        <v>-0.1</v>
      </c>
      <c r="R15" s="717"/>
      <c r="S15" s="726">
        <f>IF(studie!D362="","",IF(studie!$F$356="S",studie!O366,""))</f>
        <v>0.25</v>
      </c>
      <c r="T15" s="764"/>
    </row>
    <row r="16" spans="1:20" s="208" customFormat="1" ht="13" x14ac:dyDescent="0.35">
      <c r="A16" s="1899">
        <f>IF(studie!B367="","",studie!B367)</f>
        <v>3.85</v>
      </c>
      <c r="B16" s="774"/>
      <c r="C16" s="662" t="str">
        <f>IF(studie!D367="","",studie!D367)</f>
        <v/>
      </c>
      <c r="D16" s="678"/>
      <c r="E16" s="806">
        <f>IF(studie!$F$356="S",IF(studie!I367="","",studie!I367),"")</f>
        <v>168.4</v>
      </c>
      <c r="F16" s="710"/>
      <c r="G16" s="816"/>
      <c r="H16" s="817"/>
      <c r="I16" s="818"/>
      <c r="J16" s="819"/>
      <c r="K16" s="812"/>
      <c r="L16" s="408"/>
      <c r="M16" s="818"/>
      <c r="N16" s="821"/>
      <c r="O16" s="820"/>
      <c r="P16" s="820"/>
      <c r="Q16" s="818"/>
      <c r="R16" s="821"/>
      <c r="S16" s="818"/>
      <c r="T16" s="409"/>
    </row>
    <row r="17" spans="1:20" s="208" customFormat="1" ht="13" x14ac:dyDescent="0.35">
      <c r="A17" s="798"/>
      <c r="B17" s="799"/>
      <c r="C17" s="634" t="str">
        <f>IF(studie!D368="","",studie!D368)</f>
        <v>a</v>
      </c>
      <c r="D17" s="675"/>
      <c r="E17" s="803"/>
      <c r="F17" s="707"/>
      <c r="G17" s="640">
        <f>IF(studie!$F$356="S",IF(studie!F368="","",studie!F368),IF(studie!P368="","",studie!P368))</f>
        <v>100</v>
      </c>
      <c r="H17" s="643"/>
      <c r="I17" s="642">
        <f>IF(studie!$F$356="S",IF(studie!G368="","",studie!G368),IF(studie!Q368="","",studie!Q368))</f>
        <v>1100</v>
      </c>
      <c r="J17" s="780"/>
      <c r="K17" s="642">
        <f>IF(studie!$F$356="S",IF(studie!K368="","",studie!K368),IF(studie!S368="","",studie!S368))</f>
        <v>104</v>
      </c>
      <c r="L17" s="633"/>
      <c r="M17" s="642">
        <f>IF(studie!$F$356="S",IF(studie!L368="","",studie!L368),"")</f>
        <v>0.4</v>
      </c>
      <c r="N17" s="641"/>
      <c r="O17" s="643">
        <f>IF(studie!$F$356="S",IF(studie!M368="","",studie!M368),"")</f>
        <v>1</v>
      </c>
      <c r="P17" s="707"/>
      <c r="Q17" s="642">
        <f>IF(studie!V368="","",studie!V368)</f>
        <v>0.3</v>
      </c>
      <c r="R17" s="641"/>
      <c r="S17" s="642">
        <f>IF(studie!$F$356="S",IF(studie!O368="","",studie!O368),"")</f>
        <v>0.1</v>
      </c>
      <c r="T17" s="762"/>
    </row>
    <row r="18" spans="1:20" s="208" customFormat="1" ht="13" x14ac:dyDescent="0.35">
      <c r="A18" s="798"/>
      <c r="B18" s="799"/>
      <c r="C18" s="660" t="str">
        <f>IF(studie!D369="","",studie!D369)</f>
        <v/>
      </c>
      <c r="D18" s="676"/>
      <c r="E18" s="804"/>
      <c r="F18" s="708"/>
      <c r="G18" s="714" t="str">
        <f>IF(studie!$F$356="S",IF(studie!F369="","",studie!F369),IF(studie!P369="","",studie!P369))</f>
        <v/>
      </c>
      <c r="H18" s="684"/>
      <c r="I18" s="724" t="str">
        <f>IF(studie!$F$356="S",IF(studie!G369="","",studie!G369),IF(studie!Q369="","",studie!Q369))</f>
        <v/>
      </c>
      <c r="J18" s="781"/>
      <c r="K18" s="724" t="str">
        <f>IF(studie!$F$356="S",IF(studie!K369="","",studie!K369),IF(studie!S369="","",studie!S369))</f>
        <v/>
      </c>
      <c r="L18" s="681"/>
      <c r="M18" s="724" t="str">
        <f>IF(studie!$F$356="S",IF(studie!L369="","",studie!L369),"")</f>
        <v/>
      </c>
      <c r="N18" s="715"/>
      <c r="O18" s="684" t="str">
        <f>IF(studie!$F$356="S",IF(studie!M369="","",studie!M369),"")</f>
        <v/>
      </c>
      <c r="P18" s="708"/>
      <c r="Q18" s="724" t="str">
        <f>IF(studie!V369="","",studie!V369)</f>
        <v/>
      </c>
      <c r="R18" s="715"/>
      <c r="S18" s="724" t="str">
        <f>IF(studie!$F$356="S",IF(studie!O369="","",studie!O369),"")</f>
        <v/>
      </c>
      <c r="T18" s="763"/>
    </row>
    <row r="19" spans="1:20" s="208" customFormat="1" ht="13" x14ac:dyDescent="0.35">
      <c r="A19" s="800"/>
      <c r="B19" s="801"/>
      <c r="C19" s="661"/>
      <c r="D19" s="677"/>
      <c r="E19" s="807"/>
      <c r="F19" s="709"/>
      <c r="G19" s="746"/>
      <c r="H19" s="685"/>
      <c r="I19" s="760"/>
      <c r="J19" s="782"/>
      <c r="K19" s="758"/>
      <c r="L19" s="682"/>
      <c r="M19" s="726"/>
      <c r="N19" s="717"/>
      <c r="O19" s="709"/>
      <c r="P19" s="709"/>
      <c r="Q19" s="726" t="str">
        <f>IF(studie!D368="","",IF(studie!F354="J",studie!V372,""))</f>
        <v/>
      </c>
      <c r="R19" s="717"/>
      <c r="S19" s="726" t="str">
        <f>IF(studie!D368="","",IF(studie!$F$356="S",studie!O372,""))</f>
        <v/>
      </c>
      <c r="T19" s="764"/>
    </row>
    <row r="20" spans="1:20" s="208" customFormat="1" ht="13" x14ac:dyDescent="0.35">
      <c r="A20" s="1899">
        <f>IF(studie!B373="","",studie!B373)</f>
        <v>4.1500000000000004</v>
      </c>
      <c r="B20" s="774"/>
      <c r="C20" s="662" t="str">
        <f>IF(studie!D373="","",studie!D373)</f>
        <v/>
      </c>
      <c r="D20" s="678"/>
      <c r="E20" s="806">
        <f>IF(studie!$F$356="S",IF(studie!I373="","",studie!I373),"")</f>
        <v>169</v>
      </c>
      <c r="F20" s="710"/>
      <c r="G20" s="816"/>
      <c r="H20" s="817"/>
      <c r="I20" s="818"/>
      <c r="J20" s="819"/>
      <c r="K20" s="812"/>
      <c r="L20" s="408"/>
      <c r="M20" s="818"/>
      <c r="N20" s="821"/>
      <c r="O20" s="820"/>
      <c r="P20" s="820"/>
      <c r="Q20" s="818"/>
      <c r="R20" s="821"/>
      <c r="S20" s="818"/>
      <c r="T20" s="409"/>
    </row>
    <row r="21" spans="1:20" s="208" customFormat="1" ht="13" x14ac:dyDescent="0.35">
      <c r="A21" s="798"/>
      <c r="B21" s="799"/>
      <c r="C21" s="634" t="str">
        <f>IF(studie!D374="","",studie!D374)</f>
        <v>e</v>
      </c>
      <c r="D21" s="675"/>
      <c r="E21" s="803"/>
      <c r="F21" s="707"/>
      <c r="G21" s="640">
        <f>IF(studie!$F$356="S",IF(studie!F374="","",studie!F374),IF(studie!P374="","",studie!P374))</f>
        <v>1100</v>
      </c>
      <c r="H21" s="643"/>
      <c r="I21" s="642">
        <f>IF(studie!$F$356="S",IF(studie!G374="","",studie!G374),IF(studie!Q374="","",studie!Q374))</f>
        <v>2100</v>
      </c>
      <c r="J21" s="780"/>
      <c r="K21" s="642">
        <f>IF(studie!$F$356="S",IF(studie!K374="","",studie!K374),IF(studie!S374="","",studie!S374))</f>
        <v>1050</v>
      </c>
      <c r="L21" s="633"/>
      <c r="M21" s="642">
        <f>IF(studie!$F$356="S",IF(studie!L374="","",studie!L374),"")</f>
        <v>-5</v>
      </c>
      <c r="N21" s="641"/>
      <c r="O21" s="643">
        <f>IF(studie!$F$356="S",IF(studie!M374="","",studie!M374),"")</f>
        <v>3</v>
      </c>
      <c r="P21" s="707"/>
      <c r="Q21" s="642">
        <f>IF(studie!V374="","",studie!V374)</f>
        <v>-5.3</v>
      </c>
      <c r="R21" s="641"/>
      <c r="S21" s="642">
        <f>IF(studie!$F$356="S",IF(studie!O374="","",studie!O374),"")</f>
        <v>0.3</v>
      </c>
      <c r="T21" s="762"/>
    </row>
    <row r="22" spans="1:20" s="208" customFormat="1" ht="13" x14ac:dyDescent="0.35">
      <c r="A22" s="798"/>
      <c r="B22" s="799"/>
      <c r="C22" s="660" t="str">
        <f>IF(studie!D375="","",studie!D375)</f>
        <v>f</v>
      </c>
      <c r="D22" s="676"/>
      <c r="E22" s="804"/>
      <c r="F22" s="708"/>
      <c r="G22" s="714">
        <f>IF(studie!$F$356="S",IF(studie!F375="","",studie!F375),IF(studie!P375="","",studie!P375))</f>
        <v>1150</v>
      </c>
      <c r="H22" s="684"/>
      <c r="I22" s="724">
        <f>IF(studie!$F$356="S",IF(studie!G375="","",studie!G375),IF(studie!Q375="","",studie!Q375))</f>
        <v>2150</v>
      </c>
      <c r="J22" s="781"/>
      <c r="K22" s="724">
        <f>IF(studie!$F$356="S",IF(studie!K375="","",studie!K375),IF(studie!S375="","",studie!S375))</f>
        <v>1020</v>
      </c>
      <c r="L22" s="681"/>
      <c r="M22" s="724">
        <f>IF(studie!$F$356="S",IF(studie!L375="","",studie!L375),"")</f>
        <v>-13</v>
      </c>
      <c r="N22" s="715"/>
      <c r="O22" s="684">
        <f>IF(studie!$F$356="S",IF(studie!M375="","",studie!M375),"")</f>
        <v>4</v>
      </c>
      <c r="P22" s="708"/>
      <c r="Q22" s="724">
        <f>IF(studie!V375="","",studie!V375)</f>
        <v>-13.4</v>
      </c>
      <c r="R22" s="715"/>
      <c r="S22" s="724">
        <f>IF(studie!$F$356="S",IF(studie!O375="","",studie!O375),"")</f>
        <v>0.4</v>
      </c>
      <c r="T22" s="763"/>
    </row>
    <row r="23" spans="1:20" s="208" customFormat="1" ht="13.5" thickBot="1" x14ac:dyDescent="0.4">
      <c r="A23" s="775"/>
      <c r="B23" s="776"/>
      <c r="C23" s="663"/>
      <c r="D23" s="679"/>
      <c r="E23" s="808"/>
      <c r="F23" s="742"/>
      <c r="G23" s="747"/>
      <c r="H23" s="687"/>
      <c r="I23" s="761"/>
      <c r="J23" s="783"/>
      <c r="K23" s="759"/>
      <c r="L23" s="683"/>
      <c r="M23" s="730"/>
      <c r="N23" s="721"/>
      <c r="O23" s="742"/>
      <c r="P23" s="742"/>
      <c r="Q23" s="730">
        <f>IF(studie!D374="","",IF(studie!F354="J",studie!V378,""))</f>
        <v>-9.35</v>
      </c>
      <c r="R23" s="721"/>
      <c r="S23" s="730">
        <f>IF(studie!D374="","",IF(studie!$F$356="S",studie!O378,""))</f>
        <v>0.35</v>
      </c>
      <c r="T23" s="765"/>
    </row>
    <row r="24" spans="1:20" s="208" customFormat="1" ht="12.75" customHeight="1" x14ac:dyDescent="0.35"/>
    <row r="25" spans="1:20" ht="12.75" customHeight="1" x14ac:dyDescent="0.35">
      <c r="A25" s="779" t="str">
        <f>IF(studie!F383="J",IF(studie!E387=0,"PROEF ZONDER AFDRUIPREMMER","PROEF MET "&amp;studie!E387&amp;" % AFDRUIPREMMER"),"TWEEDE AFDRUIPPROEF")</f>
        <v>PROEF MET 0,15 % AFDRUIPREMMER</v>
      </c>
      <c r="B25" s="208"/>
      <c r="C25" s="208"/>
      <c r="D25" s="208"/>
      <c r="E25" s="208"/>
      <c r="F25" s="208"/>
      <c r="H25" s="779" t="str">
        <f>IF(studie!F383="J","","WERD NIET UITGEVOERD")</f>
        <v/>
      </c>
      <c r="I25" s="208"/>
      <c r="J25" s="208"/>
      <c r="K25" s="208"/>
      <c r="L25" s="208"/>
      <c r="M25" s="311"/>
      <c r="N25" s="208"/>
      <c r="O25" s="208"/>
      <c r="P25" s="208"/>
      <c r="Q25" s="208"/>
      <c r="R25" s="208"/>
      <c r="S25" s="208"/>
      <c r="T25" s="208"/>
    </row>
    <row r="26" spans="1:20" ht="12.75" customHeight="1" x14ac:dyDescent="0.35">
      <c r="A26" s="208" t="s">
        <v>779</v>
      </c>
      <c r="B26" s="208"/>
      <c r="C26" s="208"/>
      <c r="D26" s="208" t="str">
        <f>IF(studie!F383="j",studie!D384,"")</f>
        <v>laboratoriumvalidatie</v>
      </c>
      <c r="E26" s="208"/>
      <c r="F26" s="208"/>
      <c r="G26" s="208"/>
      <c r="H26" s="208"/>
      <c r="I26" s="208"/>
      <c r="J26" s="208"/>
      <c r="K26" s="208"/>
      <c r="L26" s="208"/>
      <c r="N26" s="208"/>
      <c r="O26" s="208"/>
      <c r="P26" s="208"/>
      <c r="Q26" s="208"/>
      <c r="R26" s="208"/>
      <c r="S26" s="208"/>
      <c r="T26" s="208"/>
    </row>
    <row r="27" spans="1:20" ht="12.75" customHeight="1" x14ac:dyDescent="0.35">
      <c r="A27" s="208" t="str">
        <f>studie!B385</f>
        <v>Methode:</v>
      </c>
      <c r="B27" s="208"/>
      <c r="C27" s="208"/>
      <c r="D27" s="311" t="str">
        <f>IF(studie!F383="N","",IF(studie!F385="S","Beker","Basket (mandjes)"))</f>
        <v>Beker</v>
      </c>
      <c r="E27" s="208"/>
      <c r="F27" s="208"/>
      <c r="G27" s="208"/>
      <c r="H27" s="208"/>
      <c r="I27" s="208"/>
      <c r="J27" s="208"/>
      <c r="K27" s="208"/>
      <c r="L27" s="208"/>
      <c r="N27" s="208"/>
      <c r="O27" s="208"/>
      <c r="P27" s="208"/>
      <c r="Q27" s="208"/>
      <c r="R27" s="208"/>
      <c r="S27" s="208"/>
      <c r="T27" s="208"/>
    </row>
    <row r="28" spans="1:20" ht="12.75" customHeight="1" thickBot="1" x14ac:dyDescent="0.4">
      <c r="A28" s="208"/>
      <c r="B28" s="208"/>
      <c r="C28" s="208"/>
      <c r="D28" s="208"/>
      <c r="E28" s="208"/>
      <c r="F28" s="208"/>
      <c r="G28" s="208"/>
      <c r="H28" s="208"/>
      <c r="I28" s="208"/>
      <c r="J28" s="208"/>
      <c r="K28" s="208"/>
      <c r="L28" s="208"/>
      <c r="M28" s="208"/>
      <c r="N28" s="208"/>
      <c r="O28" s="208"/>
      <c r="P28" s="208"/>
      <c r="Q28" s="208"/>
      <c r="R28" s="208"/>
      <c r="S28" s="208"/>
      <c r="T28" s="208"/>
    </row>
    <row r="29" spans="1:20" ht="12.75" customHeight="1" x14ac:dyDescent="0.35">
      <c r="A29" s="244" t="s">
        <v>183</v>
      </c>
      <c r="B29" s="245"/>
      <c r="C29" s="610" t="s">
        <v>474</v>
      </c>
      <c r="D29" s="611"/>
      <c r="E29" s="610" t="str">
        <f>IF(studie!$F$385="S","Temp.","")</f>
        <v>Temp.</v>
      </c>
      <c r="F29" s="796"/>
      <c r="G29" s="610" t="str">
        <f>IF(studie!$F$385="S","Tarra","Plaat")</f>
        <v>Tarra</v>
      </c>
      <c r="H29" s="245"/>
      <c r="I29" s="558" t="str">
        <f>IF(studie!$F$385="S","T + monster","P + verlies")</f>
        <v>T + monster</v>
      </c>
      <c r="J29" s="797"/>
      <c r="K29" s="558" t="str">
        <f>IF(studie!$F$385="S","T + rest","Monster")</f>
        <v>T + rest</v>
      </c>
      <c r="L29" s="245"/>
      <c r="M29" s="558" t="str">
        <f>IF(studie!$F$385="S","Rest","")</f>
        <v>Rest</v>
      </c>
      <c r="N29" s="797"/>
      <c r="O29" s="245" t="str">
        <f>IF(studie!$F$385="S","Op 1 mm","")</f>
        <v>Op 1 mm</v>
      </c>
      <c r="P29" s="796"/>
      <c r="Q29" s="558" t="s">
        <v>489</v>
      </c>
      <c r="R29" s="797"/>
      <c r="S29" s="558" t="str">
        <f>IF(studie!$F$385="S","Zeefrest","")</f>
        <v>Zeefrest</v>
      </c>
      <c r="T29" s="246"/>
    </row>
    <row r="30" spans="1:20" ht="12.75" customHeight="1" x14ac:dyDescent="0.35">
      <c r="A30" s="247" t="s">
        <v>185</v>
      </c>
      <c r="B30" s="248"/>
      <c r="C30" s="612" t="s">
        <v>338</v>
      </c>
      <c r="D30" s="613"/>
      <c r="E30" s="612" t="str">
        <f>IF(studie!$F$385="S","(°C)","")</f>
        <v>(°C)</v>
      </c>
      <c r="F30" s="248"/>
      <c r="G30" s="612" t="s">
        <v>480</v>
      </c>
      <c r="H30" s="248"/>
      <c r="I30" s="704" t="s">
        <v>481</v>
      </c>
      <c r="J30" s="705"/>
      <c r="K30" s="704" t="str">
        <f>IF(studie!$F$385="S","M3 (g)","(g)")</f>
        <v>M3 (g)</v>
      </c>
      <c r="L30" s="248"/>
      <c r="M30" s="704" t="str">
        <f>IF(studie!$F$385="S","(%)","")</f>
        <v>(%)</v>
      </c>
      <c r="N30" s="705"/>
      <c r="O30" s="248" t="str">
        <f>IF(studie!$F$385="S","M4 (g)","")</f>
        <v>M4 (g)</v>
      </c>
      <c r="P30" s="248"/>
      <c r="Q30" s="704" t="s">
        <v>1357</v>
      </c>
      <c r="R30" s="705"/>
      <c r="S30" s="704" t="str">
        <f>IF(studie!$F$385="S","R (%)","")</f>
        <v>R (%)</v>
      </c>
      <c r="T30" s="249"/>
    </row>
    <row r="31" spans="1:20" ht="12.75" customHeight="1" x14ac:dyDescent="0.35">
      <c r="A31" s="1899">
        <f>IF(studie!B390="","",studie!B390)</f>
        <v>3.5500000000000003</v>
      </c>
      <c r="B31" s="774"/>
      <c r="C31" s="631" t="str">
        <f>IF(studie!D390="","",studie!D390)</f>
        <v>a</v>
      </c>
      <c r="D31" s="674"/>
      <c r="E31" s="802" t="str">
        <f>IF(studie!$F$385="S",IF(studie!I390="","",studie!I390),"")</f>
        <v/>
      </c>
      <c r="F31" s="706"/>
      <c r="G31" s="809"/>
      <c r="H31" s="410"/>
      <c r="I31" s="810"/>
      <c r="J31" s="811"/>
      <c r="K31" s="812"/>
      <c r="L31" s="408"/>
      <c r="M31" s="810"/>
      <c r="N31" s="815"/>
      <c r="O31" s="813"/>
      <c r="P31" s="813"/>
      <c r="Q31" s="814"/>
      <c r="R31" s="815"/>
      <c r="S31" s="812"/>
      <c r="T31" s="409"/>
    </row>
    <row r="32" spans="1:20" ht="12.75" customHeight="1" x14ac:dyDescent="0.35">
      <c r="A32" s="798"/>
      <c r="B32" s="799"/>
      <c r="C32" s="634" t="str">
        <f>IF(studie!D391="","",studie!D391)</f>
        <v>b</v>
      </c>
      <c r="D32" s="675"/>
      <c r="E32" s="803"/>
      <c r="F32" s="707"/>
      <c r="G32" s="640">
        <f>IF(studie!$F$385="S",IF(studie!F391="","",studie!F391),IF(studie!P391="","",studie!P391))</f>
        <v>1000</v>
      </c>
      <c r="H32" s="643"/>
      <c r="I32" s="642">
        <f>IF(studie!$F$385="S",IF(studie!G391="","",studie!G391),IF(studie!Q391="","",studie!Q391))</f>
        <v>2000</v>
      </c>
      <c r="J32" s="780"/>
      <c r="K32" s="642">
        <f>IF(studie!$F$385="S",IF(studie!K391="","",studie!K391),IF(studie!S391="","",studie!S391))</f>
        <v>1001</v>
      </c>
      <c r="L32" s="633"/>
      <c r="M32" s="642">
        <f>IF(studie!$F$385="S",IF(studie!L391="","",studie!L391),"")</f>
        <v>0.1</v>
      </c>
      <c r="N32" s="641"/>
      <c r="O32" s="643">
        <f>IF(studie!$F$385="S",IF(studie!M391="","",studie!M391),"")</f>
        <v>5</v>
      </c>
      <c r="P32" s="707"/>
      <c r="Q32" s="642">
        <f>IF(studie!V391="","",studie!V391)</f>
        <v>-0.4</v>
      </c>
      <c r="R32" s="641"/>
      <c r="S32" s="642">
        <f>IF(studie!$F$385="S",IF(studie!O391="","",studie!O391),"")</f>
        <v>0.5</v>
      </c>
      <c r="T32" s="762"/>
    </row>
    <row r="33" spans="1:20" ht="12.75" customHeight="1" x14ac:dyDescent="0.35">
      <c r="A33" s="798"/>
      <c r="B33" s="799"/>
      <c r="C33" s="660" t="str">
        <f>IF(studie!D392="","",studie!D392)</f>
        <v>c</v>
      </c>
      <c r="D33" s="676"/>
      <c r="E33" s="804"/>
      <c r="F33" s="708"/>
      <c r="G33" s="714">
        <f>IF(studie!$F$385="S",IF(studie!F392="","",studie!F392),IF(studie!P392="","",studie!P392))</f>
        <v>1000</v>
      </c>
      <c r="H33" s="684"/>
      <c r="I33" s="724">
        <f>IF(studie!$F$385="S",IF(studie!G392="","",studie!G392),IF(studie!Q392="","",studie!Q392))</f>
        <v>2000</v>
      </c>
      <c r="J33" s="781"/>
      <c r="K33" s="724">
        <f>IF(studie!$F$385="S",IF(studie!K392="","",studie!K392),IF(studie!S392="","",studie!S392))</f>
        <v>1002</v>
      </c>
      <c r="L33" s="681"/>
      <c r="M33" s="724">
        <f>IF(studie!$F$385="S",IF(studie!L392="","",studie!L392),"")</f>
        <v>0.2</v>
      </c>
      <c r="N33" s="715"/>
      <c r="O33" s="684">
        <f>IF(studie!$F$385="S",IF(studie!M392="","",studie!M392),"")</f>
        <v>0</v>
      </c>
      <c r="P33" s="708"/>
      <c r="Q33" s="724">
        <f>IF(studie!V392="","",studie!V392)</f>
        <v>0.2</v>
      </c>
      <c r="R33" s="715"/>
      <c r="S33" s="724">
        <f>IF(studie!$F$385="S",IF(studie!O392="","",studie!O392),"")</f>
        <v>0</v>
      </c>
      <c r="T33" s="763"/>
    </row>
    <row r="34" spans="1:20" ht="12.75" customHeight="1" x14ac:dyDescent="0.35">
      <c r="A34" s="800"/>
      <c r="B34" s="801"/>
      <c r="C34" s="661"/>
      <c r="D34" s="677"/>
      <c r="E34" s="805"/>
      <c r="F34" s="709"/>
      <c r="G34" s="746"/>
      <c r="H34" s="685"/>
      <c r="I34" s="760"/>
      <c r="J34" s="782"/>
      <c r="K34" s="758"/>
      <c r="L34" s="682"/>
      <c r="M34" s="726"/>
      <c r="N34" s="717"/>
      <c r="O34" s="709"/>
      <c r="P34" s="709"/>
      <c r="Q34" s="726">
        <f>IF(studie!D391="","",IF(studie!F383="J",studie!V395,""))</f>
        <v>-0.1</v>
      </c>
      <c r="R34" s="717"/>
      <c r="S34" s="726">
        <f>IF(studie!D391="","",IF(studie!$F$385="S",studie!O395,""))</f>
        <v>0.25</v>
      </c>
      <c r="T34" s="764"/>
    </row>
    <row r="35" spans="1:20" ht="12.75" customHeight="1" x14ac:dyDescent="0.35">
      <c r="A35" s="1899">
        <f>IF(studie!B396="","",studie!B396)</f>
        <v>3.85</v>
      </c>
      <c r="B35" s="774"/>
      <c r="C35" s="662" t="str">
        <f>IF(studie!D396="","",studie!D396)</f>
        <v/>
      </c>
      <c r="D35" s="678"/>
      <c r="E35" s="806" t="str">
        <f>IF(studie!$F$385="S",IF(studie!I396="","",studie!I396),"")</f>
        <v/>
      </c>
      <c r="F35" s="710"/>
      <c r="G35" s="816"/>
      <c r="H35" s="817"/>
      <c r="I35" s="818"/>
      <c r="J35" s="819"/>
      <c r="K35" s="812"/>
      <c r="L35" s="408"/>
      <c r="M35" s="818"/>
      <c r="N35" s="821"/>
      <c r="O35" s="820"/>
      <c r="P35" s="820"/>
      <c r="Q35" s="818"/>
      <c r="R35" s="821"/>
      <c r="S35" s="818"/>
      <c r="T35" s="409"/>
    </row>
    <row r="36" spans="1:20" ht="12.75" customHeight="1" x14ac:dyDescent="0.35">
      <c r="A36" s="798"/>
      <c r="B36" s="799"/>
      <c r="C36" s="634" t="str">
        <f>IF(studie!D397="","",studie!D397)</f>
        <v>d</v>
      </c>
      <c r="D36" s="675"/>
      <c r="E36" s="803"/>
      <c r="F36" s="707"/>
      <c r="G36" s="640" t="str">
        <f>IF(studie!$F$385="S",IF(studie!F397="","",studie!F397),IF(studie!P397="","",studie!P397))</f>
        <v/>
      </c>
      <c r="H36" s="643"/>
      <c r="I36" s="642" t="str">
        <f>IF(studie!$F$385="S",IF(studie!G397="","",studie!G397),IF(studie!Q397="","",studie!Q397))</f>
        <v/>
      </c>
      <c r="J36" s="780"/>
      <c r="K36" s="642" t="str">
        <f>IF(studie!$F$385="S",IF(studie!K397="","",studie!K397),IF(studie!S397="","",studie!S397))</f>
        <v/>
      </c>
      <c r="L36" s="633"/>
      <c r="M36" s="642" t="str">
        <f>IF(studie!$F$385="S",IF(studie!L397="","",studie!L397),"")</f>
        <v/>
      </c>
      <c r="N36" s="641"/>
      <c r="O36" s="643" t="str">
        <f>IF(studie!$F$385="S",IF(studie!M397="","",studie!M397),"")</f>
        <v/>
      </c>
      <c r="P36" s="707"/>
      <c r="Q36" s="642" t="str">
        <f>IF(studie!V397="","",studie!V397)</f>
        <v/>
      </c>
      <c r="R36" s="641"/>
      <c r="S36" s="642" t="str">
        <f>IF(studie!$F$385="S",IF(studie!O397="","",studie!O397),"")</f>
        <v/>
      </c>
      <c r="T36" s="762"/>
    </row>
    <row r="37" spans="1:20" ht="12.75" customHeight="1" x14ac:dyDescent="0.35">
      <c r="A37" s="798"/>
      <c r="B37" s="799"/>
      <c r="C37" s="660" t="str">
        <f>IF(studie!D398="","",studie!D398)</f>
        <v/>
      </c>
      <c r="D37" s="676"/>
      <c r="E37" s="804"/>
      <c r="F37" s="708"/>
      <c r="G37" s="714" t="str">
        <f>IF(studie!$F$385="S",IF(studie!F398="","",studie!F398),IF(studie!P398="","",studie!P398))</f>
        <v/>
      </c>
      <c r="H37" s="684"/>
      <c r="I37" s="724" t="str">
        <f>IF(studie!$F$385="S",IF(studie!G398="","",studie!G398),IF(studie!Q398="","",studie!Q398))</f>
        <v/>
      </c>
      <c r="J37" s="781"/>
      <c r="K37" s="724" t="str">
        <f>IF(studie!$F$385="S",IF(studie!K398="","",studie!K398),IF(studie!S398="","",studie!S398))</f>
        <v/>
      </c>
      <c r="L37" s="681"/>
      <c r="M37" s="724" t="str">
        <f>IF(studie!$F$385="S",IF(studie!L398="","",studie!L398),"")</f>
        <v/>
      </c>
      <c r="N37" s="715"/>
      <c r="O37" s="684" t="str">
        <f>IF(studie!$F$385="S",IF(studie!M398="","",studie!M398),"")</f>
        <v/>
      </c>
      <c r="P37" s="708"/>
      <c r="Q37" s="724" t="str">
        <f>IF(studie!V398="","",studie!V398)</f>
        <v/>
      </c>
      <c r="R37" s="715"/>
      <c r="S37" s="724" t="str">
        <f>IF(studie!$F$385="S",IF(studie!O398="","",studie!O398),"")</f>
        <v/>
      </c>
      <c r="T37" s="763"/>
    </row>
    <row r="38" spans="1:20" ht="12.75" customHeight="1" x14ac:dyDescent="0.35">
      <c r="A38" s="800"/>
      <c r="B38" s="801"/>
      <c r="C38" s="661"/>
      <c r="D38" s="677"/>
      <c r="E38" s="807"/>
      <c r="F38" s="709"/>
      <c r="G38" s="746"/>
      <c r="H38" s="685"/>
      <c r="I38" s="760"/>
      <c r="J38" s="782"/>
      <c r="K38" s="758"/>
      <c r="L38" s="682"/>
      <c r="M38" s="726"/>
      <c r="N38" s="717"/>
      <c r="O38" s="709"/>
      <c r="P38" s="709"/>
      <c r="Q38" s="726" t="str">
        <f>IF(studie!D397="","",IF(studie!F383="J",studie!V401,""))</f>
        <v/>
      </c>
      <c r="R38" s="717"/>
      <c r="S38" s="726" t="str">
        <f>IF(studie!D397="","",IF(studie!$F$385="S",studie!O401,""))</f>
        <v/>
      </c>
      <c r="T38" s="764"/>
    </row>
    <row r="39" spans="1:20" ht="12.75" customHeight="1" x14ac:dyDescent="0.35">
      <c r="A39" s="1899">
        <f>IF(studie!B402="","",studie!B402)</f>
        <v>4.1500000000000004</v>
      </c>
      <c r="B39" s="774"/>
      <c r="C39" s="662" t="str">
        <f>IF(studie!D402="","",studie!D402)</f>
        <v/>
      </c>
      <c r="D39" s="678"/>
      <c r="E39" s="806" t="str">
        <f>IF(studie!$F$385="S",IF(studie!I402="","",studie!I402),"")</f>
        <v/>
      </c>
      <c r="F39" s="710"/>
      <c r="G39" s="816"/>
      <c r="H39" s="817"/>
      <c r="I39" s="818"/>
      <c r="J39" s="819"/>
      <c r="K39" s="812"/>
      <c r="L39" s="408"/>
      <c r="M39" s="818"/>
      <c r="N39" s="821"/>
      <c r="O39" s="820"/>
      <c r="P39" s="820"/>
      <c r="Q39" s="818"/>
      <c r="R39" s="821"/>
      <c r="S39" s="818"/>
      <c r="T39" s="409"/>
    </row>
    <row r="40" spans="1:20" ht="12.75" customHeight="1" x14ac:dyDescent="0.35">
      <c r="A40" s="798"/>
      <c r="B40" s="799"/>
      <c r="C40" s="634" t="str">
        <f>IF(studie!D403="","",studie!D403)</f>
        <v>e</v>
      </c>
      <c r="D40" s="675"/>
      <c r="E40" s="803"/>
      <c r="F40" s="707"/>
      <c r="G40" s="640">
        <f>IF(studie!$F$385="S",IF(studie!F403="","",studie!F403),IF(studie!P403="","",studie!P403))</f>
        <v>550</v>
      </c>
      <c r="H40" s="643"/>
      <c r="I40" s="642">
        <f>IF(studie!$F$385="S",IF(studie!G403="","",studie!G403),IF(studie!Q403="","",studie!Q403))</f>
        <v>1550</v>
      </c>
      <c r="J40" s="780"/>
      <c r="K40" s="642">
        <f>IF(studie!$F$385="S",IF(studie!K403="","",studie!K403),IF(studie!S403="","",studie!S403))</f>
        <v>1050</v>
      </c>
      <c r="L40" s="633"/>
      <c r="M40" s="642">
        <f>IF(studie!$F$385="S",IF(studie!L403="","",studie!L403),"")</f>
        <v>50</v>
      </c>
      <c r="N40" s="641"/>
      <c r="O40" s="643">
        <f>IF(studie!$F$385="S",IF(studie!M403="","",studie!M403),"")</f>
        <v>22</v>
      </c>
      <c r="P40" s="707"/>
      <c r="Q40" s="642">
        <f>IF(studie!V403="","",studie!V403)</f>
        <v>47.8</v>
      </c>
      <c r="R40" s="641"/>
      <c r="S40" s="642">
        <f>IF(studie!$F$385="S",IF(studie!O403="","",studie!O403),"")</f>
        <v>2.2000000000000002</v>
      </c>
      <c r="T40" s="762"/>
    </row>
    <row r="41" spans="1:20" ht="12.75" customHeight="1" x14ac:dyDescent="0.35">
      <c r="A41" s="798"/>
      <c r="B41" s="799"/>
      <c r="C41" s="660" t="str">
        <f>IF(studie!D404="","",studie!D404)</f>
        <v/>
      </c>
      <c r="D41" s="676"/>
      <c r="E41" s="804"/>
      <c r="F41" s="708"/>
      <c r="G41" s="714">
        <f>IF(studie!$F$385="S",IF(studie!F404="","",studie!F404),IF(studie!P404="","",studie!P404))</f>
        <v>560</v>
      </c>
      <c r="H41" s="684"/>
      <c r="I41" s="724">
        <f>IF(studie!$F$385="S",IF(studie!G404="","",studie!G404),IF(studie!Q404="","",studie!Q404))</f>
        <v>1650</v>
      </c>
      <c r="J41" s="781"/>
      <c r="K41" s="724">
        <f>IF(studie!$F$385="S",IF(studie!K404="","",studie!K404),IF(studie!S404="","",studie!S404))</f>
        <v>1020</v>
      </c>
      <c r="L41" s="681"/>
      <c r="M41" s="724">
        <f>IF(studie!$F$385="S",IF(studie!L404="","",studie!L404),"")</f>
        <v>42.201834862385319</v>
      </c>
      <c r="N41" s="715"/>
      <c r="O41" s="684" t="str">
        <f>IF(studie!$F$385="S",IF(studie!M404="","",studie!M404),"")</f>
        <v/>
      </c>
      <c r="P41" s="708"/>
      <c r="Q41" s="724">
        <f>IF(studie!V404="","",studie!V404)</f>
        <v>42.201834862385319</v>
      </c>
      <c r="R41" s="715"/>
      <c r="S41" s="724" t="str">
        <f>IF(studie!$F$385="S",IF(studie!O404="","",studie!O404),"")</f>
        <v/>
      </c>
      <c r="T41" s="763"/>
    </row>
    <row r="42" spans="1:20" ht="12.75" customHeight="1" thickBot="1" x14ac:dyDescent="0.4">
      <c r="A42" s="775"/>
      <c r="B42" s="776"/>
      <c r="C42" s="663"/>
      <c r="D42" s="679"/>
      <c r="E42" s="808"/>
      <c r="F42" s="742"/>
      <c r="G42" s="747"/>
      <c r="H42" s="687"/>
      <c r="I42" s="761"/>
      <c r="J42" s="783"/>
      <c r="K42" s="759"/>
      <c r="L42" s="683"/>
      <c r="M42" s="759"/>
      <c r="N42" s="783"/>
      <c r="O42" s="742"/>
      <c r="P42" s="742"/>
      <c r="Q42" s="730">
        <f>IF(studie!D403="","",IF(studie!F383="J",studie!V407,""))</f>
        <v>45.000917431192661</v>
      </c>
      <c r="R42" s="721"/>
      <c r="S42" s="730" t="str">
        <f>IF(studie!D403="","",IF(studie!$F$385="S",studie!O407,""))</f>
        <v/>
      </c>
      <c r="T42" s="765"/>
    </row>
    <row r="43" spans="1:20" ht="12.75" customHeight="1" x14ac:dyDescent="0.35">
      <c r="A43" s="208"/>
      <c r="B43" s="208"/>
      <c r="C43" s="208"/>
      <c r="D43" s="208"/>
      <c r="E43" s="208"/>
      <c r="F43" s="208"/>
      <c r="G43" s="208"/>
      <c r="H43" s="208"/>
      <c r="I43" s="208"/>
      <c r="J43" s="208"/>
      <c r="K43" s="208"/>
      <c r="L43" s="208"/>
      <c r="M43" s="208"/>
      <c r="N43" s="208"/>
      <c r="O43" s="208"/>
      <c r="P43" s="208"/>
      <c r="Q43" s="208"/>
      <c r="R43" s="208"/>
      <c r="S43" s="208"/>
      <c r="T43" s="208"/>
    </row>
    <row r="44" spans="1:20" ht="12.75" customHeight="1" x14ac:dyDescent="0.35"/>
    <row r="45" spans="1:20" ht="12.75" customHeight="1" x14ac:dyDescent="0.35"/>
    <row r="46" spans="1:20" ht="12.75" customHeight="1" x14ac:dyDescent="0.35"/>
    <row r="47" spans="1:20" x14ac:dyDescent="0.35">
      <c r="A47" s="736" t="s">
        <v>1257</v>
      </c>
      <c r="B47" s="737"/>
      <c r="C47" s="737"/>
      <c r="D47" s="737"/>
      <c r="E47" s="737"/>
      <c r="F47" s="737"/>
      <c r="G47" s="737"/>
      <c r="H47" s="737"/>
      <c r="I47" s="737"/>
      <c r="J47" s="737"/>
      <c r="K47" s="737"/>
      <c r="L47" s="737"/>
      <c r="M47" s="737"/>
      <c r="N47" s="737"/>
      <c r="O47" s="737"/>
      <c r="P47" s="733" t="str">
        <f>'VN1'!$A$53</f>
        <v>801/64/</v>
      </c>
      <c r="Q47" s="732" t="str">
        <f>algemeen!$J$66</f>
        <v>2010/13RE-1234/0</v>
      </c>
      <c r="R47" s="542"/>
      <c r="S47" s="542"/>
      <c r="T47" s="543"/>
    </row>
    <row r="48" spans="1:20" s="208" customFormat="1" ht="13" x14ac:dyDescent="0.35"/>
    <row r="49" spans="1:20" s="208" customFormat="1" ht="13" x14ac:dyDescent="0.35">
      <c r="A49" s="208" t="str">
        <f>IF(studie!E702="J",studie!B705,"Niet bepaald.")</f>
        <v>Toegepaste norm voor de bepaling van de filmdikte:</v>
      </c>
      <c r="M49" s="311" t="str">
        <f>IF(studie!E702="J",studie!I705,"")</f>
        <v>SB 260 (2018)</v>
      </c>
      <c r="O49" s="311"/>
    </row>
    <row r="50" spans="1:20" s="208" customFormat="1" ht="13.5" thickBot="1" x14ac:dyDescent="0.4"/>
    <row r="51" spans="1:20" s="208" customFormat="1" ht="15.5" thickBot="1" x14ac:dyDescent="0.4">
      <c r="A51" s="1371" t="str">
        <f>studie!B708</f>
        <v>Filmdikte FDm:</v>
      </c>
      <c r="B51" s="1372"/>
      <c r="C51" s="1372"/>
      <c r="D51" s="1372"/>
      <c r="E51" s="1372"/>
      <c r="F51" s="1373"/>
      <c r="G51" s="2321">
        <f>IF(studie!E702="J",studie!E708,"")</f>
        <v>0.56352961960663328</v>
      </c>
      <c r="H51" s="2321"/>
      <c r="I51" s="1374" t="str">
        <f>IF(studie!E702="J",studie!F708,"")</f>
        <v>mm</v>
      </c>
      <c r="J51" s="852"/>
      <c r="K51" s="852"/>
      <c r="L51" s="852"/>
      <c r="M51" s="852"/>
      <c r="N51" s="852"/>
      <c r="O51" s="852"/>
      <c r="P51" s="1370"/>
      <c r="Q51" s="852"/>
      <c r="R51" s="852"/>
      <c r="S51" s="852"/>
      <c r="T51" s="852"/>
    </row>
    <row r="52" spans="1:20" ht="12.75" customHeight="1" x14ac:dyDescent="0.35"/>
    <row r="53" spans="1:20" ht="12.75" customHeight="1" x14ac:dyDescent="0.35">
      <c r="B53" s="1445" t="str">
        <f>IF(berekeningen!J2=0,"PROEVEN NIET UITGEVOERD !","")</f>
        <v/>
      </c>
    </row>
    <row r="54" spans="1:20" ht="12.75" customHeight="1" x14ac:dyDescent="0.35"/>
    <row r="55" spans="1:20" ht="12.75" customHeight="1" x14ac:dyDescent="0.35"/>
    <row r="56" spans="1:20" s="210" customFormat="1" ht="10.5" x14ac:dyDescent="0.35">
      <c r="A56" s="2277" t="str">
        <f>'VN1'!$A$53</f>
        <v>801/64/</v>
      </c>
      <c r="B56" s="2277"/>
      <c r="C56" s="267" t="str">
        <f>algemeen!$J$66</f>
        <v>2010/13RE-1234/0</v>
      </c>
      <c r="D56" s="267"/>
      <c r="E56" s="268"/>
      <c r="F56" s="268"/>
      <c r="G56" s="268"/>
      <c r="H56" s="268"/>
      <c r="I56" s="269" t="str">
        <f>"blz. "&amp;berekeningen!J3&amp;" /"</f>
        <v>blz. 13 /</v>
      </c>
      <c r="J56" s="267">
        <f>berekeningen!O$2</f>
        <v>19</v>
      </c>
      <c r="K56" s="268"/>
      <c r="L56" s="268"/>
      <c r="M56" s="268" t="s">
        <v>610</v>
      </c>
      <c r="N56" s="268"/>
      <c r="O56" s="268"/>
      <c r="P56" s="268"/>
      <c r="Q56" s="268"/>
      <c r="R56" s="268"/>
      <c r="S56" s="268"/>
      <c r="T56" s="268"/>
    </row>
    <row r="57" spans="1:20" ht="12.75" customHeight="1" x14ac:dyDescent="0.35"/>
    <row r="58" spans="1:20" ht="12.75" customHeight="1" x14ac:dyDescent="0.35"/>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sheetData>
  <sheetProtection algorithmName="SHA-512" hashValue="5DC4zt0s0BAfdGZSjJ+EgZqI/4wCV6CEOKEAXpXJIdPyveJR/iAcn/wj60sw8v2NFeDnOI6RQNkaM6KZvo4CZA==" saltValue="WP0ElRuHJ4B1+j298BrgQw==" spinCount="100000" sheet="1" objects="1" scenarios="1"/>
  <mergeCells count="2">
    <mergeCell ref="A56:B56"/>
    <mergeCell ref="G51:H51"/>
  </mergeCells>
  <pageMargins left="0.59055118110236227" right="0.19685039370078741" top="0.59055118110236227" bottom="0.59055118110236227"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T117"/>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studie!E422</f>
        <v>laboratoriumvalidatie</v>
      </c>
    </row>
    <row r="4" spans="1:20" s="208" customFormat="1" ht="13" x14ac:dyDescent="0.35">
      <c r="A4" s="208" t="str">
        <f>studie!B425</f>
        <v>Toegepaste methode voor de verdichting van de proefstukken (volgens EN 13108-20):</v>
      </c>
      <c r="P4" s="208" t="str">
        <f>studie!L425</f>
        <v>C.1.6</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f>A65</f>
        <v>3.5500000000000003</v>
      </c>
      <c r="B10" s="1081" t="str">
        <f>C65</f>
        <v>A1</v>
      </c>
      <c r="C10" s="623">
        <f>IF($B10="","",VLOOKUP($B10,studie!$B$38:$Y$127,5,FALSE))</f>
        <v>62</v>
      </c>
      <c r="D10" s="622">
        <f>IF($B10="","",VLOOKUP($B10,studie!$B$38:$Y$127,6,FALSE))</f>
        <v>0</v>
      </c>
      <c r="E10" s="622">
        <f>IF($B10="","",VLOOKUP($B10,studie!$B$38:$Y$127,7,FALSE))</f>
        <v>0</v>
      </c>
      <c r="F10" s="622">
        <f>IF($B10="","",VLOOKUP($B10,studie!$B$38:$Y$127,8,FALSE))</f>
        <v>0</v>
      </c>
      <c r="G10" s="621">
        <f>IF($B10="","",VLOOKUP($B10,studie!$B$38:$Y$127,9,FALSE))</f>
        <v>62</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f>IF($B10="","",VLOOKUP($B10,studie!$B$38:$Y$127,17,FALSE))</f>
        <v>100</v>
      </c>
      <c r="P10" s="621"/>
      <c r="Q10" s="1735">
        <f>IF($B10="","",VLOOKUP($B10,studie!$B$38:$Y$127,21,FALSE))</f>
        <v>170</v>
      </c>
      <c r="R10" s="1751"/>
      <c r="S10" s="1740">
        <f>IF($B10="","",VLOOKUP($B10,studie!$B$38:$Y$127,23,FALSE))</f>
        <v>140</v>
      </c>
      <c r="T10" s="1752"/>
    </row>
    <row r="11" spans="1:20" s="208" customFormat="1" ht="12.75" customHeight="1" x14ac:dyDescent="0.35">
      <c r="A11" s="1007"/>
      <c r="B11" s="1082" t="str">
        <f t="shared" ref="B11:B14" si="0">C66</f>
        <v>A1</v>
      </c>
      <c r="C11" s="620">
        <f>IF($B11="","",VLOOKUP($B11,studie!$B$38:$Y$127,5,FALSE))</f>
        <v>62</v>
      </c>
      <c r="D11" s="619">
        <f>IF($B11="","",VLOOKUP($B11,studie!$B$38:$Y$127,6,FALSE))</f>
        <v>0</v>
      </c>
      <c r="E11" s="619">
        <f>IF($B11="","",VLOOKUP($B11,studie!$B$38:$Y$127,7,FALSE))</f>
        <v>0</v>
      </c>
      <c r="F11" s="619">
        <f>IF($B11="","",VLOOKUP($B11,studie!$B$38:$Y$127,8,FALSE))</f>
        <v>0</v>
      </c>
      <c r="G11" s="618">
        <f>IF($B11="","",VLOOKUP($B11,studie!$B$38:$Y$127,9,FALSE))</f>
        <v>62</v>
      </c>
      <c r="H11" s="620" t="str">
        <f>IF($B11="","",IF(VLOOKUP($B11,studie!$B$38:$Y$127,10,FALSE)="","",VLOOKUP($B11,studie!$B$38:$Y$127,10,FALSE)))</f>
        <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t="str">
        <f>IF($B11="","",IF(VLOOKUP($B11,studie!$B$38:$Y$127,16,FALSE)="","",VLOOKUP($B11,studie!$B$38:$Y$127,16,FALSE)))</f>
        <v/>
      </c>
      <c r="O11" s="620">
        <f>IF($B11="","",VLOOKUP($B11,studie!$B$38:$Y$127,17,FALSE))</f>
        <v>100</v>
      </c>
      <c r="P11" s="618"/>
      <c r="Q11" s="1734">
        <f>IF($B11="","",VLOOKUP($B11,studie!$B$38:$Y$127,21,FALSE))</f>
        <v>170</v>
      </c>
      <c r="R11" s="1771"/>
      <c r="S11" s="1737">
        <f>IF($B11="","",VLOOKUP($B11,studie!$B$38:$Y$127,23,FALSE))</f>
        <v>140</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A1</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t="str">
        <f>IF($B13="","",IF(VLOOKUP($B13,studie!$B$38:$Y$127,10,FALSE)="","",VLOOKUP($B13,studie!$B$38:$Y$127,10,FALSE)))</f>
        <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t="str">
        <f>IF($B13="","",IF(VLOOKUP($B13,studie!$B$38:$Y$127,16,FALSE)="","",VLOOKUP($B13,studie!$B$38:$Y$127,16,FALSE)))</f>
        <v/>
      </c>
      <c r="O13" s="620">
        <f>IF($B13="","",VLOOKUP($B13,studie!$B$38:$Y$127,17,FALSE))</f>
        <v>100</v>
      </c>
      <c r="P13" s="618"/>
      <c r="Q13" s="1734">
        <f>IF($B13="","",VLOOKUP($B13,studie!$B$38:$Y$127,21,FALSE))</f>
        <v>170</v>
      </c>
      <c r="R13" s="1771"/>
      <c r="S13" s="1737">
        <f>IF($B13="","",VLOOKUP($B13,studie!$B$38:$Y$127,23,FALSE))</f>
        <v>140</v>
      </c>
      <c r="T13" s="1772"/>
    </row>
    <row r="14" spans="1:20" s="208" customFormat="1" ht="12.75" customHeight="1" x14ac:dyDescent="0.35">
      <c r="A14" s="1007"/>
      <c r="B14" s="1083" t="str">
        <f t="shared" si="0"/>
        <v>A1</v>
      </c>
      <c r="C14" s="626">
        <f>IF($B14="","",VLOOKUP($B14,studie!$B$38:$Y$127,5,FALSE))</f>
        <v>62</v>
      </c>
      <c r="D14" s="625">
        <f>IF($B14="","",VLOOKUP($B14,studie!$B$38:$Y$127,6,FALSE))</f>
        <v>0</v>
      </c>
      <c r="E14" s="625">
        <f>IF($B14="","",VLOOKUP($B14,studie!$B$38:$Y$127,7,FALSE))</f>
        <v>0</v>
      </c>
      <c r="F14" s="625">
        <f>IF($B14="","",VLOOKUP($B14,studie!$B$38:$Y$127,8,FALSE))</f>
        <v>0</v>
      </c>
      <c r="G14" s="624">
        <f>IF($B14="","",VLOOKUP($B14,studie!$B$38:$Y$127,9,FALSE))</f>
        <v>62</v>
      </c>
      <c r="H14" s="626" t="str">
        <f>IF($B14="","",IF(VLOOKUP($B14,studie!$B$38:$Y$127,10,FALSE)="","",VLOOKUP($B14,studie!$B$38:$Y$127,10,FALSE)))</f>
        <v/>
      </c>
      <c r="I14" s="625" t="str">
        <f>IF($B14="","",IF(VLOOKUP($B14,studie!$B$38:$Y$127,11,FALSE)="","",VLOOKUP($B14,studie!$B$38:$Y$127,11,FALSE)))</f>
        <v/>
      </c>
      <c r="J14" s="625" t="str">
        <f>IF($B14="","",IF(VLOOKUP($B14,studie!$B$38:$Y$127,12,FALSE)="","",VLOOKUP($B14,studie!$B$38:$Y$127,12,FALSE)))</f>
        <v/>
      </c>
      <c r="K14" s="625" t="str">
        <f>IF($B14="","",IF(VLOOKUP($B14,studie!$B$38:$Y$127,13,FALSE)="","",VLOOKUP($B14,studie!$B$38:$Y$127,13,FALSE)))</f>
        <v/>
      </c>
      <c r="L14" s="625" t="str">
        <f>IF($B14="","",IF(VLOOKUP($B14,studie!$B$38:$Y$127,14,FALSE)="","",VLOOKUP($B14,studie!$B$38:$Y$127,14,FALSE)))</f>
        <v/>
      </c>
      <c r="M14" s="625" t="str">
        <f>IF($B14="","",IF(VLOOKUP($B14,studie!$B$38:$Y$127,15,FALSE)="","",VLOOKUP($B14,studie!$B$38:$Y$127,15,FALSE)))</f>
        <v/>
      </c>
      <c r="N14" s="624" t="str">
        <f>IF($B14="","",IF(VLOOKUP($B14,studie!$B$38:$Y$127,16,FALSE)="","",VLOOKUP($B14,studie!$B$38:$Y$127,16,FALSE)))</f>
        <v/>
      </c>
      <c r="O14" s="626">
        <f>IF($B14="","",VLOOKUP($B14,studie!$B$38:$Y$127,17,FALSE))</f>
        <v>100</v>
      </c>
      <c r="P14" s="624"/>
      <c r="Q14" s="1736">
        <f>IF($B14="","",VLOOKUP($B14,studie!$B$38:$Y$127,21,FALSE))</f>
        <v>170</v>
      </c>
      <c r="R14" s="1773"/>
      <c r="S14" s="1739">
        <f>IF($B14="","",VLOOKUP($B14,studie!$B$38:$Y$127,23,FALSE))</f>
        <v>140</v>
      </c>
      <c r="T14" s="1774"/>
    </row>
    <row r="15" spans="1:20" s="208" customFormat="1" ht="12.75" customHeight="1" x14ac:dyDescent="0.35">
      <c r="A15" s="1007"/>
      <c r="B15" s="1020"/>
      <c r="C15" s="1021"/>
      <c r="D15" s="1022"/>
      <c r="E15" s="1022"/>
      <c r="F15" s="1022"/>
      <c r="G15" s="1031">
        <f>IF(SUM(G10:G14)=0,"",AVERAGE(G10:G14))</f>
        <v>62.2</v>
      </c>
      <c r="H15" s="1021"/>
      <c r="I15" s="1022"/>
      <c r="J15" s="1022"/>
      <c r="K15" s="1022"/>
      <c r="L15" s="1022"/>
      <c r="M15" s="1022"/>
      <c r="N15" s="1023">
        <f>IF(SUM(N10:N14)=0,"",AVERAGE(N10:N14))</f>
        <v>103</v>
      </c>
      <c r="O15" s="1021">
        <f>IF(SUM(O10:O14)=0,"",AVERAGE(O10:O14))</f>
        <v>100.32000000000001</v>
      </c>
      <c r="P15" s="1023"/>
      <c r="Q15" s="1747"/>
      <c r="R15" s="1748"/>
      <c r="S15" s="1749"/>
      <c r="T15" s="1750"/>
    </row>
    <row r="16" spans="1:20" s="208" customFormat="1" ht="12.75" customHeight="1" x14ac:dyDescent="0.35">
      <c r="A16" s="1895">
        <f>A71</f>
        <v>3.85</v>
      </c>
      <c r="B16" s="1081" t="str">
        <f>C71</f>
        <v>b1</v>
      </c>
      <c r="C16" s="623">
        <f>IF($B16="","",VLOOKUP($B16,studie!$B$38:$Y$127,5,FALSE))</f>
        <v>75</v>
      </c>
      <c r="D16" s="622">
        <f>IF($B16="","",VLOOKUP($B16,studie!$B$38:$Y$127,6,FALSE))</f>
        <v>0</v>
      </c>
      <c r="E16" s="622">
        <f>IF($B16="","",VLOOKUP($B16,studie!$B$38:$Y$127,7,FALSE))</f>
        <v>0</v>
      </c>
      <c r="F16" s="622">
        <f>IF($B16="","",VLOOKUP($B16,studie!$B$38:$Y$127,8,FALSE))</f>
        <v>0</v>
      </c>
      <c r="G16" s="621">
        <f>IF($B16="","",VLOOKUP($B16,studie!$B$38:$Y$127,9,FALSE))</f>
        <v>75</v>
      </c>
      <c r="H16" s="623">
        <f>IF($B16="","",IF(VLOOKUP($B16,studie!$B$38:$Y$127,10,FALSE)="","",VLOOKUP($B16,studie!$B$38:$Y$127,10,FALSE)))</f>
        <v>101.1</v>
      </c>
      <c r="I16" s="622" t="str">
        <f>IF($B16="","",IF(VLOOKUP($B16,studie!$B$38:$Y$127,11,FALSE)="","",VLOOKUP($B16,studie!$B$38:$Y$127,11,FALSE)))</f>
        <v/>
      </c>
      <c r="J16" s="622" t="str">
        <f>IF($B16="","",IF(VLOOKUP($B16,studie!$B$38:$Y$127,12,FALSE)="","",VLOOKUP($B16,studie!$B$38:$Y$127,12,FALSE)))</f>
        <v/>
      </c>
      <c r="K16" s="622" t="str">
        <f>IF($B16="","",IF(VLOOKUP($B16,studie!$B$38:$Y$127,13,FALSE)="","",VLOOKUP($B16,studie!$B$38:$Y$127,13,FALSE)))</f>
        <v/>
      </c>
      <c r="L16" s="622" t="str">
        <f>IF($B16="","",IF(VLOOKUP($B16,studie!$B$38:$Y$127,14,FALSE)="","",VLOOKUP($B16,studie!$B$38:$Y$127,14,FALSE)))</f>
        <v/>
      </c>
      <c r="M16" s="622" t="str">
        <f>IF($B16="","",IF(VLOOKUP($B16,studie!$B$38:$Y$127,15,FALSE)="","",VLOOKUP($B16,studie!$B$38:$Y$127,15,FALSE)))</f>
        <v/>
      </c>
      <c r="N16" s="621">
        <f>IF($B16="","",IF(VLOOKUP($B16,studie!$B$38:$Y$127,16,FALSE)="","",VLOOKUP($B16,studie!$B$38:$Y$127,16,FALSE)))</f>
        <v>101.1</v>
      </c>
      <c r="O16" s="623">
        <f>IF($B16="","",VLOOKUP($B16,studie!$B$38:$Y$127,17,FALSE))</f>
        <v>101.6</v>
      </c>
      <c r="P16" s="621"/>
      <c r="Q16" s="1735">
        <f>IF($B16="","",VLOOKUP($B16,studie!$B$38:$Y$127,21,FALSE))</f>
        <v>180</v>
      </c>
      <c r="R16" s="1751"/>
      <c r="S16" s="1740">
        <f>IF($B16="","",VLOOKUP($B16,studie!$B$38:$Y$127,23,FALSE))</f>
        <v>150</v>
      </c>
      <c r="T16" s="1752"/>
    </row>
    <row r="17" spans="1:20" s="208" customFormat="1" ht="12.75" customHeight="1" x14ac:dyDescent="0.35">
      <c r="A17" s="1007"/>
      <c r="B17" s="1082" t="str">
        <f t="shared" ref="B17:B20" si="1">C72</f>
        <v>b1</v>
      </c>
      <c r="C17" s="620">
        <f>IF($B17="","",VLOOKUP($B17,studie!$B$38:$Y$127,5,FALSE))</f>
        <v>75</v>
      </c>
      <c r="D17" s="619">
        <f>IF($B17="","",VLOOKUP($B17,studie!$B$38:$Y$127,6,FALSE))</f>
        <v>0</v>
      </c>
      <c r="E17" s="619">
        <f>IF($B17="","",VLOOKUP($B17,studie!$B$38:$Y$127,7,FALSE))</f>
        <v>0</v>
      </c>
      <c r="F17" s="619">
        <f>IF($B17="","",VLOOKUP($B17,studie!$B$38:$Y$127,8,FALSE))</f>
        <v>0</v>
      </c>
      <c r="G17" s="618">
        <f>IF($B17="","",VLOOKUP($B17,studie!$B$38:$Y$127,9,FALSE))</f>
        <v>75</v>
      </c>
      <c r="H17" s="620">
        <f>IF($B17="","",IF(VLOOKUP($B17,studie!$B$38:$Y$127,10,FALSE)="","",VLOOKUP($B17,studie!$B$38:$Y$127,10,FALSE)))</f>
        <v>101.1</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101.1</v>
      </c>
      <c r="O17" s="620">
        <f>IF($B17="","",VLOOKUP($B17,studie!$B$38:$Y$127,17,FALSE))</f>
        <v>101.6</v>
      </c>
      <c r="P17" s="618"/>
      <c r="Q17" s="1734">
        <f>IF($B17="","",VLOOKUP($B17,studie!$B$38:$Y$127,21,FALSE))</f>
        <v>180</v>
      </c>
      <c r="R17" s="1771"/>
      <c r="S17" s="1737">
        <f>IF($B17="","",VLOOKUP($B17,studie!$B$38:$Y$127,23,FALSE))</f>
        <v>150</v>
      </c>
      <c r="T17" s="1772"/>
    </row>
    <row r="18" spans="1:20" s="208" customFormat="1" ht="12.75" customHeight="1" x14ac:dyDescent="0.35">
      <c r="A18" s="1007"/>
      <c r="B18" s="1082" t="str">
        <f t="shared" si="1"/>
        <v>b1</v>
      </c>
      <c r="C18" s="620">
        <f>IF($B18="","",VLOOKUP($B18,studie!$B$38:$Y$127,5,FALSE))</f>
        <v>75</v>
      </c>
      <c r="D18" s="619">
        <f>IF($B18="","",VLOOKUP($B18,studie!$B$38:$Y$127,6,FALSE))</f>
        <v>0</v>
      </c>
      <c r="E18" s="619">
        <f>IF($B18="","",VLOOKUP($B18,studie!$B$38:$Y$127,7,FALSE))</f>
        <v>0</v>
      </c>
      <c r="F18" s="619">
        <f>IF($B18="","",VLOOKUP($B18,studie!$B$38:$Y$127,8,FALSE))</f>
        <v>0</v>
      </c>
      <c r="G18" s="618">
        <f>IF($B18="","",VLOOKUP($B18,studie!$B$38:$Y$127,9,FALSE))</f>
        <v>75</v>
      </c>
      <c r="H18" s="620">
        <f>IF($B18="","",IF(VLOOKUP($B18,studie!$B$38:$Y$127,10,FALSE)="","",VLOOKUP($B18,studie!$B$38:$Y$127,10,FALSE)))</f>
        <v>101.1</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101.1</v>
      </c>
      <c r="O18" s="620">
        <f>IF($B18="","",VLOOKUP($B18,studie!$B$38:$Y$127,17,FALSE))</f>
        <v>101.6</v>
      </c>
      <c r="P18" s="618"/>
      <c r="Q18" s="1734">
        <f>IF($B18="","",VLOOKUP($B18,studie!$B$38:$Y$127,21,FALSE))</f>
        <v>180</v>
      </c>
      <c r="R18" s="1771"/>
      <c r="S18" s="1737">
        <f>IF($B18="","",VLOOKUP($B18,studie!$B$38:$Y$127,23,FALSE))</f>
        <v>150</v>
      </c>
      <c r="T18" s="1772"/>
    </row>
    <row r="19" spans="1:20" s="208" customFormat="1" ht="12.75" customHeight="1" x14ac:dyDescent="0.35">
      <c r="A19" s="1007"/>
      <c r="B19" s="1082" t="str">
        <f t="shared" si="1"/>
        <v>b1</v>
      </c>
      <c r="C19" s="620">
        <f>IF($B19="","",VLOOKUP($B19,studie!$B$38:$Y$127,5,FALSE))</f>
        <v>75</v>
      </c>
      <c r="D19" s="619">
        <f>IF($B19="","",VLOOKUP($B19,studie!$B$38:$Y$127,6,FALSE))</f>
        <v>0</v>
      </c>
      <c r="E19" s="619">
        <f>IF($B19="","",VLOOKUP($B19,studie!$B$38:$Y$127,7,FALSE))</f>
        <v>0</v>
      </c>
      <c r="F19" s="619">
        <f>IF($B19="","",VLOOKUP($B19,studie!$B$38:$Y$127,8,FALSE))</f>
        <v>0</v>
      </c>
      <c r="G19" s="618">
        <f>IF($B19="","",VLOOKUP($B19,studie!$B$38:$Y$127,9,FALSE))</f>
        <v>75</v>
      </c>
      <c r="H19" s="620">
        <f>IF($B19="","",IF(VLOOKUP($B19,studie!$B$38:$Y$127,10,FALSE)="","",VLOOKUP($B19,studie!$B$38:$Y$127,10,FALSE)))</f>
        <v>101.1</v>
      </c>
      <c r="I19" s="619" t="str">
        <f>IF($B19="","",IF(VLOOKUP($B19,studie!$B$38:$Y$127,11,FALSE)="","",VLOOKUP($B19,studie!$B$38:$Y$127,11,FALSE)))</f>
        <v/>
      </c>
      <c r="J19" s="619" t="str">
        <f>IF($B19="","",IF(VLOOKUP($B19,studie!$B$38:$Y$127,12,FALSE)="","",VLOOKUP($B19,studie!$B$38:$Y$127,12,FALSE)))</f>
        <v/>
      </c>
      <c r="K19" s="619" t="str">
        <f>IF($B19="","",IF(VLOOKUP($B19,studie!$B$38:$Y$127,13,FALSE)="","",VLOOKUP($B19,studie!$B$38:$Y$127,13,FALSE)))</f>
        <v/>
      </c>
      <c r="L19" s="619" t="str">
        <f>IF($B19="","",IF(VLOOKUP($B19,studie!$B$38:$Y$127,14,FALSE)="","",VLOOKUP($B19,studie!$B$38:$Y$127,14,FALSE)))</f>
        <v/>
      </c>
      <c r="M19" s="619" t="str">
        <f>IF($B19="","",IF(VLOOKUP($B19,studie!$B$38:$Y$127,15,FALSE)="","",VLOOKUP($B19,studie!$B$38:$Y$127,15,FALSE)))</f>
        <v/>
      </c>
      <c r="N19" s="618">
        <f>IF($B19="","",IF(VLOOKUP($B19,studie!$B$38:$Y$127,16,FALSE)="","",VLOOKUP($B19,studie!$B$38:$Y$127,16,FALSE)))</f>
        <v>101.1</v>
      </c>
      <c r="O19" s="620">
        <f>IF($B19="","",VLOOKUP($B19,studie!$B$38:$Y$127,17,FALSE))</f>
        <v>101.6</v>
      </c>
      <c r="P19" s="618"/>
      <c r="Q19" s="1734">
        <f>IF($B19="","",VLOOKUP($B19,studie!$B$38:$Y$127,21,FALSE))</f>
        <v>180</v>
      </c>
      <c r="R19" s="1771"/>
      <c r="S19" s="1737">
        <f>IF($B19="","",VLOOKUP($B19,studie!$B$38:$Y$127,23,FALSE))</f>
        <v>150</v>
      </c>
      <c r="T19" s="1772"/>
    </row>
    <row r="20" spans="1:20" s="208" customFormat="1" ht="12.75" customHeight="1" x14ac:dyDescent="0.35">
      <c r="A20" s="1007"/>
      <c r="B20" s="1083" t="str">
        <f t="shared" si="1"/>
        <v>b1</v>
      </c>
      <c r="C20" s="626">
        <f>IF($B20="","",VLOOKUP($B20,studie!$B$38:$Y$127,5,FALSE))</f>
        <v>75</v>
      </c>
      <c r="D20" s="625">
        <f>IF($B20="","",VLOOKUP($B20,studie!$B$38:$Y$127,6,FALSE))</f>
        <v>0</v>
      </c>
      <c r="E20" s="625">
        <f>IF($B20="","",VLOOKUP($B20,studie!$B$38:$Y$127,7,FALSE))</f>
        <v>0</v>
      </c>
      <c r="F20" s="625">
        <f>IF($B20="","",VLOOKUP($B20,studie!$B$38:$Y$127,8,FALSE))</f>
        <v>0</v>
      </c>
      <c r="G20" s="624">
        <f>IF($B20="","",VLOOKUP($B20,studie!$B$38:$Y$127,9,FALSE))</f>
        <v>75</v>
      </c>
      <c r="H20" s="626">
        <f>IF($B20="","",IF(VLOOKUP($B20,studie!$B$38:$Y$127,10,FALSE)="","",VLOOKUP($B20,studie!$B$38:$Y$127,10,FALSE)))</f>
        <v>101.1</v>
      </c>
      <c r="I20" s="625" t="str">
        <f>IF($B20="","",IF(VLOOKUP($B20,studie!$B$38:$Y$127,11,FALSE)="","",VLOOKUP($B20,studie!$B$38:$Y$127,11,FALSE)))</f>
        <v/>
      </c>
      <c r="J20" s="625" t="str">
        <f>IF($B20="","",IF(VLOOKUP($B20,studie!$B$38:$Y$127,12,FALSE)="","",VLOOKUP($B20,studie!$B$38:$Y$127,12,FALSE)))</f>
        <v/>
      </c>
      <c r="K20" s="625" t="str">
        <f>IF($B20="","",IF(VLOOKUP($B20,studie!$B$38:$Y$127,13,FALSE)="","",VLOOKUP($B20,studie!$B$38:$Y$127,13,FALSE)))</f>
        <v/>
      </c>
      <c r="L20" s="625" t="str">
        <f>IF($B20="","",IF(VLOOKUP($B20,studie!$B$38:$Y$127,14,FALSE)="","",VLOOKUP($B20,studie!$B$38:$Y$127,14,FALSE)))</f>
        <v/>
      </c>
      <c r="M20" s="625" t="str">
        <f>IF($B20="","",IF(VLOOKUP($B20,studie!$B$38:$Y$127,15,FALSE)="","",VLOOKUP($B20,studie!$B$38:$Y$127,15,FALSE)))</f>
        <v/>
      </c>
      <c r="N20" s="624">
        <f>IF($B20="","",IF(VLOOKUP($B20,studie!$B$38:$Y$127,16,FALSE)="","",VLOOKUP($B20,studie!$B$38:$Y$127,16,FALSE)))</f>
        <v>101.1</v>
      </c>
      <c r="O20" s="626">
        <f>IF($B20="","",VLOOKUP($B20,studie!$B$38:$Y$127,17,FALSE))</f>
        <v>101.6</v>
      </c>
      <c r="P20" s="624"/>
      <c r="Q20" s="1736">
        <f>IF($B20="","",VLOOKUP($B20,studie!$B$38:$Y$127,21,FALSE))</f>
        <v>180</v>
      </c>
      <c r="R20" s="1773"/>
      <c r="S20" s="1739">
        <f>IF($B20="","",VLOOKUP($B20,studie!$B$38:$Y$127,23,FALSE))</f>
        <v>150</v>
      </c>
      <c r="T20" s="1774"/>
    </row>
    <row r="21" spans="1:20" s="208" customFormat="1" ht="12.75" customHeight="1" x14ac:dyDescent="0.35">
      <c r="A21" s="1008"/>
      <c r="B21" s="1025"/>
      <c r="C21" s="1021"/>
      <c r="D21" s="1022"/>
      <c r="E21" s="1022"/>
      <c r="F21" s="1022"/>
      <c r="G21" s="1023">
        <f>IF(SUM(G16:G20)=0,"",AVERAGE(G16:G20))</f>
        <v>75</v>
      </c>
      <c r="H21" s="1032"/>
      <c r="I21" s="1022"/>
      <c r="J21" s="1022"/>
      <c r="K21" s="1022"/>
      <c r="L21" s="1022"/>
      <c r="M21" s="1022"/>
      <c r="N21" s="1023">
        <f>IF(SUM(N16:N20)=0,"",AVERAGE(N16:N20))</f>
        <v>101.1</v>
      </c>
      <c r="O21" s="1021">
        <f>IF(SUM(O16:O20)=0,"",AVERAGE(O16:O20))</f>
        <v>101.6</v>
      </c>
      <c r="P21" s="1023"/>
      <c r="Q21" s="1747"/>
      <c r="R21" s="1748"/>
      <c r="S21" s="1749"/>
      <c r="T21" s="1750"/>
    </row>
    <row r="22" spans="1:20" s="208" customFormat="1" ht="12.75" customHeight="1" x14ac:dyDescent="0.35">
      <c r="A22" s="1896">
        <f>A77</f>
        <v>3.5500000000000003</v>
      </c>
      <c r="B22" s="1081" t="str">
        <f>C77</f>
        <v>a1</v>
      </c>
      <c r="C22" s="623">
        <f>IF($B22="","",VLOOKUP($B22,studie!$B$38:$Y$127,5,FALSE))</f>
        <v>62</v>
      </c>
      <c r="D22" s="622">
        <f>IF($B22="","",VLOOKUP($B22,studie!$B$38:$Y$127,6,FALSE))</f>
        <v>0</v>
      </c>
      <c r="E22" s="622">
        <f>IF($B22="","",VLOOKUP($B22,studie!$B$38:$Y$127,7,FALSE))</f>
        <v>0</v>
      </c>
      <c r="F22" s="622">
        <f>IF($B22="","",VLOOKUP($B22,studie!$B$38:$Y$127,8,FALSE))</f>
        <v>0</v>
      </c>
      <c r="G22" s="621">
        <f>IF($B22="","",VLOOKUP($B22,studie!$B$38:$Y$127,9,FALSE))</f>
        <v>62</v>
      </c>
      <c r="H22" s="623" t="str">
        <f>IF($B22="","",IF(VLOOKUP($B22,studie!$B$38:$Y$127,10,FALSE)="","",VLOOKUP($B22,studie!$B$38:$Y$127,10,FALSE)))</f>
        <v/>
      </c>
      <c r="I22" s="622" t="str">
        <f>IF($B22="","",IF(VLOOKUP($B22,studie!$B$38:$Y$127,11,FALSE)="","",VLOOKUP($B22,studie!$B$38:$Y$127,11,FALSE)))</f>
        <v/>
      </c>
      <c r="J22" s="622" t="str">
        <f>IF($B22="","",IF(VLOOKUP($B22,studie!$B$38:$Y$127,12,FALSE)="","",VLOOKUP($B22,studie!$B$38:$Y$127,12,FALSE)))</f>
        <v/>
      </c>
      <c r="K22" s="622" t="str">
        <f>IF($B22="","",IF(VLOOKUP($B22,studie!$B$38:$Y$127,13,FALSE)="","",VLOOKUP($B22,studie!$B$38:$Y$127,13,FALSE)))</f>
        <v/>
      </c>
      <c r="L22" s="622" t="str">
        <f>IF($B22="","",IF(VLOOKUP($B22,studie!$B$38:$Y$127,14,FALSE)="","",VLOOKUP($B22,studie!$B$38:$Y$127,14,FALSE)))</f>
        <v/>
      </c>
      <c r="M22" s="622" t="str">
        <f>IF($B22="","",IF(VLOOKUP($B22,studie!$B$38:$Y$127,15,FALSE)="","",VLOOKUP($B22,studie!$B$38:$Y$127,15,FALSE)))</f>
        <v/>
      </c>
      <c r="N22" s="621" t="str">
        <f>IF($B22="","",IF(VLOOKUP($B22,studie!$B$38:$Y$127,16,FALSE)="","",VLOOKUP($B22,studie!$B$38:$Y$127,16,FALSE)))</f>
        <v/>
      </c>
      <c r="O22" s="623">
        <f>IF($B22="","",VLOOKUP($B22,studie!$B$38:$Y$127,17,FALSE))</f>
        <v>100</v>
      </c>
      <c r="P22" s="621"/>
      <c r="Q22" s="1735">
        <f>IF($B22="","",VLOOKUP($B22,studie!$B$38:$Y$127,21,FALSE))</f>
        <v>170</v>
      </c>
      <c r="R22" s="1751"/>
      <c r="S22" s="1740">
        <f>IF($B22="","",VLOOKUP($B22,studie!$B$38:$Y$127,23,FALSE))</f>
        <v>140</v>
      </c>
      <c r="T22" s="1752"/>
    </row>
    <row r="23" spans="1:20" s="208" customFormat="1" ht="12.75" customHeight="1" x14ac:dyDescent="0.35">
      <c r="A23" s="1007"/>
      <c r="B23" s="1082" t="str">
        <f t="shared" ref="B23:B26" si="2">C78</f>
        <v>a1</v>
      </c>
      <c r="C23" s="620">
        <f>IF($B23="","",VLOOKUP($B23,studie!$B$38:$Y$127,5,FALSE))</f>
        <v>62</v>
      </c>
      <c r="D23" s="619">
        <f>IF($B23="","",VLOOKUP($B23,studie!$B$38:$Y$127,6,FALSE))</f>
        <v>0</v>
      </c>
      <c r="E23" s="619">
        <f>IF($B23="","",VLOOKUP($B23,studie!$B$38:$Y$127,7,FALSE))</f>
        <v>0</v>
      </c>
      <c r="F23" s="619">
        <f>IF($B23="","",VLOOKUP($B23,studie!$B$38:$Y$127,8,FALSE))</f>
        <v>0</v>
      </c>
      <c r="G23" s="618">
        <f>IF($B23="","",VLOOKUP($B23,studie!$B$38:$Y$127,9,FALSE))</f>
        <v>62</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f>IF($B23="","",VLOOKUP($B23,studie!$B$38:$Y$127,17,FALSE))</f>
        <v>100</v>
      </c>
      <c r="P23" s="618"/>
      <c r="Q23" s="1734">
        <f>IF($B23="","",VLOOKUP($B23,studie!$B$38:$Y$127,21,FALSE))</f>
        <v>170</v>
      </c>
      <c r="R23" s="1771"/>
      <c r="S23" s="1737">
        <f>IF($B23="","",VLOOKUP($B23,studie!$B$38:$Y$127,23,FALSE))</f>
        <v>140</v>
      </c>
      <c r="T23" s="1772"/>
    </row>
    <row r="24" spans="1:20" s="208" customFormat="1" ht="12.75" customHeight="1" x14ac:dyDescent="0.35">
      <c r="A24" s="1007"/>
      <c r="B24" s="1082" t="str">
        <f t="shared" si="2"/>
        <v>a1</v>
      </c>
      <c r="C24" s="620">
        <f>IF($B24="","",VLOOKUP($B24,studie!$B$38:$Y$127,5,FALSE))</f>
        <v>62</v>
      </c>
      <c r="D24" s="619">
        <f>IF($B24="","",VLOOKUP($B24,studie!$B$38:$Y$127,6,FALSE))</f>
        <v>0</v>
      </c>
      <c r="E24" s="619">
        <f>IF($B24="","",VLOOKUP($B24,studie!$B$38:$Y$127,7,FALSE))</f>
        <v>0</v>
      </c>
      <c r="F24" s="619">
        <f>IF($B24="","",VLOOKUP($B24,studie!$B$38:$Y$127,8,FALSE))</f>
        <v>0</v>
      </c>
      <c r="G24" s="618">
        <f>IF($B24="","",VLOOKUP($B24,studie!$B$38:$Y$127,9,FALSE))</f>
        <v>62</v>
      </c>
      <c r="H24" s="620" t="str">
        <f>IF($B24="","",IF(VLOOKUP($B24,studie!$B$38:$Y$127,10,FALSE)="","",VLOOKUP($B24,studie!$B$38:$Y$127,10,FALSE)))</f>
        <v/>
      </c>
      <c r="I24" s="619" t="str">
        <f>IF($B24="","",IF(VLOOKUP($B24,studie!$B$38:$Y$127,11,FALSE)="","",VLOOKUP($B24,studie!$B$38:$Y$127,11,FALSE)))</f>
        <v/>
      </c>
      <c r="J24" s="619" t="str">
        <f>IF($B24="","",IF(VLOOKUP($B24,studie!$B$38:$Y$127,12,FALSE)="","",VLOOKUP($B24,studie!$B$38:$Y$127,12,FALSE)))</f>
        <v/>
      </c>
      <c r="K24" s="619" t="str">
        <f>IF($B24="","",IF(VLOOKUP($B24,studie!$B$38:$Y$127,13,FALSE)="","",VLOOKUP($B24,studie!$B$38:$Y$127,13,FALSE)))</f>
        <v/>
      </c>
      <c r="L24" s="619" t="str">
        <f>IF($B24="","",IF(VLOOKUP($B24,studie!$B$38:$Y$127,14,FALSE)="","",VLOOKUP($B24,studie!$B$38:$Y$127,14,FALSE)))</f>
        <v/>
      </c>
      <c r="M24" s="619" t="str">
        <f>IF($B24="","",IF(VLOOKUP($B24,studie!$B$38:$Y$127,15,FALSE)="","",VLOOKUP($B24,studie!$B$38:$Y$127,15,FALSE)))</f>
        <v/>
      </c>
      <c r="N24" s="618" t="str">
        <f>IF($B24="","",IF(VLOOKUP($B24,studie!$B$38:$Y$127,16,FALSE)="","",VLOOKUP($B24,studie!$B$38:$Y$127,16,FALSE)))</f>
        <v/>
      </c>
      <c r="O24" s="620">
        <f>IF($B24="","",VLOOKUP($B24,studie!$B$38:$Y$127,17,FALSE))</f>
        <v>100</v>
      </c>
      <c r="P24" s="618"/>
      <c r="Q24" s="1734">
        <f>IF($B24="","",VLOOKUP($B24,studie!$B$38:$Y$127,21,FALSE))</f>
        <v>170</v>
      </c>
      <c r="R24" s="1771"/>
      <c r="S24" s="1737">
        <f>IF($B24="","",VLOOKUP($B24,studie!$B$38:$Y$127,23,FALSE))</f>
        <v>140</v>
      </c>
      <c r="T24" s="1772"/>
    </row>
    <row r="25" spans="1:20" s="208" customFormat="1" ht="12.75" customHeight="1" x14ac:dyDescent="0.35">
      <c r="A25" s="1007"/>
      <c r="B25" s="1082" t="str">
        <f t="shared" si="2"/>
        <v>a1</v>
      </c>
      <c r="C25" s="620">
        <f>IF($B25="","",VLOOKUP($B25,studie!$B$38:$Y$127,5,FALSE))</f>
        <v>62</v>
      </c>
      <c r="D25" s="619">
        <f>IF($B25="","",VLOOKUP($B25,studie!$B$38:$Y$127,6,FALSE))</f>
        <v>0</v>
      </c>
      <c r="E25" s="619">
        <f>IF($B25="","",VLOOKUP($B25,studie!$B$38:$Y$127,7,FALSE))</f>
        <v>0</v>
      </c>
      <c r="F25" s="619">
        <f>IF($B25="","",VLOOKUP($B25,studie!$B$38:$Y$127,8,FALSE))</f>
        <v>0</v>
      </c>
      <c r="G25" s="618">
        <f>IF($B25="","",VLOOKUP($B25,studie!$B$38:$Y$127,9,FALSE))</f>
        <v>62</v>
      </c>
      <c r="H25" s="620" t="str">
        <f>IF($B25="","",IF(VLOOKUP($B25,studie!$B$38:$Y$127,10,FALSE)="","",VLOOKUP($B25,studie!$B$38:$Y$127,10,FALSE)))</f>
        <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t="str">
        <f>IF($B25="","",IF(VLOOKUP($B25,studie!$B$38:$Y$127,16,FALSE)="","",VLOOKUP($B25,studie!$B$38:$Y$127,16,FALSE)))</f>
        <v/>
      </c>
      <c r="O25" s="620">
        <f>IF($B25="","",VLOOKUP($B25,studie!$B$38:$Y$127,17,FALSE))</f>
        <v>100</v>
      </c>
      <c r="P25" s="618"/>
      <c r="Q25" s="1734">
        <f>IF($B25="","",VLOOKUP($B25,studie!$B$38:$Y$127,21,FALSE))</f>
        <v>170</v>
      </c>
      <c r="R25" s="1771"/>
      <c r="S25" s="1737">
        <f>IF($B25="","",VLOOKUP($B25,studie!$B$38:$Y$127,23,FALSE))</f>
        <v>140</v>
      </c>
      <c r="T25" s="1772"/>
    </row>
    <row r="26" spans="1:20" s="208" customFormat="1" ht="12.75" customHeight="1" x14ac:dyDescent="0.35">
      <c r="A26" s="1007"/>
      <c r="B26" s="1083" t="str">
        <f t="shared" si="2"/>
        <v>a1</v>
      </c>
      <c r="C26" s="626">
        <f>IF($B26="","",VLOOKUP($B26,studie!$B$38:$Y$127,5,FALSE))</f>
        <v>62</v>
      </c>
      <c r="D26" s="625">
        <f>IF($B26="","",VLOOKUP($B26,studie!$B$38:$Y$127,6,FALSE))</f>
        <v>0</v>
      </c>
      <c r="E26" s="625">
        <f>IF($B26="","",VLOOKUP($B26,studie!$B$38:$Y$127,7,FALSE))</f>
        <v>0</v>
      </c>
      <c r="F26" s="625">
        <f>IF($B26="","",VLOOKUP($B26,studie!$B$38:$Y$127,8,FALSE))</f>
        <v>0</v>
      </c>
      <c r="G26" s="624">
        <f>IF($B26="","",VLOOKUP($B26,studie!$B$38:$Y$127,9,FALSE))</f>
        <v>62</v>
      </c>
      <c r="H26" s="626" t="str">
        <f>IF($B26="","",IF(VLOOKUP($B26,studie!$B$38:$Y$127,10,FALSE)="","",VLOOKUP($B26,studie!$B$38:$Y$127,10,FALSE)))</f>
        <v/>
      </c>
      <c r="I26" s="625" t="str">
        <f>IF($B26="","",IF(VLOOKUP($B26,studie!$B$38:$Y$127,11,FALSE)="","",VLOOKUP($B26,studie!$B$38:$Y$127,11,FALSE)))</f>
        <v/>
      </c>
      <c r="J26" s="625" t="str">
        <f>IF($B26="","",IF(VLOOKUP($B26,studie!$B$38:$Y$127,12,FALSE)="","",VLOOKUP($B26,studie!$B$38:$Y$127,12,FALSE)))</f>
        <v/>
      </c>
      <c r="K26" s="625" t="str">
        <f>IF($B26="","",IF(VLOOKUP($B26,studie!$B$38:$Y$127,13,FALSE)="","",VLOOKUP($B26,studie!$B$38:$Y$127,13,FALSE)))</f>
        <v/>
      </c>
      <c r="L26" s="625" t="str">
        <f>IF($B26="","",IF(VLOOKUP($B26,studie!$B$38:$Y$127,14,FALSE)="","",VLOOKUP($B26,studie!$B$38:$Y$127,14,FALSE)))</f>
        <v/>
      </c>
      <c r="M26" s="625" t="str">
        <f>IF($B26="","",IF(VLOOKUP($B26,studie!$B$38:$Y$127,15,FALSE)="","",VLOOKUP($B26,studie!$B$38:$Y$127,15,FALSE)))</f>
        <v/>
      </c>
      <c r="N26" s="624" t="str">
        <f>IF($B26="","",IF(VLOOKUP($B26,studie!$B$38:$Y$127,16,FALSE)="","",VLOOKUP($B26,studie!$B$38:$Y$127,16,FALSE)))</f>
        <v/>
      </c>
      <c r="O26" s="626">
        <f>IF($B26="","",VLOOKUP($B26,studie!$B$38:$Y$127,17,FALSE))</f>
        <v>100</v>
      </c>
      <c r="P26" s="624"/>
      <c r="Q26" s="1736">
        <f>IF($B26="","",VLOOKUP($B26,studie!$B$38:$Y$127,21,FALSE))</f>
        <v>170</v>
      </c>
      <c r="R26" s="1773"/>
      <c r="S26" s="1739">
        <f>IF($B26="","",VLOOKUP($B26,studie!$B$38:$Y$127,23,FALSE))</f>
        <v>140</v>
      </c>
      <c r="T26" s="1774"/>
    </row>
    <row r="27" spans="1:20" s="208" customFormat="1" ht="12.75" customHeight="1" thickBot="1" x14ac:dyDescent="0.4">
      <c r="A27" s="1009"/>
      <c r="B27" s="1026"/>
      <c r="C27" s="1027"/>
      <c r="D27" s="1028"/>
      <c r="E27" s="1028"/>
      <c r="F27" s="1028"/>
      <c r="G27" s="1029">
        <f>IF(SUM(G22:G26)=0,"",AVERAGE(G22:G26))</f>
        <v>62</v>
      </c>
      <c r="H27" s="1033"/>
      <c r="I27" s="1028"/>
      <c r="J27" s="1028"/>
      <c r="K27" s="1028"/>
      <c r="L27" s="1028"/>
      <c r="M27" s="1028"/>
      <c r="N27" s="1029" t="str">
        <f>IF(SUM(N22:N26)=0,"",AVERAGE(N22:N26))</f>
        <v/>
      </c>
      <c r="O27" s="1027">
        <f>IF(SUM(O22:O26)=0,"",AVERAGE(O22:O26))</f>
        <v>100</v>
      </c>
      <c r="P27" s="1029"/>
      <c r="Q27" s="1757"/>
      <c r="R27" s="1758"/>
      <c r="S27" s="1759"/>
      <c r="T27" s="1760"/>
    </row>
    <row r="28" spans="1:20" s="208" customFormat="1" ht="12.75" customHeight="1" x14ac:dyDescent="0.35"/>
    <row r="29" spans="1:20" s="208" customFormat="1" ht="13" x14ac:dyDescent="0.35">
      <c r="A29" s="208" t="str">
        <f>studie!B160</f>
        <v>Toegepaste norm voor de bepaling van de bulkdichtheid:</v>
      </c>
      <c r="P29" s="311" t="str">
        <f>studie!K160</f>
        <v>EN 12697-6</v>
      </c>
    </row>
    <row r="30" spans="1:20" s="208" customFormat="1" ht="13" x14ac:dyDescent="0.35">
      <c r="A30" s="208" t="str">
        <f>IF(studie!L426="","",studie!B426)</f>
        <v>Toegepaste methode voor de bepaling van de bulkdichtheid:</v>
      </c>
      <c r="P30" s="311" t="str">
        <f>IF(studie!L426="","",studie!L426)</f>
        <v>C</v>
      </c>
    </row>
    <row r="31" spans="1:20" s="208" customFormat="1" ht="13.5" thickBot="1" x14ac:dyDescent="0.4"/>
    <row r="32" spans="1:20" s="208" customFormat="1" ht="15" x14ac:dyDescent="0.35">
      <c r="A32" s="244" t="s">
        <v>183</v>
      </c>
      <c r="B32" s="245"/>
      <c r="C32" s="610" t="s">
        <v>336</v>
      </c>
      <c r="D32" s="611"/>
      <c r="E32" s="610" t="str">
        <f>studie!K164</f>
        <v>Massa's (g)</v>
      </c>
      <c r="F32" s="245"/>
      <c r="G32" s="245"/>
      <c r="H32" s="245"/>
      <c r="I32" s="245"/>
      <c r="J32" s="245"/>
      <c r="K32" s="245"/>
      <c r="L32" s="610" t="s">
        <v>487</v>
      </c>
      <c r="M32" s="245"/>
      <c r="N32" s="611"/>
      <c r="O32" s="245" t="s">
        <v>1004</v>
      </c>
      <c r="P32" s="245"/>
      <c r="Q32" s="245"/>
      <c r="R32" s="245"/>
      <c r="S32" s="658" t="s">
        <v>820</v>
      </c>
      <c r="T32" s="659" t="str">
        <f>IF(studie!$L$426="A","b dry",IF(studie!$L$426="B","b ssd",IF(studie!$L$426="C","b sea",IF(studie!$L$426="D","b dim",""))))</f>
        <v>b sea</v>
      </c>
    </row>
    <row r="33" spans="1:20" s="208" customFormat="1" ht="13" x14ac:dyDescent="0.35">
      <c r="A33" s="247" t="s">
        <v>185</v>
      </c>
      <c r="B33" s="248"/>
      <c r="C33" s="612" t="s">
        <v>338</v>
      </c>
      <c r="D33" s="613"/>
      <c r="E33" s="612" t="str">
        <f>studie!K165</f>
        <v>in lucht</v>
      </c>
      <c r="F33" s="248"/>
      <c r="G33" s="248" t="str">
        <f>IF(studie!L426="D","",studie!L165)</f>
        <v>in water</v>
      </c>
      <c r="H33" s="248"/>
      <c r="I33" s="248" t="str">
        <f>IF(studie!L426="B","afgedroogd",IF(studie!L426="C","met paraffine",""))</f>
        <v>met paraffine</v>
      </c>
      <c r="J33" s="248"/>
      <c r="K33" s="248"/>
      <c r="L33" s="612" t="s">
        <v>1002</v>
      </c>
      <c r="M33" s="248"/>
      <c r="N33" s="613"/>
      <c r="O33" s="248" t="s">
        <v>568</v>
      </c>
      <c r="P33" s="248"/>
      <c r="Q33" s="704" t="str">
        <f>IF(studie!L426="C","paraffine","")</f>
        <v>paraffine</v>
      </c>
      <c r="R33" s="248"/>
      <c r="S33" s="612" t="s">
        <v>418</v>
      </c>
      <c r="T33" s="249"/>
    </row>
    <row r="34" spans="1:20" s="208" customFormat="1" ht="13" x14ac:dyDescent="0.35">
      <c r="A34" s="1899">
        <f>A65</f>
        <v>3.5500000000000003</v>
      </c>
      <c r="B34" s="774"/>
      <c r="C34" s="631" t="str">
        <f>C65</f>
        <v>A1</v>
      </c>
      <c r="D34" s="674"/>
      <c r="E34" s="637">
        <f>IF($C34="","",VLOOKUP($C34,studie!$D$166:$Z$216,8,FALSE))</f>
        <v>0</v>
      </c>
      <c r="F34" s="637"/>
      <c r="G34" s="637">
        <f>IF($C34="","",VLOOKUP($C34,studie!$D$166:$Z$216,9,FALSE))</f>
        <v>0</v>
      </c>
      <c r="H34" s="637"/>
      <c r="I34" s="637">
        <f>IF($C34="","",VLOOKUP($C34,studie!$D$166:$Z$216,10,FALSE))</f>
        <v>0</v>
      </c>
      <c r="J34" s="637"/>
      <c r="K34" s="680"/>
      <c r="L34" s="802">
        <f>IF($C34="","",VLOOKUP($C34,studie!$D$166:$Z$216,14,FALSE))</f>
        <v>0</v>
      </c>
      <c r="M34" s="872"/>
      <c r="N34" s="1049"/>
      <c r="O34" s="1061" t="str">
        <f>IF($C34="","",VLOOKUP($C34,studie!$D$166:$Z$216,16,FALSE))</f>
        <v/>
      </c>
      <c r="P34" s="872"/>
      <c r="Q34" s="1050">
        <f>IF(OR($C34="",studie!$L$426&lt;&gt;"C"),"",VLOOKUP($C34,studie!$D$166:$Z$216,18,FALSE))</f>
        <v>0</v>
      </c>
      <c r="R34" s="872"/>
      <c r="S34" s="653" t="str">
        <f>IF($C34="","",VLOOKUP($C34,studie!$D$166:$Z$216,23,FALSE))</f>
        <v/>
      </c>
      <c r="T34" s="664"/>
    </row>
    <row r="35" spans="1:20" s="208" customFormat="1" ht="13" x14ac:dyDescent="0.35">
      <c r="A35" s="798"/>
      <c r="B35" s="799"/>
      <c r="C35" s="634" t="str">
        <f>C66</f>
        <v>A1</v>
      </c>
      <c r="D35" s="675"/>
      <c r="E35" s="643">
        <f>IF($C35="","",VLOOKUP($C35,studie!$D$166:$Z$216,8,FALSE))</f>
        <v>0</v>
      </c>
      <c r="F35" s="643"/>
      <c r="G35" s="643">
        <f>IF($C35="","",VLOOKUP($C35,studie!$D$166:$Z$216,9,FALSE))</f>
        <v>0</v>
      </c>
      <c r="H35" s="643"/>
      <c r="I35" s="643">
        <f>IF($C35="","",VLOOKUP($C35,studie!$D$166:$Z$216,10,FALSE))</f>
        <v>0</v>
      </c>
      <c r="J35" s="643"/>
      <c r="K35" s="633"/>
      <c r="L35" s="869">
        <f>IF($C35="","",VLOOKUP($C35,studie!$D$166:$Z$216,14,FALSE))</f>
        <v>0</v>
      </c>
      <c r="M35" s="856"/>
      <c r="N35" s="1051"/>
      <c r="O35" s="1062" t="str">
        <f>IF($C35="","",VLOOKUP($C35,studie!$D$166:$Z$216,16,FALSE))</f>
        <v/>
      </c>
      <c r="P35" s="856"/>
      <c r="Q35" s="1052">
        <f>IF(OR($C35="",studie!$L$426&lt;&gt;"C"),"",VLOOKUP($C35,studie!$D$166:$Z$216,18,FALSE))</f>
        <v>0</v>
      </c>
      <c r="R35" s="856"/>
      <c r="S35" s="654" t="str">
        <f>IF($C35="","",VLOOKUP($C35,studie!$D$166:$Z$216,23,FALSE))</f>
        <v/>
      </c>
      <c r="T35" s="665"/>
    </row>
    <row r="36" spans="1:20" s="208" customFormat="1" ht="13" x14ac:dyDescent="0.35">
      <c r="A36" s="798"/>
      <c r="B36" s="799"/>
      <c r="C36" s="634" t="str">
        <f>C67</f>
        <v>A3</v>
      </c>
      <c r="D36" s="675"/>
      <c r="E36" s="643">
        <f>IF($C36="","",VLOOKUP($C36,studie!$D$166:$Z$216,8,FALSE))</f>
        <v>0</v>
      </c>
      <c r="F36" s="643"/>
      <c r="G36" s="643">
        <f>IF($C36="","",VLOOKUP($C36,studie!$D$166:$Z$216,9,FALSE))</f>
        <v>0</v>
      </c>
      <c r="H36" s="643"/>
      <c r="I36" s="643">
        <f>IF($C36="","",VLOOKUP($C36,studie!$D$166:$Z$216,10,FALSE))</f>
        <v>0</v>
      </c>
      <c r="J36" s="643"/>
      <c r="K36" s="633"/>
      <c r="L36" s="869">
        <f>IF($C36="","",VLOOKUP($C36,studie!$D$166:$Z$216,14,FALSE))</f>
        <v>0</v>
      </c>
      <c r="M36" s="856"/>
      <c r="N36" s="1051"/>
      <c r="O36" s="1062" t="str">
        <f>IF($C36="","",VLOOKUP($C36,studie!$D$166:$Z$216,16,FALSE))</f>
        <v/>
      </c>
      <c r="P36" s="856"/>
      <c r="Q36" s="1052">
        <f>IF(OR($C36="",studie!$L$426&lt;&gt;"C"),"",VLOOKUP($C36,studie!$D$166:$Z$216,18,FALSE))</f>
        <v>0</v>
      </c>
      <c r="R36" s="856"/>
      <c r="S36" s="654" t="str">
        <f>IF($C36="","",VLOOKUP($C36,studie!$D$166:$Z$216,23,FALSE))</f>
        <v/>
      </c>
      <c r="T36" s="665"/>
    </row>
    <row r="37" spans="1:20" s="208" customFormat="1" ht="13" x14ac:dyDescent="0.35">
      <c r="A37" s="798"/>
      <c r="B37" s="799"/>
      <c r="C37" s="634" t="str">
        <f>C68</f>
        <v>A1</v>
      </c>
      <c r="D37" s="675"/>
      <c r="E37" s="643">
        <f>IF($C37="","",VLOOKUP($C37,studie!$D$166:$Z$216,8,FALSE))</f>
        <v>0</v>
      </c>
      <c r="F37" s="643"/>
      <c r="G37" s="643">
        <f>IF($C37="","",VLOOKUP($C37,studie!$D$166:$Z$216,9,FALSE))</f>
        <v>0</v>
      </c>
      <c r="H37" s="643"/>
      <c r="I37" s="643">
        <f>IF($C37="","",VLOOKUP($C37,studie!$D$166:$Z$216,10,FALSE))</f>
        <v>0</v>
      </c>
      <c r="J37" s="643"/>
      <c r="K37" s="633"/>
      <c r="L37" s="869">
        <f>IF($C37="","",VLOOKUP($C37,studie!$D$166:$Z$216,14,FALSE))</f>
        <v>0</v>
      </c>
      <c r="M37" s="856"/>
      <c r="N37" s="1051"/>
      <c r="O37" s="1062" t="str">
        <f>IF($C37="","",VLOOKUP($C37,studie!$D$166:$Z$216,16,FALSE))</f>
        <v/>
      </c>
      <c r="P37" s="856"/>
      <c r="Q37" s="1052">
        <f>IF(OR($C37="",studie!$L$426&lt;&gt;"C"),"",VLOOKUP($C37,studie!$D$166:$Z$216,18,FALSE))</f>
        <v>0</v>
      </c>
      <c r="R37" s="856"/>
      <c r="S37" s="654" t="str">
        <f>IF($C37="","",VLOOKUP($C37,studie!$D$166:$Z$216,23,FALSE))</f>
        <v/>
      </c>
      <c r="T37" s="665"/>
    </row>
    <row r="38" spans="1:20" s="208" customFormat="1" ht="13" x14ac:dyDescent="0.35">
      <c r="A38" s="798"/>
      <c r="B38" s="799"/>
      <c r="C38" s="1084" t="str">
        <f>C69</f>
        <v>A1</v>
      </c>
      <c r="D38" s="1085"/>
      <c r="E38" s="1086">
        <f>IF($C38="","",VLOOKUP($C38,studie!$D$166:$Z$216,8,FALSE))</f>
        <v>0</v>
      </c>
      <c r="F38" s="1086"/>
      <c r="G38" s="1086">
        <f>IF($C38="","",VLOOKUP($C38,studie!$D$166:$Z$216,9,FALSE))</f>
        <v>0</v>
      </c>
      <c r="H38" s="1086"/>
      <c r="I38" s="1086">
        <f>IF($C38="","",VLOOKUP($C38,studie!$D$166:$Z$216,10,FALSE))</f>
        <v>0</v>
      </c>
      <c r="J38" s="1086"/>
      <c r="K38" s="1087"/>
      <c r="L38" s="1775">
        <f>IF($C38="","",VLOOKUP($C38,studie!$D$166:$Z$216,14,FALSE))</f>
        <v>0</v>
      </c>
      <c r="M38" s="1088"/>
      <c r="N38" s="1089"/>
      <c r="O38" s="1090" t="str">
        <f>IF($C38="","",VLOOKUP($C38,studie!$D$166:$Z$216,16,FALSE))</f>
        <v/>
      </c>
      <c r="P38" s="1088"/>
      <c r="Q38" s="1091">
        <f>IF(OR($C38="",studie!$L$426&lt;&gt;"C"),"",VLOOKUP($C38,studie!$D$166:$Z$216,18,FALSE))</f>
        <v>0</v>
      </c>
      <c r="R38" s="1088"/>
      <c r="S38" s="1092" t="str">
        <f>IF($C38="","",VLOOKUP($C38,studie!$D$166:$Z$216,23,FALSE))</f>
        <v/>
      </c>
      <c r="T38" s="1093"/>
    </row>
    <row r="39" spans="1:20" s="208" customFormat="1" ht="13" x14ac:dyDescent="0.35">
      <c r="A39" s="800"/>
      <c r="B39" s="801"/>
      <c r="C39" s="661"/>
      <c r="D39" s="677"/>
      <c r="E39" s="685"/>
      <c r="F39" s="685"/>
      <c r="G39" s="685"/>
      <c r="H39" s="685"/>
      <c r="I39" s="685"/>
      <c r="J39" s="685"/>
      <c r="K39" s="682"/>
      <c r="L39" s="805"/>
      <c r="M39" s="858"/>
      <c r="N39" s="1055"/>
      <c r="O39" s="1064"/>
      <c r="P39" s="858"/>
      <c r="Q39" s="1056"/>
      <c r="R39" s="858"/>
      <c r="S39" s="668" t="str">
        <f>IF(studie!H442="","",studie!H442)</f>
        <v/>
      </c>
      <c r="T39" s="669"/>
    </row>
    <row r="40" spans="1:20" s="208" customFormat="1" ht="13" x14ac:dyDescent="0.35">
      <c r="A40" s="1899">
        <f>A71</f>
        <v>3.85</v>
      </c>
      <c r="B40" s="774"/>
      <c r="C40" s="631" t="str">
        <f>C71</f>
        <v>b1</v>
      </c>
      <c r="D40" s="674"/>
      <c r="E40" s="637">
        <f>IF($C40="","",VLOOKUP($C40,studie!$D$166:$Z$216,8,FALSE))</f>
        <v>1120</v>
      </c>
      <c r="F40" s="637"/>
      <c r="G40" s="637">
        <f>IF($C40="","",VLOOKUP($C40,studie!$D$166:$Z$216,9,FALSE))</f>
        <v>700</v>
      </c>
      <c r="H40" s="637"/>
      <c r="I40" s="637">
        <f>IF($C40="","",VLOOKUP($C40,studie!$D$166:$Z$216,10,FALSE))</f>
        <v>1225</v>
      </c>
      <c r="J40" s="637"/>
      <c r="K40" s="680"/>
      <c r="L40" s="802">
        <f>IF($C40="","",VLOOKUP($C40,studie!$D$166:$Z$216,14,FALSE))</f>
        <v>24.6</v>
      </c>
      <c r="M40" s="872"/>
      <c r="N40" s="1049"/>
      <c r="O40" s="1061">
        <f>IF($C40="","",VLOOKUP($C40,studie!$D$166:$Z$216,16,FALSE))</f>
        <v>0.99721931280000009</v>
      </c>
      <c r="P40" s="872"/>
      <c r="Q40" s="1050">
        <f>IF(OR($C40="",studie!$L$426&lt;&gt;"C"),"",VLOOKUP($C40,studie!$D$166:$Z$216,18,FALSE))</f>
        <v>0.97</v>
      </c>
      <c r="R40" s="872"/>
      <c r="S40" s="653">
        <f>IF($C40="","",VLOOKUP($C40,studie!$D$166:$Z$216,23,FALSE))</f>
        <v>2.6780387104261854</v>
      </c>
      <c r="T40" s="664"/>
    </row>
    <row r="41" spans="1:20" s="208" customFormat="1" ht="13" x14ac:dyDescent="0.35">
      <c r="A41" s="798"/>
      <c r="B41" s="799"/>
      <c r="C41" s="634" t="str">
        <f>C72</f>
        <v>b1</v>
      </c>
      <c r="D41" s="675"/>
      <c r="E41" s="643">
        <f>IF($C41="","",VLOOKUP($C41,studie!$D$166:$Z$216,8,FALSE))</f>
        <v>1120</v>
      </c>
      <c r="F41" s="643"/>
      <c r="G41" s="643">
        <f>IF($C41="","",VLOOKUP($C41,studie!$D$166:$Z$216,9,FALSE))</f>
        <v>700</v>
      </c>
      <c r="H41" s="643"/>
      <c r="I41" s="643">
        <f>IF($C41="","",VLOOKUP($C41,studie!$D$166:$Z$216,10,FALSE))</f>
        <v>1225</v>
      </c>
      <c r="J41" s="643"/>
      <c r="K41" s="633"/>
      <c r="L41" s="869">
        <f>IF($C41="","",VLOOKUP($C41,studie!$D$166:$Z$216,14,FALSE))</f>
        <v>24.6</v>
      </c>
      <c r="M41" s="856"/>
      <c r="N41" s="1051"/>
      <c r="O41" s="1062">
        <f>IF($C41="","",VLOOKUP($C41,studie!$D$166:$Z$216,16,FALSE))</f>
        <v>0.99721931280000009</v>
      </c>
      <c r="P41" s="856"/>
      <c r="Q41" s="1052">
        <f>IF(OR($C41="",studie!$L$426&lt;&gt;"C"),"",VLOOKUP($C41,studie!$D$166:$Z$216,18,FALSE))</f>
        <v>0.97</v>
      </c>
      <c r="R41" s="856"/>
      <c r="S41" s="654">
        <f>IF($C41="","",VLOOKUP($C41,studie!$D$166:$Z$216,23,FALSE))</f>
        <v>2.6780387104261854</v>
      </c>
      <c r="T41" s="665"/>
    </row>
    <row r="42" spans="1:20" s="208" customFormat="1" ht="13" x14ac:dyDescent="0.35">
      <c r="A42" s="798"/>
      <c r="B42" s="799"/>
      <c r="C42" s="634" t="str">
        <f>C73</f>
        <v>b1</v>
      </c>
      <c r="D42" s="675"/>
      <c r="E42" s="643">
        <f>IF($C42="","",VLOOKUP($C42,studie!$D$166:$Z$216,8,FALSE))</f>
        <v>1120</v>
      </c>
      <c r="F42" s="643"/>
      <c r="G42" s="643">
        <f>IF($C42="","",VLOOKUP($C42,studie!$D$166:$Z$216,9,FALSE))</f>
        <v>700</v>
      </c>
      <c r="H42" s="643"/>
      <c r="I42" s="643">
        <f>IF($C42="","",VLOOKUP($C42,studie!$D$166:$Z$216,10,FALSE))</f>
        <v>1225</v>
      </c>
      <c r="J42" s="643"/>
      <c r="K42" s="633"/>
      <c r="L42" s="869">
        <f>IF($C42="","",VLOOKUP($C42,studie!$D$166:$Z$216,14,FALSE))</f>
        <v>24.6</v>
      </c>
      <c r="M42" s="856"/>
      <c r="N42" s="1051"/>
      <c r="O42" s="1062">
        <f>IF($C42="","",VLOOKUP($C42,studie!$D$166:$Z$216,16,FALSE))</f>
        <v>0.99721931280000009</v>
      </c>
      <c r="P42" s="856"/>
      <c r="Q42" s="1052">
        <f>IF(OR($C42="",studie!$L$426&lt;&gt;"C"),"",VLOOKUP($C42,studie!$D$166:$Z$216,18,FALSE))</f>
        <v>0.97</v>
      </c>
      <c r="R42" s="856"/>
      <c r="S42" s="654">
        <f>IF($C42="","",VLOOKUP($C42,studie!$D$166:$Z$216,23,FALSE))</f>
        <v>2.6780387104261854</v>
      </c>
      <c r="T42" s="665"/>
    </row>
    <row r="43" spans="1:20" s="208" customFormat="1" ht="13" x14ac:dyDescent="0.35">
      <c r="A43" s="798"/>
      <c r="B43" s="799"/>
      <c r="C43" s="634" t="str">
        <f>C74</f>
        <v>b1</v>
      </c>
      <c r="D43" s="675"/>
      <c r="E43" s="643">
        <f>IF($C43="","",VLOOKUP($C43,studie!$D$166:$Z$216,8,FALSE))</f>
        <v>1120</v>
      </c>
      <c r="F43" s="643"/>
      <c r="G43" s="643">
        <f>IF($C43="","",VLOOKUP($C43,studie!$D$166:$Z$216,9,FALSE))</f>
        <v>700</v>
      </c>
      <c r="H43" s="643"/>
      <c r="I43" s="643">
        <f>IF($C43="","",VLOOKUP($C43,studie!$D$166:$Z$216,10,FALSE))</f>
        <v>1225</v>
      </c>
      <c r="J43" s="643"/>
      <c r="K43" s="633"/>
      <c r="L43" s="869">
        <f>IF($C43="","",VLOOKUP($C43,studie!$D$166:$Z$216,14,FALSE))</f>
        <v>24.6</v>
      </c>
      <c r="M43" s="856"/>
      <c r="N43" s="1051"/>
      <c r="O43" s="1062">
        <f>IF($C43="","",VLOOKUP($C43,studie!$D$166:$Z$216,16,FALSE))</f>
        <v>0.99721931280000009</v>
      </c>
      <c r="P43" s="856"/>
      <c r="Q43" s="1052">
        <f>IF(OR($C43="",studie!$L$426&lt;&gt;"C"),"",VLOOKUP($C43,studie!$D$166:$Z$216,18,FALSE))</f>
        <v>0.97</v>
      </c>
      <c r="R43" s="856"/>
      <c r="S43" s="654">
        <f>IF($C43="","",VLOOKUP($C43,studie!$D$166:$Z$216,23,FALSE))</f>
        <v>2.6780387104261854</v>
      </c>
      <c r="T43" s="665"/>
    </row>
    <row r="44" spans="1:20" s="208" customFormat="1" ht="13" x14ac:dyDescent="0.35">
      <c r="A44" s="798"/>
      <c r="B44" s="799"/>
      <c r="C44" s="1084" t="str">
        <f>C75</f>
        <v>b1</v>
      </c>
      <c r="D44" s="1085"/>
      <c r="E44" s="1086">
        <f>IF($C44="","",VLOOKUP($C44,studie!$D$166:$Z$216,8,FALSE))</f>
        <v>1120</v>
      </c>
      <c r="F44" s="1086"/>
      <c r="G44" s="1086">
        <f>IF($C44="","",VLOOKUP($C44,studie!$D$166:$Z$216,9,FALSE))</f>
        <v>700</v>
      </c>
      <c r="H44" s="1086"/>
      <c r="I44" s="1086">
        <f>IF($C44="","",VLOOKUP($C44,studie!$D$166:$Z$216,10,FALSE))</f>
        <v>1225</v>
      </c>
      <c r="J44" s="1086"/>
      <c r="K44" s="1087"/>
      <c r="L44" s="1775">
        <f>IF($C44="","",VLOOKUP($C44,studie!$D$166:$Z$216,14,FALSE))</f>
        <v>24.6</v>
      </c>
      <c r="M44" s="1088"/>
      <c r="N44" s="1089"/>
      <c r="O44" s="1090">
        <f>IF($C44="","",VLOOKUP($C44,studie!$D$166:$Z$216,16,FALSE))</f>
        <v>0.99721931280000009</v>
      </c>
      <c r="P44" s="1088"/>
      <c r="Q44" s="1091">
        <f>IF(OR($C44="",studie!$L$426&lt;&gt;"C"),"",VLOOKUP($C44,studie!$D$166:$Z$216,18,FALSE))</f>
        <v>0.97</v>
      </c>
      <c r="R44" s="1088"/>
      <c r="S44" s="1092">
        <f>IF($C44="","",VLOOKUP($C44,studie!$D$166:$Z$216,23,FALSE))</f>
        <v>2.6780387104261854</v>
      </c>
      <c r="T44" s="1093"/>
    </row>
    <row r="45" spans="1:20" s="208" customFormat="1" ht="13" x14ac:dyDescent="0.35">
      <c r="A45" s="800"/>
      <c r="B45" s="801"/>
      <c r="C45" s="661"/>
      <c r="D45" s="677"/>
      <c r="E45" s="685"/>
      <c r="F45" s="685"/>
      <c r="G45" s="685"/>
      <c r="H45" s="685"/>
      <c r="I45" s="685"/>
      <c r="J45" s="685"/>
      <c r="K45" s="682"/>
      <c r="L45" s="805"/>
      <c r="M45" s="858"/>
      <c r="N45" s="1055"/>
      <c r="O45" s="1064"/>
      <c r="P45" s="858"/>
      <c r="Q45" s="1056"/>
      <c r="R45" s="858"/>
      <c r="S45" s="668">
        <f>IF(studie!H449="","",studie!H449)</f>
        <v>2.6780387104261854</v>
      </c>
      <c r="T45" s="669"/>
    </row>
    <row r="46" spans="1:20" s="208" customFormat="1" ht="13" x14ac:dyDescent="0.35">
      <c r="A46" s="1899">
        <f>A77</f>
        <v>3.5500000000000003</v>
      </c>
      <c r="B46" s="774"/>
      <c r="C46" s="631" t="str">
        <f>C77</f>
        <v>a1</v>
      </c>
      <c r="D46" s="674"/>
      <c r="E46" s="637">
        <f>IF($C46="","",VLOOKUP($C46,studie!$D$166:$Z$216,8,FALSE))</f>
        <v>0</v>
      </c>
      <c r="F46" s="637"/>
      <c r="G46" s="637">
        <f>IF($C46="","",VLOOKUP($C46,studie!$D$166:$Z$216,9,FALSE))</f>
        <v>0</v>
      </c>
      <c r="H46" s="637"/>
      <c r="I46" s="637">
        <f>IF($C46="","",VLOOKUP($C46,studie!$D$166:$Z$216,10,FALSE))</f>
        <v>0</v>
      </c>
      <c r="J46" s="637"/>
      <c r="K46" s="680"/>
      <c r="L46" s="802">
        <f>IF($C46="","",VLOOKUP($C46,studie!$D$166:$Z$216,14,FALSE))</f>
        <v>0</v>
      </c>
      <c r="M46" s="872"/>
      <c r="N46" s="1049"/>
      <c r="O46" s="1061" t="str">
        <f>IF($C46="","",VLOOKUP($C46,studie!$D$166:$Z$216,16,FALSE))</f>
        <v/>
      </c>
      <c r="P46" s="872"/>
      <c r="Q46" s="1050">
        <f>IF(OR($C46="",studie!$L$426&lt;&gt;"C"),"",VLOOKUP($C46,studie!$D$166:$Z$216,18,FALSE))</f>
        <v>0</v>
      </c>
      <c r="R46" s="872"/>
      <c r="S46" s="653" t="str">
        <f>IF($C46="","",VLOOKUP($C46,studie!$D$166:$Z$216,23,FALSE))</f>
        <v/>
      </c>
      <c r="T46" s="664"/>
    </row>
    <row r="47" spans="1:20" s="208" customFormat="1" ht="13" x14ac:dyDescent="0.35">
      <c r="A47" s="798"/>
      <c r="B47" s="799"/>
      <c r="C47" s="634" t="str">
        <f>C78</f>
        <v>a1</v>
      </c>
      <c r="D47" s="675"/>
      <c r="E47" s="643">
        <f>IF($C47="","",VLOOKUP($C47,studie!$D$166:$Z$216,8,FALSE))</f>
        <v>0</v>
      </c>
      <c r="F47" s="643"/>
      <c r="G47" s="643">
        <f>IF($C47="","",VLOOKUP($C47,studie!$D$166:$Z$216,9,FALSE))</f>
        <v>0</v>
      </c>
      <c r="H47" s="643"/>
      <c r="I47" s="643">
        <f>IF($C47="","",VLOOKUP($C47,studie!$D$166:$Z$216,10,FALSE))</f>
        <v>0</v>
      </c>
      <c r="J47" s="643"/>
      <c r="K47" s="633"/>
      <c r="L47" s="869">
        <f>IF($C47="","",VLOOKUP($C47,studie!$D$166:$Z$216,14,FALSE))</f>
        <v>0</v>
      </c>
      <c r="M47" s="856"/>
      <c r="N47" s="1051"/>
      <c r="O47" s="1062" t="str">
        <f>IF($C47="","",VLOOKUP($C47,studie!$D$166:$Z$216,16,FALSE))</f>
        <v/>
      </c>
      <c r="P47" s="856"/>
      <c r="Q47" s="1052">
        <f>IF(OR($C47="",studie!$L$426&lt;&gt;"C"),"",VLOOKUP($C47,studie!$D$166:$Z$216,18,FALSE))</f>
        <v>0</v>
      </c>
      <c r="R47" s="856"/>
      <c r="S47" s="654" t="str">
        <f>IF($C47="","",VLOOKUP($C47,studie!$D$166:$Z$216,23,FALSE))</f>
        <v/>
      </c>
      <c r="T47" s="665"/>
    </row>
    <row r="48" spans="1:20" s="208" customFormat="1" ht="13" x14ac:dyDescent="0.35">
      <c r="A48" s="798"/>
      <c r="B48" s="799"/>
      <c r="C48" s="634" t="str">
        <f>C79</f>
        <v>a1</v>
      </c>
      <c r="D48" s="675"/>
      <c r="E48" s="643">
        <f>IF($C48="","",VLOOKUP($C48,studie!$D$166:$Z$216,8,FALSE))</f>
        <v>0</v>
      </c>
      <c r="F48" s="643"/>
      <c r="G48" s="643">
        <f>IF($C48="","",VLOOKUP($C48,studie!$D$166:$Z$216,9,FALSE))</f>
        <v>0</v>
      </c>
      <c r="H48" s="643"/>
      <c r="I48" s="643">
        <f>IF($C48="","",VLOOKUP($C48,studie!$D$166:$Z$216,10,FALSE))</f>
        <v>0</v>
      </c>
      <c r="J48" s="643"/>
      <c r="K48" s="633"/>
      <c r="L48" s="869">
        <f>IF($C48="","",VLOOKUP($C48,studie!$D$166:$Z$216,14,FALSE))</f>
        <v>0</v>
      </c>
      <c r="M48" s="856"/>
      <c r="N48" s="1051"/>
      <c r="O48" s="1062" t="str">
        <f>IF($C48="","",VLOOKUP($C48,studie!$D$166:$Z$216,16,FALSE))</f>
        <v/>
      </c>
      <c r="P48" s="856"/>
      <c r="Q48" s="1052">
        <f>IF(OR($C48="",studie!$L$426&lt;&gt;"C"),"",VLOOKUP($C48,studie!$D$166:$Z$216,18,FALSE))</f>
        <v>0</v>
      </c>
      <c r="R48" s="856"/>
      <c r="S48" s="654" t="str">
        <f>IF($C48="","",VLOOKUP($C48,studie!$D$166:$Z$216,23,FALSE))</f>
        <v/>
      </c>
      <c r="T48" s="665"/>
    </row>
    <row r="49" spans="1:20" s="208" customFormat="1" ht="13" x14ac:dyDescent="0.35">
      <c r="A49" s="798"/>
      <c r="B49" s="799"/>
      <c r="C49" s="634" t="str">
        <f>C80</f>
        <v>a1</v>
      </c>
      <c r="D49" s="675"/>
      <c r="E49" s="643">
        <f>IF($C49="","",VLOOKUP($C49,studie!$D$166:$Z$216,8,FALSE))</f>
        <v>0</v>
      </c>
      <c r="F49" s="643"/>
      <c r="G49" s="643">
        <f>IF($C49="","",VLOOKUP($C49,studie!$D$166:$Z$216,9,FALSE))</f>
        <v>0</v>
      </c>
      <c r="H49" s="643"/>
      <c r="I49" s="643">
        <f>IF($C49="","",VLOOKUP($C49,studie!$D$166:$Z$216,10,FALSE))</f>
        <v>0</v>
      </c>
      <c r="J49" s="643"/>
      <c r="K49" s="633"/>
      <c r="L49" s="869">
        <f>IF($C49="","",VLOOKUP($C49,studie!$D$166:$Z$216,14,FALSE))</f>
        <v>0</v>
      </c>
      <c r="M49" s="856"/>
      <c r="N49" s="1051"/>
      <c r="O49" s="1062" t="str">
        <f>IF($C49="","",VLOOKUP($C49,studie!$D$166:$Z$216,16,FALSE))</f>
        <v/>
      </c>
      <c r="P49" s="856"/>
      <c r="Q49" s="1052">
        <f>IF(OR($C49="",studie!$L$426&lt;&gt;"C"),"",VLOOKUP($C49,studie!$D$166:$Z$216,18,FALSE))</f>
        <v>0</v>
      </c>
      <c r="R49" s="856"/>
      <c r="S49" s="654" t="str">
        <f>IF($C49="","",VLOOKUP($C49,studie!$D$166:$Z$216,23,FALSE))</f>
        <v/>
      </c>
      <c r="T49" s="665"/>
    </row>
    <row r="50" spans="1:20" s="208" customFormat="1" ht="13" x14ac:dyDescent="0.35">
      <c r="A50" s="798"/>
      <c r="B50" s="799"/>
      <c r="C50" s="1084" t="str">
        <f>C81</f>
        <v>a1</v>
      </c>
      <c r="D50" s="1085"/>
      <c r="E50" s="1086">
        <f>IF($C50="","",VLOOKUP($C50,studie!$D$166:$Z$216,8,FALSE))</f>
        <v>0</v>
      </c>
      <c r="F50" s="1086"/>
      <c r="G50" s="1086">
        <f>IF($C50="","",VLOOKUP($C50,studie!$D$166:$Z$216,9,FALSE))</f>
        <v>0</v>
      </c>
      <c r="H50" s="1086"/>
      <c r="I50" s="1086">
        <f>IF($C50="","",VLOOKUP($C50,studie!$D$166:$Z$216,10,FALSE))</f>
        <v>0</v>
      </c>
      <c r="J50" s="1086"/>
      <c r="K50" s="1087"/>
      <c r="L50" s="1775">
        <f>IF($C50="","",VLOOKUP($C50,studie!$D$166:$Z$216,14,FALSE))</f>
        <v>0</v>
      </c>
      <c r="M50" s="1088"/>
      <c r="N50" s="1089"/>
      <c r="O50" s="1090" t="str">
        <f>IF($C50="","",VLOOKUP($C50,studie!$D$166:$Z$216,16,FALSE))</f>
        <v/>
      </c>
      <c r="P50" s="1088"/>
      <c r="Q50" s="1091">
        <f>IF(OR($C50="",studie!$L$426&lt;&gt;"C"),"",VLOOKUP($C50,studie!$D$166:$Z$216,18,FALSE))</f>
        <v>0</v>
      </c>
      <c r="R50" s="1088"/>
      <c r="S50" s="1092" t="str">
        <f>IF($C50="","",VLOOKUP($C50,studie!$D$166:$Z$216,23,FALSE))</f>
        <v/>
      </c>
      <c r="T50" s="1093"/>
    </row>
    <row r="51" spans="1:20" s="208" customFormat="1" ht="13.5" thickBot="1" x14ac:dyDescent="0.4">
      <c r="A51" s="775"/>
      <c r="B51" s="776"/>
      <c r="C51" s="663"/>
      <c r="D51" s="679"/>
      <c r="E51" s="687"/>
      <c r="F51" s="687"/>
      <c r="G51" s="687"/>
      <c r="H51" s="687"/>
      <c r="I51" s="683"/>
      <c r="J51" s="683"/>
      <c r="K51" s="683"/>
      <c r="L51" s="720"/>
      <c r="M51" s="860"/>
      <c r="N51" s="1059"/>
      <c r="O51" s="1066"/>
      <c r="P51" s="860"/>
      <c r="Q51" s="1060"/>
      <c r="R51" s="860"/>
      <c r="S51" s="672" t="str">
        <f>IF(studie!H456="","",studie!H456)</f>
        <v/>
      </c>
      <c r="T51" s="673"/>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08" customFormat="1" ht="13" x14ac:dyDescent="0.35">
      <c r="A54" s="852"/>
      <c r="B54" s="852"/>
      <c r="C54" s="852"/>
      <c r="D54" s="852"/>
      <c r="E54" s="994"/>
      <c r="F54" s="994"/>
      <c r="G54" s="994"/>
      <c r="H54" s="994"/>
      <c r="I54" s="852"/>
      <c r="J54" s="852"/>
      <c r="K54" s="852"/>
      <c r="L54" s="995"/>
      <c r="M54" s="995"/>
    </row>
    <row r="55" spans="1:20" s="210" customFormat="1" ht="10.5" x14ac:dyDescent="0.35">
      <c r="A55" s="2277" t="str">
        <f>'VN1'!$A$53</f>
        <v>801/64/</v>
      </c>
      <c r="B55" s="2277"/>
      <c r="C55" s="267" t="str">
        <f>algemeen!$J$66</f>
        <v>2010/13RE-1234/0</v>
      </c>
      <c r="D55" s="267"/>
      <c r="E55" s="268"/>
      <c r="F55" s="268"/>
      <c r="G55" s="268"/>
      <c r="H55" s="268"/>
      <c r="I55" s="269" t="str">
        <f>"blz. "&amp;berekeningen!K3&amp;" /"</f>
        <v>blz. 14 /</v>
      </c>
      <c r="J55" s="267">
        <f>berekeningen!O$2</f>
        <v>19</v>
      </c>
      <c r="K55" s="268"/>
      <c r="L55" s="268"/>
      <c r="M55" s="268" t="s">
        <v>610</v>
      </c>
      <c r="N55" s="268"/>
      <c r="O55" s="268"/>
      <c r="P55" s="268"/>
      <c r="Q55" s="268"/>
      <c r="R55" s="268"/>
      <c r="S55" s="268"/>
      <c r="T55" s="268"/>
    </row>
    <row r="56" spans="1:20" s="208" customFormat="1" ht="13" x14ac:dyDescent="0.35">
      <c r="A56" s="311" t="s">
        <v>1047</v>
      </c>
      <c r="B56" s="311"/>
      <c r="C56" s="311"/>
      <c r="D56" s="311"/>
      <c r="E56" s="1095"/>
      <c r="F56" s="1095"/>
      <c r="G56" s="1095"/>
      <c r="H56" s="1095"/>
      <c r="I56" s="311"/>
      <c r="J56" s="311"/>
      <c r="K56" s="311"/>
      <c r="L56" s="1098"/>
      <c r="M56" s="1098"/>
      <c r="P56" s="208" t="s">
        <v>1048</v>
      </c>
    </row>
    <row r="57" spans="1:20" s="208" customFormat="1" ht="13" x14ac:dyDescent="0.35">
      <c r="A57" s="208" t="str">
        <f>studie!B427</f>
        <v>Toegepaste norm voor de bepaling van de holle ruimte:</v>
      </c>
      <c r="P57" s="208" t="str">
        <f>studie!K427</f>
        <v>EN 12697-8</v>
      </c>
    </row>
    <row r="58" spans="1:20" s="208" customFormat="1" ht="13" x14ac:dyDescent="0.35">
      <c r="A58" s="208" t="str">
        <f>studie!B428</f>
        <v>Toegepaste norm voor de bepaling van het deeltjesverlies:</v>
      </c>
      <c r="O58" s="311"/>
      <c r="P58" s="311" t="str">
        <f>studie!K428</f>
        <v>EN 12697-17</v>
      </c>
    </row>
    <row r="59" spans="1:20" s="208" customFormat="1" ht="13" x14ac:dyDescent="0.35">
      <c r="A59" s="208" t="str">
        <f>studie!B429</f>
        <v>Ouderdom van de proefstukken op het ogenblik van beproeving:</v>
      </c>
      <c r="O59" s="311"/>
      <c r="P59" s="311" t="str">
        <f>studie!L429&amp;" dagen"</f>
        <v>5 dagen</v>
      </c>
    </row>
    <row r="60" spans="1:20" s="208" customFormat="1" ht="13" x14ac:dyDescent="0.35">
      <c r="A60" s="208" t="str">
        <f>studie!B430</f>
        <v>Temperatuur waarop de proefstukken werden bewaard voor beproeving:</v>
      </c>
      <c r="O60" s="311"/>
      <c r="P60" s="311" t="str">
        <f>studie!L430&amp;" °C"</f>
        <v>24 °C</v>
      </c>
    </row>
    <row r="61" spans="1:20" s="208" customFormat="1" ht="13" x14ac:dyDescent="0.35">
      <c r="A61" s="208" t="str">
        <f>studie!B431</f>
        <v>Proeftemperatuur:</v>
      </c>
      <c r="P61" s="1401" t="str">
        <f>ROUND(studie!L431,1)&amp;" °C"</f>
        <v>18 °C</v>
      </c>
    </row>
    <row r="62" spans="1:20" s="208" customFormat="1" ht="13.5" thickBot="1" x14ac:dyDescent="0.4"/>
    <row r="63" spans="1:20" s="208" customFormat="1" ht="15" x14ac:dyDescent="0.35">
      <c r="A63" s="244" t="s">
        <v>183</v>
      </c>
      <c r="B63" s="611"/>
      <c r="C63" s="610" t="s">
        <v>336</v>
      </c>
      <c r="D63" s="611"/>
      <c r="E63" s="658" t="s">
        <v>820</v>
      </c>
      <c r="F63" s="703" t="str">
        <f>IF(studie!$J$134="A","m v",IF(studie!$J134="B","m h",IF(studie!$J134="C","m c","")))</f>
        <v>m v</v>
      </c>
      <c r="G63" s="558" t="s">
        <v>1049</v>
      </c>
      <c r="H63" s="245"/>
      <c r="I63" s="610" t="s">
        <v>499</v>
      </c>
      <c r="J63" s="797"/>
      <c r="K63" s="245" t="s">
        <v>500</v>
      </c>
      <c r="L63" s="796"/>
      <c r="M63" s="610" t="s">
        <v>489</v>
      </c>
      <c r="N63" s="245"/>
      <c r="O63" s="2307" t="s">
        <v>1347</v>
      </c>
      <c r="P63" s="2308"/>
      <c r="Q63" s="2308"/>
      <c r="R63" s="2308"/>
      <c r="S63" s="2308"/>
      <c r="T63" s="2309"/>
    </row>
    <row r="64" spans="1:20" s="208" customFormat="1" ht="13" x14ac:dyDescent="0.35">
      <c r="A64" s="247" t="s">
        <v>185</v>
      </c>
      <c r="B64" s="613"/>
      <c r="C64" s="612" t="s">
        <v>338</v>
      </c>
      <c r="D64" s="613"/>
      <c r="E64" s="612" t="s">
        <v>418</v>
      </c>
      <c r="F64" s="248"/>
      <c r="G64" s="704" t="s">
        <v>132</v>
      </c>
      <c r="H64" s="248"/>
      <c r="I64" s="612" t="s">
        <v>480</v>
      </c>
      <c r="J64" s="705"/>
      <c r="K64" s="248" t="s">
        <v>481</v>
      </c>
      <c r="L64" s="248"/>
      <c r="M64" s="612" t="s">
        <v>501</v>
      </c>
      <c r="N64" s="248"/>
      <c r="O64" s="2310"/>
      <c r="P64" s="2311"/>
      <c r="Q64" s="2311"/>
      <c r="R64" s="2311"/>
      <c r="S64" s="2311"/>
      <c r="T64" s="2312"/>
    </row>
    <row r="65" spans="1:20" s="208" customFormat="1" ht="13" x14ac:dyDescent="0.35">
      <c r="A65" s="1899">
        <f>IF(studie!B436="","",studie!B436)</f>
        <v>3.5500000000000003</v>
      </c>
      <c r="B65" s="774"/>
      <c r="C65" s="631" t="str">
        <f>IF(studie!D436="","",studie!D436)</f>
        <v>A1</v>
      </c>
      <c r="D65" s="674"/>
      <c r="F65" s="706"/>
      <c r="G65" s="636" t="str">
        <f>IF(studie!I436="","",studie!I436)</f>
        <v/>
      </c>
      <c r="H65" s="637"/>
      <c r="I65" s="718">
        <f>IF(studie!J436="","",studie!J436)</f>
        <v>10</v>
      </c>
      <c r="J65" s="830"/>
      <c r="K65" s="637">
        <f>IF(studie!K436="","",studie!K436)</f>
        <v>1</v>
      </c>
      <c r="L65" s="706"/>
      <c r="M65" s="632">
        <f>IF(studie!L436="","",studie!L436)</f>
        <v>90</v>
      </c>
      <c r="N65" s="637"/>
      <c r="O65" s="2322" t="str">
        <f>IF(studie!M436="","",studie!M436)</f>
        <v>in het bindmiddel</v>
      </c>
      <c r="P65" s="2323"/>
      <c r="Q65" s="2323"/>
      <c r="R65" s="2323"/>
      <c r="S65" s="2323"/>
      <c r="T65" s="2324"/>
    </row>
    <row r="66" spans="1:20" s="208" customFormat="1" ht="13" x14ac:dyDescent="0.35">
      <c r="A66" s="798"/>
      <c r="B66" s="799"/>
      <c r="C66" s="634" t="str">
        <f>IF(studie!D437="","",studie!D437)</f>
        <v>A1</v>
      </c>
      <c r="D66" s="675"/>
      <c r="E66" s="1099"/>
      <c r="F66" s="707"/>
      <c r="G66" s="642" t="str">
        <f>IF(studie!I437="","",studie!I437)</f>
        <v/>
      </c>
      <c r="H66" s="643"/>
      <c r="I66" s="640">
        <f>IF(studie!J437="","",studie!J437)</f>
        <v>1000</v>
      </c>
      <c r="J66" s="780"/>
      <c r="K66" s="643">
        <f>IF(studie!K437="","",studie!K437)</f>
        <v>900</v>
      </c>
      <c r="L66" s="707"/>
      <c r="M66" s="640">
        <f>IF(studie!L437="","",studie!L437)</f>
        <v>10</v>
      </c>
      <c r="N66" s="643"/>
      <c r="O66" s="2325" t="str">
        <f>IF(studie!M437="","",studie!M437)</f>
        <v>in de stenen</v>
      </c>
      <c r="P66" s="2250"/>
      <c r="Q66" s="2250"/>
      <c r="R66" s="2250"/>
      <c r="S66" s="2250"/>
      <c r="T66" s="2262"/>
    </row>
    <row r="67" spans="1:20" s="208" customFormat="1" ht="13" x14ac:dyDescent="0.35">
      <c r="A67" s="798"/>
      <c r="B67" s="799"/>
      <c r="C67" s="660" t="str">
        <f>IF(studie!D438="","",studie!D438)</f>
        <v>A3</v>
      </c>
      <c r="D67" s="676"/>
      <c r="E67" s="1100"/>
      <c r="F67" s="708"/>
      <c r="G67" s="724" t="str">
        <f>IF(studie!I438="","",studie!I438)</f>
        <v/>
      </c>
      <c r="H67" s="684"/>
      <c r="I67" s="714">
        <f>IF(studie!J438="","",studie!J438)</f>
        <v>1000</v>
      </c>
      <c r="J67" s="781"/>
      <c r="K67" s="684">
        <f>IF(studie!K438="","",studie!K438)</f>
        <v>950</v>
      </c>
      <c r="L67" s="708"/>
      <c r="M67" s="714">
        <f>IF(studie!L438="","",studie!L438)</f>
        <v>5</v>
      </c>
      <c r="N67" s="684"/>
      <c r="O67" s="2325" t="str">
        <f>IF(studie!M438="","",studie!M438)</f>
        <v>tussen stenen en bindmiddel</v>
      </c>
      <c r="P67" s="2250"/>
      <c r="Q67" s="2250"/>
      <c r="R67" s="2250"/>
      <c r="S67" s="2250"/>
      <c r="T67" s="2262"/>
    </row>
    <row r="68" spans="1:20" s="208" customFormat="1" ht="13" x14ac:dyDescent="0.35">
      <c r="A68" s="798"/>
      <c r="B68" s="799"/>
      <c r="C68" s="660" t="str">
        <f>IF(studie!D439="","",studie!D439)</f>
        <v>A1</v>
      </c>
      <c r="D68" s="676"/>
      <c r="E68" s="1100"/>
      <c r="F68" s="708"/>
      <c r="G68" s="724" t="str">
        <f>IF(studie!I439="","",studie!I439)</f>
        <v/>
      </c>
      <c r="H68" s="684"/>
      <c r="I68" s="714">
        <f>IF(studie!J439="","",studie!J439)</f>
        <v>10</v>
      </c>
      <c r="J68" s="781"/>
      <c r="K68" s="684">
        <f>IF(studie!K439="","",studie!K439)</f>
        <v>1</v>
      </c>
      <c r="L68" s="708"/>
      <c r="M68" s="714">
        <f>IF(studie!L439="","",studie!L439)</f>
        <v>90</v>
      </c>
      <c r="N68" s="684"/>
      <c r="O68" s="2325" t="str">
        <f>IF(studie!M439="","",studie!M439)</f>
        <v/>
      </c>
      <c r="P68" s="2250"/>
      <c r="Q68" s="2250"/>
      <c r="R68" s="2250"/>
      <c r="S68" s="2250"/>
      <c r="T68" s="2262"/>
    </row>
    <row r="69" spans="1:20" s="208" customFormat="1" ht="13" x14ac:dyDescent="0.35">
      <c r="A69" s="798"/>
      <c r="B69" s="799"/>
      <c r="C69" s="660" t="str">
        <f>IF(studie!D440="","",studie!D440)</f>
        <v>A1</v>
      </c>
      <c r="D69" s="676"/>
      <c r="E69" s="1100"/>
      <c r="F69" s="708"/>
      <c r="G69" s="724" t="str">
        <f>IF(studie!I440="","",studie!I440)</f>
        <v/>
      </c>
      <c r="H69" s="684"/>
      <c r="I69" s="714">
        <f>IF(studie!J440="","",studie!J440)</f>
        <v>10</v>
      </c>
      <c r="J69" s="781"/>
      <c r="K69" s="684">
        <f>IF(studie!K440="","",studie!K440)</f>
        <v>1</v>
      </c>
      <c r="L69" s="708"/>
      <c r="M69" s="714">
        <f>IF(studie!L440="","",studie!L440)</f>
        <v>90</v>
      </c>
      <c r="N69" s="684"/>
      <c r="O69" s="2326" t="str">
        <f>IF(studie!M440="","",studie!M440)</f>
        <v/>
      </c>
      <c r="P69" s="2272"/>
      <c r="Q69" s="2272"/>
      <c r="R69" s="2272"/>
      <c r="S69" s="2272"/>
      <c r="T69" s="2327"/>
    </row>
    <row r="70" spans="1:20" s="208" customFormat="1" ht="13" x14ac:dyDescent="0.35">
      <c r="A70" s="800"/>
      <c r="B70" s="801"/>
      <c r="C70" s="661"/>
      <c r="D70" s="677"/>
      <c r="E70" s="668">
        <f>IF(studie!F436="","",studie!F436)</f>
        <v>2.5149219191888523</v>
      </c>
      <c r="F70" s="709"/>
      <c r="G70" s="726" t="str">
        <f>IF(studie!I442="","",studie!I442)</f>
        <v/>
      </c>
      <c r="H70" s="685"/>
      <c r="I70" s="1101"/>
      <c r="J70" s="782"/>
      <c r="K70" s="709"/>
      <c r="L70" s="709"/>
      <c r="M70" s="716">
        <f>IF(studie!L442="","",studie!L442)</f>
        <v>57</v>
      </c>
      <c r="N70" s="858"/>
      <c r="O70" s="2328" t="str">
        <f>IF(studie!M441="","",studie!M441)</f>
        <v/>
      </c>
      <c r="P70" s="2329"/>
      <c r="Q70" s="2329"/>
      <c r="R70" s="2329"/>
      <c r="S70" s="2329"/>
      <c r="T70" s="2330"/>
    </row>
    <row r="71" spans="1:20" s="208" customFormat="1" ht="13" x14ac:dyDescent="0.35">
      <c r="A71" s="1899">
        <f>IF(studie!B443="","",studie!B443)</f>
        <v>3.85</v>
      </c>
      <c r="B71" s="799"/>
      <c r="C71" s="662" t="str">
        <f>IF(studie!D443="","",studie!D443)</f>
        <v>b1</v>
      </c>
      <c r="D71" s="678"/>
      <c r="E71" s="311"/>
      <c r="F71" s="710"/>
      <c r="G71" s="728">
        <f>IF(studie!I443="","",studie!I443)</f>
        <v>11.189097018581514</v>
      </c>
      <c r="H71" s="686"/>
      <c r="I71" s="718">
        <f>IF(studie!J443="","",studie!J443)</f>
        <v>10</v>
      </c>
      <c r="J71" s="830"/>
      <c r="K71" s="686">
        <f>IF(studie!K443="","",studie!K443)</f>
        <v>1</v>
      </c>
      <c r="L71" s="710"/>
      <c r="M71" s="718">
        <f>IF(studie!L443="","",studie!L443)</f>
        <v>90</v>
      </c>
      <c r="N71" s="686"/>
      <c r="O71" s="2322" t="str">
        <f>IF(studie!M442="","",studie!M442)</f>
        <v/>
      </c>
      <c r="P71" s="2323"/>
      <c r="Q71" s="2323"/>
      <c r="R71" s="2323"/>
      <c r="S71" s="2323"/>
      <c r="T71" s="2324"/>
    </row>
    <row r="72" spans="1:20" s="208" customFormat="1" ht="13" x14ac:dyDescent="0.35">
      <c r="A72" s="798"/>
      <c r="B72" s="799"/>
      <c r="C72" s="634" t="str">
        <f>IF(studie!D444="","",studie!D444)</f>
        <v>b1</v>
      </c>
      <c r="D72" s="675"/>
      <c r="E72" s="1099"/>
      <c r="F72" s="707"/>
      <c r="G72" s="642">
        <f>IF(studie!I444="","",studie!I444)</f>
        <v>11.189097018581514</v>
      </c>
      <c r="H72" s="643"/>
      <c r="I72" s="640">
        <f>IF(studie!J444="","",studie!J444)</f>
        <v>1000</v>
      </c>
      <c r="J72" s="780"/>
      <c r="K72" s="643">
        <f>IF(studie!K444="","",studie!K444)</f>
        <v>900</v>
      </c>
      <c r="L72" s="707"/>
      <c r="M72" s="640">
        <f>IF(studie!L444="","",studie!L444)</f>
        <v>10</v>
      </c>
      <c r="N72" s="643"/>
      <c r="O72" s="2325" t="str">
        <f>IF(studie!M443="","",studie!M443)</f>
        <v/>
      </c>
      <c r="P72" s="2250"/>
      <c r="Q72" s="2250"/>
      <c r="R72" s="2250"/>
      <c r="S72" s="2250"/>
      <c r="T72" s="2262"/>
    </row>
    <row r="73" spans="1:20" s="208" customFormat="1" ht="13" x14ac:dyDescent="0.35">
      <c r="A73" s="798"/>
      <c r="B73" s="799"/>
      <c r="C73" s="634" t="str">
        <f>IF(studie!D445="","",studie!D445)</f>
        <v>b1</v>
      </c>
      <c r="D73" s="675"/>
      <c r="E73" s="1099"/>
      <c r="F73" s="707"/>
      <c r="G73" s="642">
        <f>IF(studie!I445="","",studie!I445)</f>
        <v>11.189097018581514</v>
      </c>
      <c r="H73" s="643"/>
      <c r="I73" s="640">
        <f>IF(studie!J445="","",studie!J445)</f>
        <v>10</v>
      </c>
      <c r="J73" s="780"/>
      <c r="K73" s="643">
        <f>IF(studie!K445="","",studie!K445)</f>
        <v>1</v>
      </c>
      <c r="L73" s="707"/>
      <c r="M73" s="640">
        <f>IF(studie!L445="","",studie!L445)</f>
        <v>90</v>
      </c>
      <c r="N73" s="643"/>
      <c r="O73" s="2325" t="str">
        <f>IF(studie!M444="","",studie!M444)</f>
        <v/>
      </c>
      <c r="P73" s="2250"/>
      <c r="Q73" s="2250"/>
      <c r="R73" s="2250"/>
      <c r="S73" s="2250"/>
      <c r="T73" s="2262"/>
    </row>
    <row r="74" spans="1:20" s="208" customFormat="1" ht="13" x14ac:dyDescent="0.35">
      <c r="A74" s="798"/>
      <c r="B74" s="799"/>
      <c r="C74" s="634" t="str">
        <f>IF(studie!D446="","",studie!D446)</f>
        <v>b1</v>
      </c>
      <c r="D74" s="675"/>
      <c r="E74" s="1099"/>
      <c r="F74" s="707"/>
      <c r="G74" s="642">
        <f>IF(studie!I446="","",studie!I446)</f>
        <v>11.189097018581514</v>
      </c>
      <c r="H74" s="643"/>
      <c r="I74" s="640">
        <f>IF(studie!J446="","",studie!J446)</f>
        <v>1</v>
      </c>
      <c r="J74" s="780"/>
      <c r="K74" s="643">
        <f>IF(studie!K446="","",studie!K446)</f>
        <v>1</v>
      </c>
      <c r="L74" s="707"/>
      <c r="M74" s="640">
        <f>IF(studie!L446="","",studie!L446)</f>
        <v>0</v>
      </c>
      <c r="N74" s="643"/>
      <c r="O74" s="2325" t="str">
        <f>IF(studie!M445="","",studie!M445)</f>
        <v/>
      </c>
      <c r="P74" s="2250"/>
      <c r="Q74" s="2250"/>
      <c r="R74" s="2250"/>
      <c r="S74" s="2250"/>
      <c r="T74" s="2262"/>
    </row>
    <row r="75" spans="1:20" s="208" customFormat="1" ht="13" x14ac:dyDescent="0.35">
      <c r="A75" s="798"/>
      <c r="B75" s="799"/>
      <c r="C75" s="660" t="str">
        <f>IF(studie!D447="","",studie!D447)</f>
        <v>b1</v>
      </c>
      <c r="D75" s="676"/>
      <c r="E75" s="1100"/>
      <c r="F75" s="708"/>
      <c r="G75" s="724">
        <f>IF(studie!I447="","",studie!I447)</f>
        <v>11.189097018581514</v>
      </c>
      <c r="H75" s="684"/>
      <c r="I75" s="714">
        <f>IF(studie!J447="","",studie!J447)</f>
        <v>1</v>
      </c>
      <c r="J75" s="781"/>
      <c r="K75" s="684">
        <f>IF(studie!K447="","",studie!K447)</f>
        <v>1</v>
      </c>
      <c r="L75" s="708"/>
      <c r="M75" s="714">
        <f>IF(studie!L447="","",studie!L447)</f>
        <v>0</v>
      </c>
      <c r="N75" s="684"/>
      <c r="O75" s="2326" t="str">
        <f>IF(studie!M446="","",studie!M446)</f>
        <v/>
      </c>
      <c r="P75" s="2272"/>
      <c r="Q75" s="2272"/>
      <c r="R75" s="2272"/>
      <c r="S75" s="2272"/>
      <c r="T75" s="2327"/>
    </row>
    <row r="76" spans="1:20" s="208" customFormat="1" ht="13" x14ac:dyDescent="0.35">
      <c r="A76" s="800"/>
      <c r="B76" s="801"/>
      <c r="C76" s="661"/>
      <c r="D76" s="677"/>
      <c r="E76" s="668">
        <f>IF(studie!F443="","",studie!F443)</f>
        <v>3.0154391189857619</v>
      </c>
      <c r="F76" s="709"/>
      <c r="G76" s="726">
        <f>IF(studie!I449="","",studie!I449)</f>
        <v>11.189097018581514</v>
      </c>
      <c r="H76" s="685"/>
      <c r="I76" s="1101"/>
      <c r="J76" s="782"/>
      <c r="K76" s="709"/>
      <c r="L76" s="709"/>
      <c r="M76" s="716">
        <f>IF(studie!L449="","",studie!L449)</f>
        <v>38</v>
      </c>
      <c r="N76" s="685"/>
      <c r="O76" s="2328" t="str">
        <f>IF(studie!M447="","",studie!M447)</f>
        <v/>
      </c>
      <c r="P76" s="2329"/>
      <c r="Q76" s="2329"/>
      <c r="R76" s="2329"/>
      <c r="S76" s="2329"/>
      <c r="T76" s="2330"/>
    </row>
    <row r="77" spans="1:20" s="208" customFormat="1" ht="13" x14ac:dyDescent="0.35">
      <c r="A77" s="1899">
        <f>IF(studie!B450="","",studie!B450)</f>
        <v>3.5500000000000003</v>
      </c>
      <c r="B77" s="799"/>
      <c r="C77" s="662" t="str">
        <f>IF(studie!D450="","",studie!D450)</f>
        <v>a1</v>
      </c>
      <c r="D77" s="678"/>
      <c r="E77" s="311"/>
      <c r="F77" s="710"/>
      <c r="G77" s="728" t="str">
        <f>IF(studie!I450="","",studie!I450)</f>
        <v/>
      </c>
      <c r="H77" s="686"/>
      <c r="I77" s="718">
        <f>IF(studie!J450="","",studie!J450)</f>
        <v>1</v>
      </c>
      <c r="J77" s="830"/>
      <c r="K77" s="686">
        <f>IF(studie!K450="","",studie!K450)</f>
        <v>1</v>
      </c>
      <c r="L77" s="710"/>
      <c r="M77" s="718">
        <f>IF(studie!L450="","",studie!L450)</f>
        <v>0</v>
      </c>
      <c r="N77" s="686"/>
      <c r="O77" s="2322" t="str">
        <f>IF(studie!M448="","",studie!M448)</f>
        <v/>
      </c>
      <c r="P77" s="2323"/>
      <c r="Q77" s="2323"/>
      <c r="R77" s="2323"/>
      <c r="S77" s="2323"/>
      <c r="T77" s="2324"/>
    </row>
    <row r="78" spans="1:20" s="208" customFormat="1" ht="13" x14ac:dyDescent="0.35">
      <c r="A78" s="798"/>
      <c r="B78" s="799"/>
      <c r="C78" s="634" t="str">
        <f>IF(studie!D451="","",studie!D451)</f>
        <v>a1</v>
      </c>
      <c r="D78" s="675"/>
      <c r="E78" s="1099"/>
      <c r="F78" s="707"/>
      <c r="G78" s="642" t="str">
        <f>IF(studie!I451="","",studie!I451)</f>
        <v/>
      </c>
      <c r="H78" s="643"/>
      <c r="I78" s="640">
        <f>IF(studie!J451="","",studie!J451)</f>
        <v>1</v>
      </c>
      <c r="J78" s="780"/>
      <c r="K78" s="643">
        <f>IF(studie!K451="","",studie!K451)</f>
        <v>1</v>
      </c>
      <c r="L78" s="707"/>
      <c r="M78" s="640">
        <f>IF(studie!L451="","",studie!L451)</f>
        <v>0</v>
      </c>
      <c r="N78" s="643"/>
      <c r="O78" s="2325" t="str">
        <f>IF(studie!M449="","",studie!M449)</f>
        <v/>
      </c>
      <c r="P78" s="2250"/>
      <c r="Q78" s="2250"/>
      <c r="R78" s="2250"/>
      <c r="S78" s="2250"/>
      <c r="T78" s="2262"/>
    </row>
    <row r="79" spans="1:20" s="208" customFormat="1" ht="13" x14ac:dyDescent="0.35">
      <c r="A79" s="798"/>
      <c r="B79" s="799"/>
      <c r="C79" s="634" t="str">
        <f>IF(studie!D452="","",studie!D452)</f>
        <v>a1</v>
      </c>
      <c r="D79" s="675"/>
      <c r="E79" s="1099"/>
      <c r="F79" s="707"/>
      <c r="G79" s="642" t="str">
        <f>IF(studie!I452="","",studie!I452)</f>
        <v/>
      </c>
      <c r="H79" s="643"/>
      <c r="I79" s="640">
        <f>IF(studie!J452="","",studie!J452)</f>
        <v>1</v>
      </c>
      <c r="J79" s="780"/>
      <c r="K79" s="643">
        <f>IF(studie!K452="","",studie!K452)</f>
        <v>1</v>
      </c>
      <c r="L79" s="707"/>
      <c r="M79" s="640">
        <f>IF(studie!L452="","",studie!L452)</f>
        <v>0</v>
      </c>
      <c r="N79" s="643"/>
      <c r="O79" s="2325" t="str">
        <f>IF(studie!M450="","",studie!M450)</f>
        <v/>
      </c>
      <c r="P79" s="2250"/>
      <c r="Q79" s="2250"/>
      <c r="R79" s="2250"/>
      <c r="S79" s="2250"/>
      <c r="T79" s="2262"/>
    </row>
    <row r="80" spans="1:20" s="208" customFormat="1" ht="13" x14ac:dyDescent="0.35">
      <c r="A80" s="798"/>
      <c r="B80" s="799"/>
      <c r="C80" s="634" t="str">
        <f>IF(studie!D453="","",studie!D453)</f>
        <v>a1</v>
      </c>
      <c r="D80" s="675"/>
      <c r="E80" s="1099"/>
      <c r="F80" s="707"/>
      <c r="G80" s="642" t="str">
        <f>IF(studie!I453="","",studie!I453)</f>
        <v/>
      </c>
      <c r="H80" s="643"/>
      <c r="I80" s="640">
        <f>IF(studie!J453="","",studie!J453)</f>
        <v>1</v>
      </c>
      <c r="J80" s="780"/>
      <c r="K80" s="643">
        <f>IF(studie!K453="","",studie!K453)</f>
        <v>1</v>
      </c>
      <c r="L80" s="707"/>
      <c r="M80" s="640">
        <f>IF(studie!L453="","",studie!L453)</f>
        <v>0</v>
      </c>
      <c r="N80" s="643"/>
      <c r="O80" s="2325" t="str">
        <f>IF(studie!M451="","",studie!M451)</f>
        <v/>
      </c>
      <c r="P80" s="2250"/>
      <c r="Q80" s="2250"/>
      <c r="R80" s="2250"/>
      <c r="S80" s="2250"/>
      <c r="T80" s="2262"/>
    </row>
    <row r="81" spans="1:20" s="208" customFormat="1" ht="13" x14ac:dyDescent="0.35">
      <c r="A81" s="798"/>
      <c r="B81" s="799"/>
      <c r="C81" s="660" t="str">
        <f>IF(studie!D454="","",studie!D454)</f>
        <v>a1</v>
      </c>
      <c r="D81" s="676"/>
      <c r="E81" s="1100"/>
      <c r="F81" s="708"/>
      <c r="G81" s="724" t="str">
        <f>IF(studie!I454="","",studie!I454)</f>
        <v/>
      </c>
      <c r="H81" s="684"/>
      <c r="I81" s="714">
        <f>IF(studie!J454="","",studie!J454)</f>
        <v>1000</v>
      </c>
      <c r="J81" s="781"/>
      <c r="K81" s="684">
        <f>IF(studie!K454="","",studie!K454)</f>
        <v>800</v>
      </c>
      <c r="L81" s="708"/>
      <c r="M81" s="714">
        <f>IF(studie!L454="","",studie!L454)</f>
        <v>20</v>
      </c>
      <c r="N81" s="684"/>
      <c r="O81" s="2326" t="str">
        <f>IF(studie!M452="","",studie!M452)</f>
        <v/>
      </c>
      <c r="P81" s="2272"/>
      <c r="Q81" s="2272"/>
      <c r="R81" s="2272"/>
      <c r="S81" s="2272"/>
      <c r="T81" s="2327"/>
    </row>
    <row r="82" spans="1:20" s="208" customFormat="1" ht="13.5" thickBot="1" x14ac:dyDescent="0.4">
      <c r="A82" s="775"/>
      <c r="B82" s="776"/>
      <c r="C82" s="663"/>
      <c r="D82" s="679"/>
      <c r="E82" s="672">
        <f>IF(studie!F450="","",studie!F450)</f>
        <v>2.5149219191888523</v>
      </c>
      <c r="F82" s="742"/>
      <c r="G82" s="730" t="str">
        <f>IF(studie!I456="","",studie!I456)</f>
        <v/>
      </c>
      <c r="H82" s="687"/>
      <c r="I82" s="1102"/>
      <c r="J82" s="783"/>
      <c r="K82" s="742"/>
      <c r="L82" s="742"/>
      <c r="M82" s="720">
        <f>IF(studie!L456="","",studie!L456)</f>
        <v>4</v>
      </c>
      <c r="N82" s="687"/>
      <c r="O82" s="2331" t="str">
        <f>IF(studie!M453="","",studie!M453)</f>
        <v/>
      </c>
      <c r="P82" s="2332"/>
      <c r="Q82" s="2332"/>
      <c r="R82" s="2332"/>
      <c r="S82" s="2332"/>
      <c r="T82" s="2333"/>
    </row>
    <row r="83" spans="1:20" s="208" customFormat="1" ht="12.75" customHeight="1" x14ac:dyDescent="0.35"/>
    <row r="84" spans="1:20" ht="12.75" customHeight="1" x14ac:dyDescent="0.35"/>
    <row r="85" spans="1:20" ht="12.75" customHeight="1" x14ac:dyDescent="0.35">
      <c r="B85" s="1445" t="str">
        <f>IF(studie!E421="J","","PROEF NIET UITGEVOERD !")</f>
        <v/>
      </c>
    </row>
    <row r="86" spans="1:20" ht="12.75" customHeight="1" x14ac:dyDescent="0.35"/>
    <row r="87" spans="1:20" ht="12.75" customHeight="1" x14ac:dyDescent="0.35"/>
    <row r="88" spans="1:20" ht="12.75" customHeight="1" x14ac:dyDescent="0.35"/>
    <row r="89" spans="1:20" ht="12.75" customHeight="1" x14ac:dyDescent="0.35"/>
    <row r="90" spans="1:20" ht="12.75" customHeight="1" x14ac:dyDescent="0.35"/>
    <row r="91" spans="1:20" ht="12.75" customHeight="1" x14ac:dyDescent="0.35"/>
    <row r="92" spans="1:20" ht="12.75" customHeight="1" x14ac:dyDescent="0.35"/>
    <row r="93" spans="1:20" ht="12.75" customHeight="1" x14ac:dyDescent="0.35"/>
    <row r="94" spans="1:20" ht="12.75" customHeight="1" x14ac:dyDescent="0.35"/>
    <row r="95" spans="1:20" ht="12.75" customHeight="1" x14ac:dyDescent="0.35"/>
    <row r="96" spans="1:20"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77" t="str">
        <f>'VN1'!$A$53</f>
        <v>801/64/</v>
      </c>
      <c r="B111" s="2277"/>
      <c r="C111" s="267" t="str">
        <f>algemeen!$J$66</f>
        <v>2010/13RE-1234/0</v>
      </c>
      <c r="D111" s="267"/>
      <c r="E111" s="268"/>
      <c r="F111" s="268"/>
      <c r="G111" s="268"/>
      <c r="H111" s="268"/>
      <c r="I111" s="269" t="str">
        <f>"blz. "&amp;berekeningen!K3+1&amp;" /"</f>
        <v>blz. 15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sheetData>
  <sheetProtection algorithmName="SHA-512" hashValue="h3OelPcmytUSuv42HV3H0r/zBl52gYjdYuE32L5DPcdS5W+yOMMC4lCJCO3PpvMlucfjXgau6SvmYhYdxHHBcw==" saltValue="faXZIw8wGBGoEsFH7hLn7A==" spinCount="100000" sheet="1" objects="1" scenarios="1"/>
  <mergeCells count="22">
    <mergeCell ref="O82:T82"/>
    <mergeCell ref="O76:T76"/>
    <mergeCell ref="O77:T77"/>
    <mergeCell ref="O78:T78"/>
    <mergeCell ref="O79:T79"/>
    <mergeCell ref="O80:T80"/>
    <mergeCell ref="A55:B55"/>
    <mergeCell ref="A111:B111"/>
    <mergeCell ref="O63:T63"/>
    <mergeCell ref="O64:T64"/>
    <mergeCell ref="O65:T65"/>
    <mergeCell ref="O66:T66"/>
    <mergeCell ref="O67:T67"/>
    <mergeCell ref="O68:T68"/>
    <mergeCell ref="O69:T69"/>
    <mergeCell ref="O70:T70"/>
    <mergeCell ref="O71:T71"/>
    <mergeCell ref="O72:T72"/>
    <mergeCell ref="O73:T73"/>
    <mergeCell ref="O74:T74"/>
    <mergeCell ref="O75:T75"/>
    <mergeCell ref="O81:T81"/>
  </mergeCells>
  <pageMargins left="0.59055118110236227" right="0.19685039370078741" top="0.59055118110236227" bottom="0.59055118110236227" header="0.31496062992125984" footer="0.31496062992125984"/>
  <pageSetup paperSize="9" orientation="portrait" r:id="rId1"/>
  <rowBreaks count="1" manualBreakCount="1">
    <brk id="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1346</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0.15" customHeight="1" x14ac:dyDescent="0.35"/>
    <row r="3" spans="1:20" s="208" customFormat="1" ht="13" x14ac:dyDescent="0.35">
      <c r="A3" s="208" t="s">
        <v>779</v>
      </c>
      <c r="L3" s="208" t="str">
        <f>IF(studie!E467="J",studie!E468,"")</f>
        <v>laboratoriumvalidatie</v>
      </c>
    </row>
    <row r="4" spans="1:20" s="208" customFormat="1" ht="13" x14ac:dyDescent="0.35">
      <c r="A4" s="208" t="str">
        <f>studie!B471</f>
        <v>Toegepaste norm voor de bepaling van de indrukking:</v>
      </c>
      <c r="L4" s="311" t="str">
        <f>IF(studie!E467="J",studie!H471,"")</f>
        <v>EN 12697-20</v>
      </c>
      <c r="O4" s="311"/>
    </row>
    <row r="5" spans="1:20" s="208" customFormat="1" ht="13" x14ac:dyDescent="0.35">
      <c r="A5" s="208" t="str">
        <f>studie!B472</f>
        <v>Referentie volgens EN 13108-20:</v>
      </c>
      <c r="L5" s="311" t="str">
        <f>IF(studie!E467="J",studie!I472,"")</f>
        <v>D.5.1</v>
      </c>
    </row>
    <row r="6" spans="1:20" s="208" customFormat="1" ht="13" x14ac:dyDescent="0.35">
      <c r="A6" s="208" t="s">
        <v>925</v>
      </c>
      <c r="L6" s="311" t="str">
        <f>IF(studie!E467="J",studie!I473&amp;" °C","")</f>
        <v>180 °C</v>
      </c>
    </row>
    <row r="7" spans="1:20" s="208" customFormat="1" ht="13" x14ac:dyDescent="0.35">
      <c r="A7" s="208" t="str">
        <f>studie!B474</f>
        <v>Type proefstukken:</v>
      </c>
      <c r="L7" s="311" t="str">
        <f>IF(studie!E467="J",studie!I474,"")</f>
        <v>C</v>
      </c>
    </row>
    <row r="8" spans="1:20" s="208" customFormat="1" ht="13" x14ac:dyDescent="0.35">
      <c r="A8" s="208" t="str">
        <f>studie!B475</f>
        <v>Oppervlakte van de stempel:</v>
      </c>
      <c r="L8" s="311" t="str">
        <f>IF(studie!E467="J",studie!I475&amp;" mm²","")</f>
        <v>500 mm²</v>
      </c>
    </row>
    <row r="9" spans="1:20" s="208" customFormat="1" ht="13" x14ac:dyDescent="0.35">
      <c r="A9" s="208" t="str">
        <f>studie!B476</f>
        <v>Proeftemperatuur:</v>
      </c>
      <c r="L9" s="311" t="str">
        <f>IF(studie!E467="J",studie!I476&amp;" °C","")</f>
        <v>40 °C</v>
      </c>
    </row>
    <row r="10" spans="1:20" s="208" customFormat="1" ht="13" x14ac:dyDescent="0.35">
      <c r="A10" s="208" t="str">
        <f>studie!B477</f>
        <v>Ouderdom van de proefstukken:</v>
      </c>
      <c r="L10" s="311" t="str">
        <f>IF(studie!E467="J",studie!H477,"")</f>
        <v>2 dagen</v>
      </c>
    </row>
    <row r="11" spans="1:20" s="208" customFormat="1" ht="13" x14ac:dyDescent="0.35">
      <c r="A11" s="208" t="str">
        <f>studie!B478</f>
        <v>Duur conditionering vóór belasting:</v>
      </c>
      <c r="L11" s="311" t="str">
        <f>IF(studie!E467="J",studie!I478&amp;" min","")</f>
        <v>60 min</v>
      </c>
    </row>
    <row r="12" spans="1:20" s="208" customFormat="1" ht="13" x14ac:dyDescent="0.35">
      <c r="A12" s="208" t="str">
        <f>studie!B479</f>
        <v>Eerste controlepunt:</v>
      </c>
      <c r="L12" s="311" t="str">
        <f>IF(studie!E467="J",studie!I479&amp;" min","")</f>
        <v>30 min</v>
      </c>
    </row>
    <row r="13" spans="1:20" s="208" customFormat="1" ht="13" x14ac:dyDescent="0.35">
      <c r="A13" s="208" t="str">
        <f>studie!B480</f>
        <v>Tweede controlepunt:</v>
      </c>
      <c r="L13" s="311" t="str">
        <f>IF(studie!E467="J",studie!I480&amp;" min","")</f>
        <v>60 min</v>
      </c>
    </row>
    <row r="14" spans="1:20" s="208" customFormat="1" ht="7.15" customHeight="1" thickBot="1" x14ac:dyDescent="0.4"/>
    <row r="15" spans="1:20" s="208" customFormat="1" ht="15" x14ac:dyDescent="0.35">
      <c r="A15" s="244" t="s">
        <v>183</v>
      </c>
      <c r="B15" s="611"/>
      <c r="C15" s="610" t="s">
        <v>336</v>
      </c>
      <c r="D15" s="611"/>
      <c r="E15" s="610" t="str">
        <f>studie!F483</f>
        <v>Indrukking (mm) na … minuten (excl. voorbelasting)</v>
      </c>
      <c r="F15" s="796"/>
      <c r="G15" s="245"/>
      <c r="H15" s="245"/>
      <c r="I15" s="245"/>
      <c r="J15" s="245"/>
      <c r="K15" s="245"/>
      <c r="L15" s="796"/>
      <c r="M15" s="246"/>
    </row>
    <row r="16" spans="1:20" s="208" customFormat="1" ht="13" x14ac:dyDescent="0.35">
      <c r="A16" s="247" t="s">
        <v>185</v>
      </c>
      <c r="B16" s="613"/>
      <c r="C16" s="612" t="s">
        <v>338</v>
      </c>
      <c r="D16" s="613"/>
      <c r="E16" s="832">
        <f>studie!F484</f>
        <v>1</v>
      </c>
      <c r="F16" s="614">
        <f>studie!G484</f>
        <v>2</v>
      </c>
      <c r="G16" s="614">
        <f>studie!H484</f>
        <v>4</v>
      </c>
      <c r="H16" s="614">
        <f>studie!I484</f>
        <v>8</v>
      </c>
      <c r="I16" s="614">
        <f>studie!J484</f>
        <v>15</v>
      </c>
      <c r="J16" s="614">
        <f>studie!K484</f>
        <v>30</v>
      </c>
      <c r="K16" s="614">
        <f>studie!L484</f>
        <v>60</v>
      </c>
      <c r="L16" s="614">
        <f>studie!M484</f>
        <v>120</v>
      </c>
      <c r="M16" s="833">
        <f>studie!N484</f>
        <v>300</v>
      </c>
    </row>
    <row r="17" spans="1:20" s="208" customFormat="1" ht="13" x14ac:dyDescent="0.35">
      <c r="A17" s="1899">
        <f>IF(studie!D485="","",studie!B485)</f>
        <v>3.5500000000000003</v>
      </c>
      <c r="B17" s="774"/>
      <c r="C17" s="631" t="str">
        <f>IF(studie!D485="","",studie!D485)</f>
        <v>a</v>
      </c>
      <c r="D17" s="674"/>
      <c r="E17" s="834" t="str">
        <f>IF(studie!F485="","",studie!F485)</f>
        <v/>
      </c>
      <c r="F17" s="835" t="str">
        <f>IF(studie!G485="","",studie!G485)</f>
        <v/>
      </c>
      <c r="G17" s="835" t="str">
        <f>IF(studie!H485="","",studie!H485)</f>
        <v/>
      </c>
      <c r="H17" s="835" t="str">
        <f>IF(studie!I485="","",studie!I485)</f>
        <v/>
      </c>
      <c r="I17" s="835" t="str">
        <f>IF(studie!J485="","",studie!J485)</f>
        <v/>
      </c>
      <c r="J17" s="835">
        <f>IF(studie!K485="","",studie!K485)</f>
        <v>8</v>
      </c>
      <c r="K17" s="835" t="str">
        <f>IF(studie!L485="","",studie!L485)</f>
        <v/>
      </c>
      <c r="L17" s="835" t="str">
        <f>IF(studie!M485="","",studie!M485)</f>
        <v/>
      </c>
      <c r="M17" s="836" t="str">
        <f>IF(studie!N485="","",studie!N485)</f>
        <v/>
      </c>
    </row>
    <row r="18" spans="1:20" s="208" customFormat="1" ht="13" x14ac:dyDescent="0.35">
      <c r="A18" s="798"/>
      <c r="B18" s="799"/>
      <c r="C18" s="634" t="str">
        <f>IF(studie!D486="","",studie!D486)</f>
        <v>b</v>
      </c>
      <c r="D18" s="675"/>
      <c r="E18" s="837" t="str">
        <f>IF(studie!F486="","",studie!F486)</f>
        <v/>
      </c>
      <c r="F18" s="838" t="str">
        <f>IF(studie!G486="","",studie!G486)</f>
        <v/>
      </c>
      <c r="G18" s="838" t="str">
        <f>IF(studie!H486="","",studie!H486)</f>
        <v/>
      </c>
      <c r="H18" s="838" t="str">
        <f>IF(studie!I486="","",studie!I486)</f>
        <v/>
      </c>
      <c r="I18" s="838" t="str">
        <f>IF(studie!J486="","",studie!J486)</f>
        <v/>
      </c>
      <c r="J18" s="838">
        <f>IF(studie!K486="","",studie!K486)</f>
        <v>9</v>
      </c>
      <c r="K18" s="838" t="str">
        <f>IF(studie!L486="","",studie!L486)</f>
        <v/>
      </c>
      <c r="L18" s="838" t="str">
        <f>IF(studie!M486="","",studie!M486)</f>
        <v/>
      </c>
      <c r="M18" s="839" t="str">
        <f>IF(studie!N486="","",studie!N486)</f>
        <v/>
      </c>
    </row>
    <row r="19" spans="1:20" s="208" customFormat="1" ht="13" x14ac:dyDescent="0.35">
      <c r="A19" s="800"/>
      <c r="B19" s="801"/>
      <c r="C19" s="661"/>
      <c r="D19" s="677"/>
      <c r="E19" s="840" t="str">
        <f>IF(studie!F490="","",studie!F490)</f>
        <v/>
      </c>
      <c r="F19" s="841" t="str">
        <f>IF(studie!G490="","",studie!G490)</f>
        <v/>
      </c>
      <c r="G19" s="841" t="str">
        <f>IF(studie!H490="","",studie!H490)</f>
        <v/>
      </c>
      <c r="H19" s="841" t="str">
        <f>IF(studie!I490="","",studie!I490)</f>
        <v/>
      </c>
      <c r="I19" s="841" t="str">
        <f>IF(studie!J490="","",studie!J490)</f>
        <v/>
      </c>
      <c r="J19" s="841">
        <f>IF(studie!K490="","",studie!K490)</f>
        <v>8.5</v>
      </c>
      <c r="K19" s="841" t="str">
        <f>IF(studie!L490="","",studie!L490)</f>
        <v/>
      </c>
      <c r="L19" s="841" t="str">
        <f>IF(studie!M490="","",studie!M490)</f>
        <v/>
      </c>
      <c r="M19" s="842" t="str">
        <f>IF(studie!N490="","",studie!N490)</f>
        <v/>
      </c>
    </row>
    <row r="20" spans="1:20" s="208" customFormat="1" ht="13" x14ac:dyDescent="0.35">
      <c r="A20" s="1899">
        <f>IF(studie!B491="","",studie!B491)</f>
        <v>3.85</v>
      </c>
      <c r="B20" s="799"/>
      <c r="C20" s="662" t="str">
        <f>IF(studie!D491="","",studie!D491)</f>
        <v/>
      </c>
      <c r="D20" s="678"/>
      <c r="E20" s="843" t="str">
        <f>IF(studie!F491="","",studie!F491)</f>
        <v/>
      </c>
      <c r="F20" s="844" t="str">
        <f>IF(studie!G491="","",studie!G491)</f>
        <v/>
      </c>
      <c r="G20" s="844" t="str">
        <f>IF(studie!H491="","",studie!H491)</f>
        <v/>
      </c>
      <c r="H20" s="844" t="str">
        <f>IF(studie!I491="","",studie!I491)</f>
        <v/>
      </c>
      <c r="I20" s="844">
        <f>IF(studie!J491="","",studie!J491)</f>
        <v>16</v>
      </c>
      <c r="J20" s="844">
        <f>IF(studie!K491="","",studie!K491)</f>
        <v>17</v>
      </c>
      <c r="K20" s="844">
        <f>IF(studie!L491="","",studie!L491)</f>
        <v>20</v>
      </c>
      <c r="L20" s="844" t="str">
        <f>IF(studie!M491="","",studie!M491)</f>
        <v/>
      </c>
      <c r="M20" s="845" t="str">
        <f>IF(studie!N491="","",studie!N491)</f>
        <v/>
      </c>
    </row>
    <row r="21" spans="1:20" s="208" customFormat="1" ht="13" x14ac:dyDescent="0.35">
      <c r="A21" s="798"/>
      <c r="B21" s="799"/>
      <c r="C21" s="634" t="str">
        <f>IF(studie!D492="","",studie!D492)</f>
        <v/>
      </c>
      <c r="D21" s="675"/>
      <c r="E21" s="837" t="str">
        <f>IF(studie!F492="","",studie!F492)</f>
        <v/>
      </c>
      <c r="F21" s="838" t="str">
        <f>IF(studie!G492="","",studie!G492)</f>
        <v/>
      </c>
      <c r="G21" s="838" t="str">
        <f>IF(studie!H492="","",studie!H492)</f>
        <v/>
      </c>
      <c r="H21" s="838" t="str">
        <f>IF(studie!I492="","",studie!I492)</f>
        <v/>
      </c>
      <c r="I21" s="838">
        <f>IF(studie!J492="","",studie!J492)</f>
        <v>18</v>
      </c>
      <c r="J21" s="838">
        <f>IF(studie!K492="","",studie!K492)</f>
        <v>19</v>
      </c>
      <c r="K21" s="838" t="str">
        <f>IF(studie!L492="","",studie!L492)</f>
        <v/>
      </c>
      <c r="L21" s="838" t="str">
        <f>IF(studie!M492="","",studie!M492)</f>
        <v/>
      </c>
      <c r="M21" s="839" t="str">
        <f>IF(studie!N492="","",studie!N492)</f>
        <v/>
      </c>
    </row>
    <row r="22" spans="1:20" s="208" customFormat="1" ht="13" x14ac:dyDescent="0.35">
      <c r="A22" s="800"/>
      <c r="B22" s="801"/>
      <c r="C22" s="661"/>
      <c r="D22" s="677"/>
      <c r="E22" s="840" t="str">
        <f>IF(studie!F496="","",studie!F496)</f>
        <v/>
      </c>
      <c r="F22" s="841" t="str">
        <f>IF(studie!G496="","",studie!G496)</f>
        <v/>
      </c>
      <c r="G22" s="841" t="str">
        <f>IF(studie!H496="","",studie!H496)</f>
        <v/>
      </c>
      <c r="H22" s="841" t="str">
        <f>IF(studie!I496="","",studie!I496)</f>
        <v/>
      </c>
      <c r="I22" s="841">
        <f>IF(studie!J496="","",studie!J496)</f>
        <v>17</v>
      </c>
      <c r="J22" s="841">
        <f>IF(studie!K496="","",studie!K496)</f>
        <v>18</v>
      </c>
      <c r="K22" s="841">
        <f>IF(studie!L496="","",studie!L496)</f>
        <v>20</v>
      </c>
      <c r="L22" s="841" t="str">
        <f>IF(studie!M496="","",studie!M496)</f>
        <v/>
      </c>
      <c r="M22" s="842" t="str">
        <f>IF(studie!N496="","",studie!N496)</f>
        <v/>
      </c>
    </row>
    <row r="23" spans="1:20" s="208" customFormat="1" ht="13" x14ac:dyDescent="0.35">
      <c r="A23" s="773" t="str">
        <f>IF(studie!D497="","",studie!B497)</f>
        <v/>
      </c>
      <c r="B23" s="799"/>
      <c r="C23" s="662" t="str">
        <f>IF(studie!D497="","",studie!D497)</f>
        <v/>
      </c>
      <c r="D23" s="678"/>
      <c r="E23" s="843" t="str">
        <f>IF(studie!F497="","",studie!F497)</f>
        <v/>
      </c>
      <c r="F23" s="844" t="str">
        <f>IF(studie!G497="","",studie!G497)</f>
        <v/>
      </c>
      <c r="G23" s="844" t="str">
        <f>IF(studie!H497="","",studie!H497)</f>
        <v/>
      </c>
      <c r="H23" s="844" t="str">
        <f>IF(studie!I497="","",studie!I497)</f>
        <v/>
      </c>
      <c r="I23" s="844" t="str">
        <f>IF(studie!J497="","",studie!J497)</f>
        <v/>
      </c>
      <c r="J23" s="844" t="str">
        <f>IF(studie!K497="","",studie!K497)</f>
        <v/>
      </c>
      <c r="K23" s="844">
        <f>IF(studie!L497="","",studie!L497)</f>
        <v>18</v>
      </c>
      <c r="L23" s="844" t="str">
        <f>IF(studie!M497="","",studie!M497)</f>
        <v/>
      </c>
      <c r="M23" s="845" t="str">
        <f>IF(studie!N497="","",studie!N497)</f>
        <v/>
      </c>
    </row>
    <row r="24" spans="1:20" s="208" customFormat="1" ht="13" x14ac:dyDescent="0.35">
      <c r="A24" s="798"/>
      <c r="B24" s="799"/>
      <c r="C24" s="634" t="str">
        <f>IF(studie!D498="","",studie!D498)</f>
        <v/>
      </c>
      <c r="D24" s="675"/>
      <c r="E24" s="837" t="str">
        <f>IF(studie!F498="","",studie!F498)</f>
        <v/>
      </c>
      <c r="F24" s="838" t="str">
        <f>IF(studie!G498="","",studie!G498)</f>
        <v/>
      </c>
      <c r="G24" s="838" t="str">
        <f>IF(studie!H498="","",studie!H498)</f>
        <v/>
      </c>
      <c r="H24" s="838" t="str">
        <f>IF(studie!I498="","",studie!I498)</f>
        <v/>
      </c>
      <c r="I24" s="838" t="str">
        <f>IF(studie!J498="","",studie!J498)</f>
        <v/>
      </c>
      <c r="J24" s="838" t="str">
        <f>IF(studie!K498="","",studie!K498)</f>
        <v/>
      </c>
      <c r="K24" s="838">
        <f>IF(studie!L498="","",studie!L498)</f>
        <v>17</v>
      </c>
      <c r="L24" s="838" t="str">
        <f>IF(studie!M498="","",studie!M498)</f>
        <v/>
      </c>
      <c r="M24" s="839" t="str">
        <f>IF(studie!N498="","",studie!N498)</f>
        <v/>
      </c>
    </row>
    <row r="25" spans="1:20" s="208" customFormat="1" ht="13.5" thickBot="1" x14ac:dyDescent="0.4">
      <c r="A25" s="775"/>
      <c r="B25" s="776"/>
      <c r="C25" s="663"/>
      <c r="D25" s="679"/>
      <c r="E25" s="846" t="str">
        <f>IF(studie!F499="","",studie!F499)</f>
        <v/>
      </c>
      <c r="F25" s="847" t="str">
        <f>IF(studie!G499="","",studie!G499)</f>
        <v/>
      </c>
      <c r="G25" s="847" t="str">
        <f>IF(studie!H499="","",studie!H499)</f>
        <v/>
      </c>
      <c r="H25" s="847" t="str">
        <f>IF(studie!I499="","",studie!I499)</f>
        <v/>
      </c>
      <c r="I25" s="847" t="str">
        <f>IF(studie!J499="","",studie!J499)</f>
        <v/>
      </c>
      <c r="J25" s="847" t="str">
        <f>IF(studie!K499="","",studie!K499)</f>
        <v/>
      </c>
      <c r="K25" s="847" t="str">
        <f>IF(studie!L499="","",studie!L499)</f>
        <v/>
      </c>
      <c r="L25" s="847" t="str">
        <f>IF(studie!M499="","",studie!M499)</f>
        <v/>
      </c>
      <c r="M25" s="848" t="str">
        <f>IF(studie!N499="","",studie!N499)</f>
        <v/>
      </c>
    </row>
    <row r="26" spans="1:20" s="208" customFormat="1" ht="7.15" customHeight="1" x14ac:dyDescent="0.35"/>
    <row r="27" spans="1:20" s="318" customFormat="1" ht="12.75" customHeight="1" x14ac:dyDescent="0.3">
      <c r="A27" s="318" t="str">
        <f>IF(studie!E503="","",studie!B503)</f>
        <v>Indrukking na 30 minuten:</v>
      </c>
      <c r="F27" s="849">
        <f>IF(studie!E503="","",studie!E503)</f>
        <v>18</v>
      </c>
      <c r="G27" s="849" t="str">
        <f>IF(studie!E503="","","mm")</f>
        <v>mm</v>
      </c>
    </row>
    <row r="28" spans="1:20" s="318" customFormat="1" ht="12.75" customHeight="1" x14ac:dyDescent="0.3">
      <c r="A28" s="318" t="str">
        <f>IF(studie!E504="","",studie!B504)</f>
        <v>Indrukking na 60 minuten:</v>
      </c>
      <c r="F28" s="849">
        <f>IF(studie!E504="","",studie!E504)</f>
        <v>20</v>
      </c>
      <c r="G28" s="849" t="str">
        <f>IF(studie!E504="","","mm")</f>
        <v>mm</v>
      </c>
      <c r="J28" s="1451" t="str">
        <f>IF(studie!E467="J","","Deze kenmerken werden niet bepaald.")</f>
        <v/>
      </c>
    </row>
    <row r="29" spans="1:20" s="318" customFormat="1" ht="12.75" customHeight="1" x14ac:dyDescent="0.3">
      <c r="A29" s="318" t="str">
        <f>IF(studie!L503="","",studie!H503)</f>
        <v>Toename van de indrukking:</v>
      </c>
      <c r="F29" s="849">
        <f>IF(studie!L503="","",studie!L503)</f>
        <v>2</v>
      </c>
      <c r="G29" s="849" t="str">
        <f>IF(studie!L503="","","mm")</f>
        <v>mm</v>
      </c>
      <c r="J29" s="1452" t="str">
        <f>IF(berekeningen!L2=0,"DEZE PROEVEN WERDEN NIET UITGEVOERD !","")</f>
        <v/>
      </c>
    </row>
    <row r="30" spans="1:20" s="318" customFormat="1" ht="12.75" customHeight="1" x14ac:dyDescent="0.3"/>
    <row r="31" spans="1:20" ht="15" customHeight="1" x14ac:dyDescent="0.35">
      <c r="A31" s="736" t="s">
        <v>922</v>
      </c>
      <c r="B31" s="737"/>
      <c r="C31" s="737"/>
      <c r="D31" s="737"/>
      <c r="E31" s="737"/>
      <c r="F31" s="737"/>
      <c r="G31" s="737"/>
      <c r="H31" s="737"/>
      <c r="I31" s="737"/>
      <c r="J31" s="737"/>
      <c r="K31" s="737"/>
      <c r="L31" s="737"/>
      <c r="M31" s="737"/>
      <c r="N31" s="737"/>
      <c r="O31" s="737"/>
      <c r="P31" s="733" t="str">
        <f>'VN1'!$A$53</f>
        <v>801/64/</v>
      </c>
      <c r="Q31" s="732" t="str">
        <f>algemeen!$J$66</f>
        <v>2010/13RE-1234/0</v>
      </c>
      <c r="R31" s="542"/>
      <c r="S31" s="542"/>
      <c r="T31" s="543"/>
    </row>
    <row r="32" spans="1:20" s="208" customFormat="1" ht="10.15" customHeight="1" x14ac:dyDescent="0.35"/>
    <row r="33" spans="1:20" s="208" customFormat="1" ht="13" x14ac:dyDescent="0.35">
      <c r="A33" s="208" t="s">
        <v>779</v>
      </c>
      <c r="L33" s="208" t="str">
        <f>IF(studie!E589="J",studie!E590,"")</f>
        <v>laboratoriumvalidatie</v>
      </c>
    </row>
    <row r="34" spans="1:20" s="208" customFormat="1" ht="13" x14ac:dyDescent="0.35">
      <c r="A34" s="779" t="str">
        <f>IF(studie!E589="J",studie!B593,"Deze kenmerken werden niet bepaald.")</f>
        <v>Zie afzonderlijk proefverslag van extern laboratorium.</v>
      </c>
      <c r="L34" s="311"/>
      <c r="O34" s="311"/>
    </row>
    <row r="35" spans="1:20" s="208" customFormat="1" ht="13" x14ac:dyDescent="0.35">
      <c r="A35" s="208" t="str">
        <f>studie!B594</f>
        <v>Proefparameters (referentie volgens EN 13108-20 bijlage D):</v>
      </c>
      <c r="L35" s="311" t="str">
        <f>IF(studie!I594="","",studie!I594)</f>
        <v>D.5.4</v>
      </c>
    </row>
    <row r="36" spans="1:20" s="208" customFormat="1" ht="13" x14ac:dyDescent="0.35">
      <c r="A36" s="208" t="str">
        <f>studie!B595</f>
        <v>Mengtemperatuur:</v>
      </c>
      <c r="L36" s="311" t="str">
        <f>IF(studie!I595="","",studie!I595&amp;" °C")</f>
        <v>220 °C</v>
      </c>
    </row>
    <row r="37" spans="1:20" s="208" customFormat="1" ht="13" x14ac:dyDescent="0.35">
      <c r="A37" s="208" t="str">
        <f>studie!B596</f>
        <v>Proeftemperatuur:</v>
      </c>
      <c r="L37" s="311" t="str">
        <f>IF(studie!I596="","",studie!I596&amp;" °C")</f>
        <v>50 °C</v>
      </c>
    </row>
    <row r="38" spans="1:20" s="208" customFormat="1" ht="13" x14ac:dyDescent="0.35">
      <c r="A38" s="208" t="str">
        <f>studie!B597</f>
        <v>Toegepaste belasting:</v>
      </c>
      <c r="L38" s="311" t="str">
        <f>IF(studie!I597="","",studie!I597&amp;" N")</f>
        <v>875 N</v>
      </c>
    </row>
    <row r="39" spans="1:20" s="208" customFormat="1" ht="13" x14ac:dyDescent="0.35">
      <c r="A39" s="208" t="str">
        <f>studie!B598</f>
        <v>Verdeling Haversine:</v>
      </c>
      <c r="L39" s="2320" t="str">
        <f>IF(studie!G598="","",studie!G598)</f>
        <v/>
      </c>
      <c r="M39" s="2320"/>
      <c r="N39" s="2320"/>
      <c r="O39" s="2320"/>
      <c r="P39" s="2320"/>
      <c r="Q39" s="2320"/>
      <c r="R39" s="2320"/>
      <c r="S39" s="2320"/>
      <c r="T39" s="2320"/>
    </row>
    <row r="40" spans="1:20" s="208" customFormat="1" ht="13" x14ac:dyDescent="0.35">
      <c r="A40" s="208" t="str">
        <f>studie!B599</f>
        <v>Aantal cycli:</v>
      </c>
      <c r="L40" s="2320">
        <f>IF(studie!I599="","",studie!I599)</f>
        <v>5000</v>
      </c>
      <c r="M40" s="2320"/>
      <c r="N40" s="2320"/>
      <c r="O40" s="2320"/>
    </row>
    <row r="41" spans="1:20" s="208" customFormat="1" ht="7.15" customHeight="1" thickBot="1" x14ac:dyDescent="0.4"/>
    <row r="42" spans="1:20" s="318" customFormat="1" ht="12.75" customHeight="1" x14ac:dyDescent="0.3">
      <c r="A42" s="319" t="str">
        <f>IF(studie!I602="","",studie!B602)</f>
        <v>Gecumuleerde axiale vervorming na 2500 cycli:</v>
      </c>
      <c r="B42" s="320"/>
      <c r="C42" s="320"/>
      <c r="D42" s="320"/>
      <c r="E42" s="320"/>
      <c r="F42" s="850"/>
      <c r="G42" s="850"/>
      <c r="H42" s="320"/>
      <c r="I42" s="320"/>
      <c r="J42" s="322" t="str">
        <f>IF(studie!I602="","",studie!I602)&amp;" %"</f>
        <v>1 %</v>
      </c>
      <c r="K42" s="320"/>
      <c r="L42" s="320"/>
      <c r="M42" s="320"/>
      <c r="N42" s="320"/>
      <c r="O42" s="342"/>
    </row>
    <row r="43" spans="1:20" s="318" customFormat="1" ht="12.75" customHeight="1" x14ac:dyDescent="0.3">
      <c r="A43" s="324" t="str">
        <f>IF(studie!I603="","",studie!B603)</f>
        <v>Gecumuleerde axiale vervorming na 5000 cycli:</v>
      </c>
      <c r="F43" s="849"/>
      <c r="G43" s="849"/>
      <c r="J43" s="325" t="str">
        <f>IF(studie!I603="","",studie!I603)&amp;" %"</f>
        <v>2 %</v>
      </c>
      <c r="O43" s="337"/>
    </row>
    <row r="44" spans="1:20" s="318" customFormat="1" ht="12.75" customHeight="1" x14ac:dyDescent="0.3">
      <c r="A44" s="324" t="str">
        <f>IF(studie!I604="","",studie!B604)</f>
        <v>Vloeisnelheid:</v>
      </c>
      <c r="F44" s="849"/>
      <c r="G44" s="849"/>
      <c r="J44" s="325" t="str">
        <f>IF(studie!I604="","",studie!I604)&amp;" microvervorming/cyclus"</f>
        <v>3 microvervorming/cyclus</v>
      </c>
      <c r="O44" s="337"/>
    </row>
    <row r="45" spans="1:20" s="318" customFormat="1" ht="12.75" customHeight="1" x14ac:dyDescent="0.3">
      <c r="A45" s="324" t="str">
        <f>IF(studie!I605="","",studie!B605)</f>
        <v>Vloeimodulus:</v>
      </c>
      <c r="J45" s="325" t="str">
        <f>IF(studie!I605="","",studie!I605)&amp;" MPa"</f>
        <v>4 MPa</v>
      </c>
      <c r="O45" s="337"/>
    </row>
    <row r="46" spans="1:20" s="318" customFormat="1" ht="12.75" customHeight="1" x14ac:dyDescent="0.3">
      <c r="A46" s="328" t="str">
        <f>IF(studie!I606="","",studie!B606)</f>
        <v>Gemiddelde blijvende vervorming na 2500 cycli:</v>
      </c>
      <c r="B46" s="329"/>
      <c r="C46" s="329"/>
      <c r="D46" s="329"/>
      <c r="E46" s="329"/>
      <c r="F46" s="329"/>
      <c r="G46" s="329"/>
      <c r="H46" s="329"/>
      <c r="I46" s="329"/>
      <c r="J46" s="330" t="str">
        <f>IF(studie!I606="","",studie!I606)&amp;" %"</f>
        <v>5 %</v>
      </c>
      <c r="K46" s="329"/>
      <c r="L46" s="329"/>
      <c r="M46" s="329"/>
      <c r="N46" s="329"/>
      <c r="O46" s="336"/>
    </row>
    <row r="47" spans="1:20" s="318" customFormat="1" ht="12.75" customHeight="1" x14ac:dyDescent="0.3">
      <c r="A47" s="324" t="str">
        <f>IF(studie!I607="","",studie!B607)</f>
        <v>Gemiddelde blijvende vervorming na 5000 cycli:</v>
      </c>
      <c r="J47" s="325" t="str">
        <f>IF(studie!I607="","",studie!I607)&amp;" %"</f>
        <v>6 %</v>
      </c>
      <c r="O47" s="337"/>
    </row>
    <row r="48" spans="1:20" s="318" customFormat="1" ht="12.75" customHeight="1" x14ac:dyDescent="0.3">
      <c r="A48" s="324" t="str">
        <f>IF(studie!I608="","",studie!B608)</f>
        <v>Gemiddelde vloeisnelheid:</v>
      </c>
      <c r="J48" s="325" t="str">
        <f>IF(studie!I608="","",studie!I608)&amp;" microvervorming/cyclus"</f>
        <v>7 microvervorming/cyclus</v>
      </c>
      <c r="O48" s="337"/>
    </row>
    <row r="49" spans="1:20" s="318" customFormat="1" ht="12.75" customHeight="1" thickBot="1" x14ac:dyDescent="0.35">
      <c r="A49" s="338" t="str">
        <f>IF(studie!I609="","",studie!B609)</f>
        <v>Gemiddelde vloeimodulus:</v>
      </c>
      <c r="B49" s="339"/>
      <c r="C49" s="339"/>
      <c r="D49" s="339"/>
      <c r="E49" s="339"/>
      <c r="F49" s="339"/>
      <c r="G49" s="339"/>
      <c r="H49" s="339"/>
      <c r="I49" s="339"/>
      <c r="J49" s="340" t="str">
        <f>IF(studie!I609="","",studie!I609)&amp;" MPa"</f>
        <v>8 MPa</v>
      </c>
      <c r="K49" s="339"/>
      <c r="L49" s="339"/>
      <c r="M49" s="339"/>
      <c r="N49" s="339"/>
      <c r="O49" s="341"/>
    </row>
    <row r="50" spans="1:20" s="318" customFormat="1" ht="12.75" customHeight="1" x14ac:dyDescent="0.3"/>
    <row r="51" spans="1:20" ht="15" customHeight="1" x14ac:dyDescent="0.35">
      <c r="A51" s="736" t="s">
        <v>570</v>
      </c>
      <c r="B51" s="737"/>
      <c r="C51" s="737"/>
      <c r="D51" s="737"/>
      <c r="E51" s="737"/>
      <c r="F51" s="737"/>
      <c r="G51" s="737"/>
      <c r="H51" s="737"/>
      <c r="I51" s="737"/>
      <c r="J51" s="737"/>
      <c r="K51" s="737"/>
      <c r="L51" s="737"/>
      <c r="M51" s="737"/>
      <c r="N51" s="737"/>
      <c r="O51" s="737"/>
      <c r="P51" s="733" t="str">
        <f>'VN1'!$A$53</f>
        <v>801/64/</v>
      </c>
      <c r="Q51" s="732" t="str">
        <f>algemeen!$J$66</f>
        <v>2010/13RE-1234/0</v>
      </c>
      <c r="R51" s="542"/>
      <c r="S51" s="542"/>
      <c r="T51" s="543"/>
    </row>
    <row r="52" spans="1:20" s="208" customFormat="1" ht="10.15" customHeight="1" x14ac:dyDescent="0.35"/>
    <row r="53" spans="1:20" s="208" customFormat="1" ht="13" x14ac:dyDescent="0.35">
      <c r="A53" s="208" t="s">
        <v>779</v>
      </c>
      <c r="D53" s="779" t="str">
        <f>IF(studie!E614="J","","Dit kenmerk werd niet bepaald.")</f>
        <v/>
      </c>
      <c r="L53" s="208" t="str">
        <f>IF(studie!E614="J",studie!E615,"")</f>
        <v>laboratoriumvalidatie</v>
      </c>
    </row>
    <row r="54" spans="1:20" s="208" customFormat="1" ht="13" x14ac:dyDescent="0.35">
      <c r="A54" s="208" t="str">
        <f>studie!B618</f>
        <v>Toegepaste methode:</v>
      </c>
      <c r="L54" s="311" t="str">
        <f>IF(studie!E614="J",studie!F618,"")</f>
        <v>SB 250 v.2.2 H14 4.18</v>
      </c>
      <c r="O54" s="311"/>
    </row>
    <row r="55" spans="1:20" s="208" customFormat="1" ht="13" x14ac:dyDescent="0.35">
      <c r="A55" s="208" t="str">
        <f>studie!B619</f>
        <v>Beproevingstemperaturen:</v>
      </c>
      <c r="L55" s="311" t="str">
        <f>IF(studie!E614="J",studie!F619&amp;" °C","")</f>
        <v>-5, -10, -15, -20, -25, -30, -35 °C</v>
      </c>
    </row>
    <row r="56" spans="1:20" s="208" customFormat="1" ht="7.15" customHeight="1" thickBot="1" x14ac:dyDescent="0.4">
      <c r="L56" s="311"/>
    </row>
    <row r="57" spans="1:20" s="318" customFormat="1" ht="12.75" customHeight="1" thickBot="1" x14ac:dyDescent="0.35">
      <c r="A57" s="347" t="str">
        <f>IF(studie!I622="","",studie!B622)</f>
        <v>Laagste temperatuur zonder scheurvorming:</v>
      </c>
      <c r="B57" s="348"/>
      <c r="C57" s="348"/>
      <c r="D57" s="348"/>
      <c r="E57" s="348"/>
      <c r="F57" s="851"/>
      <c r="G57" s="851"/>
      <c r="H57" s="348"/>
      <c r="I57" s="348"/>
      <c r="J57" s="348"/>
      <c r="K57" s="348"/>
      <c r="L57" s="348">
        <f>IF(studie!E614="J",studie!I622,"")</f>
        <v>-35</v>
      </c>
      <c r="M57" s="348" t="str">
        <f>IF(studie!E614="J","°C","")</f>
        <v>°C</v>
      </c>
      <c r="N57" s="348"/>
      <c r="O57" s="349"/>
    </row>
    <row r="58" spans="1:20" s="318" customFormat="1" ht="12.75" customHeight="1" x14ac:dyDescent="0.3"/>
    <row r="59" spans="1:20" s="210" customFormat="1" ht="10.5" x14ac:dyDescent="0.35">
      <c r="A59" s="2277" t="str">
        <f>'VN1'!$A$53</f>
        <v>801/64/</v>
      </c>
      <c r="B59" s="2277"/>
      <c r="C59" s="267" t="str">
        <f>algemeen!$J$66</f>
        <v>2010/13RE-1234/0</v>
      </c>
      <c r="D59" s="267"/>
      <c r="E59" s="268"/>
      <c r="F59" s="268"/>
      <c r="G59" s="268"/>
      <c r="H59" s="268"/>
      <c r="I59" s="269" t="str">
        <f>"blz. "&amp;berekeningen!L3&amp;" /"</f>
        <v>blz. 16 /</v>
      </c>
      <c r="J59" s="267">
        <f>berekeningen!O$2</f>
        <v>19</v>
      </c>
      <c r="K59" s="268"/>
      <c r="L59" s="268"/>
      <c r="M59" s="268" t="s">
        <v>610</v>
      </c>
      <c r="N59" s="268"/>
      <c r="O59" s="268"/>
      <c r="P59" s="268"/>
      <c r="Q59" s="268"/>
      <c r="R59" s="268"/>
      <c r="S59" s="268"/>
      <c r="T59" s="268"/>
    </row>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tJ0BGX1t3kFOHPYpikqN2EIMoRztLzJDleWvI81/rHVYAQ1Tg9u6CesOuUeElp/3rkhAwb+yzHdiONc9PphXtA==" saltValue="6O/ZhkYdfs8XStRIajcq1A==" spinCount="100000" sheet="1" objects="1" scenarios="1"/>
  <mergeCells count="3">
    <mergeCell ref="A59:B59"/>
    <mergeCell ref="L40:O40"/>
    <mergeCell ref="L39:T39"/>
  </mergeCells>
  <pageMargins left="0.59055118110236227" right="0.19685039370078741" top="0.39370078740157483" bottom="0.59055118110236227"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574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L3" s="208" t="str">
        <f>studie!E628</f>
        <v>laboratoriumvalidatie</v>
      </c>
    </row>
    <row r="4" spans="1:20" s="208" customFormat="1" ht="12.75" customHeight="1" x14ac:dyDescent="0.35">
      <c r="A4" s="208" t="str">
        <f>studie!B631</f>
        <v>Toegepaste norm voor de bepaling van de affiniteit:</v>
      </c>
      <c r="L4" s="311" t="str">
        <f>studie!H631</f>
        <v>EN 12697-11</v>
      </c>
      <c r="O4" s="311"/>
    </row>
    <row r="5" spans="1:20" s="208" customFormat="1" ht="12.75" customHeight="1" x14ac:dyDescent="0.35">
      <c r="A5" s="208" t="str">
        <f>studie!B632</f>
        <v>Methode:</v>
      </c>
      <c r="L5" s="311" t="str">
        <f>studie!H632</f>
        <v>Kokend water</v>
      </c>
    </row>
    <row r="6" spans="1:20" s="208" customFormat="1" ht="12.75" customHeight="1" x14ac:dyDescent="0.35">
      <c r="A6" s="208" t="str">
        <f>studie!B633</f>
        <v>Type en korrelmaat aggregaten:</v>
      </c>
      <c r="L6" s="311" t="str">
        <f>studie!H633</f>
        <v>a</v>
      </c>
    </row>
    <row r="7" spans="1:20" s="208" customFormat="1" ht="12.75" customHeight="1" x14ac:dyDescent="0.35">
      <c r="A7" s="208" t="str">
        <f>studie!B634</f>
        <v>Type bindmiddel:</v>
      </c>
      <c r="L7" s="311" t="str">
        <f>studie!H634</f>
        <v>b</v>
      </c>
    </row>
    <row r="8" spans="1:20" s="208" customFormat="1" ht="12.75" customHeight="1" x14ac:dyDescent="0.35">
      <c r="A8" s="208" t="str">
        <f>studie!B635</f>
        <v>Type en hoeveelheid toevoegsel:</v>
      </c>
      <c r="L8" s="311" t="str">
        <f>studie!H635</f>
        <v>c</v>
      </c>
    </row>
    <row r="9" spans="1:20" s="208" customFormat="1" ht="12.75" customHeight="1" x14ac:dyDescent="0.35">
      <c r="A9" s="208" t="str">
        <f>studie!B636</f>
        <v>Type anti-stripping middel:</v>
      </c>
      <c r="L9" s="311" t="str">
        <f>studie!H636</f>
        <v>d</v>
      </c>
    </row>
    <row r="10" spans="1:20" s="208" customFormat="1" ht="12.75" customHeight="1" thickBot="1" x14ac:dyDescent="0.4"/>
    <row r="11" spans="1:20" s="208" customFormat="1" ht="12.75" customHeight="1" x14ac:dyDescent="0.35">
      <c r="A11" s="548"/>
      <c r="B11" s="549"/>
      <c r="C11" s="549"/>
      <c r="D11" s="610" t="str">
        <f>studie!D639</f>
        <v>Aantal niet volledig</v>
      </c>
      <c r="E11" s="245"/>
      <c r="F11" s="245"/>
      <c r="G11" s="245"/>
      <c r="H11" s="797"/>
      <c r="I11" s="245" t="str">
        <f>studie!G639</f>
        <v xml:space="preserve">Gemiddelde </v>
      </c>
      <c r="J11" s="245"/>
      <c r="K11" s="245"/>
      <c r="L11" s="245"/>
      <c r="M11" s="245"/>
      <c r="N11" s="246"/>
    </row>
    <row r="12" spans="1:20" s="208" customFormat="1" ht="12.75" customHeight="1" x14ac:dyDescent="0.35">
      <c r="A12" s="551"/>
      <c r="B12" s="552"/>
      <c r="C12" s="552"/>
      <c r="D12" s="612" t="str">
        <f>studie!D640</f>
        <v>omhulde aggregaten</v>
      </c>
      <c r="E12" s="248"/>
      <c r="F12" s="248"/>
      <c r="G12" s="248"/>
      <c r="H12" s="705"/>
      <c r="I12" s="248" t="str">
        <f>studie!G640</f>
        <v>bindmiddeldekkingsgraad (%)</v>
      </c>
      <c r="J12" s="248"/>
      <c r="K12" s="248"/>
      <c r="L12" s="248"/>
      <c r="M12" s="248"/>
      <c r="N12" s="249"/>
    </row>
    <row r="13" spans="1:20" s="208" customFormat="1" ht="12.75" customHeight="1" x14ac:dyDescent="0.35">
      <c r="A13" s="920" t="str">
        <f>studie!B641</f>
        <v>Test 1</v>
      </c>
      <c r="B13" s="630"/>
      <c r="C13" s="630"/>
      <c r="D13" s="662">
        <f>IF(studie!D641="","",studie!D641)</f>
        <v>1</v>
      </c>
      <c r="E13" s="630"/>
      <c r="F13" s="630"/>
      <c r="G13" s="630"/>
      <c r="H13" s="830"/>
      <c r="I13" s="630">
        <f>IF(studie!G641="","",studie!G641)</f>
        <v>100</v>
      </c>
      <c r="J13" s="630"/>
      <c r="K13" s="630"/>
      <c r="L13" s="630"/>
      <c r="M13" s="630"/>
      <c r="N13" s="855"/>
      <c r="O13" s="922"/>
      <c r="P13" s="922"/>
      <c r="Q13" s="922"/>
      <c r="R13" s="922"/>
      <c r="S13" s="922"/>
    </row>
    <row r="14" spans="1:20" s="208" customFormat="1" ht="12.75" customHeight="1" x14ac:dyDescent="0.35">
      <c r="A14" s="292" t="str">
        <f>studie!B642</f>
        <v>Test 2</v>
      </c>
      <c r="B14" s="633"/>
      <c r="C14" s="633"/>
      <c r="D14" s="634">
        <f>IF(studie!D642="","",studie!D642)</f>
        <v>2</v>
      </c>
      <c r="E14" s="633"/>
      <c r="F14" s="633"/>
      <c r="G14" s="633"/>
      <c r="H14" s="780"/>
      <c r="I14" s="633">
        <f>IF(studie!G642="","",studie!G642)</f>
        <v>95</v>
      </c>
      <c r="J14" s="633"/>
      <c r="K14" s="633"/>
      <c r="L14" s="633"/>
      <c r="M14" s="633"/>
      <c r="N14" s="762"/>
      <c r="O14" s="922"/>
      <c r="P14" s="922"/>
      <c r="Q14" s="922"/>
      <c r="R14" s="922"/>
      <c r="S14" s="922"/>
    </row>
    <row r="15" spans="1:20" s="208" customFormat="1" ht="12.75" customHeight="1" x14ac:dyDescent="0.35">
      <c r="A15" s="292" t="str">
        <f>studie!B643</f>
        <v>Test 3</v>
      </c>
      <c r="B15" s="633"/>
      <c r="C15" s="633"/>
      <c r="D15" s="634">
        <f>IF(studie!D643="","",studie!D643)</f>
        <v>3</v>
      </c>
      <c r="E15" s="633"/>
      <c r="F15" s="633"/>
      <c r="G15" s="633"/>
      <c r="H15" s="780"/>
      <c r="I15" s="633">
        <f>IF(studie!G643="","",studie!G643)</f>
        <v>90</v>
      </c>
      <c r="J15" s="633"/>
      <c r="K15" s="633"/>
      <c r="L15" s="633"/>
      <c r="M15" s="633"/>
      <c r="N15" s="762"/>
      <c r="O15" s="922"/>
      <c r="P15" s="922"/>
      <c r="Q15" s="922"/>
      <c r="R15" s="922"/>
      <c r="S15" s="922"/>
    </row>
    <row r="16" spans="1:20" s="208" customFormat="1" ht="12.75" customHeight="1" x14ac:dyDescent="0.35">
      <c r="A16" s="918" t="str">
        <f>studie!B644</f>
        <v>Test 4</v>
      </c>
      <c r="B16" s="681"/>
      <c r="C16" s="681"/>
      <c r="D16" s="660">
        <f>IF(studie!D644="","",studie!D644)</f>
        <v>4</v>
      </c>
      <c r="E16" s="681"/>
      <c r="F16" s="681"/>
      <c r="G16" s="681"/>
      <c r="H16" s="781"/>
      <c r="I16" s="681">
        <f>IF(studie!G644="","",studie!G644)</f>
        <v>85</v>
      </c>
      <c r="J16" s="681"/>
      <c r="K16" s="681"/>
      <c r="L16" s="681"/>
      <c r="M16" s="681"/>
      <c r="N16" s="763"/>
      <c r="O16" s="922"/>
      <c r="P16" s="922"/>
      <c r="Q16" s="922"/>
      <c r="R16" s="922"/>
      <c r="S16" s="922"/>
    </row>
    <row r="17" spans="1:14" s="208" customFormat="1" ht="12.75" customHeight="1" thickBot="1" x14ac:dyDescent="0.4">
      <c r="A17" s="919" t="str">
        <f>studie!B645</f>
        <v>Gemiddelde</v>
      </c>
      <c r="B17" s="586"/>
      <c r="C17" s="586"/>
      <c r="D17" s="831">
        <f>IF(studie!D645="","",studie!D645)</f>
        <v>2.5</v>
      </c>
      <c r="E17" s="683"/>
      <c r="F17" s="683"/>
      <c r="G17" s="683"/>
      <c r="H17" s="783"/>
      <c r="I17" s="921">
        <f>IF(studie!G645="","",studie!G645)</f>
        <v>92.5</v>
      </c>
      <c r="J17" s="683"/>
      <c r="K17" s="683"/>
      <c r="L17" s="683"/>
      <c r="M17" s="683"/>
      <c r="N17" s="765"/>
    </row>
    <row r="18" spans="1:14" ht="12.75" customHeight="1" x14ac:dyDescent="0.35">
      <c r="A18" s="1096" t="str">
        <f>IF(studie!D646="","",studie!B646)</f>
        <v>Bemerkingen:</v>
      </c>
      <c r="F18" s="311" t="str">
        <f>IF(studie!D646="","",studie!D646)</f>
        <v>opmerking</v>
      </c>
    </row>
    <row r="19" spans="1:14" ht="12.75" customHeight="1" x14ac:dyDescent="0.35">
      <c r="A19" s="311" t="str">
        <f>IF(studie!D647="","",studie!B647)</f>
        <v>Aantal laboranten:</v>
      </c>
      <c r="F19" s="311">
        <f>IF(studie!D647="","",studie!D647)</f>
        <v>1</v>
      </c>
    </row>
    <row r="20" spans="1:14" ht="12.75" customHeight="1" x14ac:dyDescent="0.35"/>
    <row r="21" spans="1:14" ht="12.75" customHeight="1" x14ac:dyDescent="0.35"/>
    <row r="22" spans="1:14" ht="12.75" customHeight="1" x14ac:dyDescent="0.35"/>
    <row r="23" spans="1:14" ht="12.75" customHeight="1" x14ac:dyDescent="0.35"/>
    <row r="24" spans="1:14" ht="12.75" customHeight="1" x14ac:dyDescent="0.35">
      <c r="C24" s="1445" t="str">
        <f>IF(studie!E627="J","","PROEF NIET UITGEVOERD !")</f>
        <v/>
      </c>
    </row>
    <row r="25" spans="1:14" ht="12.75" customHeight="1" x14ac:dyDescent="0.35"/>
    <row r="26" spans="1:14" ht="12.75" customHeight="1" x14ac:dyDescent="0.35"/>
    <row r="27" spans="1:14" ht="12.75" customHeight="1" x14ac:dyDescent="0.35"/>
    <row r="28" spans="1:14" ht="12.75" customHeight="1" x14ac:dyDescent="0.35"/>
    <row r="29" spans="1:14" ht="12.75" customHeight="1" x14ac:dyDescent="0.35"/>
    <row r="30" spans="1:14" ht="12.75" customHeight="1" x14ac:dyDescent="0.35"/>
    <row r="31" spans="1:14" ht="12.75" customHeight="1" x14ac:dyDescent="0.35"/>
    <row r="32" spans="1:14"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spans="1:20" ht="12.75" customHeight="1" x14ac:dyDescent="0.35"/>
    <row r="50" spans="1:20" ht="12.75" customHeight="1" x14ac:dyDescent="0.35"/>
    <row r="51" spans="1:20" ht="12.75" customHeight="1" x14ac:dyDescent="0.35"/>
    <row r="52" spans="1:20" ht="12.75" customHeight="1" x14ac:dyDescent="0.35"/>
    <row r="53" spans="1:20" ht="12.75" customHeight="1" x14ac:dyDescent="0.35"/>
    <row r="54" spans="1:20" ht="12.75" customHeight="1" x14ac:dyDescent="0.35"/>
    <row r="55" spans="1:20" ht="12.75" customHeight="1" x14ac:dyDescent="0.35"/>
    <row r="56" spans="1:20" ht="12.75" customHeight="1" x14ac:dyDescent="0.35"/>
    <row r="57" spans="1:20" ht="12.75" customHeight="1" x14ac:dyDescent="0.35"/>
    <row r="58" spans="1:20" s="210" customFormat="1" ht="10.5" x14ac:dyDescent="0.35">
      <c r="A58" s="2277" t="str">
        <f>'VN1'!$A$53</f>
        <v>801/64/</v>
      </c>
      <c r="B58" s="2277"/>
      <c r="C58" s="267" t="str">
        <f>algemeen!$J$66</f>
        <v>2010/13RE-1234/0</v>
      </c>
      <c r="D58" s="267"/>
      <c r="E58" s="268"/>
      <c r="F58" s="268"/>
      <c r="G58" s="268"/>
      <c r="H58" s="268"/>
      <c r="I58" s="269" t="str">
        <f>"blz. "&amp;berekeningen!M3&amp;" /"</f>
        <v>blz. 17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jJjz0+LW4xGOwcOdYqFr6geYnc8Fy0NnZ48937zB5aT5m41wjK3R7ZlqB0nugGvbYCyZr9L8CtFvcHXe1OOsxg==" saltValue="0q7wmu7VNK1JDi17KY0jAA==" spinCount="100000" sheet="1" objects="1" scenarios="1"/>
  <mergeCells count="1">
    <mergeCell ref="A58:B58"/>
  </mergeCells>
  <pageMargins left="0.59055118110236227" right="0.19685039370078741" top="0.59055118110236227" bottom="0.59055118110236227"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sheetPr>
  <dimension ref="A1:T119"/>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708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studie!E656</f>
        <v>laboratoriumvalidatie</v>
      </c>
    </row>
    <row r="4" spans="1:20" s="208" customFormat="1" ht="13" x14ac:dyDescent="0.35">
      <c r="A4" s="208" t="str">
        <f>studie!B659</f>
        <v>Toegepaste methode voor de verdichting van de proefstukken (volgens EN 13108-20):</v>
      </c>
      <c r="P4" s="208" t="str">
        <f>studie!L659</f>
        <v>C.1.7</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t="str">
        <f>A61</f>
        <v/>
      </c>
      <c r="B10" s="1081" t="str">
        <f>C61</f>
        <v/>
      </c>
      <c r="C10" s="623" t="str">
        <f>IF($B10="","",VLOOKUP($B10,studie!$B$38:$Y$127,5,FALSE))</f>
        <v/>
      </c>
      <c r="D10" s="622" t="str">
        <f>IF($B10="","",VLOOKUP($B10,studie!$B$38:$Y$127,6,FALSE))</f>
        <v/>
      </c>
      <c r="E10" s="622" t="str">
        <f>IF($B10="","",VLOOKUP($B10,studie!$B$38:$Y$127,7,FALSE))</f>
        <v/>
      </c>
      <c r="F10" s="622" t="str">
        <f>IF($B10="","",VLOOKUP($B10,studie!$B$38:$Y$127,8,FALSE))</f>
        <v/>
      </c>
      <c r="G10" s="621" t="str">
        <f>IF($B10="","",VLOOKUP($B10,studie!$B$38:$Y$127,9,FALSE))</f>
        <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t="str">
        <f>IF($B10="","",VLOOKUP($B10,studie!$B$38:$Y$127,17,FALSE))</f>
        <v/>
      </c>
      <c r="P10" s="621"/>
      <c r="Q10" s="1735" t="str">
        <f>IF($B10="","",VLOOKUP($B10,studie!$B$38:$Y$127,21,FALSE))</f>
        <v/>
      </c>
      <c r="R10" s="1751"/>
      <c r="S10" s="1740" t="str">
        <f>IF($B10="","",VLOOKUP($B10,studie!$B$38:$Y$127,23,FALSE))</f>
        <v/>
      </c>
      <c r="T10" s="1752"/>
    </row>
    <row r="11" spans="1:20" s="208" customFormat="1" ht="12.75" customHeight="1" x14ac:dyDescent="0.35">
      <c r="A11" s="1007"/>
      <c r="B11" s="1082" t="str">
        <f t="shared" ref="B11:B23" si="0">C62</f>
        <v>A2</v>
      </c>
      <c r="C11" s="620">
        <f>IF($B11="","",VLOOKUP($B11,studie!$B$38:$Y$127,5,FALSE))</f>
        <v>64</v>
      </c>
      <c r="D11" s="619">
        <f>IF($B11="","",VLOOKUP($B11,studie!$B$38:$Y$127,6,FALSE))</f>
        <v>0</v>
      </c>
      <c r="E11" s="619">
        <f>IF($B11="","",VLOOKUP($B11,studie!$B$38:$Y$127,7,FALSE))</f>
        <v>0</v>
      </c>
      <c r="F11" s="619">
        <f>IF($B11="","",VLOOKUP($B11,studie!$B$38:$Y$127,8,FALSE))</f>
        <v>0</v>
      </c>
      <c r="G11" s="618">
        <f>IF($B11="","",VLOOKUP($B11,studie!$B$38:$Y$127,9,FALSE))</f>
        <v>64</v>
      </c>
      <c r="H11" s="620">
        <f>IF($B11="","",IF(VLOOKUP($B11,studie!$B$38:$Y$127,10,FALSE)="","",VLOOKUP($B11,studie!$B$38:$Y$127,10,FALSE)))</f>
        <v>102</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f>IF($B11="","",IF(VLOOKUP($B11,studie!$B$38:$Y$127,16,FALSE)="","",VLOOKUP($B11,studie!$B$38:$Y$127,16,FALSE)))</f>
        <v>102</v>
      </c>
      <c r="O11" s="620">
        <f>IF($B11="","",VLOOKUP($B11,studie!$B$38:$Y$127,17,FALSE))</f>
        <v>0</v>
      </c>
      <c r="P11" s="618"/>
      <c r="Q11" s="1734">
        <f>IF($B11="","",VLOOKUP($B11,studie!$B$38:$Y$127,21,FALSE))</f>
        <v>171</v>
      </c>
      <c r="R11" s="1771"/>
      <c r="S11" s="1737">
        <f>IF($B11="","",VLOOKUP($B11,studie!$B$38:$Y$127,23,FALSE))</f>
        <v>141</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A4</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f>IF($B13="","",IF(VLOOKUP($B13,studie!$B$38:$Y$127,10,FALSE)="","",VLOOKUP($B13,studie!$B$38:$Y$127,10,FALSE)))</f>
        <v>104</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f>IF($B13="","",IF(VLOOKUP($B13,studie!$B$38:$Y$127,16,FALSE)="","",VLOOKUP($B13,studie!$B$38:$Y$127,16,FALSE)))</f>
        <v>104</v>
      </c>
      <c r="O13" s="620">
        <f>IF($B13="","",VLOOKUP($B13,studie!$B$38:$Y$127,17,FALSE))</f>
        <v>101.6</v>
      </c>
      <c r="P13" s="618"/>
      <c r="Q13" s="1734">
        <f>IF($B13="","",VLOOKUP($B13,studie!$B$38:$Y$127,21,FALSE))</f>
        <v>173</v>
      </c>
      <c r="R13" s="1771"/>
      <c r="S13" s="1737">
        <f>IF($B13="","",VLOOKUP($B13,studie!$B$38:$Y$127,23,FALSE))</f>
        <v>143</v>
      </c>
      <c r="T13" s="1772"/>
    </row>
    <row r="14" spans="1:20" s="208" customFormat="1" ht="12.75" customHeight="1" x14ac:dyDescent="0.35">
      <c r="A14" s="1007"/>
      <c r="B14" s="1020"/>
      <c r="C14" s="1021"/>
      <c r="D14" s="1022"/>
      <c r="E14" s="1022"/>
      <c r="F14" s="1022"/>
      <c r="G14" s="1031">
        <f>IF(SUM(G10:G13)=0,"",AVERAGE(G10:G13))</f>
        <v>63</v>
      </c>
      <c r="H14" s="1021"/>
      <c r="I14" s="1022"/>
      <c r="J14" s="1022"/>
      <c r="K14" s="1022"/>
      <c r="L14" s="1022"/>
      <c r="M14" s="1022"/>
      <c r="N14" s="1023">
        <f>IF(SUM(N10:N13)=0,"",AVERAGE(N10:N13))</f>
        <v>103</v>
      </c>
      <c r="O14" s="1021">
        <f>IF(SUM(O10:O13)=0,"",AVERAGE(O10:O13))</f>
        <v>67.733333333333334</v>
      </c>
      <c r="P14" s="1023"/>
      <c r="Q14" s="1747"/>
      <c r="R14" s="1748"/>
      <c r="S14" s="1749"/>
      <c r="T14" s="1750"/>
    </row>
    <row r="15" spans="1:20" s="208" customFormat="1" ht="12.75" customHeight="1" x14ac:dyDescent="0.35">
      <c r="A15" s="1895">
        <f>A66</f>
        <v>3.85</v>
      </c>
      <c r="B15" s="1081" t="str">
        <f t="shared" si="0"/>
        <v>B1</v>
      </c>
      <c r="C15" s="623">
        <f>IF($B15="","",VLOOKUP($B15,studie!$B$38:$Y$127,5,FALSE))</f>
        <v>75</v>
      </c>
      <c r="D15" s="622">
        <f>IF($B15="","",VLOOKUP($B15,studie!$B$38:$Y$127,6,FALSE))</f>
        <v>0</v>
      </c>
      <c r="E15" s="622">
        <f>IF($B15="","",VLOOKUP($B15,studie!$B$38:$Y$127,7,FALSE))</f>
        <v>0</v>
      </c>
      <c r="F15" s="622">
        <f>IF($B15="","",VLOOKUP($B15,studie!$B$38:$Y$127,8,FALSE))</f>
        <v>0</v>
      </c>
      <c r="G15" s="621">
        <f>IF($B15="","",VLOOKUP($B15,studie!$B$38:$Y$127,9,FALSE))</f>
        <v>75</v>
      </c>
      <c r="H15" s="623">
        <f>IF($B15="","",IF(VLOOKUP($B15,studie!$B$38:$Y$127,10,FALSE)="","",VLOOKUP($B15,studie!$B$38:$Y$127,10,FALSE)))</f>
        <v>101.1</v>
      </c>
      <c r="I15" s="622" t="str">
        <f>IF($B15="","",IF(VLOOKUP($B15,studie!$B$38:$Y$127,11,FALSE)="","",VLOOKUP($B15,studie!$B$38:$Y$127,11,FALSE)))</f>
        <v/>
      </c>
      <c r="J15" s="622" t="str">
        <f>IF($B15="","",IF(VLOOKUP($B15,studie!$B$38:$Y$127,12,FALSE)="","",VLOOKUP($B15,studie!$B$38:$Y$127,12,FALSE)))</f>
        <v/>
      </c>
      <c r="K15" s="622" t="str">
        <f>IF($B15="","",IF(VLOOKUP($B15,studie!$B$38:$Y$127,13,FALSE)="","",VLOOKUP($B15,studie!$B$38:$Y$127,13,FALSE)))</f>
        <v/>
      </c>
      <c r="L15" s="622" t="str">
        <f>IF($B15="","",IF(VLOOKUP($B15,studie!$B$38:$Y$127,14,FALSE)="","",VLOOKUP($B15,studie!$B$38:$Y$127,14,FALSE)))</f>
        <v/>
      </c>
      <c r="M15" s="622" t="str">
        <f>IF($B15="","",IF(VLOOKUP($B15,studie!$B$38:$Y$127,15,FALSE)="","",VLOOKUP($B15,studie!$B$38:$Y$127,15,FALSE)))</f>
        <v/>
      </c>
      <c r="N15" s="621">
        <f>IF($B15="","",IF(VLOOKUP($B15,studie!$B$38:$Y$127,16,FALSE)="","",VLOOKUP($B15,studie!$B$38:$Y$127,16,FALSE)))</f>
        <v>101.1</v>
      </c>
      <c r="O15" s="623">
        <f>IF($B15="","",VLOOKUP($B15,studie!$B$38:$Y$127,17,FALSE))</f>
        <v>101.6</v>
      </c>
      <c r="P15" s="621"/>
      <c r="Q15" s="1735">
        <f>IF($B15="","",VLOOKUP($B15,studie!$B$38:$Y$127,21,FALSE))</f>
        <v>180</v>
      </c>
      <c r="R15" s="1751"/>
      <c r="S15" s="1740">
        <f>IF($B15="","",VLOOKUP($B15,studie!$B$38:$Y$127,23,FALSE))</f>
        <v>150</v>
      </c>
      <c r="T15" s="1752"/>
    </row>
    <row r="16" spans="1:20" s="208" customFormat="1" ht="12.75" customHeight="1" x14ac:dyDescent="0.35">
      <c r="A16" s="1007"/>
      <c r="B16" s="1082" t="str">
        <f t="shared" si="0"/>
        <v>B2</v>
      </c>
      <c r="C16" s="620">
        <f>IF($B16="","",VLOOKUP($B16,studie!$B$38:$Y$127,5,FALSE))</f>
        <v>74</v>
      </c>
      <c r="D16" s="619">
        <f>IF($B16="","",VLOOKUP($B16,studie!$B$38:$Y$127,6,FALSE))</f>
        <v>0</v>
      </c>
      <c r="E16" s="619">
        <f>IF($B16="","",VLOOKUP($B16,studie!$B$38:$Y$127,7,FALSE))</f>
        <v>0</v>
      </c>
      <c r="F16" s="619">
        <f>IF($B16="","",VLOOKUP($B16,studie!$B$38:$Y$127,8,FALSE))</f>
        <v>0</v>
      </c>
      <c r="G16" s="618">
        <f>IF($B16="","",VLOOKUP($B16,studie!$B$38:$Y$127,9,FALSE))</f>
        <v>74</v>
      </c>
      <c r="H16" s="620">
        <f>IF($B16="","",IF(VLOOKUP($B16,studie!$B$38:$Y$127,10,FALSE)="","",VLOOKUP($B16,studie!$B$38:$Y$127,10,FALSE)))</f>
        <v>101.2</v>
      </c>
      <c r="I16" s="619" t="str">
        <f>IF($B16="","",IF(VLOOKUP($B16,studie!$B$38:$Y$127,11,FALSE)="","",VLOOKUP($B16,studie!$B$38:$Y$127,11,FALSE)))</f>
        <v/>
      </c>
      <c r="J16" s="619" t="str">
        <f>IF($B16="","",IF(VLOOKUP($B16,studie!$B$38:$Y$127,12,FALSE)="","",VLOOKUP($B16,studie!$B$38:$Y$127,12,FALSE)))</f>
        <v/>
      </c>
      <c r="K16" s="619" t="str">
        <f>IF($B16="","",IF(VLOOKUP($B16,studie!$B$38:$Y$127,13,FALSE)="","",VLOOKUP($B16,studie!$B$38:$Y$127,13,FALSE)))</f>
        <v/>
      </c>
      <c r="L16" s="619" t="str">
        <f>IF($B16="","",IF(VLOOKUP($B16,studie!$B$38:$Y$127,14,FALSE)="","",VLOOKUP($B16,studie!$B$38:$Y$127,14,FALSE)))</f>
        <v/>
      </c>
      <c r="M16" s="619" t="str">
        <f>IF($B16="","",IF(VLOOKUP($B16,studie!$B$38:$Y$127,15,FALSE)="","",VLOOKUP($B16,studie!$B$38:$Y$127,15,FALSE)))</f>
        <v/>
      </c>
      <c r="N16" s="618">
        <f>IF($B16="","",IF(VLOOKUP($B16,studie!$B$38:$Y$127,16,FALSE)="","",VLOOKUP($B16,studie!$B$38:$Y$127,16,FALSE)))</f>
        <v>101.2</v>
      </c>
      <c r="O16" s="620">
        <f>IF($B16="","",VLOOKUP($B16,studie!$B$38:$Y$127,17,FALSE))</f>
        <v>101.6</v>
      </c>
      <c r="P16" s="618"/>
      <c r="Q16" s="1734">
        <f>IF($B16="","",VLOOKUP($B16,studie!$B$38:$Y$127,21,FALSE))</f>
        <v>181</v>
      </c>
      <c r="R16" s="1771"/>
      <c r="S16" s="1737">
        <f>IF($B16="","",VLOOKUP($B16,studie!$B$38:$Y$127,23,FALSE))</f>
        <v>151</v>
      </c>
      <c r="T16" s="1772"/>
    </row>
    <row r="17" spans="1:20" s="208" customFormat="1" ht="12.75" customHeight="1" x14ac:dyDescent="0.35">
      <c r="A17" s="1007"/>
      <c r="B17" s="1082" t="str">
        <f t="shared" si="0"/>
        <v>B3</v>
      </c>
      <c r="C17" s="620">
        <f>IF($B17="","",VLOOKUP($B17,studie!$B$38:$Y$127,5,FALSE))</f>
        <v>73</v>
      </c>
      <c r="D17" s="619">
        <f>IF($B17="","",VLOOKUP($B17,studie!$B$38:$Y$127,6,FALSE))</f>
        <v>0</v>
      </c>
      <c r="E17" s="619">
        <f>IF($B17="","",VLOOKUP($B17,studie!$B$38:$Y$127,7,FALSE))</f>
        <v>0</v>
      </c>
      <c r="F17" s="619">
        <f>IF($B17="","",VLOOKUP($B17,studie!$B$38:$Y$127,8,FALSE))</f>
        <v>0</v>
      </c>
      <c r="G17" s="618">
        <f>IF($B17="","",VLOOKUP($B17,studie!$B$38:$Y$127,9,FALSE))</f>
        <v>73</v>
      </c>
      <c r="H17" s="620">
        <f>IF($B17="","",IF(VLOOKUP($B17,studie!$B$38:$Y$127,10,FALSE)="","",VLOOKUP($B17,studie!$B$38:$Y$127,10,FALSE)))</f>
        <v>101.3</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101.3</v>
      </c>
      <c r="O17" s="620">
        <f>IF($B17="","",VLOOKUP($B17,studie!$B$38:$Y$127,17,FALSE))</f>
        <v>101.6</v>
      </c>
      <c r="P17" s="618"/>
      <c r="Q17" s="1734">
        <f>IF($B17="","",VLOOKUP($B17,studie!$B$38:$Y$127,21,FALSE))</f>
        <v>182</v>
      </c>
      <c r="R17" s="1771"/>
      <c r="S17" s="1737">
        <f>IF($B17="","",VLOOKUP($B17,studie!$B$38:$Y$127,23,FALSE))</f>
        <v>152</v>
      </c>
      <c r="T17" s="1772"/>
    </row>
    <row r="18" spans="1:20" s="208" customFormat="1" ht="12.75" customHeight="1" x14ac:dyDescent="0.35">
      <c r="A18" s="1007"/>
      <c r="B18" s="1082" t="str">
        <f t="shared" si="0"/>
        <v>B4</v>
      </c>
      <c r="C18" s="620">
        <f>IF($B18="","",VLOOKUP($B18,studie!$B$38:$Y$127,5,FALSE))</f>
        <v>72</v>
      </c>
      <c r="D18" s="619">
        <f>IF($B18="","",VLOOKUP($B18,studie!$B$38:$Y$127,6,FALSE))</f>
        <v>0</v>
      </c>
      <c r="E18" s="619">
        <f>IF($B18="","",VLOOKUP($B18,studie!$B$38:$Y$127,7,FALSE))</f>
        <v>0</v>
      </c>
      <c r="F18" s="619">
        <f>IF($B18="","",VLOOKUP($B18,studie!$B$38:$Y$127,8,FALSE))</f>
        <v>0</v>
      </c>
      <c r="G18" s="618">
        <f>IF($B18="","",VLOOKUP($B18,studie!$B$38:$Y$127,9,FALSE))</f>
        <v>72</v>
      </c>
      <c r="H18" s="620">
        <f>IF($B18="","",IF(VLOOKUP($B18,studie!$B$38:$Y$127,10,FALSE)="","",VLOOKUP($B18,studie!$B$38:$Y$127,10,FALSE)))</f>
        <v>101.4</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101.4</v>
      </c>
      <c r="O18" s="620">
        <f>IF($B18="","",VLOOKUP($B18,studie!$B$38:$Y$127,17,FALSE))</f>
        <v>101.6</v>
      </c>
      <c r="P18" s="618"/>
      <c r="Q18" s="1734">
        <f>IF($B18="","",VLOOKUP($B18,studie!$B$38:$Y$127,21,FALSE))</f>
        <v>183</v>
      </c>
      <c r="R18" s="1771"/>
      <c r="S18" s="1737">
        <f>IF($B18="","",VLOOKUP($B18,studie!$B$38:$Y$127,23,FALSE))</f>
        <v>153</v>
      </c>
      <c r="T18" s="1772"/>
    </row>
    <row r="19" spans="1:20" s="208" customFormat="1" ht="12.75" customHeight="1" x14ac:dyDescent="0.35">
      <c r="A19" s="1008"/>
      <c r="B19" s="1025"/>
      <c r="C19" s="1021"/>
      <c r="D19" s="1022"/>
      <c r="E19" s="1022"/>
      <c r="F19" s="1022"/>
      <c r="G19" s="1023">
        <f>IF(SUM(G15:G18)=0,"",AVERAGE(G15:G18))</f>
        <v>73.5</v>
      </c>
      <c r="H19" s="1032"/>
      <c r="I19" s="1022"/>
      <c r="J19" s="1022"/>
      <c r="K19" s="1022"/>
      <c r="L19" s="1022"/>
      <c r="M19" s="1022"/>
      <c r="N19" s="1023">
        <f>IF(SUM(N15:N18)=0,"",AVERAGE(N15:N18))</f>
        <v>101.25</v>
      </c>
      <c r="O19" s="1021">
        <f>IF(SUM(O15:O18)=0,"",AVERAGE(O15:O18))</f>
        <v>101.6</v>
      </c>
      <c r="P19" s="1023"/>
      <c r="Q19" s="1747"/>
      <c r="R19" s="1748"/>
      <c r="S19" s="1749"/>
      <c r="T19" s="1750"/>
    </row>
    <row r="20" spans="1:20" s="208" customFormat="1" ht="12.75" customHeight="1" x14ac:dyDescent="0.35">
      <c r="A20" s="1896">
        <f>A71</f>
        <v>4.1500000000000004</v>
      </c>
      <c r="B20" s="1081" t="str">
        <f t="shared" si="0"/>
        <v>C1</v>
      </c>
      <c r="C20" s="623">
        <f>IF($B20="","",VLOOKUP($B20,studie!$B$38:$Y$127,5,FALSE))</f>
        <v>85</v>
      </c>
      <c r="D20" s="622">
        <f>IF($B20="","",VLOOKUP($B20,studie!$B$38:$Y$127,6,FALSE))</f>
        <v>0</v>
      </c>
      <c r="E20" s="622">
        <f>IF($B20="","",VLOOKUP($B20,studie!$B$38:$Y$127,7,FALSE))</f>
        <v>0</v>
      </c>
      <c r="F20" s="622">
        <f>IF($B20="","",VLOOKUP($B20,studie!$B$38:$Y$127,8,FALSE))</f>
        <v>0</v>
      </c>
      <c r="G20" s="621">
        <f>IF($B20="","",VLOOKUP($B20,studie!$B$38:$Y$127,9,FALSE))</f>
        <v>85</v>
      </c>
      <c r="H20" s="623">
        <f>IF($B20="","",IF(VLOOKUP($B20,studie!$B$38:$Y$127,10,FALSE)="","",VLOOKUP($B20,studie!$B$38:$Y$127,10,FALSE)))</f>
        <v>102.1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102.1</v>
      </c>
      <c r="O20" s="623">
        <f>IF($B20="","",VLOOKUP($B20,studie!$B$38:$Y$127,17,FALSE))</f>
        <v>101.6</v>
      </c>
      <c r="P20" s="621"/>
      <c r="Q20" s="1735">
        <f>IF($B20="","",VLOOKUP($B20,studie!$B$38:$Y$127,21,FALSE))</f>
        <v>190</v>
      </c>
      <c r="R20" s="1751"/>
      <c r="S20" s="1740">
        <f>IF($B20="","",VLOOKUP($B20,studie!$B$38:$Y$127,23,FALSE))</f>
        <v>160</v>
      </c>
      <c r="T20" s="1752"/>
    </row>
    <row r="21" spans="1:20" s="208" customFormat="1" ht="12.75" customHeight="1" x14ac:dyDescent="0.35">
      <c r="A21" s="1007"/>
      <c r="B21" s="1082" t="str">
        <f t="shared" si="0"/>
        <v>C2</v>
      </c>
      <c r="C21" s="620">
        <f>IF($B21="","",VLOOKUP($B21,studie!$B$38:$Y$127,5,FALSE))</f>
        <v>84</v>
      </c>
      <c r="D21" s="619">
        <f>IF($B21="","",VLOOKUP($B21,studie!$B$38:$Y$127,6,FALSE))</f>
        <v>0</v>
      </c>
      <c r="E21" s="619">
        <f>IF($B21="","",VLOOKUP($B21,studie!$B$38:$Y$127,7,FALSE))</f>
        <v>0</v>
      </c>
      <c r="F21" s="619">
        <f>IF($B21="","",VLOOKUP($B21,studie!$B$38:$Y$127,8,FALSE))</f>
        <v>0</v>
      </c>
      <c r="G21" s="618">
        <f>IF($B21="","",VLOOKUP($B21,studie!$B$38:$Y$127,9,FALSE))</f>
        <v>84</v>
      </c>
      <c r="H21" s="620">
        <f>IF($B21="","",IF(VLOOKUP($B21,studie!$B$38:$Y$127,10,FALSE)="","",VLOOKUP($B21,studie!$B$38:$Y$127,10,FALSE)))</f>
        <v>102.2</v>
      </c>
      <c r="I21" s="619" t="str">
        <f>IF($B21="","",IF(VLOOKUP($B21,studie!$B$38:$Y$127,11,FALSE)="","",VLOOKUP($B21,studie!$B$38:$Y$127,11,FALSE)))</f>
        <v/>
      </c>
      <c r="J21" s="619" t="str">
        <f>IF($B21="","",IF(VLOOKUP($B21,studie!$B$38:$Y$127,12,FALSE)="","",VLOOKUP($B21,studie!$B$38:$Y$127,12,FALSE)))</f>
        <v/>
      </c>
      <c r="K21" s="619" t="str">
        <f>IF($B21="","",IF(VLOOKUP($B21,studie!$B$38:$Y$127,13,FALSE)="","",VLOOKUP($B21,studie!$B$38:$Y$127,13,FALSE)))</f>
        <v/>
      </c>
      <c r="L21" s="619" t="str">
        <f>IF($B21="","",IF(VLOOKUP($B21,studie!$B$38:$Y$127,14,FALSE)="","",VLOOKUP($B21,studie!$B$38:$Y$127,14,FALSE)))</f>
        <v/>
      </c>
      <c r="M21" s="619" t="str">
        <f>IF($B21="","",IF(VLOOKUP($B21,studie!$B$38:$Y$127,15,FALSE)="","",VLOOKUP($B21,studie!$B$38:$Y$127,15,FALSE)))</f>
        <v/>
      </c>
      <c r="N21" s="618">
        <f>IF($B21="","",IF(VLOOKUP($B21,studie!$B$38:$Y$127,16,FALSE)="","",VLOOKUP($B21,studie!$B$38:$Y$127,16,FALSE)))</f>
        <v>102.2</v>
      </c>
      <c r="O21" s="620">
        <f>IF($B21="","",VLOOKUP($B21,studie!$B$38:$Y$127,17,FALSE))</f>
        <v>101.6</v>
      </c>
      <c r="P21" s="618"/>
      <c r="Q21" s="1734">
        <f>IF($B21="","",VLOOKUP($B21,studie!$B$38:$Y$127,21,FALSE))</f>
        <v>191</v>
      </c>
      <c r="R21" s="1771"/>
      <c r="S21" s="1737">
        <f>IF($B21="","",VLOOKUP($B21,studie!$B$38:$Y$127,23,FALSE))</f>
        <v>161</v>
      </c>
      <c r="T21" s="1772"/>
    </row>
    <row r="22" spans="1:20" s="208" customFormat="1" ht="12.75" customHeight="1" x14ac:dyDescent="0.35">
      <c r="A22" s="1007"/>
      <c r="B22" s="1082" t="str">
        <f t="shared" si="0"/>
        <v>C3</v>
      </c>
      <c r="C22" s="620">
        <f>IF($B22="","",VLOOKUP($B22,studie!$B$38:$Y$127,5,FALSE))</f>
        <v>83</v>
      </c>
      <c r="D22" s="619">
        <f>IF($B22="","",VLOOKUP($B22,studie!$B$38:$Y$127,6,FALSE))</f>
        <v>0</v>
      </c>
      <c r="E22" s="619">
        <f>IF($B22="","",VLOOKUP($B22,studie!$B$38:$Y$127,7,FALSE))</f>
        <v>0</v>
      </c>
      <c r="F22" s="619">
        <f>IF($B22="","",VLOOKUP($B22,studie!$B$38:$Y$127,8,FALSE))</f>
        <v>0</v>
      </c>
      <c r="G22" s="618">
        <f>IF($B22="","",VLOOKUP($B22,studie!$B$38:$Y$127,9,FALSE))</f>
        <v>83</v>
      </c>
      <c r="H22" s="620">
        <f>IF($B22="","",IF(VLOOKUP($B22,studie!$B$38:$Y$127,10,FALSE)="","",VLOOKUP($B22,studie!$B$38:$Y$127,10,FALSE)))</f>
        <v>102.3</v>
      </c>
      <c r="I22" s="619" t="str">
        <f>IF($B22="","",IF(VLOOKUP($B22,studie!$B$38:$Y$127,11,FALSE)="","",VLOOKUP($B22,studie!$B$38:$Y$127,11,FALSE)))</f>
        <v/>
      </c>
      <c r="J22" s="619" t="str">
        <f>IF($B22="","",IF(VLOOKUP($B22,studie!$B$38:$Y$127,12,FALSE)="","",VLOOKUP($B22,studie!$B$38:$Y$127,12,FALSE)))</f>
        <v/>
      </c>
      <c r="K22" s="619" t="str">
        <f>IF($B22="","",IF(VLOOKUP($B22,studie!$B$38:$Y$127,13,FALSE)="","",VLOOKUP($B22,studie!$B$38:$Y$127,13,FALSE)))</f>
        <v/>
      </c>
      <c r="L22" s="619" t="str">
        <f>IF($B22="","",IF(VLOOKUP($B22,studie!$B$38:$Y$127,14,FALSE)="","",VLOOKUP($B22,studie!$B$38:$Y$127,14,FALSE)))</f>
        <v/>
      </c>
      <c r="M22" s="619" t="str">
        <f>IF($B22="","",IF(VLOOKUP($B22,studie!$B$38:$Y$127,15,FALSE)="","",VLOOKUP($B22,studie!$B$38:$Y$127,15,FALSE)))</f>
        <v/>
      </c>
      <c r="N22" s="618">
        <f>IF($B22="","",IF(VLOOKUP($B22,studie!$B$38:$Y$127,16,FALSE)="","",VLOOKUP($B22,studie!$B$38:$Y$127,16,FALSE)))</f>
        <v>102.3</v>
      </c>
      <c r="O22" s="620">
        <f>IF($B22="","",VLOOKUP($B22,studie!$B$38:$Y$127,17,FALSE))</f>
        <v>101.6</v>
      </c>
      <c r="P22" s="618"/>
      <c r="Q22" s="1734">
        <f>IF($B22="","",VLOOKUP($B22,studie!$B$38:$Y$127,21,FALSE))</f>
        <v>192</v>
      </c>
      <c r="R22" s="1771"/>
      <c r="S22" s="1737">
        <f>IF($B22="","",VLOOKUP($B22,studie!$B$38:$Y$127,23,FALSE))</f>
        <v>162</v>
      </c>
      <c r="T22" s="1772"/>
    </row>
    <row r="23" spans="1:20" s="208" customFormat="1" ht="12.75" customHeight="1" x14ac:dyDescent="0.35">
      <c r="A23" s="1007"/>
      <c r="B23" s="1082" t="str">
        <f t="shared" si="0"/>
        <v/>
      </c>
      <c r="C23" s="620" t="str">
        <f>IF($B23="","",VLOOKUP($B23,studie!$B$38:$Y$127,5,FALSE))</f>
        <v/>
      </c>
      <c r="D23" s="619" t="str">
        <f>IF($B23="","",VLOOKUP($B23,studie!$B$38:$Y$127,6,FALSE))</f>
        <v/>
      </c>
      <c r="E23" s="619" t="str">
        <f>IF($B23="","",VLOOKUP($B23,studie!$B$38:$Y$127,7,FALSE))</f>
        <v/>
      </c>
      <c r="F23" s="619" t="str">
        <f>IF($B23="","",VLOOKUP($B23,studie!$B$38:$Y$127,8,FALSE))</f>
        <v/>
      </c>
      <c r="G23" s="618" t="str">
        <f>IF($B23="","",VLOOKUP($B23,studie!$B$38:$Y$127,9,FALSE))</f>
        <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t="str">
        <f>IF($B23="","",VLOOKUP($B23,studie!$B$38:$Y$127,17,FALSE))</f>
        <v/>
      </c>
      <c r="P23" s="618"/>
      <c r="Q23" s="1734" t="str">
        <f>IF($B23="","",VLOOKUP($B23,studie!$B$38:$Y$127,21,FALSE))</f>
        <v/>
      </c>
      <c r="R23" s="1771"/>
      <c r="S23" s="1737" t="str">
        <f>IF($B23="","",VLOOKUP($B23,studie!$B$38:$Y$127,23,FALSE))</f>
        <v/>
      </c>
      <c r="T23" s="1772"/>
    </row>
    <row r="24" spans="1:20" s="208" customFormat="1" ht="12.75" customHeight="1" thickBot="1" x14ac:dyDescent="0.4">
      <c r="A24" s="1009"/>
      <c r="B24" s="1026"/>
      <c r="C24" s="1027"/>
      <c r="D24" s="1028"/>
      <c r="E24" s="1028"/>
      <c r="F24" s="1028"/>
      <c r="G24" s="1029">
        <f>IF(SUM(G20:G23)=0,"",AVERAGE(G20:G23))</f>
        <v>84</v>
      </c>
      <c r="H24" s="1033"/>
      <c r="I24" s="1028"/>
      <c r="J24" s="1028"/>
      <c r="K24" s="1028"/>
      <c r="L24" s="1028"/>
      <c r="M24" s="1028"/>
      <c r="N24" s="1029">
        <f>IF(SUM(N20:N23)=0,"",AVERAGE(N20:N23))</f>
        <v>102.2</v>
      </c>
      <c r="O24" s="1027">
        <f>IF(SUM(O20:O23)=0,"",AVERAGE(O20:O23))</f>
        <v>101.59999999999998</v>
      </c>
      <c r="P24" s="1029"/>
      <c r="Q24" s="1757"/>
      <c r="R24" s="1758"/>
      <c r="S24" s="1759"/>
      <c r="T24" s="1760"/>
    </row>
    <row r="25" spans="1:20" s="208" customFormat="1" ht="12.75" customHeight="1" x14ac:dyDescent="0.35"/>
    <row r="26" spans="1:20" s="208" customFormat="1" ht="13" x14ac:dyDescent="0.35">
      <c r="A26" s="208" t="str">
        <f>studie!B160</f>
        <v>Toegepaste norm voor de bepaling van de bulkdichtheid:</v>
      </c>
      <c r="P26" s="311" t="str">
        <f>studie!K160</f>
        <v>EN 12697-6</v>
      </c>
    </row>
    <row r="27" spans="1:20" s="208" customFormat="1" ht="13" x14ac:dyDescent="0.35">
      <c r="A27" s="208" t="str">
        <f>IF(studie!L426="","",studie!B426)</f>
        <v>Toegepaste methode voor de bepaling van de bulkdichtheid:</v>
      </c>
      <c r="P27" s="311" t="str">
        <f>IF(studie!L660="","",studie!L660)</f>
        <v>C</v>
      </c>
    </row>
    <row r="28" spans="1:20" s="208" customFormat="1" ht="13.5" thickBot="1" x14ac:dyDescent="0.4"/>
    <row r="29" spans="1:20" s="208" customFormat="1" ht="15" x14ac:dyDescent="0.35">
      <c r="A29" s="244" t="s">
        <v>183</v>
      </c>
      <c r="B29" s="245"/>
      <c r="C29" s="610" t="s">
        <v>336</v>
      </c>
      <c r="D29" s="611"/>
      <c r="E29" s="610" t="str">
        <f>studie!K164</f>
        <v>Massa's (g)</v>
      </c>
      <c r="F29" s="245"/>
      <c r="G29" s="245"/>
      <c r="H29" s="245"/>
      <c r="I29" s="245"/>
      <c r="J29" s="245"/>
      <c r="K29" s="245"/>
      <c r="L29" s="610" t="s">
        <v>487</v>
      </c>
      <c r="M29" s="245"/>
      <c r="N29" s="611"/>
      <c r="O29" s="245" t="s">
        <v>1004</v>
      </c>
      <c r="P29" s="245"/>
      <c r="Q29" s="245"/>
      <c r="R29" s="245"/>
      <c r="S29" s="658" t="s">
        <v>820</v>
      </c>
      <c r="T29" s="659" t="str">
        <f>IF(studie!$L$660="A","b dry",IF(studie!$L$660="B","b ssd",IF(studie!$L$660="C","b sea",IF(studie!$L$660="D","b dim",""))))</f>
        <v>b sea</v>
      </c>
    </row>
    <row r="30" spans="1:20" s="208" customFormat="1" ht="13" x14ac:dyDescent="0.35">
      <c r="A30" s="247" t="s">
        <v>185</v>
      </c>
      <c r="B30" s="248"/>
      <c r="C30" s="612" t="s">
        <v>338</v>
      </c>
      <c r="D30" s="613"/>
      <c r="E30" s="612" t="str">
        <f>studie!K165</f>
        <v>in lucht</v>
      </c>
      <c r="F30" s="248"/>
      <c r="G30" s="248" t="str">
        <f>IF(studie!L660="D","",studie!L165)</f>
        <v>in water</v>
      </c>
      <c r="H30" s="248"/>
      <c r="I30" s="248" t="str">
        <f>IF(studie!L660="B","afgedroogd",IF(studie!L660="C","met paraffine",""))</f>
        <v>met paraffine</v>
      </c>
      <c r="J30" s="248"/>
      <c r="K30" s="248"/>
      <c r="L30" s="612" t="s">
        <v>1002</v>
      </c>
      <c r="M30" s="248"/>
      <c r="N30" s="613"/>
      <c r="O30" s="248" t="s">
        <v>568</v>
      </c>
      <c r="P30" s="248"/>
      <c r="Q30" s="704" t="str">
        <f>IF(studie!L660="C","paraffine","")</f>
        <v>paraffine</v>
      </c>
      <c r="R30" s="248"/>
      <c r="S30" s="612" t="s">
        <v>418</v>
      </c>
      <c r="T30" s="249"/>
    </row>
    <row r="31" spans="1:20" s="208" customFormat="1" ht="13" x14ac:dyDescent="0.35">
      <c r="A31" s="1899" t="str">
        <f>A61</f>
        <v/>
      </c>
      <c r="B31" s="774"/>
      <c r="C31" s="631" t="str">
        <f>C61</f>
        <v/>
      </c>
      <c r="D31" s="674"/>
      <c r="E31" s="637" t="str">
        <f>IF($C31="","",VLOOKUP($C31,studie!$D$166:$Z$216,8,FALSE))</f>
        <v/>
      </c>
      <c r="F31" s="637"/>
      <c r="G31" s="637" t="str">
        <f>IF($C31="","",VLOOKUP($C31,studie!$D$166:$Z$216,9,FALSE))</f>
        <v/>
      </c>
      <c r="H31" s="637"/>
      <c r="I31" s="637" t="str">
        <f>IF($C31="","",VLOOKUP($C31,studie!$D$166:$Z$216,10,FALSE))</f>
        <v/>
      </c>
      <c r="J31" s="637"/>
      <c r="K31" s="680"/>
      <c r="L31" s="632" t="str">
        <f>IF($C31="","",VLOOKUP($C31,studie!$D$166:$Z$216,14,FALSE))</f>
        <v/>
      </c>
      <c r="M31" s="872"/>
      <c r="N31" s="1049"/>
      <c r="O31" s="1061" t="str">
        <f>IF($C31="","",VLOOKUP($C31,studie!$D$166:$Z$216,16,FALSE))</f>
        <v/>
      </c>
      <c r="P31" s="872"/>
      <c r="Q31" s="1050" t="str">
        <f>IF(OR($C31="",studie!$L$426&lt;&gt;"C"),"",VLOOKUP($C31,studie!$D$166:$Z$216,18,FALSE))</f>
        <v/>
      </c>
      <c r="R31" s="872"/>
      <c r="S31" s="653" t="str">
        <f>IF($C31="","",VLOOKUP($C31,studie!$D$166:$Z$216,23,FALSE))</f>
        <v/>
      </c>
      <c r="T31" s="664"/>
    </row>
    <row r="32" spans="1:20" s="208" customFormat="1" ht="13" x14ac:dyDescent="0.35">
      <c r="A32" s="798"/>
      <c r="B32" s="799"/>
      <c r="C32" s="634" t="str">
        <f t="shared" ref="C32:C44" si="1">C62</f>
        <v>A2</v>
      </c>
      <c r="D32" s="675"/>
      <c r="E32" s="643">
        <f>IF($C32="","",VLOOKUP($C32,studie!$D$166:$Z$216,8,FALSE))</f>
        <v>0</v>
      </c>
      <c r="F32" s="643"/>
      <c r="G32" s="643">
        <f>IF($C32="","",VLOOKUP($C32,studie!$D$166:$Z$216,9,FALSE))</f>
        <v>0</v>
      </c>
      <c r="H32" s="643"/>
      <c r="I32" s="643">
        <f>IF($C32="","",VLOOKUP($C32,studie!$D$166:$Z$216,10,FALSE))</f>
        <v>0</v>
      </c>
      <c r="J32" s="643"/>
      <c r="K32" s="633"/>
      <c r="L32" s="640">
        <f>IF($C32="","",VLOOKUP($C32,studie!$D$166:$Z$216,14,FALSE))</f>
        <v>0</v>
      </c>
      <c r="M32" s="856"/>
      <c r="N32" s="1051"/>
      <c r="O32" s="1062" t="str">
        <f>IF($C32="","",VLOOKUP($C32,studie!$D$166:$Z$216,16,FALSE))</f>
        <v/>
      </c>
      <c r="P32" s="856"/>
      <c r="Q32" s="1052">
        <f>IF(OR($C32="",studie!$L$426&lt;&gt;"C"),"",VLOOKUP($C32,studie!$D$166:$Z$216,18,FALSE))</f>
        <v>0</v>
      </c>
      <c r="R32" s="856"/>
      <c r="S32" s="654" t="str">
        <f>IF($C32="","",VLOOKUP($C32,studie!$D$166:$Z$216,23,FALSE))</f>
        <v/>
      </c>
      <c r="T32" s="665"/>
    </row>
    <row r="33" spans="1:20" s="208" customFormat="1" ht="13" x14ac:dyDescent="0.35">
      <c r="A33" s="798"/>
      <c r="B33" s="799"/>
      <c r="C33" s="634" t="str">
        <f t="shared" si="1"/>
        <v>A3</v>
      </c>
      <c r="D33" s="675"/>
      <c r="E33" s="643">
        <f>IF($C33="","",VLOOKUP($C33,studie!$D$166:$Z$216,8,FALSE))</f>
        <v>0</v>
      </c>
      <c r="F33" s="643"/>
      <c r="G33" s="643">
        <f>IF($C33="","",VLOOKUP($C33,studie!$D$166:$Z$216,9,FALSE))</f>
        <v>0</v>
      </c>
      <c r="H33" s="643"/>
      <c r="I33" s="643">
        <f>IF($C33="","",VLOOKUP($C33,studie!$D$166:$Z$216,10,FALSE))</f>
        <v>0</v>
      </c>
      <c r="J33" s="643"/>
      <c r="K33" s="633"/>
      <c r="L33" s="640">
        <f>IF($C33="","",VLOOKUP($C33,studie!$D$166:$Z$216,14,FALSE))</f>
        <v>0</v>
      </c>
      <c r="M33" s="856"/>
      <c r="N33" s="1051"/>
      <c r="O33" s="1062" t="str">
        <f>IF($C33="","",VLOOKUP($C33,studie!$D$166:$Z$216,16,FALSE))</f>
        <v/>
      </c>
      <c r="P33" s="856"/>
      <c r="Q33" s="1052">
        <f>IF(OR($C33="",studie!$L$426&lt;&gt;"C"),"",VLOOKUP($C33,studie!$D$166:$Z$216,18,FALSE))</f>
        <v>0</v>
      </c>
      <c r="R33" s="856"/>
      <c r="S33" s="654" t="str">
        <f>IF($C33="","",VLOOKUP($C33,studie!$D$166:$Z$216,23,FALSE))</f>
        <v/>
      </c>
      <c r="T33" s="665"/>
    </row>
    <row r="34" spans="1:20" s="208" customFormat="1" ht="13" x14ac:dyDescent="0.35">
      <c r="A34" s="798"/>
      <c r="B34" s="799"/>
      <c r="C34" s="634" t="str">
        <f t="shared" si="1"/>
        <v>A4</v>
      </c>
      <c r="D34" s="675"/>
      <c r="E34" s="643">
        <f>IF($C34="","",VLOOKUP($C34,studie!$D$166:$Z$216,8,FALSE))</f>
        <v>0</v>
      </c>
      <c r="F34" s="643"/>
      <c r="G34" s="643">
        <f>IF($C34="","",VLOOKUP($C34,studie!$D$166:$Z$216,9,FALSE))</f>
        <v>0</v>
      </c>
      <c r="H34" s="643"/>
      <c r="I34" s="643">
        <f>IF($C34="","",VLOOKUP($C34,studie!$D$166:$Z$216,10,FALSE))</f>
        <v>0</v>
      </c>
      <c r="J34" s="643"/>
      <c r="K34" s="633"/>
      <c r="L34" s="640">
        <f>IF($C34="","",VLOOKUP($C34,studie!$D$166:$Z$216,14,FALSE))</f>
        <v>24.4</v>
      </c>
      <c r="M34" s="856"/>
      <c r="N34" s="1051"/>
      <c r="O34" s="1062">
        <f>IF($C34="","",VLOOKUP($C34,studie!$D$166:$Z$216,16,FALSE))</f>
        <v>0.99726993080000004</v>
      </c>
      <c r="P34" s="856"/>
      <c r="Q34" s="1052">
        <f>IF(OR($C34="",studie!$L$426&lt;&gt;"C"),"",VLOOKUP($C34,studie!$D$166:$Z$216,18,FALSE))</f>
        <v>0.97</v>
      </c>
      <c r="R34" s="856"/>
      <c r="S34" s="654" t="str">
        <f>IF($C34="","",VLOOKUP($C34,studie!$D$166:$Z$216,23,FALSE))</f>
        <v/>
      </c>
      <c r="T34" s="665"/>
    </row>
    <row r="35" spans="1:20" s="208" customFormat="1" ht="13" x14ac:dyDescent="0.35">
      <c r="A35" s="800"/>
      <c r="B35" s="801"/>
      <c r="C35" s="661"/>
      <c r="D35" s="677"/>
      <c r="E35" s="685"/>
      <c r="F35" s="685"/>
      <c r="G35" s="685"/>
      <c r="H35" s="685"/>
      <c r="I35" s="685"/>
      <c r="J35" s="685"/>
      <c r="K35" s="682"/>
      <c r="L35" s="716"/>
      <c r="M35" s="858"/>
      <c r="N35" s="1055"/>
      <c r="O35" s="1064"/>
      <c r="P35" s="858"/>
      <c r="Q35" s="1056"/>
      <c r="R35" s="858"/>
      <c r="S35" s="668" t="str">
        <f>IF(studie!G671="","",studie!G671)</f>
        <v/>
      </c>
      <c r="T35" s="669"/>
    </row>
    <row r="36" spans="1:20" s="208" customFormat="1" ht="13" x14ac:dyDescent="0.35">
      <c r="A36" s="1899">
        <f>A66</f>
        <v>3.85</v>
      </c>
      <c r="B36" s="774"/>
      <c r="C36" s="631" t="str">
        <f t="shared" si="1"/>
        <v>B1</v>
      </c>
      <c r="D36" s="674"/>
      <c r="E36" s="637">
        <f>IF($C36="","",VLOOKUP($C36,studie!$D$166:$Z$216,8,FALSE))</f>
        <v>1120</v>
      </c>
      <c r="F36" s="637"/>
      <c r="G36" s="637">
        <f>IF($C36="","",VLOOKUP($C36,studie!$D$166:$Z$216,9,FALSE))</f>
        <v>700</v>
      </c>
      <c r="H36" s="637"/>
      <c r="I36" s="637">
        <f>IF($C36="","",VLOOKUP($C36,studie!$D$166:$Z$216,10,FALSE))</f>
        <v>1225</v>
      </c>
      <c r="J36" s="637"/>
      <c r="K36" s="680"/>
      <c r="L36" s="632">
        <f>IF($C36="","",VLOOKUP($C36,studie!$D$166:$Z$216,14,FALSE))</f>
        <v>24.6</v>
      </c>
      <c r="M36" s="872"/>
      <c r="N36" s="1049"/>
      <c r="O36" s="1061">
        <f>IF($C36="","",VLOOKUP($C36,studie!$D$166:$Z$216,16,FALSE))</f>
        <v>0.99721931280000009</v>
      </c>
      <c r="P36" s="872"/>
      <c r="Q36" s="1050">
        <f>IF(OR($C36="",studie!$L$426&lt;&gt;"C"),"",VLOOKUP($C36,studie!$D$166:$Z$216,18,FALSE))</f>
        <v>0.97</v>
      </c>
      <c r="R36" s="872"/>
      <c r="S36" s="653">
        <f>IF($C36="","",VLOOKUP($C36,studie!$D$166:$Z$216,23,FALSE))</f>
        <v>2.6780387104261854</v>
      </c>
      <c r="T36" s="664"/>
    </row>
    <row r="37" spans="1:20" s="208" customFormat="1" ht="13" x14ac:dyDescent="0.35">
      <c r="A37" s="798"/>
      <c r="B37" s="799"/>
      <c r="C37" s="634" t="str">
        <f t="shared" si="1"/>
        <v>B2</v>
      </c>
      <c r="D37" s="675"/>
      <c r="E37" s="643">
        <f>IF($C37="","",VLOOKUP($C37,studie!$D$166:$Z$216,8,FALSE))</f>
        <v>1130</v>
      </c>
      <c r="F37" s="643"/>
      <c r="G37" s="643">
        <f>IF($C37="","",VLOOKUP($C37,studie!$D$166:$Z$216,9,FALSE))</f>
        <v>705</v>
      </c>
      <c r="H37" s="643"/>
      <c r="I37" s="643">
        <f>IF($C37="","",VLOOKUP($C37,studie!$D$166:$Z$216,10,FALSE))</f>
        <v>1250</v>
      </c>
      <c r="J37" s="643"/>
      <c r="K37" s="633"/>
      <c r="L37" s="640">
        <f>IF($C37="","",VLOOKUP($C37,studie!$D$166:$Z$216,14,FALSE))</f>
        <v>24.7</v>
      </c>
      <c r="M37" s="856"/>
      <c r="N37" s="1051"/>
      <c r="O37" s="1062">
        <f>IF($C37="","",VLOOKUP($C37,studie!$D$166:$Z$216,16,FALSE))</f>
        <v>0.99719384420000001</v>
      </c>
      <c r="P37" s="856"/>
      <c r="Q37" s="1052">
        <f>IF(OR($C37="",studie!$L$426&lt;&gt;"C"),"",VLOOKUP($C37,studie!$D$166:$Z$216,18,FALSE))</f>
        <v>0.97</v>
      </c>
      <c r="R37" s="856"/>
      <c r="S37" s="654">
        <f>IF($C37="","",VLOOKUP($C37,studie!$D$166:$Z$216,23,FALSE))</f>
        <v>2.67251739289294</v>
      </c>
      <c r="T37" s="665"/>
    </row>
    <row r="38" spans="1:20" s="208" customFormat="1" ht="13" x14ac:dyDescent="0.35">
      <c r="A38" s="798"/>
      <c r="B38" s="799"/>
      <c r="C38" s="634" t="str">
        <f t="shared" si="1"/>
        <v>B3</v>
      </c>
      <c r="D38" s="675"/>
      <c r="E38" s="643">
        <f>IF($C38="","",VLOOKUP($C38,studie!$D$166:$Z$216,8,FALSE))</f>
        <v>1130</v>
      </c>
      <c r="F38" s="643"/>
      <c r="G38" s="643">
        <f>IF($C38="","",VLOOKUP($C38,studie!$D$166:$Z$216,9,FALSE))</f>
        <v>710</v>
      </c>
      <c r="H38" s="643"/>
      <c r="I38" s="643">
        <f>IF($C38="","",VLOOKUP($C38,studie!$D$166:$Z$216,10,FALSE))</f>
        <v>1235</v>
      </c>
      <c r="J38" s="643"/>
      <c r="K38" s="633"/>
      <c r="L38" s="640">
        <f>IF($C38="","",VLOOKUP($C38,studie!$D$166:$Z$216,14,FALSE))</f>
        <v>24.8</v>
      </c>
      <c r="M38" s="856"/>
      <c r="N38" s="1051"/>
      <c r="O38" s="1062">
        <f>IF($C38="","",VLOOKUP($C38,studie!$D$166:$Z$216,16,FALSE))</f>
        <v>0.99716826920000001</v>
      </c>
      <c r="P38" s="856"/>
      <c r="Q38" s="1052">
        <f>IF(OR($C38="",studie!$L$426&lt;&gt;"C"),"",VLOOKUP($C38,studie!$D$166:$Z$216,18,FALSE))</f>
        <v>0.97</v>
      </c>
      <c r="R38" s="856"/>
      <c r="S38" s="654">
        <f>IF($C38="","",VLOOKUP($C38,studie!$D$166:$Z$216,23,FALSE))</f>
        <v>2.7017756740237067</v>
      </c>
      <c r="T38" s="665"/>
    </row>
    <row r="39" spans="1:20" s="208" customFormat="1" ht="13" x14ac:dyDescent="0.35">
      <c r="A39" s="798"/>
      <c r="B39" s="799"/>
      <c r="C39" s="634" t="str">
        <f t="shared" si="1"/>
        <v>B4</v>
      </c>
      <c r="D39" s="675"/>
      <c r="E39" s="643">
        <f>IF($C39="","",VLOOKUP($C39,studie!$D$166:$Z$216,8,FALSE))</f>
        <v>0</v>
      </c>
      <c r="F39" s="643"/>
      <c r="G39" s="643">
        <f>IF($C39="","",VLOOKUP($C39,studie!$D$166:$Z$216,9,FALSE))</f>
        <v>0</v>
      </c>
      <c r="H39" s="643"/>
      <c r="I39" s="643">
        <f>IF($C39="","",VLOOKUP($C39,studie!$D$166:$Z$216,10,FALSE))</f>
        <v>0</v>
      </c>
      <c r="J39" s="643"/>
      <c r="K39" s="633"/>
      <c r="L39" s="640">
        <f>IF($C39="","",VLOOKUP($C39,studie!$D$166:$Z$216,14,FALSE))</f>
        <v>24.9</v>
      </c>
      <c r="M39" s="856"/>
      <c r="N39" s="1051"/>
      <c r="O39" s="1062">
        <f>IF($C39="","",VLOOKUP($C39,studie!$D$166:$Z$216,16,FALSE))</f>
        <v>0.99714258780000009</v>
      </c>
      <c r="P39" s="856"/>
      <c r="Q39" s="1052">
        <f>IF(OR($C39="",studie!$L$426&lt;&gt;"C"),"",VLOOKUP($C39,studie!$D$166:$Z$216,18,FALSE))</f>
        <v>0.97</v>
      </c>
      <c r="R39" s="856"/>
      <c r="S39" s="654" t="str">
        <f>IF($C39="","",VLOOKUP($C39,studie!$D$166:$Z$216,23,FALSE))</f>
        <v/>
      </c>
      <c r="T39" s="665"/>
    </row>
    <row r="40" spans="1:20" s="208" customFormat="1" ht="13" x14ac:dyDescent="0.35">
      <c r="A40" s="800"/>
      <c r="B40" s="801"/>
      <c r="C40" s="661"/>
      <c r="D40" s="677"/>
      <c r="E40" s="685"/>
      <c r="F40" s="685"/>
      <c r="G40" s="685"/>
      <c r="H40" s="685"/>
      <c r="I40" s="685"/>
      <c r="J40" s="685"/>
      <c r="K40" s="682"/>
      <c r="L40" s="716"/>
      <c r="M40" s="858"/>
      <c r="N40" s="1055"/>
      <c r="O40" s="1064"/>
      <c r="P40" s="858"/>
      <c r="Q40" s="1056"/>
      <c r="R40" s="858"/>
      <c r="S40" s="668">
        <f>IF(studie!G677="","",studie!G677)</f>
        <v>2.684110592447611</v>
      </c>
      <c r="T40" s="669"/>
    </row>
    <row r="41" spans="1:20" s="208" customFormat="1" ht="13" x14ac:dyDescent="0.35">
      <c r="A41" s="1899">
        <f>A71</f>
        <v>4.1500000000000004</v>
      </c>
      <c r="B41" s="774"/>
      <c r="C41" s="631" t="str">
        <f t="shared" si="1"/>
        <v>C1</v>
      </c>
      <c r="D41" s="674"/>
      <c r="E41" s="637">
        <f>IF($C41="","",VLOOKUP($C41,studie!$D$166:$Z$216,8,FALSE))</f>
        <v>1320</v>
      </c>
      <c r="F41" s="637"/>
      <c r="G41" s="637">
        <f>IF($C41="","",VLOOKUP($C41,studie!$D$166:$Z$216,9,FALSE))</f>
        <v>700</v>
      </c>
      <c r="H41" s="637"/>
      <c r="I41" s="637">
        <f>IF($C41="","",VLOOKUP($C41,studie!$D$166:$Z$216,10,FALSE))</f>
        <v>1225</v>
      </c>
      <c r="J41" s="637"/>
      <c r="K41" s="680"/>
      <c r="L41" s="632">
        <f>IF($C41="","",VLOOKUP($C41,studie!$D$166:$Z$216,14,FALSE))</f>
        <v>25.3</v>
      </c>
      <c r="M41" s="872"/>
      <c r="N41" s="1049"/>
      <c r="O41" s="1061">
        <f>IF($C41="","",VLOOKUP($C41,studie!$D$166:$Z$216,16,FALSE))</f>
        <v>0.99703879820000008</v>
      </c>
      <c r="P41" s="872"/>
      <c r="Q41" s="1050">
        <f>IF(OR($C41="",studie!$L$426&lt;&gt;"C"),"",VLOOKUP($C41,studie!$D$166:$Z$216,18,FALSE))</f>
        <v>0.97</v>
      </c>
      <c r="R41" s="872"/>
      <c r="S41" s="653">
        <f>IF($C41="","",VLOOKUP($C41,studie!$D$166:$Z$216,23,FALSE))</f>
        <v>2.1136997780986331</v>
      </c>
      <c r="T41" s="664"/>
    </row>
    <row r="42" spans="1:20" s="208" customFormat="1" ht="13" x14ac:dyDescent="0.35">
      <c r="A42" s="798"/>
      <c r="B42" s="799"/>
      <c r="C42" s="634" t="str">
        <f t="shared" si="1"/>
        <v>C2</v>
      </c>
      <c r="D42" s="675"/>
      <c r="E42" s="643">
        <f>IF($C42="","",VLOOKUP($C42,studie!$D$166:$Z$216,8,FALSE))</f>
        <v>1330</v>
      </c>
      <c r="F42" s="643"/>
      <c r="G42" s="643">
        <f>IF($C42="","",VLOOKUP($C42,studie!$D$166:$Z$216,9,FALSE))</f>
        <v>705</v>
      </c>
      <c r="H42" s="643"/>
      <c r="I42" s="643">
        <f>IF($C42="","",VLOOKUP($C42,studie!$D$166:$Z$216,10,FALSE))</f>
        <v>1250</v>
      </c>
      <c r="J42" s="643"/>
      <c r="K42" s="633"/>
      <c r="L42" s="640">
        <f>IF($C42="","",VLOOKUP($C42,studie!$D$166:$Z$216,14,FALSE))</f>
        <v>25.4</v>
      </c>
      <c r="M42" s="856"/>
      <c r="N42" s="1051"/>
      <c r="O42" s="1062">
        <f>IF($C42="","",VLOOKUP($C42,studie!$D$166:$Z$216,16,FALSE))</f>
        <v>0.9970125848000001</v>
      </c>
      <c r="P42" s="856"/>
      <c r="Q42" s="1052">
        <f>IF(OR($C42="",studie!$L$426&lt;&gt;"C"),"",VLOOKUP($C42,studie!$D$166:$Z$216,18,FALSE))</f>
        <v>0.97</v>
      </c>
      <c r="R42" s="856"/>
      <c r="S42" s="654">
        <f>IF($C42="","",VLOOKUP($C42,studie!$D$166:$Z$216,23,FALSE))</f>
        <v>2.1141069463050117</v>
      </c>
      <c r="T42" s="665"/>
    </row>
    <row r="43" spans="1:20" s="208" customFormat="1" ht="13" x14ac:dyDescent="0.35">
      <c r="A43" s="798"/>
      <c r="B43" s="799"/>
      <c r="C43" s="634" t="str">
        <f t="shared" si="1"/>
        <v>C3</v>
      </c>
      <c r="D43" s="675"/>
      <c r="E43" s="643">
        <f>IF($C43="","",VLOOKUP($C43,studie!$D$166:$Z$216,8,FALSE))</f>
        <v>1330</v>
      </c>
      <c r="F43" s="643"/>
      <c r="G43" s="643">
        <f>IF($C43="","",VLOOKUP($C43,studie!$D$166:$Z$216,9,FALSE))</f>
        <v>710</v>
      </c>
      <c r="H43" s="643"/>
      <c r="I43" s="643">
        <f>IF($C43="","",VLOOKUP($C43,studie!$D$166:$Z$216,10,FALSE))</f>
        <v>1235</v>
      </c>
      <c r="J43" s="643"/>
      <c r="K43" s="633"/>
      <c r="L43" s="640">
        <f>IF($C43="","",VLOOKUP($C43,studie!$D$166:$Z$216,14,FALSE))</f>
        <v>25.5</v>
      </c>
      <c r="M43" s="856"/>
      <c r="N43" s="1051"/>
      <c r="O43" s="1062">
        <f>IF($C43="","",VLOOKUP($C43,studie!$D$166:$Z$216,16,FALSE))</f>
        <v>0.99698626500000009</v>
      </c>
      <c r="P43" s="856"/>
      <c r="Q43" s="1052">
        <f>IF(OR($C43="",studie!$L$426&lt;&gt;"C"),"",VLOOKUP($C43,studie!$D$166:$Z$216,18,FALSE))</f>
        <v>0.97</v>
      </c>
      <c r="R43" s="856"/>
      <c r="S43" s="654">
        <f>IF($C43="","",VLOOKUP($C43,studie!$D$166:$Z$216,23,FALSE))</f>
        <v>2.1296180395475877</v>
      </c>
      <c r="T43" s="665"/>
    </row>
    <row r="44" spans="1:20" s="208" customFormat="1" ht="13" x14ac:dyDescent="0.35">
      <c r="A44" s="798"/>
      <c r="B44" s="799"/>
      <c r="C44" s="634" t="str">
        <f t="shared" si="1"/>
        <v/>
      </c>
      <c r="D44" s="675"/>
      <c r="E44" s="643" t="str">
        <f>IF($C44="","",VLOOKUP($C44,studie!$D$166:$Z$216,8,FALSE))</f>
        <v/>
      </c>
      <c r="F44" s="643"/>
      <c r="G44" s="643" t="str">
        <f>IF($C44="","",VLOOKUP($C44,studie!$D$166:$Z$216,9,FALSE))</f>
        <v/>
      </c>
      <c r="H44" s="643"/>
      <c r="I44" s="643" t="str">
        <f>IF($C44="","",VLOOKUP($C44,studie!$D$166:$Z$216,10,FALSE))</f>
        <v/>
      </c>
      <c r="J44" s="643"/>
      <c r="K44" s="633"/>
      <c r="L44" s="640" t="str">
        <f>IF($C44="","",VLOOKUP($C44,studie!$D$166:$Z$216,14,FALSE))</f>
        <v/>
      </c>
      <c r="M44" s="856"/>
      <c r="N44" s="1051"/>
      <c r="O44" s="1062" t="str">
        <f>IF($C44="","",VLOOKUP($C44,studie!$D$166:$Z$216,16,FALSE))</f>
        <v/>
      </c>
      <c r="P44" s="856"/>
      <c r="Q44" s="1052" t="str">
        <f>IF(OR($C44="",studie!$L$426&lt;&gt;"C"),"",VLOOKUP($C44,studie!$D$166:$Z$216,18,FALSE))</f>
        <v/>
      </c>
      <c r="R44" s="856"/>
      <c r="S44" s="654" t="str">
        <f>IF($C44="","",VLOOKUP($C44,studie!$D$166:$Z$216,23,FALSE))</f>
        <v/>
      </c>
      <c r="T44" s="665"/>
    </row>
    <row r="45" spans="1:20" s="208" customFormat="1" ht="13.5" thickBot="1" x14ac:dyDescent="0.4">
      <c r="A45" s="775"/>
      <c r="B45" s="776"/>
      <c r="C45" s="663"/>
      <c r="D45" s="679"/>
      <c r="E45" s="687"/>
      <c r="F45" s="687"/>
      <c r="G45" s="687"/>
      <c r="H45" s="687"/>
      <c r="I45" s="683"/>
      <c r="J45" s="683"/>
      <c r="K45" s="683"/>
      <c r="L45" s="720"/>
      <c r="M45" s="860"/>
      <c r="N45" s="1059"/>
      <c r="O45" s="1066"/>
      <c r="P45" s="860"/>
      <c r="Q45" s="1060"/>
      <c r="R45" s="860"/>
      <c r="S45" s="672">
        <f>IF(studie!G683="","",studie!G683)</f>
        <v>2.1191415879837443</v>
      </c>
      <c r="T45" s="673"/>
    </row>
    <row r="46" spans="1:20" s="208" customFormat="1" ht="13" x14ac:dyDescent="0.35">
      <c r="A46" s="852"/>
      <c r="B46" s="852"/>
      <c r="C46" s="852"/>
      <c r="D46" s="852"/>
      <c r="E46" s="994"/>
      <c r="F46" s="994"/>
      <c r="G46" s="994"/>
      <c r="H46" s="994"/>
      <c r="I46" s="852"/>
      <c r="J46" s="852"/>
      <c r="K46" s="852"/>
      <c r="L46" s="995"/>
      <c r="M46" s="995"/>
    </row>
    <row r="47" spans="1:20" s="208" customFormat="1" ht="13" x14ac:dyDescent="0.35">
      <c r="A47" s="852"/>
      <c r="B47" s="852"/>
      <c r="C47" s="852"/>
      <c r="D47" s="852"/>
      <c r="E47" s="994"/>
      <c r="F47" s="994"/>
      <c r="G47" s="994"/>
      <c r="H47" s="994"/>
      <c r="I47" s="852"/>
      <c r="J47" s="852"/>
      <c r="K47" s="852"/>
      <c r="L47" s="995"/>
      <c r="M47" s="995"/>
    </row>
    <row r="48" spans="1:20" s="208" customFormat="1" ht="13" x14ac:dyDescent="0.35">
      <c r="A48" s="852"/>
      <c r="B48" s="852"/>
      <c r="C48" s="852"/>
      <c r="D48" s="852"/>
      <c r="E48" s="994"/>
      <c r="F48" s="994"/>
      <c r="G48" s="994"/>
      <c r="H48" s="994"/>
      <c r="I48" s="852"/>
      <c r="J48" s="852"/>
      <c r="K48" s="852"/>
      <c r="L48" s="995"/>
      <c r="M48" s="995"/>
    </row>
    <row r="49" spans="1:20" s="208" customFormat="1" ht="13" x14ac:dyDescent="0.35">
      <c r="A49" s="852"/>
      <c r="B49" s="852"/>
      <c r="C49" s="852"/>
      <c r="D49" s="852"/>
      <c r="E49" s="994"/>
      <c r="F49" s="994"/>
      <c r="G49" s="994"/>
      <c r="H49" s="994"/>
      <c r="I49" s="852"/>
      <c r="J49" s="852"/>
      <c r="K49" s="852"/>
      <c r="L49" s="995"/>
      <c r="M49" s="995"/>
    </row>
    <row r="50" spans="1:20" s="208" customFormat="1" ht="13" x14ac:dyDescent="0.35">
      <c r="A50" s="852"/>
      <c r="B50" s="852"/>
      <c r="C50" s="852"/>
      <c r="D50" s="852"/>
      <c r="E50" s="994"/>
      <c r="F50" s="994"/>
      <c r="G50" s="994"/>
      <c r="H50" s="994"/>
      <c r="I50" s="852"/>
      <c r="J50" s="852"/>
      <c r="K50" s="852"/>
      <c r="L50" s="995"/>
      <c r="M50" s="995"/>
    </row>
    <row r="51" spans="1:20" s="208" customFormat="1" ht="13" x14ac:dyDescent="0.35">
      <c r="A51" s="852"/>
      <c r="B51" s="852"/>
      <c r="C51" s="852"/>
      <c r="D51" s="852"/>
      <c r="E51" s="994"/>
      <c r="F51" s="994"/>
      <c r="G51" s="994"/>
      <c r="H51" s="994"/>
      <c r="I51" s="852"/>
      <c r="J51" s="852"/>
      <c r="K51" s="852"/>
      <c r="L51" s="995"/>
      <c r="M51" s="995"/>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10" customFormat="1" ht="10.5" x14ac:dyDescent="0.35">
      <c r="A54" s="2277" t="str">
        <f>'VN1'!$A$53</f>
        <v>801/64/</v>
      </c>
      <c r="B54" s="2277"/>
      <c r="C54" s="267" t="str">
        <f>algemeen!$J$66</f>
        <v>2010/13RE-1234/0</v>
      </c>
      <c r="D54" s="267"/>
      <c r="E54" s="268"/>
      <c r="F54" s="268"/>
      <c r="G54" s="268"/>
      <c r="H54" s="268"/>
      <c r="I54" s="269" t="str">
        <f>"blz. "&amp;berekeningen!N3&amp;" /"</f>
        <v>blz. 18 /</v>
      </c>
      <c r="J54" s="267">
        <f>berekeningen!O$2</f>
        <v>19</v>
      </c>
      <c r="K54" s="268"/>
      <c r="L54" s="268"/>
      <c r="M54" s="268" t="s">
        <v>610</v>
      </c>
      <c r="N54" s="268"/>
      <c r="O54" s="268"/>
      <c r="P54" s="268"/>
      <c r="Q54" s="268"/>
      <c r="R54" s="268"/>
      <c r="S54" s="268"/>
      <c r="T54" s="268"/>
    </row>
    <row r="55" spans="1:20" s="208" customFormat="1" ht="13" x14ac:dyDescent="0.35">
      <c r="A55" s="852"/>
      <c r="B55" s="852"/>
      <c r="C55" s="852"/>
      <c r="D55" s="852"/>
      <c r="E55" s="994"/>
      <c r="F55" s="994"/>
      <c r="G55" s="994"/>
      <c r="H55" s="994"/>
      <c r="I55" s="852"/>
      <c r="J55" s="852"/>
      <c r="K55" s="852"/>
      <c r="L55" s="995"/>
      <c r="M55" s="995"/>
    </row>
    <row r="56" spans="1:20" s="208" customFormat="1" ht="13" x14ac:dyDescent="0.35">
      <c r="A56" s="208" t="str">
        <f>studie!B661</f>
        <v>Toegepaste norm voor de bepaling van de Marshallkenmerken:</v>
      </c>
      <c r="M56" s="208" t="str">
        <f>studie!K661</f>
        <v>EN 12697-34</v>
      </c>
    </row>
    <row r="57" spans="1:20" s="208" customFormat="1" ht="13.5" thickBot="1" x14ac:dyDescent="0.4"/>
    <row r="58" spans="1:20" s="208" customFormat="1" ht="15" x14ac:dyDescent="0.35">
      <c r="A58" s="244" t="s">
        <v>183</v>
      </c>
      <c r="B58" s="245"/>
      <c r="C58" s="610" t="s">
        <v>336</v>
      </c>
      <c r="D58" s="245"/>
      <c r="E58" s="610" t="str">
        <f>studie!I664</f>
        <v>Correctie-</v>
      </c>
      <c r="F58" s="245"/>
      <c r="G58" s="610" t="str">
        <f>studie!K664</f>
        <v>Stabiliteit</v>
      </c>
      <c r="H58" s="796"/>
      <c r="I58" s="245"/>
      <c r="J58" s="245"/>
      <c r="K58" s="245"/>
      <c r="L58" s="611"/>
      <c r="M58" s="610" t="str">
        <f>studie!R664</f>
        <v>Vloei</v>
      </c>
      <c r="N58" s="245"/>
      <c r="O58" s="245"/>
      <c r="P58" s="611"/>
      <c r="Q58" s="245" t="str">
        <f>studie!W664</f>
        <v>Quotiënt</v>
      </c>
      <c r="R58" s="246"/>
    </row>
    <row r="59" spans="1:20" s="208" customFormat="1" ht="15" x14ac:dyDescent="0.35">
      <c r="A59" s="1038" t="s">
        <v>185</v>
      </c>
      <c r="B59" s="738"/>
      <c r="C59" s="862" t="s">
        <v>338</v>
      </c>
      <c r="D59" s="738"/>
      <c r="E59" s="862" t="str">
        <f>studie!I665</f>
        <v>factor</v>
      </c>
      <c r="F59" s="738"/>
      <c r="G59" s="862" t="s">
        <v>853</v>
      </c>
      <c r="H59" s="738"/>
      <c r="I59" s="863" t="s">
        <v>846</v>
      </c>
      <c r="J59" s="738"/>
      <c r="K59" s="864"/>
      <c r="L59" s="868" t="s">
        <v>848</v>
      </c>
      <c r="M59" s="862" t="s">
        <v>849</v>
      </c>
      <c r="N59" s="871" t="s">
        <v>850</v>
      </c>
      <c r="O59" s="871" t="s">
        <v>851</v>
      </c>
      <c r="P59" s="861" t="s">
        <v>848</v>
      </c>
      <c r="Q59" s="415"/>
      <c r="R59" s="865"/>
    </row>
    <row r="60" spans="1:20" s="208" customFormat="1" ht="13" x14ac:dyDescent="0.35">
      <c r="A60" s="247"/>
      <c r="B60" s="248"/>
      <c r="C60" s="1094"/>
      <c r="D60" s="248"/>
      <c r="E60" s="1094"/>
      <c r="F60" s="248"/>
      <c r="G60" s="612" t="s">
        <v>852</v>
      </c>
      <c r="H60" s="248"/>
      <c r="I60" s="704" t="s">
        <v>847</v>
      </c>
      <c r="J60" s="248"/>
      <c r="K60" s="705"/>
      <c r="L60" s="772" t="s">
        <v>132</v>
      </c>
      <c r="M60" s="612" t="s">
        <v>371</v>
      </c>
      <c r="N60" s="614" t="s">
        <v>371</v>
      </c>
      <c r="O60" s="614" t="s">
        <v>371</v>
      </c>
      <c r="P60" s="613" t="s">
        <v>132</v>
      </c>
      <c r="Q60" s="248" t="str">
        <f>studie!W665</f>
        <v>(kN/mm)</v>
      </c>
      <c r="R60" s="249"/>
    </row>
    <row r="61" spans="1:20" s="208" customFormat="1" ht="13" x14ac:dyDescent="0.35">
      <c r="A61" s="1901" t="str">
        <f>IF(studie!B666="","",studie!B666)</f>
        <v/>
      </c>
      <c r="B61" s="852"/>
      <c r="C61" s="631" t="str">
        <f>IF(studie!D666="","",studie!D666)</f>
        <v/>
      </c>
      <c r="D61" s="680"/>
      <c r="E61" s="1075" t="str">
        <f>IF(studie!I666="","",studie!I666)</f>
        <v/>
      </c>
      <c r="F61" s="680"/>
      <c r="G61" s="802">
        <f>IF(studie!K666="","",studie!K666)</f>
        <v>13000</v>
      </c>
      <c r="H61" s="706"/>
      <c r="I61" s="636" t="str">
        <f>IF(studie!N666="","",studie!N666)</f>
        <v/>
      </c>
      <c r="J61" s="637"/>
      <c r="K61" s="873"/>
      <c r="L61" s="1326" t="str">
        <f>IF(studie!P666="","",studie!P666)</f>
        <v/>
      </c>
      <c r="M61" s="632">
        <f>IF(studie!R666="","",studie!R666)</f>
        <v>5</v>
      </c>
      <c r="N61" s="835">
        <f>IF(studie!S666="","",studie!S666)</f>
        <v>6</v>
      </c>
      <c r="O61" s="835">
        <f>IF(studie!T666="","",studie!T666)</f>
        <v>7</v>
      </c>
      <c r="P61" s="1332">
        <f>IF(studie!U666="","",studie!U666)</f>
        <v>-47.368421052631582</v>
      </c>
      <c r="Q61" s="637" t="str">
        <f>IF(studie!W666="","",studie!W666)</f>
        <v/>
      </c>
      <c r="R61" s="777"/>
    </row>
    <row r="62" spans="1:20" s="208" customFormat="1" ht="13" x14ac:dyDescent="0.35">
      <c r="A62" s="798"/>
      <c r="B62" s="852"/>
      <c r="C62" s="634" t="str">
        <f>IF(studie!D667="","",studie!D667)</f>
        <v>A2</v>
      </c>
      <c r="D62" s="633"/>
      <c r="E62" s="1076">
        <f>IF(studie!I667="","",studie!I667)</f>
        <v>0.99109848080032437</v>
      </c>
      <c r="F62" s="633"/>
      <c r="G62" s="869">
        <f>IF(studie!K667="","",studie!K667)</f>
        <v>12000</v>
      </c>
      <c r="H62" s="707"/>
      <c r="I62" s="642">
        <f>IF(studie!N667="","",studie!N667)</f>
        <v>11.893181769603892</v>
      </c>
      <c r="J62" s="643"/>
      <c r="K62" s="780"/>
      <c r="L62" s="1327">
        <f>IF(studie!P667="","",studie!P667)</f>
        <v>-25.541637254532489</v>
      </c>
      <c r="M62" s="640">
        <f>IF(studie!R667="","",studie!R667)</f>
        <v>8</v>
      </c>
      <c r="N62" s="874">
        <f>IF(studie!S667="","",studie!S667)</f>
        <v>9</v>
      </c>
      <c r="O62" s="874">
        <f>IF(studie!T667="","",studie!T667)</f>
        <v>10</v>
      </c>
      <c r="P62" s="1333">
        <f>IF(studie!U667="","",studie!U667)</f>
        <v>-15.789473684210535</v>
      </c>
      <c r="Q62" s="643">
        <f>IF(studie!W667="","",studie!W667)</f>
        <v>1.4866477212004865</v>
      </c>
      <c r="R62" s="762"/>
    </row>
    <row r="63" spans="1:20" s="208" customFormat="1" ht="13" x14ac:dyDescent="0.35">
      <c r="A63" s="798"/>
      <c r="B63" s="852"/>
      <c r="C63" s="634" t="str">
        <f>IF(studie!D668="","",studie!D668)</f>
        <v>A3</v>
      </c>
      <c r="D63" s="633"/>
      <c r="E63" s="1076">
        <f>IF(studie!I668="","",studie!I668)</f>
        <v>1.0171032394055661</v>
      </c>
      <c r="F63" s="633"/>
      <c r="G63" s="869">
        <f>IF(studie!K668="","",studie!K668)</f>
        <v>19000</v>
      </c>
      <c r="H63" s="707"/>
      <c r="I63" s="642">
        <f>IF(studie!N668="","",studie!N668)</f>
        <v>19.324961548705755</v>
      </c>
      <c r="J63" s="643"/>
      <c r="K63" s="780"/>
      <c r="L63" s="1327">
        <f>IF(studie!P668="","",studie!P668)</f>
        <v>20.985706340858187</v>
      </c>
      <c r="M63" s="640">
        <f>IF(studie!R668="","",studie!R668)</f>
        <v>11</v>
      </c>
      <c r="N63" s="874">
        <f>IF(studie!S668="","",studie!S668)</f>
        <v>12</v>
      </c>
      <c r="O63" s="874">
        <f>IF(studie!T668="","",studie!T668)</f>
        <v>13</v>
      </c>
      <c r="P63" s="1333">
        <f>IF(studie!U668="","",studie!U668)</f>
        <v>15.789473684210535</v>
      </c>
      <c r="Q63" s="643">
        <f>IF(studie!W668="","",studie!W668)</f>
        <v>1.7568146862459777</v>
      </c>
      <c r="R63" s="762"/>
    </row>
    <row r="64" spans="1:20" s="208" customFormat="1" ht="13" x14ac:dyDescent="0.35">
      <c r="A64" s="798"/>
      <c r="B64" s="852"/>
      <c r="C64" s="660" t="str">
        <f>IF(studie!D669="","",studie!D669)</f>
        <v>A4</v>
      </c>
      <c r="D64" s="681"/>
      <c r="E64" s="1077">
        <f>IF(studie!I669="","",studie!I669)</f>
        <v>1.0437903191758762</v>
      </c>
      <c r="F64" s="681"/>
      <c r="G64" s="870">
        <f>IF(studie!K669="","",studie!K669)</f>
        <v>16000</v>
      </c>
      <c r="H64" s="708"/>
      <c r="I64" s="724">
        <f>IF(studie!N669="","",studie!N669)</f>
        <v>16.700645106814019</v>
      </c>
      <c r="J64" s="684"/>
      <c r="K64" s="781"/>
      <c r="L64" s="1328">
        <f>IF(studie!P669="","",studie!P669)</f>
        <v>4.5559309136743025</v>
      </c>
      <c r="M64" s="714">
        <f>IF(studie!R669="","",studie!R669)</f>
        <v>14</v>
      </c>
      <c r="N64" s="838">
        <f>IF(studie!S669="","",studie!S669)</f>
        <v>15</v>
      </c>
      <c r="O64" s="838">
        <f>IF(studie!T669="","",studie!T669)</f>
        <v>16</v>
      </c>
      <c r="P64" s="1334">
        <f>IF(studie!U669="","",studie!U669)</f>
        <v>47.368421052631561</v>
      </c>
      <c r="Q64" s="684">
        <f>IF(studie!W669="","",studie!W669)</f>
        <v>1.1929032219152871</v>
      </c>
      <c r="R64" s="763"/>
    </row>
    <row r="65" spans="1:18" s="208" customFormat="1" ht="13" x14ac:dyDescent="0.35">
      <c r="A65" s="800"/>
      <c r="B65" s="1105"/>
      <c r="C65" s="661"/>
      <c r="D65" s="682"/>
      <c r="E65" s="1078"/>
      <c r="F65" s="682"/>
      <c r="G65" s="805"/>
      <c r="H65" s="709"/>
      <c r="I65" s="726">
        <f>IF(studie!N671="","",studie!N671)</f>
        <v>15.972929475041221</v>
      </c>
      <c r="J65" s="685"/>
      <c r="K65" s="782"/>
      <c r="L65" s="1329"/>
      <c r="M65" s="716">
        <f>IF(studie!R671="","",studie!R671)</f>
        <v>9.5</v>
      </c>
      <c r="N65" s="841" t="str">
        <f>IF(studie!S671="","",studie!S671)</f>
        <v/>
      </c>
      <c r="O65" s="841" t="str">
        <f>IF(studie!T671="","",studie!T671)</f>
        <v/>
      </c>
      <c r="P65" s="1335" t="str">
        <f>IF(studie!U671="","",studie!U671)</f>
        <v/>
      </c>
      <c r="Q65" s="685">
        <f>IF(studie!W671="","",studie!W671)</f>
        <v>1.4787885431205838</v>
      </c>
      <c r="R65" s="764"/>
    </row>
    <row r="66" spans="1:18" s="208" customFormat="1" ht="13" x14ac:dyDescent="0.35">
      <c r="A66" s="1899">
        <f>IF(studie!B672="","",studie!B672)</f>
        <v>3.85</v>
      </c>
      <c r="B66" s="852"/>
      <c r="C66" s="662" t="str">
        <f>IF(studie!D672="","",studie!D672)</f>
        <v>B1</v>
      </c>
      <c r="D66" s="630"/>
      <c r="E66" s="1079">
        <f>IF(studie!I672="","",studie!I672)</f>
        <v>0.74539472074135371</v>
      </c>
      <c r="F66" s="630"/>
      <c r="G66" s="806">
        <f>IF(studie!K672="","",studie!K672)</f>
        <v>17000</v>
      </c>
      <c r="H66" s="710"/>
      <c r="I66" s="728">
        <f>IF(studie!N672="","",studie!N672)</f>
        <v>12.671710252603013</v>
      </c>
      <c r="J66" s="686"/>
      <c r="K66" s="830"/>
      <c r="L66" s="1330">
        <f>IF(studie!P672="","",studie!P672)</f>
        <v>5.6746237565369171</v>
      </c>
      <c r="M66" s="718">
        <f>IF(studie!R672="","",studie!R672)</f>
        <v>1</v>
      </c>
      <c r="N66" s="844">
        <f>IF(studie!S672="","",studie!S672)</f>
        <v>2</v>
      </c>
      <c r="O66" s="844">
        <f>IF(studie!T672="","",studie!T672)</f>
        <v>3</v>
      </c>
      <c r="P66" s="1336">
        <f>IF(studie!U672="","",studie!U672)</f>
        <v>-81.818181818181813</v>
      </c>
      <c r="Q66" s="686">
        <f>IF(studie!W672="","",studie!W672)</f>
        <v>12.671710252603013</v>
      </c>
      <c r="R66" s="855"/>
    </row>
    <row r="67" spans="1:18" s="208" customFormat="1" ht="13" x14ac:dyDescent="0.35">
      <c r="A67" s="798"/>
      <c r="B67" s="852"/>
      <c r="C67" s="634" t="str">
        <f>IF(studie!D673="","",studie!D673)</f>
        <v>B2</v>
      </c>
      <c r="D67" s="633"/>
      <c r="E67" s="1076">
        <f>IF(studie!I673="","",studie!I673)</f>
        <v>0.76495262558532828</v>
      </c>
      <c r="F67" s="633"/>
      <c r="G67" s="869">
        <f>IF(studie!K673="","",studie!K673)</f>
        <v>16000</v>
      </c>
      <c r="H67" s="707"/>
      <c r="I67" s="642">
        <f>IF(studie!N673="","",studie!N673)</f>
        <v>12.239242009365253</v>
      </c>
      <c r="J67" s="643"/>
      <c r="K67" s="780"/>
      <c r="L67" s="1327">
        <f>IF(studie!P673="","",studie!P673)</f>
        <v>2.0680925164927402</v>
      </c>
      <c r="M67" s="640">
        <f>IF(studie!R673="","",studie!R673)</f>
        <v>4</v>
      </c>
      <c r="N67" s="874">
        <f>IF(studie!S673="","",studie!S673)</f>
        <v>5</v>
      </c>
      <c r="O67" s="874">
        <f>IF(studie!T673="","",studie!T673)</f>
        <v>6</v>
      </c>
      <c r="P67" s="1333">
        <f>IF(studie!U673="","",studie!U673)</f>
        <v>-27.272727272727266</v>
      </c>
      <c r="Q67" s="643">
        <f>IF(studie!W673="","",studie!W673)</f>
        <v>3.0598105023413131</v>
      </c>
      <c r="R67" s="762"/>
    </row>
    <row r="68" spans="1:18" s="208" customFormat="1" ht="13" x14ac:dyDescent="0.35">
      <c r="A68" s="798"/>
      <c r="B68" s="852"/>
      <c r="C68" s="634" t="str">
        <f>IF(studie!D674="","",studie!D674)</f>
        <v>B3</v>
      </c>
      <c r="D68" s="633"/>
      <c r="E68" s="1076">
        <f>IF(studie!I674="","",studie!I674)</f>
        <v>0.78502369698554775</v>
      </c>
      <c r="F68" s="633"/>
      <c r="G68" s="869">
        <f>IF(studie!K674="","",studie!K674)</f>
        <v>15000</v>
      </c>
      <c r="H68" s="707"/>
      <c r="I68" s="642">
        <f>IF(studie!N674="","",studie!N674)</f>
        <v>11.775355454783215</v>
      </c>
      <c r="J68" s="643"/>
      <c r="K68" s="780"/>
      <c r="L68" s="1327">
        <f>IF(studie!P674="","",studie!P674)</f>
        <v>-1.8004489940033039</v>
      </c>
      <c r="M68" s="640">
        <f>IF(studie!R674="","",studie!R674)</f>
        <v>7</v>
      </c>
      <c r="N68" s="874">
        <f>IF(studie!S674="","",studie!S674)</f>
        <v>8</v>
      </c>
      <c r="O68" s="874">
        <f>IF(studie!T674="","",studie!T674)</f>
        <v>9</v>
      </c>
      <c r="P68" s="1333">
        <f>IF(studie!U674="","",studie!U674)</f>
        <v>27.272727272727266</v>
      </c>
      <c r="Q68" s="643">
        <f>IF(studie!W674="","",studie!W674)</f>
        <v>1.6821936363976022</v>
      </c>
      <c r="R68" s="762"/>
    </row>
    <row r="69" spans="1:18" s="208" customFormat="1" ht="13" x14ac:dyDescent="0.35">
      <c r="A69" s="798"/>
      <c r="B69" s="852"/>
      <c r="C69" s="660" t="str">
        <f>IF(studie!D675="","",studie!D675)</f>
        <v>B4</v>
      </c>
      <c r="D69" s="681"/>
      <c r="E69" s="1077">
        <f>IF(studie!I675="","",studie!I675)</f>
        <v>0.80562139957007683</v>
      </c>
      <c r="F69" s="681"/>
      <c r="G69" s="870">
        <f>IF(studie!K675="","",studie!K675)</f>
        <v>14000</v>
      </c>
      <c r="H69" s="708"/>
      <c r="I69" s="724">
        <f>IF(studie!N675="","",studie!N675)</f>
        <v>11.278699593981075</v>
      </c>
      <c r="J69" s="684"/>
      <c r="K69" s="781"/>
      <c r="L69" s="1328">
        <f>IF(studie!P675="","",studie!P675)</f>
        <v>-5.9422672790263391</v>
      </c>
      <c r="M69" s="714">
        <f>IF(studie!R675="","",studie!R675)</f>
        <v>10</v>
      </c>
      <c r="N69" s="838">
        <f>IF(studie!S675="","",studie!S675)</f>
        <v>11</v>
      </c>
      <c r="O69" s="838">
        <f>IF(studie!T675="","",studie!T675)</f>
        <v>12</v>
      </c>
      <c r="P69" s="1334">
        <f>IF(studie!U675="","",studie!U675)</f>
        <v>81.818181818181813</v>
      </c>
      <c r="Q69" s="684">
        <f>IF(studie!W675="","",studie!W675)</f>
        <v>1.1278699593981076</v>
      </c>
      <c r="R69" s="763"/>
    </row>
    <row r="70" spans="1:18" s="208" customFormat="1" ht="13" x14ac:dyDescent="0.35">
      <c r="A70" s="800"/>
      <c r="B70" s="1105"/>
      <c r="C70" s="661"/>
      <c r="D70" s="682"/>
      <c r="E70" s="1078"/>
      <c r="F70" s="682"/>
      <c r="G70" s="805"/>
      <c r="H70" s="709"/>
      <c r="I70" s="726">
        <f>IF(studie!N677="","",studie!N677)</f>
        <v>11.991251827683138</v>
      </c>
      <c r="J70" s="685"/>
      <c r="K70" s="782"/>
      <c r="L70" s="1329"/>
      <c r="M70" s="716">
        <f>IF(studie!R677="","",studie!R677)</f>
        <v>5.5</v>
      </c>
      <c r="N70" s="841" t="str">
        <f>IF(studie!S677="","",studie!S677)</f>
        <v/>
      </c>
      <c r="O70" s="841" t="str">
        <f>IF(studie!T677="","",studie!T677)</f>
        <v/>
      </c>
      <c r="P70" s="1335" t="str">
        <f>IF(studie!U677="","",studie!U677)</f>
        <v/>
      </c>
      <c r="Q70" s="685">
        <f>IF(studie!W677="","",studie!W677)</f>
        <v>4.6353960876850095</v>
      </c>
      <c r="R70" s="764"/>
    </row>
    <row r="71" spans="1:18" s="208" customFormat="1" ht="13" x14ac:dyDescent="0.35">
      <c r="A71" s="1899">
        <f>IF(studie!B678="","",studie!B678)</f>
        <v>4.1500000000000004</v>
      </c>
      <c r="B71" s="852"/>
      <c r="C71" s="662" t="str">
        <f>IF(studie!D678="","",studie!D678)</f>
        <v>C1</v>
      </c>
      <c r="D71" s="630"/>
      <c r="E71" s="1079">
        <f>IF(studie!I678="","",studie!I678)</f>
        <v>0.57531280672340879</v>
      </c>
      <c r="F71" s="630"/>
      <c r="G71" s="806">
        <f>IF(studie!K678="","",studie!K678)</f>
        <v>20000</v>
      </c>
      <c r="H71" s="710"/>
      <c r="I71" s="728">
        <f>IF(studie!N678="","",studie!N678)</f>
        <v>11.506256134468176</v>
      </c>
      <c r="J71" s="686"/>
      <c r="K71" s="830"/>
      <c r="L71" s="1330">
        <f>IF(studie!P678="","",studie!P678)</f>
        <v>-7.2938662212854553</v>
      </c>
      <c r="M71" s="718">
        <f>IF(studie!R678="","",studie!R678)</f>
        <v>20</v>
      </c>
      <c r="N71" s="844">
        <f>IF(studie!S678="","",studie!S678)</f>
        <v>21</v>
      </c>
      <c r="O71" s="844">
        <f>IF(studie!T678="","",studie!T678)</f>
        <v>22</v>
      </c>
      <c r="P71" s="1336">
        <f>IF(studie!U678="","",studie!U678)</f>
        <v>-18.367346938775512</v>
      </c>
      <c r="Q71" s="686">
        <f>IF(studie!W678="","",studie!W678)</f>
        <v>0.57531280672340879</v>
      </c>
      <c r="R71" s="855"/>
    </row>
    <row r="72" spans="1:18" s="208" customFormat="1" ht="13" x14ac:dyDescent="0.35">
      <c r="A72" s="798"/>
      <c r="B72" s="852"/>
      <c r="C72" s="634" t="str">
        <f>IF(studie!D679="","",studie!D679)</f>
        <v>C2</v>
      </c>
      <c r="D72" s="633"/>
      <c r="E72" s="1076">
        <f>IF(studie!I679="","",studie!I679)</f>
        <v>0.59040804796448643</v>
      </c>
      <c r="F72" s="633"/>
      <c r="G72" s="869">
        <f>IF(studie!K679="","",studie!K679)</f>
        <v>21000</v>
      </c>
      <c r="H72" s="707"/>
      <c r="I72" s="642">
        <f>IF(studie!N679="","",studie!N679)</f>
        <v>12.398569007254215</v>
      </c>
      <c r="J72" s="643"/>
      <c r="K72" s="780"/>
      <c r="L72" s="1327">
        <f>IF(studie!P679="","",studie!P679)</f>
        <v>-0.1044837157833598</v>
      </c>
      <c r="M72" s="640">
        <f>IF(studie!R679="","",studie!R679)</f>
        <v>23</v>
      </c>
      <c r="N72" s="874">
        <f>IF(studie!S679="","",studie!S679)</f>
        <v>24</v>
      </c>
      <c r="O72" s="874">
        <f>IF(studie!T679="","",studie!T679)</f>
        <v>25</v>
      </c>
      <c r="P72" s="1333">
        <f>IF(studie!U679="","",studie!U679)</f>
        <v>-6.1224489795918373</v>
      </c>
      <c r="Q72" s="643">
        <f>IF(studie!W679="","",studie!W679)</f>
        <v>0.53906821770670499</v>
      </c>
      <c r="R72" s="762"/>
    </row>
    <row r="73" spans="1:18" s="208" customFormat="1" ht="13" x14ac:dyDescent="0.35">
      <c r="A73" s="798"/>
      <c r="B73" s="852"/>
      <c r="C73" s="634" t="str">
        <f>IF(studie!D680="","",studie!D680)</f>
        <v>C3</v>
      </c>
      <c r="D73" s="633"/>
      <c r="E73" s="1076">
        <f>IF(studie!I680="","",studie!I680)</f>
        <v>0.60589936296832969</v>
      </c>
      <c r="F73" s="633"/>
      <c r="G73" s="869">
        <f>IF(studie!K680="","",studie!K680)</f>
        <v>22000</v>
      </c>
      <c r="H73" s="707"/>
      <c r="I73" s="642">
        <f>IF(studie!N680="","",studie!N680)</f>
        <v>13.329785985303253</v>
      </c>
      <c r="J73" s="643"/>
      <c r="K73" s="780"/>
      <c r="L73" s="1327">
        <f>IF(studie!P680="","",studie!P680)</f>
        <v>7.3983499370688008</v>
      </c>
      <c r="M73" s="640">
        <f>IF(studie!R680="","",studie!R680)</f>
        <v>26</v>
      </c>
      <c r="N73" s="874">
        <f>IF(studie!S680="","",studie!S680)</f>
        <v>27</v>
      </c>
      <c r="O73" s="874">
        <f>IF(studie!T680="","",studie!T680)</f>
        <v>28</v>
      </c>
      <c r="P73" s="1333">
        <f>IF(studie!U680="","",studie!U680)</f>
        <v>6.1224489795918373</v>
      </c>
      <c r="Q73" s="643">
        <f>IF(studie!W680="","",studie!W680)</f>
        <v>0.51268407635781743</v>
      </c>
      <c r="R73" s="762"/>
    </row>
    <row r="74" spans="1:18" s="208" customFormat="1" ht="13" x14ac:dyDescent="0.35">
      <c r="A74" s="798"/>
      <c r="B74" s="852"/>
      <c r="C74" s="660" t="str">
        <f>IF(studie!D681="","",studie!D681)</f>
        <v/>
      </c>
      <c r="D74" s="681"/>
      <c r="E74" s="1077" t="str">
        <f>IF(studie!I681="","",studie!I681)</f>
        <v/>
      </c>
      <c r="F74" s="681"/>
      <c r="G74" s="870" t="str">
        <f>IF(studie!K681="","",studie!K681)</f>
        <v/>
      </c>
      <c r="H74" s="708"/>
      <c r="I74" s="724" t="str">
        <f>IF(studie!N681="","",studie!N681)</f>
        <v/>
      </c>
      <c r="J74" s="684"/>
      <c r="K74" s="781"/>
      <c r="L74" s="1328" t="str">
        <f>IF(studie!P681="","",studie!P681)</f>
        <v/>
      </c>
      <c r="M74" s="714">
        <f>IF(studie!R681="","",studie!R681)</f>
        <v>29</v>
      </c>
      <c r="N74" s="838">
        <f>IF(studie!S681="","",studie!S681)</f>
        <v>30</v>
      </c>
      <c r="O74" s="838">
        <f>IF(studie!T681="","",studie!T681)</f>
        <v>31</v>
      </c>
      <c r="P74" s="1334">
        <f>IF(studie!U681="","",studie!U681)</f>
        <v>18.367346938775512</v>
      </c>
      <c r="Q74" s="684" t="str">
        <f>IF(studie!W681="","",studie!W681)</f>
        <v/>
      </c>
      <c r="R74" s="763"/>
    </row>
    <row r="75" spans="1:18" s="208" customFormat="1" ht="13.5" thickBot="1" x14ac:dyDescent="0.4">
      <c r="A75" s="775"/>
      <c r="B75" s="867"/>
      <c r="C75" s="663"/>
      <c r="D75" s="683"/>
      <c r="E75" s="1080"/>
      <c r="F75" s="683"/>
      <c r="G75" s="831"/>
      <c r="H75" s="742"/>
      <c r="I75" s="730">
        <f>IF(studie!N683="","",studie!N683)</f>
        <v>12.411537042341882</v>
      </c>
      <c r="J75" s="687"/>
      <c r="K75" s="783"/>
      <c r="L75" s="1331" t="str">
        <f>IF(studie!Q683="","",studie!Q683)</f>
        <v/>
      </c>
      <c r="M75" s="720">
        <f>IF(studie!R683="","",studie!R683)</f>
        <v>24.5</v>
      </c>
      <c r="N75" s="847" t="str">
        <f>IF(studie!S683="","",studie!S683)</f>
        <v/>
      </c>
      <c r="O75" s="847" t="str">
        <f>IF(studie!T683="","",studie!T683)</f>
        <v/>
      </c>
      <c r="P75" s="1337" t="str">
        <f>IF(studie!U683="","",studie!U683)</f>
        <v/>
      </c>
      <c r="Q75" s="687">
        <f>IF(studie!W683="","",studie!W683)</f>
        <v>0.54235503359597714</v>
      </c>
      <c r="R75" s="765"/>
    </row>
    <row r="76" spans="1:18" s="208" customFormat="1" ht="12.75" customHeight="1" x14ac:dyDescent="0.35"/>
    <row r="77" spans="1:18" ht="12.75" customHeight="1" x14ac:dyDescent="0.35"/>
    <row r="78" spans="1:18" ht="12.75" customHeight="1" x14ac:dyDescent="0.35"/>
    <row r="79" spans="1:18" ht="12.75" customHeight="1" x14ac:dyDescent="0.35">
      <c r="C79" s="1445" t="str">
        <f>IF(studie!E655="J","","PROEVEN NIET UITGEVOERD !")</f>
        <v/>
      </c>
    </row>
    <row r="80" spans="1:18"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77" t="str">
        <f>'VN1'!$A$53</f>
        <v>801/64/</v>
      </c>
      <c r="B111" s="2277"/>
      <c r="C111" s="267" t="str">
        <f>algemeen!$J$66</f>
        <v>2010/13RE-1234/0</v>
      </c>
      <c r="D111" s="267"/>
      <c r="E111" s="268"/>
      <c r="F111" s="268"/>
      <c r="G111" s="268"/>
      <c r="H111" s="268"/>
      <c r="I111" s="269" t="str">
        <f>"blz. "&amp;berekeningen!N3+1&amp;" /"</f>
        <v>blz. 19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sheetData>
  <sheetProtection algorithmName="SHA-512" hashValue="PTTuEpg4h5/E0Mq2Uj5ShG0jrh/NtA2yQTZWDYGU0CslLXjeL3IyVw86plZkxGFskt+dS6UfIcCU4A0HnRc8ug==" saltValue="usTmYOuZoVAC8mvt4qc6SQ==" spinCount="100000" sheet="1" objects="1" scenarios="1"/>
  <mergeCells count="2">
    <mergeCell ref="A54:B54"/>
    <mergeCell ref="A111:B111"/>
  </mergeCells>
  <pageMargins left="0.59055118110236227" right="0.19685039370078741" top="0.59055118110236227" bottom="0.59055118110236227" header="0.31496062992125984" footer="0.31496062992125984"/>
  <pageSetup paperSize="9" orientation="portrait" r:id="rId1"/>
  <rowBreaks count="1" manualBreakCount="1">
    <brk id="54"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66"/>
  </sheetPr>
  <dimension ref="A1:AF83"/>
  <sheetViews>
    <sheetView workbookViewId="0">
      <selection activeCell="Y27" sqref="Y27"/>
    </sheetView>
  </sheetViews>
  <sheetFormatPr defaultRowHeight="14.5" x14ac:dyDescent="0.35"/>
  <cols>
    <col min="1" max="20" width="4.7265625" customWidth="1"/>
    <col min="21" max="21" width="3.7265625" customWidth="1"/>
    <col min="22" max="22" width="4.7265625" customWidth="1"/>
    <col min="23" max="30" width="5.7265625" customWidth="1"/>
  </cols>
  <sheetData>
    <row r="1" spans="1:32" ht="15.5" x14ac:dyDescent="0.35">
      <c r="A1" s="1421" t="s">
        <v>899</v>
      </c>
      <c r="B1" s="1422"/>
      <c r="C1" s="1422"/>
      <c r="D1" s="924"/>
      <c r="E1" s="924"/>
      <c r="F1" s="924"/>
      <c r="G1" s="924"/>
      <c r="H1" s="924"/>
      <c r="I1" s="924"/>
      <c r="J1" s="924"/>
      <c r="K1" s="924"/>
      <c r="L1" s="924"/>
      <c r="M1" s="1422" t="s">
        <v>785</v>
      </c>
      <c r="N1" s="1422"/>
      <c r="O1" s="1422"/>
      <c r="P1" s="1422"/>
      <c r="Q1" s="924"/>
      <c r="R1" s="924"/>
      <c r="S1" s="924"/>
      <c r="T1" s="924"/>
      <c r="U1" s="925"/>
      <c r="W1" s="1386"/>
      <c r="X1" s="1386"/>
      <c r="Y1" s="1386"/>
      <c r="Z1" s="1386"/>
      <c r="AA1" s="1386"/>
      <c r="AB1" s="1386"/>
      <c r="AC1" s="1386"/>
      <c r="AD1" s="1386"/>
    </row>
    <row r="2" spans="1:32" x14ac:dyDescent="0.35">
      <c r="A2" s="926"/>
      <c r="B2" s="779" t="str">
        <f>algemeen!E4</f>
        <v>ASFALT PRODUCTIE BEDRIJF nv</v>
      </c>
      <c r="N2" s="1123" t="str">
        <f>IF($AB$2=1,algemeen!E21,IF($AB$2=2,algemeen!H21,algemeen!K21))</f>
        <v>ABC nv</v>
      </c>
      <c r="O2" s="317"/>
      <c r="P2" s="317"/>
      <c r="U2" s="927"/>
      <c r="W2" s="1387"/>
      <c r="X2" s="1389" t="s">
        <v>785</v>
      </c>
      <c r="Y2" s="1388"/>
      <c r="Z2" s="1388"/>
      <c r="AA2" s="1388"/>
      <c r="AB2" s="1576">
        <v>1</v>
      </c>
      <c r="AC2" s="1697" t="s">
        <v>1329</v>
      </c>
      <c r="AD2" s="1387"/>
      <c r="AF2" s="1700" t="s">
        <v>1467</v>
      </c>
    </row>
    <row r="3" spans="1:32" x14ac:dyDescent="0.35">
      <c r="A3" s="926"/>
      <c r="B3" s="779" t="str">
        <f>algemeen!E5</f>
        <v>Dendermondsesteenweg 123</v>
      </c>
      <c r="N3" s="1123" t="str">
        <f>IF($AB$2=1,algemeen!E22,IF($AB$2=2,algemeen!H22,algemeen!K22))</f>
        <v>straat 1</v>
      </c>
      <c r="O3" s="317"/>
      <c r="P3" s="317"/>
      <c r="U3" s="927"/>
      <c r="W3" s="1387"/>
      <c r="X3" s="1387"/>
      <c r="Y3" s="1387"/>
      <c r="Z3" s="1387"/>
      <c r="AA3" s="1387"/>
      <c r="AB3" s="1387"/>
      <c r="AC3" s="1387"/>
      <c r="AD3" s="1387"/>
      <c r="AF3" s="1700" t="s">
        <v>1468</v>
      </c>
    </row>
    <row r="4" spans="1:32" x14ac:dyDescent="0.35">
      <c r="A4" s="926"/>
      <c r="B4" s="779" t="str">
        <f>algemeen!E6</f>
        <v>1234 Brussel</v>
      </c>
      <c r="N4" s="2337">
        <f>IF($AB$2=1,algemeen!E23,IF($AB$2=2,algemeen!H23,algemeen!K23))</f>
        <v>1000</v>
      </c>
      <c r="O4" s="2337">
        <f>IF($AB$2=1,algemeen!E18,IF($AB$2=2,algemeen!H18,algemeen!K18))</f>
        <v>0</v>
      </c>
      <c r="P4" s="1123" t="str">
        <f>IF($AB$2=1,algemeen!E24,IF($AB$2=2,algemeen!H24,algemeen!K24))</f>
        <v>Gaurain-Ramecroix</v>
      </c>
      <c r="U4" s="927"/>
    </row>
    <row r="5" spans="1:32" ht="13.15" customHeight="1" thickBot="1" x14ac:dyDescent="0.4">
      <c r="A5" s="928"/>
      <c r="B5" s="929"/>
      <c r="C5" s="929"/>
      <c r="D5" s="929"/>
      <c r="E5" s="929"/>
      <c r="F5" s="929"/>
      <c r="G5" s="929"/>
      <c r="H5" s="929"/>
      <c r="I5" s="929"/>
      <c r="J5" s="933">
        <v>1137</v>
      </c>
      <c r="K5" s="930"/>
      <c r="L5" s="929"/>
      <c r="M5" s="929"/>
      <c r="N5" s="929"/>
      <c r="O5" s="929"/>
      <c r="P5" s="929"/>
      <c r="Q5" s="929"/>
      <c r="R5" s="929"/>
      <c r="S5" s="929"/>
      <c r="T5" s="929"/>
      <c r="U5" s="931"/>
      <c r="W5" s="1699" t="s">
        <v>1473</v>
      </c>
      <c r="X5" s="1699"/>
    </row>
    <row r="6" spans="1:32" ht="13.15" customHeight="1" x14ac:dyDescent="0.35">
      <c r="A6" s="926"/>
      <c r="J6" s="934">
        <f>algemeen!G79</f>
        <v>39563</v>
      </c>
      <c r="K6" s="935"/>
      <c r="U6" s="927"/>
      <c r="W6" s="1699" t="s">
        <v>1105</v>
      </c>
      <c r="X6" s="1699" t="s">
        <v>1478</v>
      </c>
    </row>
    <row r="7" spans="1:32" ht="15" thickBot="1" x14ac:dyDescent="0.4">
      <c r="A7" s="926"/>
      <c r="H7" s="327" t="str">
        <f>IF($AB$2=1,"DoP: "&amp;algemeen!E29,IF($AB$2=2,"DoP: "&amp;algemeen!H29,"DoP: "&amp;algemeen!K29))</f>
        <v>DoP: 0801/3100-CPR-2014/03/18</v>
      </c>
      <c r="I7" s="935"/>
      <c r="J7" s="935"/>
      <c r="K7" s="935"/>
      <c r="L7" s="935"/>
      <c r="M7" s="935"/>
      <c r="N7" s="935"/>
      <c r="U7" s="927"/>
      <c r="W7" s="1699" t="s">
        <v>1107</v>
      </c>
      <c r="X7" s="1699" t="s">
        <v>1474</v>
      </c>
    </row>
    <row r="8" spans="1:32" x14ac:dyDescent="0.35">
      <c r="A8" s="923"/>
      <c r="B8" s="924"/>
      <c r="C8" s="924"/>
      <c r="D8" s="924"/>
      <c r="E8" s="924"/>
      <c r="F8" s="924"/>
      <c r="G8" s="940" t="str">
        <f>IF(algemeen!$F$40="","",algemeen!D48)</f>
        <v xml:space="preserve">EN 13108-1 (2006) + EN 13108-1/AC (2008) </v>
      </c>
      <c r="H8" s="941"/>
      <c r="I8" s="941"/>
      <c r="J8" s="941"/>
      <c r="K8" s="941"/>
      <c r="L8" s="941"/>
      <c r="M8" s="941"/>
      <c r="N8" s="941"/>
      <c r="O8" s="924"/>
      <c r="P8" s="924"/>
      <c r="Q8" s="924"/>
      <c r="R8" s="924"/>
      <c r="S8" s="924"/>
      <c r="T8" s="924"/>
      <c r="U8" s="925"/>
      <c r="W8" s="1699" t="s">
        <v>1108</v>
      </c>
      <c r="X8" s="1699" t="s">
        <v>1475</v>
      </c>
    </row>
    <row r="9" spans="1:32" x14ac:dyDescent="0.35">
      <c r="A9" s="926"/>
      <c r="G9" s="936"/>
      <c r="H9" s="935"/>
      <c r="I9" s="935"/>
      <c r="J9" s="939" t="str">
        <f>algemeen!F41&amp;"   "</f>
        <v xml:space="preserve">AC 20 onderlaag 50/70   </v>
      </c>
      <c r="K9" s="935"/>
      <c r="L9" s="937" t="str">
        <f>IF($AB$2=1,berekeningen!D5&amp;"/",IF($AB$2=2,berekeningen!G5&amp;"/",berekeningen!J5&amp;"/"))</f>
        <v>801/64/</v>
      </c>
      <c r="M9" s="938" t="str">
        <f>IF(algemeen!$E$62="N","",algemeen!J66)</f>
        <v>2010/13RE-1234/0</v>
      </c>
      <c r="N9" s="935"/>
      <c r="U9" s="927"/>
      <c r="W9" s="1699"/>
      <c r="X9" s="1699" t="s">
        <v>1476</v>
      </c>
    </row>
    <row r="10" spans="1:32" ht="15" thickBot="1" x14ac:dyDescent="0.4">
      <c r="A10" s="798" t="str">
        <f>IF(algemeen!F44="","",algemeen!F44)</f>
        <v>voor onderlagen van asfaltverhardingen</v>
      </c>
      <c r="B10" s="1114"/>
      <c r="C10" s="1114"/>
      <c r="D10" s="1114"/>
      <c r="E10" s="1114"/>
      <c r="F10" s="1114"/>
      <c r="G10" s="593"/>
      <c r="H10" s="1114"/>
      <c r="I10" s="1114"/>
      <c r="J10" s="1114"/>
      <c r="K10" s="1114"/>
      <c r="L10" s="1114"/>
      <c r="M10" s="1114"/>
      <c r="N10" s="1114"/>
      <c r="O10" s="1114"/>
      <c r="P10" s="1114"/>
      <c r="Q10" s="1114"/>
      <c r="R10" s="1114"/>
      <c r="S10" s="1114"/>
      <c r="T10" s="1114"/>
      <c r="U10" s="1115"/>
    </row>
    <row r="11" spans="1:32" ht="12.4" customHeight="1" x14ac:dyDescent="0.35">
      <c r="A11" s="1408" t="s">
        <v>1057</v>
      </c>
      <c r="B11" s="1409"/>
      <c r="C11" s="1409"/>
      <c r="D11" s="1409"/>
      <c r="E11" s="1409"/>
      <c r="F11" s="1409"/>
      <c r="G11" s="1410"/>
      <c r="H11" s="1409"/>
      <c r="I11" s="1411" t="s">
        <v>629</v>
      </c>
      <c r="J11" s="1409"/>
      <c r="K11" s="1409"/>
      <c r="L11" s="1412"/>
      <c r="M11" s="2334" t="s">
        <v>1385</v>
      </c>
      <c r="N11" s="2334"/>
      <c r="O11" s="2334"/>
      <c r="P11" s="2334"/>
      <c r="Q11" s="2334"/>
      <c r="R11" s="2334"/>
      <c r="S11" s="2334"/>
      <c r="T11" s="2334"/>
      <c r="U11" s="2335"/>
      <c r="W11" s="1577">
        <v>1</v>
      </c>
      <c r="X11" s="1577">
        <v>2</v>
      </c>
      <c r="Y11" s="1577">
        <v>3</v>
      </c>
      <c r="Z11" s="1577">
        <v>4</v>
      </c>
      <c r="AA11" s="1577">
        <v>5</v>
      </c>
      <c r="AB11" s="1577">
        <v>6</v>
      </c>
      <c r="AC11" s="1577">
        <v>7</v>
      </c>
      <c r="AD11" s="1577">
        <v>9</v>
      </c>
    </row>
    <row r="12" spans="1:32" ht="12.4" customHeight="1" x14ac:dyDescent="0.35">
      <c r="A12" s="250" t="s">
        <v>1066</v>
      </c>
      <c r="B12" s="208"/>
      <c r="F12" s="208"/>
      <c r="G12" s="208">
        <f>IF(berekeningen!D$9=0,"",berekeningen!D$9)</f>
        <v>40</v>
      </c>
      <c r="H12" s="208" t="str">
        <f>IF(G12="","","mm:")</f>
        <v>mm:</v>
      </c>
      <c r="I12" s="566"/>
      <c r="J12" s="1121">
        <f>IF(G12="","",samenstelling!K$109)</f>
        <v>99.999735647425894</v>
      </c>
      <c r="K12" s="208" t="str">
        <f t="shared" ref="K12:K25" si="0">IF(G12="","","%")</f>
        <v>%</v>
      </c>
      <c r="L12" s="1158"/>
      <c r="M12" s="1425" t="s">
        <v>333</v>
      </c>
      <c r="N12" s="329"/>
      <c r="O12" s="318"/>
      <c r="P12" s="318"/>
      <c r="Q12" s="318"/>
      <c r="R12" s="318"/>
      <c r="S12" s="318"/>
      <c r="T12" s="318"/>
      <c r="U12" s="337"/>
      <c r="W12" s="1578" t="s">
        <v>1142</v>
      </c>
      <c r="X12" s="1578" t="s">
        <v>1142</v>
      </c>
      <c r="Y12" s="1578" t="s">
        <v>1142</v>
      </c>
      <c r="Z12" s="1578" t="s">
        <v>1142</v>
      </c>
      <c r="AA12" s="1578" t="s">
        <v>1142</v>
      </c>
      <c r="AB12" s="1578" t="s">
        <v>1142</v>
      </c>
      <c r="AC12" s="1578" t="s">
        <v>1142</v>
      </c>
      <c r="AD12" s="1578" t="s">
        <v>1142</v>
      </c>
    </row>
    <row r="13" spans="1:32" s="206" customFormat="1" ht="12.4" customHeight="1" x14ac:dyDescent="0.35">
      <c r="A13" s="250" t="s">
        <v>1067</v>
      </c>
      <c r="B13" s="208"/>
      <c r="F13" s="208"/>
      <c r="G13" s="208">
        <f>IF(berekeningen!E$9=0,"",berekeningen!E$9)</f>
        <v>31.5</v>
      </c>
      <c r="H13" s="208" t="str">
        <f t="shared" ref="H13:H25" si="1">IF(G13="","","mm:")</f>
        <v>mm:</v>
      </c>
      <c r="I13" s="566"/>
      <c r="J13" s="1121">
        <f>IF(G13="","",samenstelling!L$109)</f>
        <v>99.999735647425894</v>
      </c>
      <c r="K13" s="208" t="str">
        <f t="shared" si="0"/>
        <v>%</v>
      </c>
      <c r="L13" s="1159"/>
      <c r="M13" s="566"/>
      <c r="N13" s="208"/>
      <c r="O13" s="208"/>
      <c r="P13" s="208"/>
      <c r="Q13" s="208"/>
      <c r="R13" s="208"/>
      <c r="S13" s="208"/>
      <c r="T13" s="208"/>
      <c r="U13" s="608"/>
      <c r="W13" s="1578" t="s">
        <v>1142</v>
      </c>
      <c r="X13" s="1578" t="s">
        <v>1142</v>
      </c>
      <c r="Y13" s="1578" t="s">
        <v>1142</v>
      </c>
      <c r="Z13" s="1578" t="s">
        <v>1142</v>
      </c>
      <c r="AA13" s="1578" t="s">
        <v>1142</v>
      </c>
      <c r="AB13" s="1578" t="s">
        <v>1142</v>
      </c>
      <c r="AC13" s="1578" t="s">
        <v>1142</v>
      </c>
      <c r="AD13" s="1578" t="s">
        <v>1142</v>
      </c>
    </row>
    <row r="14" spans="1:32" s="206" customFormat="1" ht="12.4" customHeight="1" x14ac:dyDescent="0.35">
      <c r="A14" s="250"/>
      <c r="B14" s="208"/>
      <c r="F14" s="208"/>
      <c r="G14" s="208">
        <f>IF(berekeningen!F$9=0,"",berekeningen!F$9)</f>
        <v>20</v>
      </c>
      <c r="H14" s="208" t="str">
        <f t="shared" si="1"/>
        <v>mm:</v>
      </c>
      <c r="I14" s="566"/>
      <c r="J14" s="1121">
        <f>IF(G14="","",samenstelling!M$109)</f>
        <v>99.948735647425877</v>
      </c>
      <c r="K14" s="208" t="str">
        <f t="shared" si="0"/>
        <v>%</v>
      </c>
      <c r="L14" s="1159"/>
      <c r="M14" s="566"/>
      <c r="N14" s="208"/>
      <c r="O14" s="208"/>
      <c r="P14" s="208"/>
      <c r="Q14" s="208"/>
      <c r="R14" s="208"/>
      <c r="S14" s="208"/>
      <c r="T14" s="208"/>
      <c r="U14" s="608"/>
      <c r="W14" s="1578" t="s">
        <v>1142</v>
      </c>
      <c r="X14" s="1578" t="s">
        <v>1142</v>
      </c>
      <c r="Y14" s="1578" t="s">
        <v>1142</v>
      </c>
      <c r="Z14" s="1578" t="s">
        <v>1142</v>
      </c>
      <c r="AA14" s="1578" t="s">
        <v>1142</v>
      </c>
      <c r="AB14" s="1578" t="s">
        <v>1142</v>
      </c>
      <c r="AC14" s="1578" t="s">
        <v>1142</v>
      </c>
      <c r="AD14" s="1578" t="s">
        <v>1142</v>
      </c>
    </row>
    <row r="15" spans="1:32" s="206" customFormat="1" ht="12.4" customHeight="1" x14ac:dyDescent="0.35">
      <c r="A15" s="250"/>
      <c r="B15" s="208"/>
      <c r="F15" s="208"/>
      <c r="G15" s="208">
        <f>IF(berekeningen!G$9=0,"",berekeningen!G$9)</f>
        <v>16</v>
      </c>
      <c r="H15" s="208" t="str">
        <f t="shared" si="1"/>
        <v>mm:</v>
      </c>
      <c r="I15" s="566"/>
      <c r="J15" s="1121">
        <f>IF(G15="","",samenstelling!N$109)</f>
        <v>97.500735647425884</v>
      </c>
      <c r="K15" s="208" t="str">
        <f t="shared" si="0"/>
        <v>%</v>
      </c>
      <c r="L15" s="1159"/>
      <c r="M15" s="566"/>
      <c r="N15" s="208"/>
      <c r="O15" s="208"/>
      <c r="P15" s="208"/>
      <c r="Q15" s="208"/>
      <c r="R15" s="208"/>
      <c r="S15" s="208"/>
      <c r="T15" s="208"/>
      <c r="U15" s="608"/>
      <c r="W15" s="1578" t="s">
        <v>1142</v>
      </c>
      <c r="X15" s="1578" t="s">
        <v>1142</v>
      </c>
      <c r="Y15" s="1578" t="s">
        <v>1142</v>
      </c>
      <c r="Z15" s="1578" t="s">
        <v>1142</v>
      </c>
      <c r="AA15" s="1578" t="s">
        <v>1142</v>
      </c>
      <c r="AB15" s="1578" t="s">
        <v>1142</v>
      </c>
      <c r="AC15" s="1578" t="s">
        <v>1142</v>
      </c>
      <c r="AD15" s="1578" t="s">
        <v>1142</v>
      </c>
    </row>
    <row r="16" spans="1:32" s="206" customFormat="1" ht="12.4" customHeight="1" x14ac:dyDescent="0.35">
      <c r="A16" s="250"/>
      <c r="B16" s="208"/>
      <c r="F16" s="208"/>
      <c r="G16" s="208">
        <f>IF(berekeningen!H$9=0,"",berekeningen!H$9)</f>
        <v>14</v>
      </c>
      <c r="H16" s="208" t="str">
        <f t="shared" si="1"/>
        <v>mm:</v>
      </c>
      <c r="I16" s="566"/>
      <c r="J16" s="1121">
        <f>IF(G16="","",samenstelling!O$109)</f>
        <v>95.868735647425879</v>
      </c>
      <c r="K16" s="208" t="str">
        <f t="shared" si="0"/>
        <v>%</v>
      </c>
      <c r="L16" s="1159"/>
      <c r="M16" s="566"/>
      <c r="N16" s="208"/>
      <c r="O16" s="208"/>
      <c r="P16" s="208"/>
      <c r="Q16" s="208"/>
      <c r="R16" s="208"/>
      <c r="S16" s="208"/>
      <c r="T16" s="208"/>
      <c r="U16" s="608"/>
      <c r="W16" s="1578" t="s">
        <v>1142</v>
      </c>
      <c r="X16" s="1578" t="s">
        <v>1142</v>
      </c>
      <c r="Y16" s="1578" t="s">
        <v>1142</v>
      </c>
      <c r="Z16" s="1578" t="s">
        <v>1142</v>
      </c>
      <c r="AA16" s="1578" t="s">
        <v>1142</v>
      </c>
      <c r="AB16" s="1578" t="s">
        <v>1142</v>
      </c>
      <c r="AC16" s="1578" t="s">
        <v>1142</v>
      </c>
      <c r="AD16" s="1578" t="s">
        <v>1142</v>
      </c>
    </row>
    <row r="17" spans="1:30" s="206" customFormat="1" ht="12.4" customHeight="1" x14ac:dyDescent="0.35">
      <c r="A17" s="250"/>
      <c r="B17" s="208"/>
      <c r="F17" s="208"/>
      <c r="G17" s="208">
        <f>IF(berekeningen!I$9=0,"",berekeningen!I$9)</f>
        <v>12.5</v>
      </c>
      <c r="H17" s="208" t="str">
        <f t="shared" si="1"/>
        <v>mm:</v>
      </c>
      <c r="I17" s="566"/>
      <c r="J17" s="1121">
        <f>IF(G17="","",samenstelling!P$109)</f>
        <v>92.553735647425881</v>
      </c>
      <c r="K17" s="208" t="str">
        <f t="shared" si="0"/>
        <v>%</v>
      </c>
      <c r="L17" s="1159"/>
      <c r="M17" s="566"/>
      <c r="N17" s="208"/>
      <c r="O17" s="208"/>
      <c r="P17" s="208"/>
      <c r="Q17" s="208"/>
      <c r="R17" s="208"/>
      <c r="S17" s="208"/>
      <c r="T17" s="208"/>
      <c r="U17" s="608"/>
      <c r="W17" s="1578" t="s">
        <v>1142</v>
      </c>
      <c r="X17" s="1578" t="s">
        <v>1142</v>
      </c>
      <c r="Y17" s="1578" t="s">
        <v>1142</v>
      </c>
      <c r="Z17" s="1578" t="s">
        <v>1142</v>
      </c>
      <c r="AA17" s="1578" t="s">
        <v>1142</v>
      </c>
      <c r="AB17" s="1578" t="s">
        <v>1142</v>
      </c>
      <c r="AC17" s="1578" t="s">
        <v>1142</v>
      </c>
      <c r="AD17" s="1578" t="s">
        <v>1142</v>
      </c>
    </row>
    <row r="18" spans="1:30" s="206" customFormat="1" ht="12.4" customHeight="1" x14ac:dyDescent="0.35">
      <c r="A18" s="250"/>
      <c r="B18" s="208"/>
      <c r="F18" s="208"/>
      <c r="G18" s="208">
        <f>IF(berekeningen!J$9=0,"",berekeningen!J$9)</f>
        <v>10</v>
      </c>
      <c r="H18" s="208" t="str">
        <f t="shared" si="1"/>
        <v>mm:</v>
      </c>
      <c r="I18" s="566"/>
      <c r="J18" s="1121">
        <f>IF(G18="","",samenstelling!Q$109)</f>
        <v>89.666735647425881</v>
      </c>
      <c r="K18" s="208" t="str">
        <f t="shared" si="0"/>
        <v>%</v>
      </c>
      <c r="L18" s="1159"/>
      <c r="M18" s="566"/>
      <c r="N18" s="208"/>
      <c r="O18" s="208"/>
      <c r="P18" s="208"/>
      <c r="Q18" s="208"/>
      <c r="R18" s="208"/>
      <c r="S18" s="208"/>
      <c r="T18" s="208"/>
      <c r="U18" s="608"/>
      <c r="W18" s="1578" t="s">
        <v>1142</v>
      </c>
      <c r="X18" s="1578" t="s">
        <v>1142</v>
      </c>
      <c r="Y18" s="1578" t="s">
        <v>1142</v>
      </c>
      <c r="Z18" s="1578" t="s">
        <v>1142</v>
      </c>
      <c r="AA18" s="1578" t="s">
        <v>1142</v>
      </c>
      <c r="AB18" s="1578" t="s">
        <v>1142</v>
      </c>
      <c r="AC18" s="1578" t="s">
        <v>1142</v>
      </c>
      <c r="AD18" s="1578" t="s">
        <v>1142</v>
      </c>
    </row>
    <row r="19" spans="1:30" s="206" customFormat="1" ht="12.4" customHeight="1" x14ac:dyDescent="0.35">
      <c r="A19" s="250"/>
      <c r="B19" s="208"/>
      <c r="F19" s="208"/>
      <c r="G19" s="208">
        <f>IF(berekeningen!K$9=0,"",berekeningen!K$9)</f>
        <v>8</v>
      </c>
      <c r="H19" s="208" t="str">
        <f t="shared" si="1"/>
        <v>mm:</v>
      </c>
      <c r="I19" s="566"/>
      <c r="J19" s="1121">
        <f>IF(G19="","",samenstelling!R$109)</f>
        <v>68.318617082683289</v>
      </c>
      <c r="K19" s="208" t="str">
        <f t="shared" si="0"/>
        <v>%</v>
      </c>
      <c r="L19" s="1159"/>
      <c r="M19" s="566"/>
      <c r="N19" s="208"/>
      <c r="O19" s="208"/>
      <c r="P19" s="208"/>
      <c r="Q19" s="208"/>
      <c r="R19" s="208"/>
      <c r="S19" s="208"/>
      <c r="T19" s="208"/>
      <c r="U19" s="608"/>
      <c r="W19" s="1578" t="s">
        <v>1142</v>
      </c>
      <c r="X19" s="1578" t="s">
        <v>1142</v>
      </c>
      <c r="Y19" s="1578" t="s">
        <v>1142</v>
      </c>
      <c r="Z19" s="1578" t="s">
        <v>1142</v>
      </c>
      <c r="AA19" s="1578" t="s">
        <v>1142</v>
      </c>
      <c r="AB19" s="1578" t="s">
        <v>1142</v>
      </c>
      <c r="AC19" s="1578" t="s">
        <v>1142</v>
      </c>
      <c r="AD19" s="1578" t="s">
        <v>1142</v>
      </c>
    </row>
    <row r="20" spans="1:30" s="206" customFormat="1" ht="12.4" customHeight="1" x14ac:dyDescent="0.35">
      <c r="A20" s="250"/>
      <c r="B20" s="208"/>
      <c r="F20" s="208"/>
      <c r="G20" s="208">
        <f>IF(berekeningen!L$9=0,"",berekeningen!L$9)</f>
        <v>6.3</v>
      </c>
      <c r="H20" s="208" t="str">
        <f t="shared" si="1"/>
        <v>mm:</v>
      </c>
      <c r="I20" s="566"/>
      <c r="J20" s="1121">
        <f>IF(G20="","",samenstelling!S$109)</f>
        <v>47.600398517940718</v>
      </c>
      <c r="K20" s="208" t="str">
        <f t="shared" si="0"/>
        <v>%</v>
      </c>
      <c r="L20" s="1159"/>
      <c r="M20" s="566"/>
      <c r="N20" s="208"/>
      <c r="O20" s="208"/>
      <c r="P20" s="208"/>
      <c r="Q20" s="208"/>
      <c r="R20" s="208"/>
      <c r="S20" s="208"/>
      <c r="T20" s="208"/>
      <c r="U20" s="608"/>
      <c r="W20" s="1578" t="s">
        <v>1142</v>
      </c>
      <c r="X20" s="1578" t="s">
        <v>1142</v>
      </c>
      <c r="Y20" s="1578" t="s">
        <v>1142</v>
      </c>
      <c r="Z20" s="1578" t="s">
        <v>1142</v>
      </c>
      <c r="AA20" s="1578" t="s">
        <v>1142</v>
      </c>
      <c r="AB20" s="1578" t="s">
        <v>1142</v>
      </c>
      <c r="AC20" s="1578" t="s">
        <v>1142</v>
      </c>
      <c r="AD20" s="1578" t="s">
        <v>1142</v>
      </c>
    </row>
    <row r="21" spans="1:30" s="206" customFormat="1" ht="12.4" customHeight="1" x14ac:dyDescent="0.35">
      <c r="A21" s="250"/>
      <c r="B21" s="208"/>
      <c r="F21" s="208"/>
      <c r="G21" s="208">
        <f>IF(berekeningen!M$9=0,"",berekeningen!M$9)</f>
        <v>4</v>
      </c>
      <c r="H21" s="208" t="str">
        <f t="shared" si="1"/>
        <v>mm:</v>
      </c>
      <c r="I21" s="566"/>
      <c r="J21" s="1121">
        <f>IF(G21="","",samenstelling!T$109)</f>
        <v>38.531179953198126</v>
      </c>
      <c r="K21" s="208" t="str">
        <f t="shared" si="0"/>
        <v>%</v>
      </c>
      <c r="L21" s="1159"/>
      <c r="M21" s="566"/>
      <c r="N21" s="208"/>
      <c r="O21" s="208"/>
      <c r="P21" s="208"/>
      <c r="Q21" s="208"/>
      <c r="R21" s="208"/>
      <c r="S21" s="208"/>
      <c r="T21" s="208"/>
      <c r="U21" s="608"/>
      <c r="W21" s="1578" t="s">
        <v>1142</v>
      </c>
      <c r="X21" s="1578" t="s">
        <v>1142</v>
      </c>
      <c r="Y21" s="1578" t="s">
        <v>1142</v>
      </c>
      <c r="Z21" s="1578" t="s">
        <v>1142</v>
      </c>
      <c r="AA21" s="1578" t="s">
        <v>1142</v>
      </c>
      <c r="AB21" s="1578" t="s">
        <v>1142</v>
      </c>
      <c r="AC21" s="1578" t="s">
        <v>1142</v>
      </c>
      <c r="AD21" s="1578" t="s">
        <v>1142</v>
      </c>
    </row>
    <row r="22" spans="1:30" s="206" customFormat="1" ht="12.4" customHeight="1" x14ac:dyDescent="0.35">
      <c r="A22" s="250"/>
      <c r="B22" s="208"/>
      <c r="F22" s="208"/>
      <c r="G22" s="208">
        <f>IF(berekeningen!N$9=0,"",berekeningen!N$9)</f>
        <v>2</v>
      </c>
      <c r="H22" s="208" t="str">
        <f t="shared" si="1"/>
        <v>mm:</v>
      </c>
      <c r="I22" s="566"/>
      <c r="J22" s="1121">
        <f>IF(G22="","",samenstelling!U$109)</f>
        <v>28.32396138845554</v>
      </c>
      <c r="K22" s="208" t="str">
        <f t="shared" si="0"/>
        <v>%</v>
      </c>
      <c r="L22" s="1159"/>
      <c r="M22" s="566"/>
      <c r="N22" s="208"/>
      <c r="O22" s="208"/>
      <c r="P22" s="208"/>
      <c r="Q22" s="208"/>
      <c r="R22" s="208"/>
      <c r="S22" s="208"/>
      <c r="T22" s="208"/>
      <c r="U22" s="608"/>
      <c r="W22" s="1578" t="s">
        <v>1142</v>
      </c>
      <c r="X22" s="1578" t="s">
        <v>1142</v>
      </c>
      <c r="Y22" s="1578" t="s">
        <v>1142</v>
      </c>
      <c r="Z22" s="1578" t="s">
        <v>1142</v>
      </c>
      <c r="AA22" s="1578" t="s">
        <v>1142</v>
      </c>
      <c r="AB22" s="1578" t="s">
        <v>1142</v>
      </c>
      <c r="AC22" s="1578" t="s">
        <v>1142</v>
      </c>
      <c r="AD22" s="1578" t="s">
        <v>1142</v>
      </c>
    </row>
    <row r="23" spans="1:30" s="206" customFormat="1" ht="12.4" customHeight="1" x14ac:dyDescent="0.35">
      <c r="A23" s="250"/>
      <c r="B23" s="208"/>
      <c r="F23" s="208"/>
      <c r="G23" s="208">
        <f>IF(berekeningen!O$9=0,"",berekeningen!O$9)</f>
        <v>1</v>
      </c>
      <c r="H23" s="208" t="str">
        <f t="shared" si="1"/>
        <v>mm:</v>
      </c>
      <c r="I23" s="566"/>
      <c r="J23" s="1121">
        <f>IF(G23="","",samenstelling!V$109)</f>
        <v>23.058242823712948</v>
      </c>
      <c r="K23" s="208" t="str">
        <f t="shared" si="0"/>
        <v>%</v>
      </c>
      <c r="L23" s="1159"/>
      <c r="M23" s="566"/>
      <c r="N23" s="208"/>
      <c r="O23" s="208"/>
      <c r="P23" s="208"/>
      <c r="Q23" s="208"/>
      <c r="R23" s="208"/>
      <c r="S23" s="208"/>
      <c r="T23" s="208"/>
      <c r="U23" s="608"/>
      <c r="W23" s="1578" t="s">
        <v>1142</v>
      </c>
      <c r="X23" s="1578" t="s">
        <v>1142</v>
      </c>
      <c r="Y23" s="1578" t="s">
        <v>1142</v>
      </c>
      <c r="Z23" s="1578" t="s">
        <v>1142</v>
      </c>
      <c r="AA23" s="1578" t="s">
        <v>1142</v>
      </c>
      <c r="AB23" s="1578" t="s">
        <v>1142</v>
      </c>
      <c r="AC23" s="1578" t="s">
        <v>1142</v>
      </c>
      <c r="AD23" s="1578" t="s">
        <v>1142</v>
      </c>
    </row>
    <row r="24" spans="1:30" s="206" customFormat="1" ht="12.4" customHeight="1" x14ac:dyDescent="0.35">
      <c r="A24" s="250"/>
      <c r="B24" s="208"/>
      <c r="F24" s="208"/>
      <c r="G24" s="208">
        <f>IF(berekeningen!P$9=0,"",berekeningen!P$9)</f>
        <v>0.5</v>
      </c>
      <c r="H24" s="208" t="str">
        <f t="shared" si="1"/>
        <v>mm:</v>
      </c>
      <c r="I24" s="566"/>
      <c r="J24" s="1121">
        <f>IF(G24="","",samenstelling!W$109)</f>
        <v>18.557524258970361</v>
      </c>
      <c r="K24" s="208" t="str">
        <f t="shared" si="0"/>
        <v>%</v>
      </c>
      <c r="L24" s="1159"/>
      <c r="M24" s="566"/>
      <c r="N24" s="208"/>
      <c r="O24" s="208"/>
      <c r="P24" s="208"/>
      <c r="Q24" s="208"/>
      <c r="R24" s="208"/>
      <c r="S24" s="208"/>
      <c r="T24" s="208"/>
      <c r="U24" s="608"/>
      <c r="W24" s="1578" t="s">
        <v>1142</v>
      </c>
      <c r="X24" s="1578" t="s">
        <v>1142</v>
      </c>
      <c r="Y24" s="1578" t="s">
        <v>1142</v>
      </c>
      <c r="Z24" s="1578" t="s">
        <v>1142</v>
      </c>
      <c r="AA24" s="1578" t="s">
        <v>1142</v>
      </c>
      <c r="AB24" s="1578" t="s">
        <v>1142</v>
      </c>
      <c r="AC24" s="1578" t="s">
        <v>1142</v>
      </c>
      <c r="AD24" s="1578" t="s">
        <v>1142</v>
      </c>
    </row>
    <row r="25" spans="1:30" s="206" customFormat="1" ht="12.4" customHeight="1" x14ac:dyDescent="0.35">
      <c r="A25" s="250"/>
      <c r="B25" s="208"/>
      <c r="F25" s="208"/>
      <c r="G25" s="296">
        <f>IF(berekeningen!Q$9=0,"",berekeningen!Q$9)</f>
        <v>0.25</v>
      </c>
      <c r="H25" s="208" t="str">
        <f t="shared" si="1"/>
        <v>mm:</v>
      </c>
      <c r="I25" s="566"/>
      <c r="J25" s="1121">
        <f>IF(G25="","",samenstelling!X$109)</f>
        <v>14.974805694227769</v>
      </c>
      <c r="K25" s="208" t="str">
        <f t="shared" si="0"/>
        <v>%</v>
      </c>
      <c r="L25" s="1159"/>
      <c r="M25" s="566"/>
      <c r="N25" s="208"/>
      <c r="O25" s="208"/>
      <c r="P25" s="208"/>
      <c r="Q25" s="208"/>
      <c r="R25" s="208"/>
      <c r="S25" s="208"/>
      <c r="T25" s="208"/>
      <c r="U25" s="608"/>
      <c r="W25" s="1578" t="s">
        <v>1142</v>
      </c>
      <c r="X25" s="1578" t="s">
        <v>1142</v>
      </c>
      <c r="Y25" s="1578" t="s">
        <v>1142</v>
      </c>
      <c r="Z25" s="1578" t="s">
        <v>1142</v>
      </c>
      <c r="AA25" s="1578" t="s">
        <v>1142</v>
      </c>
      <c r="AB25" s="1578" t="s">
        <v>1142</v>
      </c>
      <c r="AC25" s="1578" t="s">
        <v>1142</v>
      </c>
      <c r="AD25" s="1578" t="s">
        <v>1142</v>
      </c>
    </row>
    <row r="26" spans="1:30" s="206" customFormat="1" ht="12.4" customHeight="1" x14ac:dyDescent="0.35">
      <c r="A26" s="250"/>
      <c r="B26" s="208"/>
      <c r="F26" s="2336">
        <f>IF(berekeningen!R$9=0,"",berekeningen!R$9)</f>
        <v>0.125</v>
      </c>
      <c r="G26" s="2336"/>
      <c r="H26" s="208" t="str">
        <f>IF(F26="","","mm:")</f>
        <v>mm:</v>
      </c>
      <c r="I26" s="566"/>
      <c r="J26" s="1121">
        <f>IF(F26="","",samenstelling!Y$109)</f>
        <v>11.405659629485179</v>
      </c>
      <c r="K26" s="208" t="str">
        <f>IF(F26="","","%")</f>
        <v>%</v>
      </c>
      <c r="L26" s="1159"/>
      <c r="M26" s="566"/>
      <c r="N26" s="208"/>
      <c r="O26" s="208"/>
      <c r="P26" s="208"/>
      <c r="Q26" s="208"/>
      <c r="R26" s="208"/>
      <c r="S26" s="208"/>
      <c r="T26" s="208"/>
      <c r="U26" s="608"/>
      <c r="W26" s="1578" t="s">
        <v>1142</v>
      </c>
      <c r="X26" s="1578" t="s">
        <v>1142</v>
      </c>
      <c r="Y26" s="1578" t="s">
        <v>1142</v>
      </c>
      <c r="Z26" s="1578" t="s">
        <v>1142</v>
      </c>
      <c r="AA26" s="1578" t="s">
        <v>1142</v>
      </c>
      <c r="AB26" s="1578" t="s">
        <v>1142</v>
      </c>
      <c r="AC26" s="1578" t="s">
        <v>1142</v>
      </c>
      <c r="AD26" s="1578" t="s">
        <v>1142</v>
      </c>
    </row>
    <row r="27" spans="1:30" s="206" customFormat="1" ht="12.4" customHeight="1" x14ac:dyDescent="0.35">
      <c r="A27" s="250"/>
      <c r="B27" s="208"/>
      <c r="F27" s="2336">
        <f>IF(berekeningen!S$9=0,"",berekeningen!S$9)</f>
        <v>6.3E-2</v>
      </c>
      <c r="G27" s="2336"/>
      <c r="H27" s="208" t="str">
        <f>IF(F27="","","mm:")</f>
        <v>mm:</v>
      </c>
      <c r="I27" s="566"/>
      <c r="J27" s="1113">
        <f>IF(F27="","",samenstelling!Z$109)</f>
        <v>7.8679135647425893</v>
      </c>
      <c r="K27" s="208" t="str">
        <f>IF(F27="","","%")</f>
        <v>%</v>
      </c>
      <c r="L27" s="1159"/>
      <c r="M27" s="566"/>
      <c r="N27" s="208"/>
      <c r="O27" s="208"/>
      <c r="P27" s="208"/>
      <c r="Q27" s="208"/>
      <c r="R27" s="208"/>
      <c r="S27" s="208"/>
      <c r="T27" s="208"/>
      <c r="U27" s="608"/>
      <c r="W27" s="1578" t="s">
        <v>1142</v>
      </c>
      <c r="X27" s="1578" t="s">
        <v>1142</v>
      </c>
      <c r="Y27" s="1578" t="s">
        <v>1142</v>
      </c>
      <c r="Z27" s="1578" t="s">
        <v>1142</v>
      </c>
      <c r="AA27" s="1578" t="s">
        <v>1142</v>
      </c>
      <c r="AB27" s="1578" t="s">
        <v>1142</v>
      </c>
      <c r="AC27" s="1578" t="s">
        <v>1142</v>
      </c>
      <c r="AD27" s="1578" t="s">
        <v>1142</v>
      </c>
    </row>
    <row r="28" spans="1:30" s="206" customFormat="1" ht="12.4" customHeight="1" x14ac:dyDescent="0.35">
      <c r="A28" s="251" t="s">
        <v>905</v>
      </c>
      <c r="B28" s="252"/>
      <c r="C28" s="252"/>
      <c r="D28" s="252"/>
      <c r="E28" s="252"/>
      <c r="F28" s="252"/>
      <c r="G28" s="252"/>
      <c r="H28" s="252"/>
      <c r="I28" s="1413"/>
      <c r="J28" s="286">
        <f>samenstelling!G176</f>
        <v>3.805679</v>
      </c>
      <c r="K28" s="252" t="s">
        <v>182</v>
      </c>
      <c r="L28" s="1163"/>
      <c r="M28" s="594" t="str">
        <f>studie!I7</f>
        <v>EN 12697-1</v>
      </c>
      <c r="N28" s="252"/>
      <c r="O28" s="252"/>
      <c r="P28" s="252" t="str">
        <f>studie!J8</f>
        <v>B.2.1</v>
      </c>
      <c r="Q28" s="252"/>
      <c r="R28" s="252"/>
      <c r="S28" s="252"/>
      <c r="T28" s="252"/>
      <c r="U28" s="261"/>
      <c r="W28" s="1578" t="s">
        <v>1142</v>
      </c>
      <c r="X28" s="1578" t="s">
        <v>1142</v>
      </c>
      <c r="Y28" s="1578" t="s">
        <v>1142</v>
      </c>
      <c r="Z28" s="1578" t="s">
        <v>1142</v>
      </c>
      <c r="AA28" s="1578" t="s">
        <v>1142</v>
      </c>
      <c r="AB28" s="1578" t="s">
        <v>1142</v>
      </c>
      <c r="AC28" s="1578" t="s">
        <v>1142</v>
      </c>
      <c r="AD28" s="1578" t="s">
        <v>1142</v>
      </c>
    </row>
    <row r="29" spans="1:30" s="206" customFormat="1" ht="12.4" customHeight="1" x14ac:dyDescent="0.3">
      <c r="A29" s="251" t="str">
        <f>IF(studie!K727="","","Bindmiddelvolume:")</f>
        <v>Bindmiddelvolume:</v>
      </c>
      <c r="B29" s="252"/>
      <c r="C29" s="252"/>
      <c r="D29" s="252"/>
      <c r="E29" s="252"/>
      <c r="F29" s="252"/>
      <c r="G29" s="252"/>
      <c r="H29" s="252"/>
      <c r="I29" s="1413"/>
      <c r="J29" s="1164" t="str">
        <f>IF(studie!K727="","","B")</f>
        <v>B</v>
      </c>
      <c r="K29" s="1165" t="str">
        <f>IF(studie!K727="","","vol"&amp;studie!K727)</f>
        <v>vol13,5</v>
      </c>
      <c r="L29" s="1163"/>
      <c r="M29" s="594" t="s">
        <v>1386</v>
      </c>
      <c r="N29" s="252"/>
      <c r="O29" s="252"/>
      <c r="P29" s="252"/>
      <c r="Q29" s="252"/>
      <c r="R29" s="252"/>
      <c r="S29" s="252"/>
      <c r="T29" s="252"/>
      <c r="U29" s="261"/>
      <c r="W29" s="1420" t="s">
        <v>745</v>
      </c>
      <c r="X29" s="1420" t="s">
        <v>745</v>
      </c>
      <c r="Y29" s="1420" t="s">
        <v>745</v>
      </c>
      <c r="Z29" s="1382" t="s">
        <v>1142</v>
      </c>
      <c r="AA29" s="1420" t="s">
        <v>745</v>
      </c>
      <c r="AB29" s="1420" t="s">
        <v>745</v>
      </c>
      <c r="AC29" s="1420" t="s">
        <v>745</v>
      </c>
      <c r="AD29" s="1420" t="s">
        <v>745</v>
      </c>
    </row>
    <row r="30" spans="1:30" s="206" customFormat="1" ht="12.4" customHeight="1" x14ac:dyDescent="0.3">
      <c r="A30" s="275" t="str">
        <f>IF(AND(studie!F263="",studie!F264=""),"","Holle ruimte:")</f>
        <v>Holle ruimte:</v>
      </c>
      <c r="B30" s="207"/>
      <c r="C30" s="207"/>
      <c r="D30" s="207"/>
      <c r="E30" s="207"/>
      <c r="F30" s="207"/>
      <c r="G30" s="207"/>
      <c r="H30" s="207"/>
      <c r="I30" s="1414"/>
      <c r="J30" s="1168"/>
      <c r="K30" s="1424"/>
      <c r="L30" s="1167"/>
      <c r="M30" s="601" t="str">
        <f>"EN 13108-20 methode "&amp;studie!L226</f>
        <v>EN 13108-20 methode C.1.7</v>
      </c>
      <c r="N30" s="207"/>
      <c r="O30" s="207"/>
      <c r="P30" s="207"/>
      <c r="Q30" s="207"/>
      <c r="R30" s="207"/>
      <c r="S30" s="207"/>
      <c r="T30" s="207"/>
      <c r="U30" s="280"/>
      <c r="W30" s="1578" t="s">
        <v>1142</v>
      </c>
      <c r="X30" s="1578" t="s">
        <v>1142</v>
      </c>
      <c r="Y30" s="1578" t="s">
        <v>1142</v>
      </c>
      <c r="Z30" s="1578" t="s">
        <v>1142</v>
      </c>
      <c r="AA30" s="1578" t="s">
        <v>1142</v>
      </c>
      <c r="AB30" s="1579" t="s">
        <v>745</v>
      </c>
      <c r="AC30" s="1578" t="s">
        <v>1142</v>
      </c>
      <c r="AD30" s="1578" t="s">
        <v>1142</v>
      </c>
    </row>
    <row r="31" spans="1:30" s="206" customFormat="1" ht="12.4" customHeight="1" x14ac:dyDescent="0.3">
      <c r="A31" s="250"/>
      <c r="B31" s="208"/>
      <c r="C31" s="208"/>
      <c r="D31" s="208"/>
      <c r="E31" s="208"/>
      <c r="F31" s="208"/>
      <c r="G31" s="208"/>
      <c r="H31" s="208"/>
      <c r="I31" s="1407"/>
      <c r="J31" s="1117" t="str">
        <f>IF(studie!F263="","","V")</f>
        <v>V</v>
      </c>
      <c r="K31" s="942" t="str">
        <f>IF(studie!F263="","","min"&amp;studie!F263)</f>
        <v>min2,0</v>
      </c>
      <c r="L31" s="1159"/>
      <c r="M31" s="566" t="str">
        <f>studie!K160&amp;" methode "&amp;studie!L227</f>
        <v>EN 12697-6 methode C</v>
      </c>
      <c r="N31" s="208"/>
      <c r="O31" s="208"/>
      <c r="P31" s="208"/>
      <c r="Q31" s="208"/>
      <c r="R31" s="208"/>
      <c r="S31" s="208"/>
      <c r="T31" s="208"/>
      <c r="U31" s="608"/>
      <c r="W31" s="1578" t="s">
        <v>1142</v>
      </c>
      <c r="X31" s="1579" t="s">
        <v>745</v>
      </c>
      <c r="Y31" s="1578" t="s">
        <v>1142</v>
      </c>
      <c r="Z31" s="1578" t="s">
        <v>1142</v>
      </c>
      <c r="AA31" s="1578" t="s">
        <v>1142</v>
      </c>
      <c r="AB31" s="1579" t="s">
        <v>745</v>
      </c>
      <c r="AC31" s="1578" t="s">
        <v>1142</v>
      </c>
      <c r="AD31" s="1578" t="s">
        <v>1142</v>
      </c>
    </row>
    <row r="32" spans="1:30" s="206" customFormat="1" ht="12.4" customHeight="1" x14ac:dyDescent="0.3">
      <c r="A32" s="250"/>
      <c r="B32" s="208"/>
      <c r="C32" s="208"/>
      <c r="D32" s="208"/>
      <c r="E32" s="208"/>
      <c r="F32" s="208"/>
      <c r="G32" s="208"/>
      <c r="H32" s="208"/>
      <c r="I32" s="1407"/>
      <c r="J32" s="1117" t="str">
        <f>IF(studie!F264="","","V")</f>
        <v>V</v>
      </c>
      <c r="K32" s="942" t="str">
        <f>IF(studie!F264="","","max"&amp;studie!F264)</f>
        <v>max6</v>
      </c>
      <c r="L32" s="1159"/>
      <c r="M32" s="566" t="str">
        <f>studie!K228</f>
        <v>EN 12697-31</v>
      </c>
      <c r="N32" s="208"/>
      <c r="O32" s="208"/>
      <c r="P32" s="208" t="str">
        <f>IF(studie!K228="EN 12697-31",studie!J231&amp;" gyraties bij "&amp;studie!J233&amp;" °C","")</f>
        <v>60 gyraties bij 180 °C</v>
      </c>
      <c r="Q32" s="208"/>
      <c r="R32" s="208"/>
      <c r="S32" s="208"/>
      <c r="T32" s="208"/>
      <c r="U32" s="608"/>
      <c r="W32" s="1578" t="s">
        <v>1142</v>
      </c>
      <c r="X32" s="1579" t="s">
        <v>745</v>
      </c>
      <c r="Y32" s="1578" t="s">
        <v>1142</v>
      </c>
      <c r="Z32" s="1578" t="s">
        <v>1142</v>
      </c>
      <c r="AA32" s="1578" t="s">
        <v>1142</v>
      </c>
      <c r="AB32" s="1579" t="s">
        <v>745</v>
      </c>
      <c r="AC32" s="1578" t="s">
        <v>1142</v>
      </c>
      <c r="AD32" s="1578" t="s">
        <v>1142</v>
      </c>
    </row>
    <row r="33" spans="1:30" s="206" customFormat="1" ht="12.4" customHeight="1" x14ac:dyDescent="0.3">
      <c r="A33" s="250"/>
      <c r="B33" s="208"/>
      <c r="C33" s="208"/>
      <c r="D33" s="208"/>
      <c r="E33" s="208"/>
      <c r="F33" s="208"/>
      <c r="G33" s="208"/>
      <c r="H33" s="208"/>
      <c r="I33" s="1407"/>
      <c r="J33" s="1117" t="str">
        <f>IF(studie!F268="","","V")</f>
        <v>V</v>
      </c>
      <c r="K33" s="943" t="str">
        <f>IF(studie!F268="","","g"&amp;studie!F268)</f>
        <v>g12 tot 19</v>
      </c>
      <c r="L33" s="1159"/>
      <c r="M33" s="566"/>
      <c r="N33" s="208"/>
      <c r="O33" s="208"/>
      <c r="P33" s="208"/>
      <c r="Q33" s="208"/>
      <c r="R33" s="208"/>
      <c r="S33" s="208"/>
      <c r="T33" s="208"/>
      <c r="U33" s="608"/>
      <c r="W33" s="1420" t="s">
        <v>745</v>
      </c>
      <c r="X33" s="1382" t="s">
        <v>1142</v>
      </c>
      <c r="Y33" s="1420" t="s">
        <v>745</v>
      </c>
      <c r="Z33" s="1420" t="s">
        <v>745</v>
      </c>
      <c r="AA33" s="1420" t="s">
        <v>745</v>
      </c>
      <c r="AB33" s="1420" t="s">
        <v>745</v>
      </c>
      <c r="AC33" s="1420" t="s">
        <v>745</v>
      </c>
      <c r="AD33" s="1420" t="s">
        <v>745</v>
      </c>
    </row>
    <row r="34" spans="1:30" s="206" customFormat="1" ht="12.4" customHeight="1" x14ac:dyDescent="0.3">
      <c r="A34" s="250"/>
      <c r="B34" s="208"/>
      <c r="C34" s="208"/>
      <c r="D34" s="208"/>
      <c r="E34" s="208"/>
      <c r="F34" s="208"/>
      <c r="G34" s="208"/>
      <c r="H34" s="208"/>
      <c r="I34" s="1407"/>
      <c r="J34" s="1117" t="str">
        <f>IF(studie!F269="","","V")</f>
        <v>V</v>
      </c>
      <c r="K34" s="943" t="str">
        <f>IF(studie!F269="","","i"&amp;studie!F269)</f>
        <v>i3 tot 6</v>
      </c>
      <c r="L34" s="1159"/>
      <c r="M34" s="566"/>
      <c r="N34" s="208"/>
      <c r="O34" s="208"/>
      <c r="P34" s="208"/>
      <c r="Q34" s="208"/>
      <c r="R34" s="208"/>
      <c r="S34" s="208"/>
      <c r="T34" s="208"/>
      <c r="U34" s="608"/>
      <c r="W34" s="1420" t="s">
        <v>745</v>
      </c>
      <c r="X34" s="1382" t="s">
        <v>1142</v>
      </c>
      <c r="Y34" s="1420" t="s">
        <v>745</v>
      </c>
      <c r="Z34" s="1420" t="s">
        <v>745</v>
      </c>
      <c r="AA34" s="1420" t="s">
        <v>745</v>
      </c>
      <c r="AB34" s="1420" t="s">
        <v>745</v>
      </c>
      <c r="AC34" s="1420" t="s">
        <v>745</v>
      </c>
      <c r="AD34" s="1420" t="s">
        <v>745</v>
      </c>
    </row>
    <row r="35" spans="1:30" s="206" customFormat="1" ht="12.4" customHeight="1" x14ac:dyDescent="0.3">
      <c r="A35" s="270"/>
      <c r="B35" s="209"/>
      <c r="C35" s="209"/>
      <c r="D35" s="209"/>
      <c r="E35" s="209"/>
      <c r="F35" s="209"/>
      <c r="G35" s="209"/>
      <c r="H35" s="209"/>
      <c r="I35" s="1415"/>
      <c r="J35" s="1184" t="str">
        <f>IF(studie!F270="","","V")</f>
        <v>V</v>
      </c>
      <c r="K35" s="1172" t="str">
        <f>IF(studie!F270="","","v"&amp;studie!F270)</f>
        <v>v7 tot 10</v>
      </c>
      <c r="L35" s="1171"/>
      <c r="M35" s="566"/>
      <c r="N35" s="208"/>
      <c r="O35" s="208"/>
      <c r="P35" s="208"/>
      <c r="Q35" s="208"/>
      <c r="R35" s="208"/>
      <c r="S35" s="208"/>
      <c r="T35" s="208"/>
      <c r="U35" s="608"/>
      <c r="W35" s="1420" t="s">
        <v>745</v>
      </c>
      <c r="X35" s="1382" t="s">
        <v>1142</v>
      </c>
      <c r="Y35" s="1420" t="s">
        <v>745</v>
      </c>
      <c r="Z35" s="1420" t="s">
        <v>745</v>
      </c>
      <c r="AA35" s="1420" t="s">
        <v>745</v>
      </c>
      <c r="AB35" s="1420" t="s">
        <v>745</v>
      </c>
      <c r="AC35" s="1420" t="s">
        <v>745</v>
      </c>
      <c r="AD35" s="1420" t="s">
        <v>745</v>
      </c>
    </row>
    <row r="36" spans="1:30" s="206" customFormat="1" ht="12.4" customHeight="1" x14ac:dyDescent="0.3">
      <c r="A36" s="250" t="str">
        <f>IF(AND(studie!F265="",studie!F266=""),"","Holle ruimte gevuld met bitumen:")</f>
        <v>Holle ruimte gevuld met bitumen:</v>
      </c>
      <c r="B36" s="208"/>
      <c r="C36" s="208"/>
      <c r="D36" s="208"/>
      <c r="E36" s="208"/>
      <c r="F36" s="208"/>
      <c r="G36" s="208"/>
      <c r="H36" s="208"/>
      <c r="I36" s="1407"/>
      <c r="J36" s="1117" t="str">
        <f>IF(studie!F265="","","VFB")</f>
        <v>VFB</v>
      </c>
      <c r="K36" s="943" t="str">
        <f>IF(studie!F265="","","min"&amp;studie!F265)</f>
        <v>min70</v>
      </c>
      <c r="L36" s="1159"/>
      <c r="M36" s="566"/>
      <c r="N36" s="208"/>
      <c r="O36" s="208"/>
      <c r="P36" s="208"/>
      <c r="Q36" s="208"/>
      <c r="R36" s="208"/>
      <c r="S36" s="208"/>
      <c r="T36" s="208"/>
      <c r="U36" s="608"/>
      <c r="W36" s="1578" t="s">
        <v>1142</v>
      </c>
      <c r="X36" s="1579" t="s">
        <v>745</v>
      </c>
      <c r="Y36" s="1578" t="s">
        <v>1142</v>
      </c>
      <c r="Z36" s="1579" t="s">
        <v>745</v>
      </c>
      <c r="AA36" s="1578" t="s">
        <v>1142</v>
      </c>
      <c r="AB36" s="1579" t="s">
        <v>745</v>
      </c>
      <c r="AC36" s="1579" t="s">
        <v>745</v>
      </c>
      <c r="AD36" s="1579" t="s">
        <v>745</v>
      </c>
    </row>
    <row r="37" spans="1:30" s="206" customFormat="1" ht="12.4" customHeight="1" x14ac:dyDescent="0.3">
      <c r="A37" s="250"/>
      <c r="B37" s="208"/>
      <c r="C37" s="208"/>
      <c r="D37" s="208"/>
      <c r="E37" s="208"/>
      <c r="F37" s="208"/>
      <c r="G37" s="208"/>
      <c r="H37" s="208"/>
      <c r="I37" s="1407"/>
      <c r="J37" s="1117" t="str">
        <f>IF(studie!F266="","","VFB")</f>
        <v>VFB</v>
      </c>
      <c r="K37" s="943" t="str">
        <f>IF(studie!F266="","","max"&amp;studie!F266)</f>
        <v>max80</v>
      </c>
      <c r="L37" s="1159"/>
      <c r="M37" s="566"/>
      <c r="N37" s="208"/>
      <c r="O37" s="208"/>
      <c r="P37" s="208"/>
      <c r="Q37" s="208"/>
      <c r="R37" s="208"/>
      <c r="S37" s="208"/>
      <c r="T37" s="208"/>
      <c r="U37" s="608"/>
      <c r="W37" s="1578" t="s">
        <v>1142</v>
      </c>
      <c r="X37" s="1579" t="s">
        <v>745</v>
      </c>
      <c r="Y37" s="1578" t="s">
        <v>1142</v>
      </c>
      <c r="Z37" s="1579" t="s">
        <v>745</v>
      </c>
      <c r="AA37" s="1578" t="s">
        <v>1142</v>
      </c>
      <c r="AB37" s="1579" t="s">
        <v>745</v>
      </c>
      <c r="AC37" s="1579" t="s">
        <v>745</v>
      </c>
      <c r="AD37" s="1579" t="s">
        <v>745</v>
      </c>
    </row>
    <row r="38" spans="1:30" s="206" customFormat="1" ht="12.4" customHeight="1" x14ac:dyDescent="0.3">
      <c r="A38" s="251" t="str">
        <f>IF(studie!F267="","","Holle ruimte in mineraal toeslagmateriaal:")</f>
        <v>Holle ruimte in mineraal toeslagmateriaal:</v>
      </c>
      <c r="B38" s="252"/>
      <c r="C38" s="252"/>
      <c r="D38" s="252"/>
      <c r="E38" s="252"/>
      <c r="F38" s="252"/>
      <c r="G38" s="252"/>
      <c r="H38" s="252"/>
      <c r="I38" s="1413"/>
      <c r="J38" s="1164" t="str">
        <f>IF(studie!F267="","","VMA")</f>
        <v>VMA</v>
      </c>
      <c r="K38" s="1175" t="str">
        <f>IF(studie!F267="","","min"&amp;studie!F267)</f>
        <v>min14</v>
      </c>
      <c r="L38" s="1163"/>
      <c r="M38" s="600"/>
      <c r="N38" s="209"/>
      <c r="O38" s="209"/>
      <c r="P38" s="209"/>
      <c r="Q38" s="209"/>
      <c r="R38" s="209"/>
      <c r="S38" s="209"/>
      <c r="T38" s="209"/>
      <c r="U38" s="260"/>
      <c r="W38" s="1578" t="s">
        <v>1142</v>
      </c>
      <c r="X38" s="1579" t="s">
        <v>745</v>
      </c>
      <c r="Y38" s="1579" t="s">
        <v>745</v>
      </c>
      <c r="Z38" s="1579" t="s">
        <v>745</v>
      </c>
      <c r="AA38" s="1578" t="s">
        <v>1142</v>
      </c>
      <c r="AB38" s="1579" t="s">
        <v>745</v>
      </c>
      <c r="AC38" s="1579" t="s">
        <v>745</v>
      </c>
      <c r="AD38" s="1579" t="s">
        <v>745</v>
      </c>
    </row>
    <row r="39" spans="1:30" s="206" customFormat="1" ht="12.4" customHeight="1" x14ac:dyDescent="0.3">
      <c r="A39" s="437" t="s">
        <v>908</v>
      </c>
      <c r="B39" s="252"/>
      <c r="C39" s="252"/>
      <c r="D39" s="252"/>
      <c r="E39" s="252"/>
      <c r="F39" s="252"/>
      <c r="G39" s="252"/>
      <c r="H39" s="252"/>
      <c r="I39" s="1413"/>
      <c r="J39" s="438"/>
      <c r="K39" s="441" t="str">
        <f>algemeen!F129</f>
        <v>145-185</v>
      </c>
      <c r="L39" s="1163"/>
      <c r="M39" s="594" t="s">
        <v>1389</v>
      </c>
      <c r="N39" s="252"/>
      <c r="O39" s="252"/>
      <c r="P39" s="252"/>
      <c r="Q39" s="252"/>
      <c r="R39" s="252"/>
      <c r="S39" s="252"/>
      <c r="T39" s="252"/>
      <c r="U39" s="261"/>
      <c r="W39" s="1578" t="s">
        <v>1142</v>
      </c>
      <c r="X39" s="1578" t="s">
        <v>1142</v>
      </c>
      <c r="Y39" s="1578" t="s">
        <v>1142</v>
      </c>
      <c r="Z39" s="1578" t="s">
        <v>1142</v>
      </c>
      <c r="AA39" s="1578" t="s">
        <v>1142</v>
      </c>
      <c r="AB39" s="1578" t="s">
        <v>1142</v>
      </c>
      <c r="AC39" s="1578" t="s">
        <v>1142</v>
      </c>
      <c r="AD39" s="1578" t="s">
        <v>1142</v>
      </c>
    </row>
    <row r="40" spans="1:30" s="206" customFormat="1" ht="12.4" customHeight="1" x14ac:dyDescent="0.3">
      <c r="A40" s="275" t="str">
        <f>IF(studie!F320="","","Watergevoeligheid:")</f>
        <v>Watergevoeligheid:</v>
      </c>
      <c r="B40" s="207"/>
      <c r="C40" s="207"/>
      <c r="D40" s="207"/>
      <c r="E40" s="207"/>
      <c r="F40" s="207"/>
      <c r="G40" s="207"/>
      <c r="H40" s="207"/>
      <c r="I40" s="1414"/>
      <c r="J40" s="1168" t="str">
        <f>IF(studie!F320="","","ITSR")</f>
        <v>ITSR</v>
      </c>
      <c r="K40" s="1426">
        <f>IF(studie!F320="","",studie!F320)</f>
        <v>90</v>
      </c>
      <c r="L40" s="1167"/>
      <c r="M40" s="601" t="str">
        <f>"EN 13108-20 methode "&amp;studie!L279</f>
        <v>EN 13108-20 methode C.1.5</v>
      </c>
      <c r="N40" s="207"/>
      <c r="O40" s="207"/>
      <c r="P40" s="207"/>
      <c r="Q40" s="207"/>
      <c r="R40" s="207"/>
      <c r="S40" s="207"/>
      <c r="T40" s="207"/>
      <c r="U40" s="280"/>
      <c r="W40" s="1578" t="s">
        <v>1142</v>
      </c>
      <c r="X40" s="1578" t="s">
        <v>1142</v>
      </c>
      <c r="Y40" s="1578" t="s">
        <v>1142</v>
      </c>
      <c r="Z40" s="1578" t="s">
        <v>1142</v>
      </c>
      <c r="AA40" s="1578" t="s">
        <v>1142</v>
      </c>
      <c r="AB40" s="1579" t="s">
        <v>745</v>
      </c>
      <c r="AC40" s="1578" t="s">
        <v>1142</v>
      </c>
      <c r="AD40" s="1578" t="s">
        <v>1142</v>
      </c>
    </row>
    <row r="41" spans="1:30" s="206" customFormat="1" ht="12.4" customHeight="1" x14ac:dyDescent="0.3">
      <c r="A41" s="270"/>
      <c r="B41" s="209"/>
      <c r="C41" s="209"/>
      <c r="D41" s="209"/>
      <c r="E41" s="209"/>
      <c r="F41" s="209"/>
      <c r="G41" s="209"/>
      <c r="H41" s="209"/>
      <c r="I41" s="1415"/>
      <c r="J41" s="1184"/>
      <c r="K41" s="1427"/>
      <c r="L41" s="1171"/>
      <c r="M41" s="600" t="str">
        <f>studie!L281&amp;" "&amp;studie!N281&amp;" "&amp;", "&amp;studie!L282&amp;" bij "&amp;studie!L285&amp;" °C"</f>
        <v>EN 12697-12 Methode A , EN 12697-23 bij 25 °C</v>
      </c>
      <c r="N41" s="209"/>
      <c r="O41" s="209"/>
      <c r="P41" s="209"/>
      <c r="Q41" s="209"/>
      <c r="R41" s="209"/>
      <c r="S41" s="209"/>
      <c r="T41" s="209"/>
      <c r="U41" s="260"/>
      <c r="W41" s="1578" t="s">
        <v>1142</v>
      </c>
      <c r="X41" s="1578" t="s">
        <v>1142</v>
      </c>
      <c r="Y41" s="1578" t="s">
        <v>1142</v>
      </c>
      <c r="Z41" s="1578" t="s">
        <v>1142</v>
      </c>
      <c r="AA41" s="1578" t="s">
        <v>1142</v>
      </c>
      <c r="AB41" s="1579" t="s">
        <v>745</v>
      </c>
      <c r="AC41" s="1578" t="s">
        <v>1142</v>
      </c>
      <c r="AD41" s="1578" t="s">
        <v>1142</v>
      </c>
    </row>
    <row r="42" spans="1:30" s="206" customFormat="1" ht="12.4" customHeight="1" x14ac:dyDescent="0.3">
      <c r="A42" s="250" t="str">
        <f>IF(AND(J42="",J43=""),"","Stijfheid:")</f>
        <v>Stijfheid:</v>
      </c>
      <c r="B42" s="208"/>
      <c r="C42" s="208"/>
      <c r="D42" s="208"/>
      <c r="E42" s="208"/>
      <c r="F42" s="208"/>
      <c r="G42" s="208"/>
      <c r="H42" s="312"/>
      <c r="I42" s="1407"/>
      <c r="J42" s="1117" t="str">
        <f>IF(studie!F531="","","S")</f>
        <v>S</v>
      </c>
      <c r="K42" s="943" t="str">
        <f>IF(studie!F531="","","min"&amp;studie!F531)</f>
        <v>min9000</v>
      </c>
      <c r="L42" s="1159"/>
      <c r="M42" s="601" t="str">
        <f>"EN 13108-20 methode "&amp;studie!L520&amp;" en "&amp;studie!D526</f>
        <v>EN 13108-20 methode C.1.16 en D.3.1</v>
      </c>
      <c r="N42" s="208"/>
      <c r="O42" s="208"/>
      <c r="P42" s="208"/>
      <c r="Q42" s="208"/>
      <c r="R42" s="208"/>
      <c r="S42" s="208"/>
      <c r="T42" s="208"/>
      <c r="U42" s="608"/>
      <c r="W42" s="1578" t="s">
        <v>1142</v>
      </c>
      <c r="X42" s="1579" t="s">
        <v>745</v>
      </c>
      <c r="Y42" s="1579" t="s">
        <v>745</v>
      </c>
      <c r="Z42" s="1578" t="s">
        <v>1142</v>
      </c>
      <c r="AA42" s="1578" t="s">
        <v>1142</v>
      </c>
      <c r="AB42" s="1579" t="s">
        <v>745</v>
      </c>
      <c r="AC42" s="1579" t="s">
        <v>745</v>
      </c>
      <c r="AD42" s="1579" t="s">
        <v>745</v>
      </c>
    </row>
    <row r="43" spans="1:30" s="206" customFormat="1" ht="12.4" customHeight="1" x14ac:dyDescent="0.3">
      <c r="A43" s="250"/>
      <c r="B43" s="208"/>
      <c r="C43" s="208"/>
      <c r="D43" s="208"/>
      <c r="E43" s="208"/>
      <c r="F43" s="208"/>
      <c r="G43" s="208"/>
      <c r="H43" s="312"/>
      <c r="I43" s="1407"/>
      <c r="J43" s="1117" t="str">
        <f>IF(studie!F532="","","S")</f>
        <v>S</v>
      </c>
      <c r="K43" s="943" t="str">
        <f>IF(studie!F532="","","max"&amp;studie!F532)</f>
        <v>max12000</v>
      </c>
      <c r="L43" s="1159"/>
      <c r="M43" s="566" t="str">
        <f>studie!L518&amp;" bij "&amp;studie!G526&amp;" °C en "&amp;studie!I526&amp;" Hz"</f>
        <v>EN 12697-26 bij 15 °C en 10 Hz</v>
      </c>
      <c r="N43" s="208"/>
      <c r="O43" s="208"/>
      <c r="P43" s="208"/>
      <c r="Q43" s="208"/>
      <c r="R43" s="208"/>
      <c r="S43" s="208"/>
      <c r="T43" s="208"/>
      <c r="U43" s="608"/>
      <c r="W43" s="1578" t="s">
        <v>1142</v>
      </c>
      <c r="X43" s="1579" t="s">
        <v>745</v>
      </c>
      <c r="Y43" s="1579" t="s">
        <v>745</v>
      </c>
      <c r="Z43" s="1578" t="s">
        <v>1142</v>
      </c>
      <c r="AA43" s="1578" t="s">
        <v>1142</v>
      </c>
      <c r="AB43" s="1579" t="s">
        <v>745</v>
      </c>
      <c r="AC43" s="1579" t="s">
        <v>745</v>
      </c>
      <c r="AD43" s="1579" t="s">
        <v>745</v>
      </c>
    </row>
    <row r="44" spans="1:30" s="206" customFormat="1" ht="12.4" customHeight="1" x14ac:dyDescent="0.3">
      <c r="A44" s="275" t="str">
        <f>IF(AND(J44="",J46=""),"","Weerstand tegen vermoeiing:")</f>
        <v>Weerstand tegen vermoeiing:</v>
      </c>
      <c r="B44" s="207"/>
      <c r="C44" s="207"/>
      <c r="D44" s="207"/>
      <c r="E44" s="207"/>
      <c r="F44" s="207"/>
      <c r="G44" s="207"/>
      <c r="H44" s="283"/>
      <c r="I44" s="1414"/>
      <c r="J44" s="1428" t="str">
        <f>IF(studie!F554="","","e")</f>
        <v>e</v>
      </c>
      <c r="K44" s="1169" t="str">
        <f>IF(studie!F554="","","6-"&amp;studie!F554)</f>
        <v>6-120</v>
      </c>
      <c r="L44" s="1167"/>
      <c r="M44" s="601" t="str">
        <f>"EN 13108-20 methode "&amp;studie!L543&amp;" en "&amp;studie!D549</f>
        <v>EN 13108-20 methode C.1.16 en D.4.3</v>
      </c>
      <c r="N44" s="207"/>
      <c r="O44" s="207"/>
      <c r="P44" s="207"/>
      <c r="Q44" s="207"/>
      <c r="R44" s="207"/>
      <c r="S44" s="207"/>
      <c r="T44" s="207"/>
      <c r="U44" s="280"/>
      <c r="V44" s="208"/>
      <c r="W44" s="1580" t="s">
        <v>1142</v>
      </c>
      <c r="X44" s="1579" t="s">
        <v>745</v>
      </c>
      <c r="Y44" s="1579" t="s">
        <v>745</v>
      </c>
      <c r="Z44" s="1579" t="s">
        <v>745</v>
      </c>
      <c r="AA44" s="1578" t="s">
        <v>1142</v>
      </c>
      <c r="AB44" s="1579" t="s">
        <v>745</v>
      </c>
      <c r="AC44" s="1579" t="s">
        <v>745</v>
      </c>
      <c r="AD44" s="1579" t="s">
        <v>745</v>
      </c>
    </row>
    <row r="45" spans="1:30" s="206" customFormat="1" ht="12.4" customHeight="1" x14ac:dyDescent="0.3">
      <c r="A45" s="270"/>
      <c r="B45" s="209"/>
      <c r="C45" s="209"/>
      <c r="D45" s="209"/>
      <c r="E45" s="209"/>
      <c r="F45" s="209"/>
      <c r="G45" s="209"/>
      <c r="H45" s="265"/>
      <c r="I45" s="1415"/>
      <c r="J45" s="1429"/>
      <c r="K45" s="1172"/>
      <c r="L45" s="1171"/>
      <c r="M45" s="566" t="str">
        <f>studie!L541&amp;" bij "&amp;studie!G549&amp;" °C en "&amp;studie!I549&amp;" Hz"</f>
        <v>EN 12697-24 bij 15 °C en 10 Hz</v>
      </c>
      <c r="N45" s="209"/>
      <c r="O45" s="209"/>
      <c r="P45" s="209"/>
      <c r="Q45" s="209"/>
      <c r="R45" s="209"/>
      <c r="S45" s="209"/>
      <c r="T45" s="209"/>
      <c r="U45" s="260"/>
      <c r="V45" s="208"/>
      <c r="W45" s="1580" t="s">
        <v>1142</v>
      </c>
      <c r="X45" s="1579" t="s">
        <v>745</v>
      </c>
      <c r="Y45" s="1579" t="s">
        <v>745</v>
      </c>
      <c r="Z45" s="1579" t="s">
        <v>745</v>
      </c>
      <c r="AA45" s="1578" t="s">
        <v>1142</v>
      </c>
      <c r="AB45" s="1579" t="s">
        <v>745</v>
      </c>
      <c r="AC45" s="1579" t="s">
        <v>745</v>
      </c>
      <c r="AD45" s="1579" t="s">
        <v>745</v>
      </c>
    </row>
    <row r="46" spans="1:30" s="206" customFormat="1" ht="12.4" customHeight="1" x14ac:dyDescent="0.3">
      <c r="A46" s="250" t="str">
        <f>IF(AND(J46="",J47="",J48="",J50=""),"","Marshallwaarden:")</f>
        <v>Marshallwaarden:</v>
      </c>
      <c r="B46" s="208"/>
      <c r="C46" s="208"/>
      <c r="D46" s="208"/>
      <c r="E46" s="311" t="str">
        <f>IF(AND(studie!F693="",studie!F694=""),"","Stabiliteit:")</f>
        <v>Stabiliteit:</v>
      </c>
      <c r="F46" s="208"/>
      <c r="G46" s="208"/>
      <c r="H46" s="208"/>
      <c r="I46" s="1407"/>
      <c r="J46" s="1117" t="str">
        <f>IF(studie!F693="","","MS")</f>
        <v>MS</v>
      </c>
      <c r="K46" s="942" t="str">
        <f>IF(studie!F693="","","min"&amp;studie!F693)</f>
        <v>min15</v>
      </c>
      <c r="L46" s="1159"/>
      <c r="M46" s="601" t="str">
        <f>"EN 13108-20 methode "&amp;studie!L659</f>
        <v>EN 13108-20 methode C.1.7</v>
      </c>
      <c r="N46" s="208"/>
      <c r="O46" s="208"/>
      <c r="P46" s="208"/>
      <c r="Q46" s="208"/>
      <c r="R46" s="208"/>
      <c r="S46" s="208"/>
      <c r="T46" s="208"/>
      <c r="U46" s="608"/>
      <c r="V46" s="208"/>
      <c r="W46" s="1580" t="s">
        <v>1142</v>
      </c>
      <c r="X46" s="1579" t="s">
        <v>745</v>
      </c>
      <c r="Y46" s="1579" t="s">
        <v>745</v>
      </c>
      <c r="Z46" s="1579" t="s">
        <v>745</v>
      </c>
      <c r="AA46" s="1579" t="s">
        <v>745</v>
      </c>
      <c r="AB46" s="1579" t="s">
        <v>745</v>
      </c>
      <c r="AC46" s="1579" t="s">
        <v>745</v>
      </c>
      <c r="AD46" s="1579" t="s">
        <v>745</v>
      </c>
    </row>
    <row r="47" spans="1:30" s="206" customFormat="1" ht="12.4" customHeight="1" x14ac:dyDescent="0.3">
      <c r="A47" s="250"/>
      <c r="B47" s="208"/>
      <c r="C47" s="208"/>
      <c r="D47" s="208"/>
      <c r="E47" s="311"/>
      <c r="F47" s="208"/>
      <c r="G47" s="208"/>
      <c r="H47" s="208"/>
      <c r="I47" s="1407"/>
      <c r="J47" s="1117" t="str">
        <f>IF(studie!F694="","","MS")</f>
        <v>MS</v>
      </c>
      <c r="K47" s="942" t="str">
        <f>IF(studie!F694="","","max"&amp;studie!F694)</f>
        <v>max10</v>
      </c>
      <c r="L47" s="1159"/>
      <c r="M47" s="566" t="str">
        <f>studie!K661</f>
        <v>EN 12697-34</v>
      </c>
      <c r="N47" s="208"/>
      <c r="O47" s="208"/>
      <c r="P47" s="208"/>
      <c r="Q47" s="208"/>
      <c r="R47" s="208"/>
      <c r="S47" s="208"/>
      <c r="T47" s="208"/>
      <c r="U47" s="608"/>
      <c r="V47" s="208"/>
      <c r="W47" s="1580" t="s">
        <v>1142</v>
      </c>
      <c r="X47" s="1579" t="s">
        <v>745</v>
      </c>
      <c r="Y47" s="1579" t="s">
        <v>745</v>
      </c>
      <c r="Z47" s="1579" t="s">
        <v>745</v>
      </c>
      <c r="AA47" s="1579" t="s">
        <v>745</v>
      </c>
      <c r="AB47" s="1579" t="s">
        <v>745</v>
      </c>
      <c r="AC47" s="1579" t="s">
        <v>745</v>
      </c>
      <c r="AD47" s="1579" t="s">
        <v>745</v>
      </c>
    </row>
    <row r="48" spans="1:30" s="206" customFormat="1" ht="12.4" customHeight="1" x14ac:dyDescent="0.3">
      <c r="A48" s="250"/>
      <c r="B48" s="208"/>
      <c r="C48" s="208"/>
      <c r="D48" s="208"/>
      <c r="E48" s="311" t="str">
        <f>IF(studie!F695="","","Vloei:")</f>
        <v>Vloei:</v>
      </c>
      <c r="F48" s="208"/>
      <c r="G48" s="208"/>
      <c r="H48" s="208"/>
      <c r="I48" s="1407"/>
      <c r="J48" s="1117" t="str">
        <f>IF(studie!F695="","","F")</f>
        <v>F</v>
      </c>
      <c r="K48" s="942" t="str">
        <f>IF(studie!F695="","","min"&amp;studie!F695)</f>
        <v>min1</v>
      </c>
      <c r="L48" s="1159"/>
      <c r="M48" s="566"/>
      <c r="N48" s="208"/>
      <c r="O48" s="208"/>
      <c r="P48" s="208"/>
      <c r="Q48" s="208"/>
      <c r="R48" s="208"/>
      <c r="S48" s="208"/>
      <c r="T48" s="208"/>
      <c r="U48" s="608"/>
      <c r="V48" s="208"/>
      <c r="W48" s="1580" t="s">
        <v>1142</v>
      </c>
      <c r="X48" s="1579" t="s">
        <v>745</v>
      </c>
      <c r="Y48" s="1579" t="s">
        <v>745</v>
      </c>
      <c r="Z48" s="1579" t="s">
        <v>745</v>
      </c>
      <c r="AA48" s="1579" t="s">
        <v>745</v>
      </c>
      <c r="AB48" s="1579" t="s">
        <v>745</v>
      </c>
      <c r="AC48" s="1579" t="s">
        <v>745</v>
      </c>
      <c r="AD48" s="1579" t="s">
        <v>745</v>
      </c>
    </row>
    <row r="49" spans="1:30" s="206" customFormat="1" ht="12.4" customHeight="1" x14ac:dyDescent="0.3">
      <c r="A49" s="250"/>
      <c r="B49" s="208"/>
      <c r="C49" s="208"/>
      <c r="D49" s="208"/>
      <c r="E49" s="311"/>
      <c r="F49" s="208"/>
      <c r="G49" s="208"/>
      <c r="H49" s="208"/>
      <c r="I49" s="1407"/>
      <c r="J49" s="1117" t="str">
        <f>IF(studie!F696="","","F")</f>
        <v>F</v>
      </c>
      <c r="K49" s="942" t="str">
        <f>IF(studie!F696="","","max"&amp;studie!F696)</f>
        <v>max2,5</v>
      </c>
      <c r="L49" s="1159"/>
      <c r="M49" s="566"/>
      <c r="N49" s="208"/>
      <c r="O49" s="208"/>
      <c r="P49" s="208"/>
      <c r="Q49" s="208"/>
      <c r="R49" s="208"/>
      <c r="S49" s="208"/>
      <c r="T49" s="208"/>
      <c r="U49" s="608"/>
      <c r="V49" s="208"/>
      <c r="W49" s="1580" t="s">
        <v>1142</v>
      </c>
      <c r="X49" s="1579" t="s">
        <v>745</v>
      </c>
      <c r="Y49" s="1579" t="s">
        <v>745</v>
      </c>
      <c r="Z49" s="1579" t="s">
        <v>745</v>
      </c>
      <c r="AA49" s="1579" t="s">
        <v>745</v>
      </c>
      <c r="AB49" s="1579" t="s">
        <v>745</v>
      </c>
      <c r="AC49" s="1579" t="s">
        <v>745</v>
      </c>
      <c r="AD49" s="1579" t="s">
        <v>745</v>
      </c>
    </row>
    <row r="50" spans="1:30" s="206" customFormat="1" ht="12.4" customHeight="1" x14ac:dyDescent="0.3">
      <c r="A50" s="250"/>
      <c r="B50" s="208"/>
      <c r="C50" s="208"/>
      <c r="D50" s="208"/>
      <c r="E50" s="311" t="str">
        <f>IF(studie!F697="","","Quotiënt:")</f>
        <v>Quotiënt:</v>
      </c>
      <c r="F50" s="208"/>
      <c r="G50" s="208"/>
      <c r="H50" s="208"/>
      <c r="I50" s="1407"/>
      <c r="J50" s="1117" t="str">
        <f>IF(studie!F697="","","Q")</f>
        <v>Q</v>
      </c>
      <c r="K50" s="942" t="str">
        <f>IF(studie!F697="","","min"&amp;studie!F697)</f>
        <v>min2,5</v>
      </c>
      <c r="L50" s="1159"/>
      <c r="M50" s="566"/>
      <c r="N50" s="208"/>
      <c r="O50" s="208"/>
      <c r="P50" s="208"/>
      <c r="Q50" s="208"/>
      <c r="R50" s="208"/>
      <c r="S50" s="208"/>
      <c r="T50" s="208"/>
      <c r="U50" s="608"/>
      <c r="V50" s="208"/>
      <c r="W50" s="1580" t="s">
        <v>1142</v>
      </c>
      <c r="X50" s="1579" t="s">
        <v>745</v>
      </c>
      <c r="Y50" s="1579" t="s">
        <v>745</v>
      </c>
      <c r="Z50" s="1579" t="s">
        <v>745</v>
      </c>
      <c r="AA50" s="1579" t="s">
        <v>745</v>
      </c>
      <c r="AB50" s="1579" t="s">
        <v>745</v>
      </c>
      <c r="AC50" s="1579" t="s">
        <v>745</v>
      </c>
      <c r="AD50" s="1579" t="s">
        <v>745</v>
      </c>
    </row>
    <row r="51" spans="1:30" s="206" customFormat="1" ht="12.4" customHeight="1" x14ac:dyDescent="0.3">
      <c r="A51" s="275" t="str">
        <f>IF(K51="","","Weerstand tegen permanente vervorming:")</f>
        <v>Weerstand tegen permanente vervorming:</v>
      </c>
      <c r="B51" s="207"/>
      <c r="C51" s="207"/>
      <c r="D51" s="207"/>
      <c r="E51" s="207"/>
      <c r="F51" s="207"/>
      <c r="G51" s="207"/>
      <c r="H51" s="207"/>
      <c r="I51" s="1414"/>
      <c r="J51" s="1168" t="str">
        <f>IF(studie!F344="","",studie!E344)</f>
        <v>P</v>
      </c>
      <c r="K51" s="1424">
        <f>IF(studie!F344="","",studie!F344)</f>
        <v>5</v>
      </c>
      <c r="L51" s="1167"/>
      <c r="M51" s="601" t="str">
        <f>"EN 13108-20 methode "&amp;studie!L330&amp;" en "&amp;studie!L331</f>
        <v>EN 13108-20 methode C.1.16 en D.1.7</v>
      </c>
      <c r="N51" s="207"/>
      <c r="O51" s="207"/>
      <c r="P51" s="207"/>
      <c r="Q51" s="207"/>
      <c r="R51" s="207"/>
      <c r="S51" s="207"/>
      <c r="T51" s="207"/>
      <c r="U51" s="280"/>
      <c r="V51" s="208"/>
      <c r="W51" s="1580" t="s">
        <v>1142</v>
      </c>
      <c r="X51" s="1580" t="s">
        <v>1142</v>
      </c>
      <c r="Y51" s="1579" t="s">
        <v>745</v>
      </c>
      <c r="Z51" s="1578" t="s">
        <v>1142</v>
      </c>
      <c r="AA51" s="1578" t="s">
        <v>1142</v>
      </c>
      <c r="AB51" s="1579" t="s">
        <v>745</v>
      </c>
      <c r="AC51" s="1578" t="s">
        <v>1142</v>
      </c>
      <c r="AD51" s="1579" t="s">
        <v>745</v>
      </c>
    </row>
    <row r="52" spans="1:30" s="206" customFormat="1" ht="12.4" customHeight="1" x14ac:dyDescent="0.3">
      <c r="A52" s="270"/>
      <c r="B52" s="209"/>
      <c r="C52" s="209"/>
      <c r="D52" s="209"/>
      <c r="E52" s="209"/>
      <c r="F52" s="209"/>
      <c r="G52" s="209"/>
      <c r="H52" s="209"/>
      <c r="I52" s="1415"/>
      <c r="J52" s="1184"/>
      <c r="K52" s="1430"/>
      <c r="L52" s="1171"/>
      <c r="M52" s="600" t="str">
        <f>studie!L329&amp;" "&amp;studie!J334&amp;", "&amp;studie!L335&amp;" °C, "&amp;studie!L336&amp;" cylci"</f>
        <v>EN 12697-22 Large Size Device, 50 °C, 30000 cylci</v>
      </c>
      <c r="N52" s="209"/>
      <c r="O52" s="209"/>
      <c r="P52" s="209"/>
      <c r="Q52" s="209"/>
      <c r="R52" s="209"/>
      <c r="S52" s="209"/>
      <c r="T52" s="209"/>
      <c r="U52" s="260"/>
      <c r="V52" s="208"/>
      <c r="W52" s="1580" t="s">
        <v>1142</v>
      </c>
      <c r="X52" s="1580" t="s">
        <v>1142</v>
      </c>
      <c r="Y52" s="1579" t="s">
        <v>745</v>
      </c>
      <c r="Z52" s="1578" t="s">
        <v>1142</v>
      </c>
      <c r="AA52" s="1578" t="s">
        <v>1142</v>
      </c>
      <c r="AB52" s="1579" t="s">
        <v>745</v>
      </c>
      <c r="AC52" s="1578" t="s">
        <v>1142</v>
      </c>
      <c r="AD52" s="1579" t="s">
        <v>745</v>
      </c>
    </row>
    <row r="53" spans="1:30" s="206" customFormat="1" ht="12.4" customHeight="1" x14ac:dyDescent="0.3">
      <c r="A53" s="250" t="str">
        <f>IF(studie!K726="","","Weerstand tegen permanente vervorming")</f>
        <v>Weerstand tegen permanente vervorming</v>
      </c>
      <c r="B53" s="208"/>
      <c r="C53" s="208"/>
      <c r="D53" s="208"/>
      <c r="E53" s="208"/>
      <c r="F53" s="208"/>
      <c r="G53" s="208"/>
      <c r="H53" s="208"/>
      <c r="I53" s="1407"/>
      <c r="J53" s="1117"/>
      <c r="K53" s="942"/>
      <c r="L53" s="1159"/>
      <c r="M53" s="566" t="str">
        <f>"EN 13108-20 methode "&amp;studie!I594</f>
        <v>EN 13108-20 methode D.5.4</v>
      </c>
      <c r="N53" s="208"/>
      <c r="O53" s="208"/>
      <c r="P53" s="208"/>
      <c r="Q53" s="208"/>
      <c r="R53" s="208"/>
      <c r="S53" s="208"/>
      <c r="T53" s="208"/>
      <c r="U53" s="608"/>
      <c r="V53" s="208"/>
      <c r="W53" s="1580" t="s">
        <v>1142</v>
      </c>
      <c r="X53" s="1579" t="s">
        <v>745</v>
      </c>
      <c r="Y53" s="1579" t="s">
        <v>745</v>
      </c>
      <c r="Z53" s="1579" t="s">
        <v>745</v>
      </c>
      <c r="AA53" s="1579" t="s">
        <v>745</v>
      </c>
      <c r="AB53" s="1579" t="s">
        <v>745</v>
      </c>
      <c r="AC53" s="1579" t="s">
        <v>745</v>
      </c>
      <c r="AD53" s="1579" t="s">
        <v>745</v>
      </c>
    </row>
    <row r="54" spans="1:30" ht="12.4" customHeight="1" x14ac:dyDescent="0.35">
      <c r="A54" s="250"/>
      <c r="B54" s="208" t="str">
        <f>IF(studie!K726="","","in triaxiale drukproef:")</f>
        <v>in triaxiale drukproef:</v>
      </c>
      <c r="C54" s="208"/>
      <c r="D54" s="208"/>
      <c r="E54" s="208"/>
      <c r="F54" s="208"/>
      <c r="G54" s="208"/>
      <c r="H54" s="208"/>
      <c r="I54" s="1217"/>
      <c r="J54" s="1118" t="s">
        <v>1068</v>
      </c>
      <c r="K54" s="942" t="str">
        <f>IF(studie!K726="","","c max"&amp;studie!K726)</f>
        <v>c max1,4</v>
      </c>
      <c r="L54" s="1158"/>
      <c r="M54" s="600" t="str">
        <f>studie!I593&amp;" met "&amp;studie!I596&amp;" °C, "&amp;studie!I597&amp;" N, "&amp;studie!I599&amp;" cylci, "&amp;studie!G598</f>
        <v xml:space="preserve">EN 12697-25 met 50 °C, 875 N, 5000 cylci, </v>
      </c>
      <c r="N54" s="318"/>
      <c r="O54" s="318"/>
      <c r="P54" s="318"/>
      <c r="Q54" s="318"/>
      <c r="R54" s="318"/>
      <c r="S54" s="318"/>
      <c r="T54" s="318"/>
      <c r="U54" s="337"/>
      <c r="W54" s="1580" t="s">
        <v>1142</v>
      </c>
      <c r="X54" s="1579" t="s">
        <v>745</v>
      </c>
      <c r="Y54" s="1579" t="s">
        <v>745</v>
      </c>
      <c r="Z54" s="1579" t="s">
        <v>745</v>
      </c>
      <c r="AA54" s="1579" t="s">
        <v>745</v>
      </c>
      <c r="AB54" s="1579" t="s">
        <v>745</v>
      </c>
      <c r="AC54" s="1579" t="s">
        <v>745</v>
      </c>
      <c r="AD54" s="1579" t="s">
        <v>745</v>
      </c>
    </row>
    <row r="55" spans="1:30" s="206" customFormat="1" ht="12.4" customHeight="1" x14ac:dyDescent="0.3">
      <c r="A55" s="251" t="str">
        <f>IF(studie!K724="","",studie!B724)</f>
        <v>Weerstand tegen afslijting door spijkerbanden:</v>
      </c>
      <c r="B55" s="252"/>
      <c r="C55" s="252"/>
      <c r="D55" s="252"/>
      <c r="E55" s="252"/>
      <c r="F55" s="252"/>
      <c r="G55" s="252"/>
      <c r="H55" s="266"/>
      <c r="I55" s="1413"/>
      <c r="J55" s="1164" t="str">
        <f>IF(studie!K724="","","Abr")</f>
        <v>Abr</v>
      </c>
      <c r="K55" s="1173" t="str">
        <f>IF(studie!K724="","","Amax"&amp;studie!K724)</f>
        <v>Amax40</v>
      </c>
      <c r="L55" s="1163"/>
      <c r="M55" s="594" t="str">
        <f>"EN 12697-16 "&amp;studie!S724</f>
        <v>EN 12697-16 A</v>
      </c>
      <c r="N55" s="252"/>
      <c r="O55" s="252"/>
      <c r="P55" s="252"/>
      <c r="Q55" s="252"/>
      <c r="R55" s="252"/>
      <c r="S55" s="252"/>
      <c r="T55" s="252"/>
      <c r="U55" s="261"/>
      <c r="V55" s="208"/>
      <c r="W55" s="1580" t="s">
        <v>1142</v>
      </c>
      <c r="X55" s="1580" t="s">
        <v>1142</v>
      </c>
      <c r="Y55" s="1579" t="s">
        <v>745</v>
      </c>
      <c r="Z55" s="1579" t="s">
        <v>745</v>
      </c>
      <c r="AA55" s="1578" t="s">
        <v>1142</v>
      </c>
      <c r="AB55" s="1579" t="s">
        <v>745</v>
      </c>
      <c r="AC55" s="1579" t="s">
        <v>745</v>
      </c>
      <c r="AD55" s="1579" t="s">
        <v>745</v>
      </c>
    </row>
    <row r="56" spans="1:30" s="206" customFormat="1" ht="12.4" customHeight="1" x14ac:dyDescent="0.3">
      <c r="A56" s="251" t="str">
        <f>IF(K56="","","Afgedropen bindmiddel:")</f>
        <v>Afgedropen bindmiddel:</v>
      </c>
      <c r="B56" s="252"/>
      <c r="C56" s="266"/>
      <c r="D56" s="252"/>
      <c r="E56" s="252"/>
      <c r="F56" s="915"/>
      <c r="G56" s="252"/>
      <c r="H56" s="266"/>
      <c r="I56" s="1413"/>
      <c r="J56" s="1164" t="str">
        <f>IF(studie!F416="","","BD")</f>
        <v>BD</v>
      </c>
      <c r="K56" s="1165" t="str">
        <f>IF(studie!F416="","","max"&amp;studie!F416)</f>
        <v>max0,3</v>
      </c>
      <c r="L56" s="1163"/>
      <c r="M56" s="594" t="str">
        <f>studie!J350&amp;" "&amp;afdruip_film!D8&amp;"-methode bij "&amp;studie!K351&amp;" °C"</f>
        <v>EN 12697-18 Beker-methode bij 180 °C</v>
      </c>
      <c r="N56" s="252"/>
      <c r="O56" s="252"/>
      <c r="P56" s="252"/>
      <c r="Q56" s="252"/>
      <c r="R56" s="252"/>
      <c r="S56" s="252"/>
      <c r="T56" s="252"/>
      <c r="U56" s="261"/>
      <c r="V56" s="208"/>
      <c r="W56" s="1420" t="s">
        <v>745</v>
      </c>
      <c r="X56" s="1420" t="s">
        <v>745</v>
      </c>
      <c r="Y56" s="1420" t="s">
        <v>745</v>
      </c>
      <c r="Z56" s="1420" t="s">
        <v>745</v>
      </c>
      <c r="AA56" s="1382" t="s">
        <v>1142</v>
      </c>
      <c r="AB56" s="1420" t="s">
        <v>745</v>
      </c>
      <c r="AC56" s="1382" t="s">
        <v>1142</v>
      </c>
      <c r="AD56" s="1420" t="s">
        <v>745</v>
      </c>
    </row>
    <row r="57" spans="1:30" s="206" customFormat="1" ht="12.4" customHeight="1" x14ac:dyDescent="0.3">
      <c r="A57" s="275" t="str">
        <f>IF(K57="","","Deeltjesverlies:")</f>
        <v>Deeltjesverlies:</v>
      </c>
      <c r="B57" s="207"/>
      <c r="C57" s="207"/>
      <c r="D57" s="207"/>
      <c r="E57" s="207"/>
      <c r="F57" s="207"/>
      <c r="G57" s="207"/>
      <c r="H57" s="207"/>
      <c r="I57" s="1414"/>
      <c r="J57" s="1168" t="str">
        <f>IF(studie!F462="","","PL")</f>
        <v>PL</v>
      </c>
      <c r="K57" s="1424" t="str">
        <f>IF(studie!F462="","","max"&amp;studie!F462)</f>
        <v>max15</v>
      </c>
      <c r="L57" s="1167"/>
      <c r="M57" s="601" t="str">
        <f>"EN 13108-20 methode "&amp;studie!L425</f>
        <v>EN 13108-20 methode C.1.6</v>
      </c>
      <c r="N57" s="207"/>
      <c r="O57" s="207"/>
      <c r="P57" s="207"/>
      <c r="Q57" s="207"/>
      <c r="R57" s="207"/>
      <c r="S57" s="207"/>
      <c r="T57" s="207"/>
      <c r="U57" s="280"/>
      <c r="V57" s="208"/>
      <c r="W57" s="1420" t="s">
        <v>745</v>
      </c>
      <c r="X57" s="1420" t="s">
        <v>745</v>
      </c>
      <c r="Y57" s="1420" t="s">
        <v>745</v>
      </c>
      <c r="Z57" s="1420" t="s">
        <v>745</v>
      </c>
      <c r="AA57" s="1420" t="s">
        <v>745</v>
      </c>
      <c r="AB57" s="1420" t="s">
        <v>745</v>
      </c>
      <c r="AC57" s="1382" t="s">
        <v>1142</v>
      </c>
      <c r="AD57" s="1420" t="s">
        <v>745</v>
      </c>
    </row>
    <row r="58" spans="1:30" s="206" customFormat="1" ht="12.4" customHeight="1" x14ac:dyDescent="0.3">
      <c r="A58" s="270"/>
      <c r="B58" s="209"/>
      <c r="C58" s="209"/>
      <c r="D58" s="209"/>
      <c r="E58" s="209"/>
      <c r="F58" s="209"/>
      <c r="G58" s="209"/>
      <c r="H58" s="209"/>
      <c r="I58" s="1415"/>
      <c r="J58" s="1184"/>
      <c r="K58" s="1430"/>
      <c r="L58" s="1171"/>
      <c r="M58" s="600" t="str">
        <f>studie!K428&amp;" bij "&amp;studie!L431&amp;" °C"</f>
        <v>EN 12697-17 bij 18 °C</v>
      </c>
      <c r="N58" s="209"/>
      <c r="O58" s="209"/>
      <c r="P58" s="209"/>
      <c r="Q58" s="209"/>
      <c r="R58" s="209"/>
      <c r="S58" s="209"/>
      <c r="T58" s="209"/>
      <c r="U58" s="260"/>
      <c r="V58" s="208"/>
      <c r="W58" s="1420" t="s">
        <v>745</v>
      </c>
      <c r="X58" s="1420" t="s">
        <v>745</v>
      </c>
      <c r="Y58" s="1420" t="s">
        <v>745</v>
      </c>
      <c r="Z58" s="1420" t="s">
        <v>745</v>
      </c>
      <c r="AA58" s="1420" t="s">
        <v>745</v>
      </c>
      <c r="AB58" s="1420" t="s">
        <v>745</v>
      </c>
      <c r="AC58" s="1382" t="s">
        <v>1142</v>
      </c>
      <c r="AD58" s="1420" t="s">
        <v>745</v>
      </c>
    </row>
    <row r="59" spans="1:30" s="206" customFormat="1" ht="12.4" customHeight="1" x14ac:dyDescent="0.3">
      <c r="A59" s="250" t="str">
        <f>IF(AND(K59="",K60=""),"",studie!B728)</f>
        <v>Doorlatendheid:</v>
      </c>
      <c r="B59" s="208"/>
      <c r="C59" s="208"/>
      <c r="D59" s="208"/>
      <c r="E59" s="208"/>
      <c r="F59" s="208"/>
      <c r="G59" s="208"/>
      <c r="H59" s="208"/>
      <c r="I59" s="1407"/>
      <c r="J59" s="1117" t="str">
        <f>IF(K59="","","K")</f>
        <v>K</v>
      </c>
      <c r="K59" s="942" t="str">
        <f>IF(studie!K728="","","h min"&amp;studie!K728)</f>
        <v>h min2,5</v>
      </c>
      <c r="L59" s="1159"/>
      <c r="M59" s="566" t="str">
        <f>"EN 12697-19 "&amp;studie!S728</f>
        <v>EN 12697-19 A</v>
      </c>
      <c r="N59" s="208"/>
      <c r="O59" s="208"/>
      <c r="P59" s="208"/>
      <c r="Q59" s="208"/>
      <c r="R59" s="208"/>
      <c r="S59" s="208"/>
      <c r="T59" s="208"/>
      <c r="U59" s="608"/>
      <c r="V59" s="208"/>
      <c r="W59" s="1420" t="s">
        <v>745</v>
      </c>
      <c r="X59" s="1420" t="s">
        <v>745</v>
      </c>
      <c r="Y59" s="1420" t="s">
        <v>745</v>
      </c>
      <c r="Z59" s="1420" t="s">
        <v>745</v>
      </c>
      <c r="AA59" s="1420" t="s">
        <v>745</v>
      </c>
      <c r="AB59" s="1420" t="s">
        <v>745</v>
      </c>
      <c r="AC59" s="1382" t="s">
        <v>1142</v>
      </c>
      <c r="AD59" s="1420" t="s">
        <v>745</v>
      </c>
    </row>
    <row r="60" spans="1:30" s="206" customFormat="1" ht="12.4" customHeight="1" x14ac:dyDescent="0.3">
      <c r="A60" s="250"/>
      <c r="B60" s="318"/>
      <c r="C60" s="318"/>
      <c r="D60" s="318"/>
      <c r="E60" s="318"/>
      <c r="F60" s="318"/>
      <c r="G60" s="318"/>
      <c r="H60" s="318"/>
      <c r="I60" s="1407"/>
      <c r="J60" s="1117" t="str">
        <f>IF(K60="","","K")</f>
        <v>K</v>
      </c>
      <c r="K60" s="942" t="str">
        <f>IF(studie!K729="","","v min"&amp;studie!K729)</f>
        <v>v min1</v>
      </c>
      <c r="L60" s="1159"/>
      <c r="M60" s="566" t="str">
        <f>studie!S729</f>
        <v>B</v>
      </c>
      <c r="N60" s="208"/>
      <c r="O60" s="208"/>
      <c r="P60" s="208"/>
      <c r="Q60" s="208"/>
      <c r="R60" s="208"/>
      <c r="S60" s="208"/>
      <c r="T60" s="208"/>
      <c r="U60" s="608"/>
      <c r="V60" s="208"/>
      <c r="W60" s="1420" t="s">
        <v>745</v>
      </c>
      <c r="X60" s="1420" t="s">
        <v>745</v>
      </c>
      <c r="Y60" s="1420" t="s">
        <v>745</v>
      </c>
      <c r="Z60" s="1420" t="s">
        <v>745</v>
      </c>
      <c r="AA60" s="1420" t="s">
        <v>745</v>
      </c>
      <c r="AB60" s="1420" t="s">
        <v>745</v>
      </c>
      <c r="AC60" s="1382" t="s">
        <v>1142</v>
      </c>
      <c r="AD60" s="1420" t="s">
        <v>745</v>
      </c>
    </row>
    <row r="61" spans="1:30" s="206" customFormat="1" ht="12.4" customHeight="1" x14ac:dyDescent="0.3">
      <c r="A61" s="251" t="str">
        <f>IF(K61="","",studie!B730)</f>
        <v>Wrijving na polijsten:</v>
      </c>
      <c r="B61" s="438"/>
      <c r="C61" s="438"/>
      <c r="D61" s="438"/>
      <c r="E61" s="438"/>
      <c r="F61" s="438"/>
      <c r="G61" s="438"/>
      <c r="H61" s="438"/>
      <c r="I61" s="1413"/>
      <c r="J61" s="1164" t="str">
        <f>IF(K61="","","FAP")</f>
        <v>FAP</v>
      </c>
      <c r="K61" s="1176" t="str">
        <f>IF(studie!K730="","","min"&amp;studie!K730)</f>
        <v>min40</v>
      </c>
      <c r="L61" s="1163"/>
      <c r="M61" s="594" t="str">
        <f>"EN 12697-49 "&amp;studie!S730</f>
        <v>EN 12697-49 C</v>
      </c>
      <c r="N61" s="252"/>
      <c r="O61" s="252"/>
      <c r="P61" s="252"/>
      <c r="Q61" s="252"/>
      <c r="R61" s="252"/>
      <c r="S61" s="252"/>
      <c r="T61" s="252"/>
      <c r="U61" s="261"/>
      <c r="V61" s="208"/>
      <c r="W61" s="1580" t="s">
        <v>1142</v>
      </c>
      <c r="X61" s="1580" t="s">
        <v>1142</v>
      </c>
      <c r="Y61" s="1579" t="s">
        <v>745</v>
      </c>
      <c r="Z61" s="1579" t="s">
        <v>745</v>
      </c>
      <c r="AA61" s="1578" t="s">
        <v>1142</v>
      </c>
      <c r="AB61" s="1579" t="s">
        <v>745</v>
      </c>
      <c r="AC61" s="1578" t="s">
        <v>1142</v>
      </c>
      <c r="AD61" s="1578" t="s">
        <v>1142</v>
      </c>
    </row>
    <row r="62" spans="1:30" ht="12.4" customHeight="1" x14ac:dyDescent="0.35">
      <c r="A62" s="250" t="str">
        <f>IF(K62="","","Indrukking:")</f>
        <v>Indrukking:</v>
      </c>
      <c r="B62" s="208"/>
      <c r="C62" s="208"/>
      <c r="D62" s="208"/>
      <c r="E62" s="208"/>
      <c r="F62" s="312"/>
      <c r="G62" s="922"/>
      <c r="H62" s="311"/>
      <c r="I62" s="1217"/>
      <c r="J62" s="1117" t="str">
        <f>IF(K62="","","I")</f>
        <v>I</v>
      </c>
      <c r="K62" s="1116" t="str">
        <f>IF(studie!F507="","","min"&amp;studie!F507)</f>
        <v>min1,5</v>
      </c>
      <c r="L62" s="1158"/>
      <c r="M62" s="353" t="str">
        <f>"EN 13108-20 methode "&amp;studie!I472</f>
        <v>EN 13108-20 methode D.5.1</v>
      </c>
      <c r="N62" s="318"/>
      <c r="O62" s="318"/>
      <c r="P62" s="318"/>
      <c r="Q62" s="318"/>
      <c r="R62" s="318"/>
      <c r="S62" s="318"/>
      <c r="T62" s="318"/>
      <c r="U62" s="337"/>
      <c r="V62" s="318"/>
      <c r="W62" s="1420" t="s">
        <v>745</v>
      </c>
      <c r="X62" s="1420" t="s">
        <v>745</v>
      </c>
      <c r="Y62" s="1420" t="s">
        <v>745</v>
      </c>
      <c r="Z62" s="1420" t="s">
        <v>745</v>
      </c>
      <c r="AA62" s="1420" t="s">
        <v>745</v>
      </c>
      <c r="AB62" s="1384" t="s">
        <v>1142</v>
      </c>
      <c r="AC62" s="1420" t="s">
        <v>745</v>
      </c>
      <c r="AD62" s="1420" t="s">
        <v>745</v>
      </c>
    </row>
    <row r="63" spans="1:30" ht="12.4" customHeight="1" x14ac:dyDescent="0.35">
      <c r="A63" s="250"/>
      <c r="B63" s="208"/>
      <c r="C63" s="208"/>
      <c r="D63" s="208"/>
      <c r="E63" s="208"/>
      <c r="F63" s="312"/>
      <c r="G63" s="922"/>
      <c r="H63" s="311"/>
      <c r="I63" s="1217"/>
      <c r="J63" s="1117" t="str">
        <f>IF(K63="","","I")</f>
        <v>I</v>
      </c>
      <c r="K63" s="1116" t="str">
        <f>IF(studie!F508="","","max"&amp;studie!F508)</f>
        <v>max7</v>
      </c>
      <c r="L63" s="1158"/>
      <c r="M63" s="353" t="str">
        <f>studie!H471&amp;" "&amp;studie!I474&amp;", "&amp;studie!I475&amp;" mm², "&amp;studie!I476&amp;" °C"</f>
        <v>EN 12697-20 C, 500 mm², 40 °C</v>
      </c>
      <c r="N63" s="318"/>
      <c r="O63" s="318"/>
      <c r="P63" s="318"/>
      <c r="Q63" s="318"/>
      <c r="R63" s="318"/>
      <c r="S63" s="318"/>
      <c r="T63" s="318"/>
      <c r="U63" s="337"/>
      <c r="V63" s="318"/>
      <c r="W63" s="1420" t="s">
        <v>745</v>
      </c>
      <c r="X63" s="1420" t="s">
        <v>745</v>
      </c>
      <c r="Y63" s="1420" t="s">
        <v>745</v>
      </c>
      <c r="Z63" s="1420" t="s">
        <v>745</v>
      </c>
      <c r="AA63" s="1420" t="s">
        <v>745</v>
      </c>
      <c r="AB63" s="1385" t="s">
        <v>1142</v>
      </c>
      <c r="AC63" s="1420" t="s">
        <v>745</v>
      </c>
      <c r="AD63" s="1420" t="s">
        <v>745</v>
      </c>
    </row>
    <row r="64" spans="1:30" s="318" customFormat="1" ht="12.4" customHeight="1" x14ac:dyDescent="0.3">
      <c r="A64" s="270"/>
      <c r="B64" s="209" t="str">
        <f>IF(K64="","","Toename van de indrukking:")</f>
        <v>Toename van de indrukking:</v>
      </c>
      <c r="C64" s="209"/>
      <c r="D64" s="209"/>
      <c r="E64" s="209"/>
      <c r="F64" s="265"/>
      <c r="G64" s="1183"/>
      <c r="H64" s="408"/>
      <c r="I64" s="353"/>
      <c r="J64" s="1184" t="str">
        <f>IF(K64="","","I")</f>
        <v>I</v>
      </c>
      <c r="K64" s="1185" t="str">
        <f>IF(studie!F509="","","nc max"&amp;studie!F509)</f>
        <v>nc max0,6</v>
      </c>
      <c r="L64" s="1182"/>
      <c r="M64" s="1416" t="str">
        <f>"van "&amp;studie!I479&amp;" tot "&amp;studie!I480&amp;" min"</f>
        <v>van 30 tot 60 min</v>
      </c>
      <c r="U64" s="337"/>
      <c r="W64" s="1420" t="s">
        <v>745</v>
      </c>
      <c r="X64" s="1420" t="s">
        <v>745</v>
      </c>
      <c r="Y64" s="1420" t="s">
        <v>745</v>
      </c>
      <c r="Z64" s="1420" t="s">
        <v>745</v>
      </c>
      <c r="AA64" s="1420" t="s">
        <v>745</v>
      </c>
      <c r="AB64" s="1384" t="s">
        <v>1142</v>
      </c>
      <c r="AC64" s="1420" t="s">
        <v>745</v>
      </c>
      <c r="AD64" s="1420" t="s">
        <v>745</v>
      </c>
    </row>
    <row r="65" spans="1:30" s="318" customFormat="1" ht="12.4" customHeight="1" x14ac:dyDescent="0.3">
      <c r="A65" s="251" t="str">
        <f>IF(K65="","","Affiniteit tussen aggregaat en bitumen:")</f>
        <v>Affiniteit tussen aggregaat en bitumen:</v>
      </c>
      <c r="B65" s="252"/>
      <c r="C65" s="252"/>
      <c r="D65" s="252"/>
      <c r="E65" s="252"/>
      <c r="F65" s="252"/>
      <c r="G65" s="252"/>
      <c r="H65" s="252"/>
      <c r="I65" s="1417"/>
      <c r="J65" s="1164" t="str">
        <f>IF(K65="","","BAA")</f>
        <v>BAA</v>
      </c>
      <c r="K65" s="1173" t="str">
        <f>IF(studie!F650="","","max"&amp;studie!F650)</f>
        <v>max5</v>
      </c>
      <c r="L65" s="1186"/>
      <c r="M65" s="1417" t="str">
        <f>studie!H631&amp;", "&amp;studie!H632</f>
        <v>EN 12697-11, Kokend water</v>
      </c>
      <c r="N65" s="438"/>
      <c r="O65" s="438"/>
      <c r="P65" s="438"/>
      <c r="Q65" s="438"/>
      <c r="R65" s="438"/>
      <c r="S65" s="438"/>
      <c r="T65" s="438"/>
      <c r="U65" s="439"/>
      <c r="W65" s="1420" t="s">
        <v>745</v>
      </c>
      <c r="X65" s="1420" t="s">
        <v>745</v>
      </c>
      <c r="Y65" s="1420" t="s">
        <v>745</v>
      </c>
      <c r="Z65" s="1420" t="s">
        <v>745</v>
      </c>
      <c r="AA65" s="1420" t="s">
        <v>745</v>
      </c>
      <c r="AB65" s="1420" t="s">
        <v>745</v>
      </c>
      <c r="AC65" s="1384" t="s">
        <v>1142</v>
      </c>
      <c r="AD65" s="1420" t="s">
        <v>745</v>
      </c>
    </row>
    <row r="66" spans="1:30" s="318" customFormat="1" ht="12.4" customHeight="1" x14ac:dyDescent="0.3">
      <c r="A66" s="251" t="str">
        <f>IF(K66="","",studie!B731)</f>
        <v>Mengsel SATS duurzaamheid Index:</v>
      </c>
      <c r="B66" s="252"/>
      <c r="C66" s="252"/>
      <c r="D66" s="252"/>
      <c r="E66" s="252"/>
      <c r="F66" s="266"/>
      <c r="G66" s="1187"/>
      <c r="H66" s="396"/>
      <c r="I66" s="1417"/>
      <c r="J66" s="1164" t="str">
        <f>IF(K66="","","MDI")</f>
        <v>MDI</v>
      </c>
      <c r="K66" s="1173" t="str">
        <f>IF(studie!K731="","","min"&amp;studie!K731)</f>
        <v>min50</v>
      </c>
      <c r="L66" s="1186"/>
      <c r="M66" s="1417" t="str">
        <f>"EN 12697-45 "&amp;studie!S731</f>
        <v>EN 12697-45 D</v>
      </c>
      <c r="N66" s="438"/>
      <c r="O66" s="438"/>
      <c r="P66" s="438"/>
      <c r="Q66" s="438"/>
      <c r="R66" s="438"/>
      <c r="S66" s="438"/>
      <c r="T66" s="438"/>
      <c r="U66" s="439"/>
      <c r="W66" s="1581" t="s">
        <v>1142</v>
      </c>
      <c r="X66" s="1579" t="s">
        <v>745</v>
      </c>
      <c r="Y66" s="1579" t="s">
        <v>745</v>
      </c>
      <c r="Z66" s="1579" t="s">
        <v>745</v>
      </c>
      <c r="AA66" s="1579" t="s">
        <v>745</v>
      </c>
      <c r="AB66" s="1579" t="s">
        <v>745</v>
      </c>
      <c r="AC66" s="1579" t="s">
        <v>745</v>
      </c>
      <c r="AD66" s="1579" t="s">
        <v>745</v>
      </c>
    </row>
    <row r="67" spans="1:30" s="318" customFormat="1" ht="12.4" customHeight="1" x14ac:dyDescent="0.3">
      <c r="A67" s="251" t="str">
        <f>IF(K67="","",studie!B732)</f>
        <v>Lage temperatuur eigenschappen:</v>
      </c>
      <c r="B67" s="252"/>
      <c r="C67" s="252"/>
      <c r="D67" s="252"/>
      <c r="E67" s="252"/>
      <c r="F67" s="266"/>
      <c r="G67" s="1187"/>
      <c r="H67" s="396"/>
      <c r="I67" s="1417"/>
      <c r="J67" s="1164" t="str">
        <f>IF(K67="","","TSRST")</f>
        <v>TSRST</v>
      </c>
      <c r="K67" s="1173" t="str">
        <f>IF(studie!K732="","","max"&amp;studie!K732)</f>
        <v>max22,5</v>
      </c>
      <c r="L67" s="1186"/>
      <c r="M67" s="1417" t="str">
        <f>"EN 12697-46 "&amp;studie!S732</f>
        <v>EN 12697-46 A</v>
      </c>
      <c r="N67" s="438"/>
      <c r="O67" s="438"/>
      <c r="P67" s="438"/>
      <c r="Q67" s="438"/>
      <c r="R67" s="438"/>
      <c r="S67" s="438"/>
      <c r="T67" s="438"/>
      <c r="U67" s="439"/>
      <c r="W67" s="1581" t="s">
        <v>1142</v>
      </c>
      <c r="X67" s="1581" t="s">
        <v>1142</v>
      </c>
      <c r="Y67" s="1579" t="s">
        <v>745</v>
      </c>
      <c r="Z67" s="1581" t="s">
        <v>1142</v>
      </c>
      <c r="AA67" s="1581" t="s">
        <v>1142</v>
      </c>
      <c r="AB67" s="1581" t="s">
        <v>1142</v>
      </c>
      <c r="AC67" s="1581" t="s">
        <v>1142</v>
      </c>
      <c r="AD67" s="1581" t="s">
        <v>1142</v>
      </c>
    </row>
    <row r="68" spans="1:30" s="318" customFormat="1" ht="12.4" customHeight="1" x14ac:dyDescent="0.3">
      <c r="A68" s="251" t="str">
        <f>IF(K68="","",studie!B733)</f>
        <v>Breuksterkte:</v>
      </c>
      <c r="B68" s="252"/>
      <c r="C68" s="252"/>
      <c r="D68" s="252"/>
      <c r="E68" s="252"/>
      <c r="F68" s="266"/>
      <c r="G68" s="1187"/>
      <c r="H68" s="396"/>
      <c r="I68" s="1417"/>
      <c r="J68" s="1164" t="str">
        <f>IF(K68="","","K")</f>
        <v>K</v>
      </c>
      <c r="K68" s="1173" t="str">
        <f>IF(studie!K733="","","Ic max"&amp;studie!K733)</f>
        <v>Ic max45</v>
      </c>
      <c r="L68" s="1186"/>
      <c r="M68" s="1417" t="str">
        <f>"EN 12697-44 "&amp;studie!S733</f>
        <v>EN 12697-44 B</v>
      </c>
      <c r="N68" s="438"/>
      <c r="O68" s="438"/>
      <c r="P68" s="438"/>
      <c r="Q68" s="438"/>
      <c r="R68" s="438"/>
      <c r="S68" s="438"/>
      <c r="T68" s="438"/>
      <c r="U68" s="439"/>
      <c r="W68" s="1581" t="s">
        <v>1142</v>
      </c>
      <c r="X68" s="1579" t="s">
        <v>745</v>
      </c>
      <c r="Y68" s="1579" t="s">
        <v>745</v>
      </c>
      <c r="Z68" s="1579" t="s">
        <v>745</v>
      </c>
      <c r="AA68" s="1581" t="s">
        <v>1142</v>
      </c>
      <c r="AB68" s="1579" t="s">
        <v>745</v>
      </c>
      <c r="AC68" s="1579" t="s">
        <v>745</v>
      </c>
      <c r="AD68" s="1579" t="s">
        <v>745</v>
      </c>
    </row>
    <row r="69" spans="1:30" s="318" customFormat="1" ht="12.4" customHeight="1" x14ac:dyDescent="0.3">
      <c r="A69" s="251" t="str">
        <f>IF(K69="","",studie!B734)</f>
        <v>Weerstand tegen brandstof:</v>
      </c>
      <c r="B69" s="252"/>
      <c r="C69" s="252"/>
      <c r="D69" s="252"/>
      <c r="E69" s="252"/>
      <c r="F69" s="252"/>
      <c r="G69" s="252"/>
      <c r="H69" s="252"/>
      <c r="I69" s="1417"/>
      <c r="J69" s="266" t="str">
        <f>IF(K69="","","Ci")</f>
        <v>Ci</v>
      </c>
      <c r="K69" s="1173" t="str">
        <f>IF(studie!K734="","","max"&amp;studie!K734)</f>
        <v>max8</v>
      </c>
      <c r="L69" s="1186"/>
      <c r="M69" s="1417" t="str">
        <f>"EN 12697-43 "&amp;studie!S734</f>
        <v>EN 12697-43 C</v>
      </c>
      <c r="N69" s="438"/>
      <c r="O69" s="438"/>
      <c r="P69" s="438"/>
      <c r="Q69" s="438"/>
      <c r="R69" s="438"/>
      <c r="S69" s="438"/>
      <c r="T69" s="438"/>
      <c r="U69" s="439"/>
      <c r="W69" s="1581" t="s">
        <v>1142</v>
      </c>
      <c r="X69" s="1581" t="s">
        <v>1142</v>
      </c>
      <c r="Y69" s="1579" t="s">
        <v>745</v>
      </c>
      <c r="Z69" s="1581" t="s">
        <v>1142</v>
      </c>
      <c r="AA69" s="1581" t="s">
        <v>1142</v>
      </c>
      <c r="AB69" s="1581" t="s">
        <v>1142</v>
      </c>
      <c r="AC69" s="1581" t="s">
        <v>1142</v>
      </c>
      <c r="AD69" s="1581" t="s">
        <v>1142</v>
      </c>
    </row>
    <row r="70" spans="1:30" s="318" customFormat="1" ht="12.4" customHeight="1" x14ac:dyDescent="0.3">
      <c r="A70" s="251" t="str">
        <f>IF(K70="","",studie!B735)</f>
        <v>Weerstand tegen ontdooivloeistof:</v>
      </c>
      <c r="B70" s="252"/>
      <c r="C70" s="252"/>
      <c r="D70" s="252"/>
      <c r="E70" s="252"/>
      <c r="F70" s="252"/>
      <c r="G70" s="252"/>
      <c r="H70" s="252"/>
      <c r="I70" s="1417"/>
      <c r="J70" s="1188" t="str">
        <f>IF(K70="","","b")</f>
        <v>b</v>
      </c>
      <c r="K70" s="1173" t="str">
        <f>IF(studie!K735="","","min"&amp;studie!K735)</f>
        <v>min50</v>
      </c>
      <c r="L70" s="1186"/>
      <c r="M70" s="1417" t="str">
        <f>"EN 12697-41 "&amp;studie!S735</f>
        <v>EN 12697-41 D</v>
      </c>
      <c r="N70" s="438"/>
      <c r="O70" s="438"/>
      <c r="P70" s="438"/>
      <c r="Q70" s="438"/>
      <c r="R70" s="438"/>
      <c r="S70" s="438"/>
      <c r="T70" s="438"/>
      <c r="U70" s="439"/>
      <c r="W70" s="1581" t="s">
        <v>1142</v>
      </c>
      <c r="X70" s="1581" t="s">
        <v>1142</v>
      </c>
      <c r="Y70" s="1579" t="s">
        <v>745</v>
      </c>
      <c r="Z70" s="1581" t="s">
        <v>1142</v>
      </c>
      <c r="AA70" s="1581" t="s">
        <v>1142</v>
      </c>
      <c r="AB70" s="1581" t="s">
        <v>1142</v>
      </c>
      <c r="AC70" s="1581" t="s">
        <v>1142</v>
      </c>
      <c r="AD70" s="1581" t="s">
        <v>1142</v>
      </c>
    </row>
    <row r="71" spans="1:30" s="318" customFormat="1" ht="12.4" customHeight="1" x14ac:dyDescent="0.3">
      <c r="A71" s="251" t="str">
        <f>IF(K71="","",studie!B736)</f>
        <v>Prestatie 1:</v>
      </c>
      <c r="B71" s="252"/>
      <c r="C71" s="252"/>
      <c r="D71" s="252"/>
      <c r="E71" s="252"/>
      <c r="F71" s="252"/>
      <c r="G71" s="252"/>
      <c r="H71" s="252"/>
      <c r="I71" s="1417"/>
      <c r="J71" s="266" t="str">
        <f>IF(K71="","",studie!I736)</f>
        <v>A</v>
      </c>
      <c r="K71" s="1173">
        <f>IF(studie!K736="","",studie!K736)</f>
        <v>1</v>
      </c>
      <c r="L71" s="1186"/>
      <c r="M71" s="1417" t="str">
        <f>studie!S736</f>
        <v>A</v>
      </c>
      <c r="N71" s="438"/>
      <c r="O71" s="438"/>
      <c r="P71" s="438"/>
      <c r="Q71" s="438"/>
      <c r="R71" s="438"/>
      <c r="S71" s="438"/>
      <c r="T71" s="438"/>
      <c r="U71" s="439"/>
      <c r="W71" s="1419" t="s">
        <v>745</v>
      </c>
      <c r="X71" s="1419" t="s">
        <v>745</v>
      </c>
      <c r="Y71" s="1419" t="s">
        <v>745</v>
      </c>
      <c r="Z71" s="1419" t="s">
        <v>745</v>
      </c>
      <c r="AA71" s="1419" t="s">
        <v>745</v>
      </c>
      <c r="AB71" s="1419" t="s">
        <v>745</v>
      </c>
      <c r="AC71" s="1419" t="s">
        <v>745</v>
      </c>
      <c r="AD71" s="1419" t="s">
        <v>745</v>
      </c>
    </row>
    <row r="72" spans="1:30" s="318" customFormat="1" ht="12.4" customHeight="1" x14ac:dyDescent="0.3">
      <c r="A72" s="251" t="str">
        <f>IF(K72="","",studie!B737)</f>
        <v>Prestatie 2:</v>
      </c>
      <c r="B72" s="252"/>
      <c r="C72" s="252"/>
      <c r="D72" s="252"/>
      <c r="E72" s="252"/>
      <c r="F72" s="252"/>
      <c r="G72" s="252"/>
      <c r="H72" s="252"/>
      <c r="I72" s="1417"/>
      <c r="J72" s="266" t="str">
        <f>IF(K72="","",studie!I737)</f>
        <v>B</v>
      </c>
      <c r="K72" s="1173">
        <f>IF(studie!K737="","",studie!K737)</f>
        <v>2</v>
      </c>
      <c r="L72" s="1186"/>
      <c r="M72" s="1417" t="str">
        <f>studie!S737</f>
        <v>B</v>
      </c>
      <c r="N72" s="438"/>
      <c r="O72" s="438"/>
      <c r="P72" s="438"/>
      <c r="Q72" s="438"/>
      <c r="R72" s="438"/>
      <c r="S72" s="438"/>
      <c r="T72" s="438"/>
      <c r="U72" s="439"/>
      <c r="W72" s="1419" t="s">
        <v>745</v>
      </c>
      <c r="X72" s="1419" t="s">
        <v>745</v>
      </c>
      <c r="Y72" s="1419" t="s">
        <v>745</v>
      </c>
      <c r="Z72" s="1419" t="s">
        <v>745</v>
      </c>
      <c r="AA72" s="1419" t="s">
        <v>745</v>
      </c>
      <c r="AB72" s="1419" t="s">
        <v>745</v>
      </c>
      <c r="AC72" s="1419" t="s">
        <v>745</v>
      </c>
      <c r="AD72" s="1419" t="s">
        <v>745</v>
      </c>
    </row>
    <row r="73" spans="1:30" s="318" customFormat="1" ht="12.4" customHeight="1" x14ac:dyDescent="0.3">
      <c r="A73" s="251" t="str">
        <f>IF(K73="","",studie!B738)</f>
        <v>Prestatie 3:</v>
      </c>
      <c r="B73" s="252"/>
      <c r="C73" s="252"/>
      <c r="D73" s="252"/>
      <c r="E73" s="252"/>
      <c r="F73" s="252"/>
      <c r="G73" s="252"/>
      <c r="H73" s="252"/>
      <c r="I73" s="1417"/>
      <c r="J73" s="266" t="str">
        <f>IF(K73="","",studie!I738)</f>
        <v>C</v>
      </c>
      <c r="K73" s="1173">
        <f>IF(studie!K738="","",studie!K738)</f>
        <v>3</v>
      </c>
      <c r="L73" s="1186"/>
      <c r="M73" s="1417" t="str">
        <f>studie!S738</f>
        <v>C</v>
      </c>
      <c r="N73" s="438"/>
      <c r="O73" s="438"/>
      <c r="P73" s="438"/>
      <c r="Q73" s="438"/>
      <c r="R73" s="438"/>
      <c r="S73" s="438"/>
      <c r="T73" s="438"/>
      <c r="U73" s="439"/>
      <c r="W73" s="1419" t="s">
        <v>745</v>
      </c>
      <c r="X73" s="1419" t="s">
        <v>745</v>
      </c>
      <c r="Y73" s="1419" t="s">
        <v>745</v>
      </c>
      <c r="Z73" s="1419" t="s">
        <v>745</v>
      </c>
      <c r="AA73" s="1419" t="s">
        <v>745</v>
      </c>
      <c r="AB73" s="1419" t="s">
        <v>745</v>
      </c>
      <c r="AC73" s="1419" t="s">
        <v>745</v>
      </c>
      <c r="AD73" s="1419" t="s">
        <v>745</v>
      </c>
    </row>
    <row r="74" spans="1:30" s="318" customFormat="1" ht="12.4" customHeight="1" x14ac:dyDescent="0.3">
      <c r="A74" s="251" t="str">
        <f>IF(K74="","",studie!B739)</f>
        <v>Prestatie 4:</v>
      </c>
      <c r="B74" s="252"/>
      <c r="C74" s="252"/>
      <c r="D74" s="252"/>
      <c r="E74" s="252"/>
      <c r="F74" s="252"/>
      <c r="G74" s="252"/>
      <c r="H74" s="252"/>
      <c r="I74" s="1417"/>
      <c r="J74" s="266" t="str">
        <f>IF(K74="","",studie!I739)</f>
        <v>D</v>
      </c>
      <c r="K74" s="1173">
        <f>IF(studie!K739="","",studie!K739)</f>
        <v>4</v>
      </c>
      <c r="L74" s="1186"/>
      <c r="M74" s="1417" t="str">
        <f>studie!S739</f>
        <v>D</v>
      </c>
      <c r="N74" s="438"/>
      <c r="O74" s="438"/>
      <c r="P74" s="438"/>
      <c r="Q74" s="438"/>
      <c r="R74" s="438"/>
      <c r="S74" s="438"/>
      <c r="T74" s="438"/>
      <c r="U74" s="439"/>
      <c r="W74" s="1419" t="s">
        <v>745</v>
      </c>
      <c r="X74" s="1419" t="s">
        <v>745</v>
      </c>
      <c r="Y74" s="1419" t="s">
        <v>745</v>
      </c>
      <c r="Z74" s="1419" t="s">
        <v>745</v>
      </c>
      <c r="AA74" s="1419" t="s">
        <v>745</v>
      </c>
      <c r="AB74" s="1419" t="s">
        <v>745</v>
      </c>
      <c r="AC74" s="1419" t="s">
        <v>745</v>
      </c>
      <c r="AD74" s="1419" t="s">
        <v>745</v>
      </c>
    </row>
    <row r="75" spans="1:30" s="318" customFormat="1" ht="12.4" customHeight="1" thickBot="1" x14ac:dyDescent="0.35">
      <c r="A75" s="547" t="str">
        <f>IF(studie!K725="","",studie!B725)</f>
        <v>Reactie bij brand:</v>
      </c>
      <c r="B75" s="262"/>
      <c r="C75" s="262"/>
      <c r="D75" s="262"/>
      <c r="E75" s="262"/>
      <c r="F75" s="262"/>
      <c r="G75" s="262"/>
      <c r="H75" s="1404"/>
      <c r="I75" s="1418"/>
      <c r="J75" s="1404" t="str">
        <f>IF(studie!K725="","",studie!I725)</f>
        <v>euroclass</v>
      </c>
      <c r="K75" s="1405" t="str">
        <f>IF(studie!K725="","",studie!K725)</f>
        <v>NPD</v>
      </c>
      <c r="L75" s="1406"/>
      <c r="M75" s="1418" t="str">
        <f>studie!S725</f>
        <v>B</v>
      </c>
      <c r="N75" s="444"/>
      <c r="O75" s="444"/>
      <c r="P75" s="444"/>
      <c r="Q75" s="444"/>
      <c r="R75" s="444"/>
      <c r="S75" s="444"/>
      <c r="T75" s="444"/>
      <c r="U75" s="447"/>
      <c r="W75" s="1581" t="s">
        <v>1142</v>
      </c>
      <c r="X75" s="1581" t="s">
        <v>1142</v>
      </c>
      <c r="Y75" s="1581" t="s">
        <v>1142</v>
      </c>
      <c r="Z75" s="1581" t="s">
        <v>1142</v>
      </c>
      <c r="AA75" s="1581" t="s">
        <v>1142</v>
      </c>
      <c r="AB75" s="1581" t="s">
        <v>1142</v>
      </c>
      <c r="AC75" s="1581" t="s">
        <v>1142</v>
      </c>
      <c r="AD75" s="1581" t="s">
        <v>1142</v>
      </c>
    </row>
    <row r="76" spans="1:30" s="318" customFormat="1" ht="12.4" customHeight="1" thickBot="1" x14ac:dyDescent="0.35">
      <c r="A76" s="1423" t="s">
        <v>1384</v>
      </c>
      <c r="B76" s="339"/>
      <c r="C76" s="339"/>
      <c r="D76" s="339"/>
      <c r="E76" s="339"/>
      <c r="F76" s="339"/>
      <c r="G76" s="339"/>
      <c r="H76" s="339"/>
      <c r="I76" s="339"/>
      <c r="J76" s="339"/>
      <c r="K76" s="339"/>
      <c r="L76" s="339"/>
      <c r="M76" s="339"/>
      <c r="N76" s="339"/>
      <c r="O76" s="339"/>
      <c r="P76" s="339"/>
      <c r="Q76" s="339"/>
      <c r="R76" s="339"/>
      <c r="S76" s="339"/>
      <c r="T76" s="339"/>
      <c r="U76" s="341"/>
    </row>
    <row r="77" spans="1:30" s="318" customFormat="1" ht="12.4" customHeight="1" x14ac:dyDescent="0.3"/>
    <row r="78" spans="1:30" s="318" customFormat="1" ht="13" x14ac:dyDescent="0.3"/>
    <row r="79" spans="1:30" s="318" customFormat="1" ht="13" x14ac:dyDescent="0.3"/>
    <row r="80" spans="1:30" s="318" customFormat="1" ht="13" x14ac:dyDescent="0.3"/>
    <row r="81" spans="1:20" x14ac:dyDescent="0.35">
      <c r="A81" s="318"/>
      <c r="B81" s="318"/>
      <c r="C81" s="318"/>
      <c r="D81" s="318"/>
      <c r="E81" s="318"/>
      <c r="F81" s="318"/>
      <c r="G81" s="318"/>
      <c r="H81" s="318"/>
      <c r="I81" s="318"/>
      <c r="J81" s="318"/>
      <c r="K81" s="318"/>
      <c r="L81" s="318"/>
      <c r="M81" s="318"/>
      <c r="N81" s="318"/>
      <c r="O81" s="318"/>
      <c r="P81" s="318"/>
      <c r="Q81" s="318"/>
      <c r="R81" s="318"/>
      <c r="S81" s="318"/>
      <c r="T81" s="318"/>
    </row>
    <row r="82" spans="1:20" x14ac:dyDescent="0.35">
      <c r="A82" s="318"/>
      <c r="B82" s="318"/>
      <c r="C82" s="318"/>
      <c r="D82" s="318"/>
      <c r="E82" s="318"/>
      <c r="F82" s="318"/>
      <c r="G82" s="318"/>
      <c r="H82" s="318"/>
      <c r="I82" s="318"/>
    </row>
    <row r="83" spans="1:20" x14ac:dyDescent="0.35">
      <c r="A83" s="318"/>
      <c r="B83" s="318"/>
      <c r="C83" s="318"/>
      <c r="D83" s="318"/>
      <c r="E83" s="318"/>
      <c r="F83" s="318"/>
      <c r="G83" s="318"/>
      <c r="H83" s="318"/>
      <c r="I83" s="318"/>
    </row>
  </sheetData>
  <sheetProtection algorithmName="SHA-512" hashValue="IagtfYLRwtIFEpjlfQgNC9JHC/t4HosXnaf/t9V77zMc3E6X0ttlYbxWHe3GjAkhM5D7VjPjf8aLSh6royfn3Q==" saltValue="7u05kkJKCxk7znnlyvKxpw==" spinCount="100000" sheet="1" objects="1" scenarios="1" autoFilter="0"/>
  <autoFilter ref="W11:AD75" xr:uid="{00000000-0009-0000-0000-000010000000}"/>
  <mergeCells count="4">
    <mergeCell ref="M11:U11"/>
    <mergeCell ref="F27:G27"/>
    <mergeCell ref="F26:G26"/>
    <mergeCell ref="N4:O4"/>
  </mergeCells>
  <pageMargins left="0.43307086614173229" right="0.19685039370078741" top="0.39370078740157483" bottom="0.59055118110236227" header="0.31496062992125984" footer="0.31496062992125984"/>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66"/>
  </sheetPr>
  <dimension ref="A1:AF194"/>
  <sheetViews>
    <sheetView topLeftCell="A20" workbookViewId="0">
      <selection activeCell="AA38" sqref="AA38"/>
    </sheetView>
  </sheetViews>
  <sheetFormatPr defaultRowHeight="14.5" x14ac:dyDescent="0.35"/>
  <cols>
    <col min="1" max="1" width="3.7265625" customWidth="1"/>
    <col min="2" max="20" width="4.7265625" customWidth="1"/>
    <col min="21" max="21" width="3.26953125" customWidth="1"/>
    <col min="22" max="22" width="4.7265625" customWidth="1"/>
    <col min="23" max="30" width="5.7265625" style="1154" customWidth="1"/>
  </cols>
  <sheetData>
    <row r="1" spans="1:32" s="1134" customFormat="1" ht="15.5" x14ac:dyDescent="0.35">
      <c r="A1" s="1138"/>
      <c r="B1" s="1135"/>
      <c r="C1" s="1135"/>
      <c r="D1" s="1135"/>
      <c r="E1" s="1135"/>
      <c r="F1" s="1135"/>
      <c r="G1" s="1135"/>
      <c r="H1" s="1135"/>
      <c r="I1" s="1135"/>
      <c r="J1" s="1136" t="s">
        <v>1104</v>
      </c>
      <c r="K1" s="1139" t="str">
        <f>IF($AB$2=1,algemeen!E29,IF($AB$2=2,algemeen!H29,algemeen!K29))</f>
        <v>0803/3100-CPR-2014/03/18</v>
      </c>
      <c r="L1" s="1135"/>
      <c r="M1" s="1135"/>
      <c r="N1" s="1135"/>
      <c r="O1" s="1135"/>
      <c r="P1" s="1135"/>
      <c r="Q1" s="1135"/>
      <c r="R1" s="1135"/>
      <c r="S1" s="1135"/>
      <c r="T1" s="1135"/>
      <c r="U1" s="1137"/>
      <c r="W1" s="1386"/>
      <c r="X1" s="1386"/>
      <c r="Y1" s="1386"/>
      <c r="Z1" s="1386"/>
      <c r="AA1" s="1386"/>
      <c r="AB1" s="1386"/>
      <c r="AC1" s="1386"/>
      <c r="AD1" s="1386"/>
    </row>
    <row r="2" spans="1:32" ht="15" customHeight="1" x14ac:dyDescent="0.35">
      <c r="A2" s="926"/>
      <c r="U2" s="927"/>
      <c r="W2" s="1387"/>
      <c r="X2" s="1389" t="s">
        <v>785</v>
      </c>
      <c r="Y2" s="1388"/>
      <c r="Z2" s="1388"/>
      <c r="AA2" s="1388"/>
      <c r="AB2" s="1576">
        <v>3</v>
      </c>
      <c r="AC2" s="1697" t="s">
        <v>1329</v>
      </c>
      <c r="AD2" s="1387"/>
      <c r="AF2" s="1700" t="s">
        <v>1467</v>
      </c>
    </row>
    <row r="3" spans="1:32" ht="15" customHeight="1" x14ac:dyDescent="0.35">
      <c r="A3" s="1122" t="s">
        <v>1105</v>
      </c>
      <c r="B3" t="s">
        <v>1106</v>
      </c>
      <c r="U3" s="927"/>
      <c r="W3" s="1387"/>
      <c r="X3" s="1387"/>
      <c r="Y3" s="1387"/>
      <c r="Z3" s="1387"/>
      <c r="AA3" s="1387"/>
      <c r="AB3" s="1387"/>
      <c r="AC3" s="1387"/>
      <c r="AD3" s="1387"/>
      <c r="AF3" s="1700" t="s">
        <v>1468</v>
      </c>
    </row>
    <row r="4" spans="1:32" ht="15" customHeight="1" x14ac:dyDescent="0.35">
      <c r="A4" s="926"/>
      <c r="J4" s="1390" t="str">
        <f>IF($AB$2=1,berekeningen!E7,IF($AB$2=2,berekeningen!H7,berekeningen!K7))</f>
        <v>8031/1234</v>
      </c>
      <c r="U4" s="927"/>
    </row>
    <row r="5" spans="1:32" ht="15" customHeight="1" x14ac:dyDescent="0.35">
      <c r="A5" s="926"/>
      <c r="I5" s="939" t="str">
        <f>IF($AB$2=1,berekeningen!D5&amp;"/",IF($AB$2=2,berekeningen!G5&amp;"/",berekeningen!J5&amp;"/"))</f>
        <v>8031/64/</v>
      </c>
      <c r="J5" s="938" t="str">
        <f>algemeen!J66</f>
        <v>2010/13RE-1234/0</v>
      </c>
      <c r="U5" s="927"/>
      <c r="W5"/>
      <c r="X5" s="1699"/>
    </row>
    <row r="6" spans="1:32" ht="15" customHeight="1" x14ac:dyDescent="0.35">
      <c r="A6" s="926"/>
      <c r="B6" s="2340" t="str">
        <f>IF(algemeen!F43="geen","",algemeen!F43&amp;"  "&amp;algemeen!F41)</f>
        <v>EN 13108-1  AC 20 onderlaag 50/70</v>
      </c>
      <c r="C6" s="2340"/>
      <c r="D6" s="2340"/>
      <c r="E6" s="2340"/>
      <c r="F6" s="2340"/>
      <c r="G6" s="2340"/>
      <c r="H6" s="2340"/>
      <c r="I6" s="2340"/>
      <c r="J6" s="2340"/>
      <c r="K6" s="2340"/>
      <c r="L6" s="2340"/>
      <c r="M6" s="2340"/>
      <c r="N6" s="2340"/>
      <c r="O6" s="2340"/>
      <c r="P6" s="2340"/>
      <c r="Q6" s="2340"/>
      <c r="R6" s="2340"/>
      <c r="S6" s="2340"/>
      <c r="T6" s="2340"/>
      <c r="U6" s="927"/>
      <c r="W6" s="1699" t="s">
        <v>1477</v>
      </c>
      <c r="X6"/>
    </row>
    <row r="7" spans="1:32" ht="10" customHeight="1" x14ac:dyDescent="0.35">
      <c r="A7" s="926"/>
      <c r="B7" s="1124"/>
      <c r="C7" s="1124"/>
      <c r="D7" s="1124"/>
      <c r="E7" s="1124"/>
      <c r="F7" s="1124"/>
      <c r="G7" s="1124"/>
      <c r="H7" s="1124"/>
      <c r="I7" s="1124"/>
      <c r="J7" s="1124"/>
      <c r="K7" s="1124"/>
      <c r="L7" s="1124"/>
      <c r="M7" s="1124"/>
      <c r="N7" s="1124"/>
      <c r="O7" s="1124"/>
      <c r="P7" s="1124"/>
      <c r="Q7" s="1124"/>
      <c r="R7" s="1124"/>
      <c r="S7" s="1124"/>
      <c r="T7" s="1124"/>
      <c r="U7" s="927"/>
      <c r="W7"/>
      <c r="X7"/>
    </row>
    <row r="8" spans="1:32" ht="15" customHeight="1" x14ac:dyDescent="0.35">
      <c r="A8" s="1122" t="s">
        <v>1107</v>
      </c>
      <c r="B8" t="s">
        <v>1463</v>
      </c>
      <c r="U8" s="927"/>
      <c r="W8"/>
      <c r="X8"/>
    </row>
    <row r="9" spans="1:32" ht="15" customHeight="1" x14ac:dyDescent="0.35">
      <c r="A9" s="926"/>
      <c r="B9" s="2351" t="str">
        <f>IF(algemeen!F44="","",algemeen!F44)</f>
        <v>voor onderlagen van asfaltverhardingen</v>
      </c>
      <c r="C9" s="2351"/>
      <c r="D9" s="2351"/>
      <c r="E9" s="2351"/>
      <c r="F9" s="2351"/>
      <c r="G9" s="2351"/>
      <c r="H9" s="2351"/>
      <c r="I9" s="2351"/>
      <c r="J9" s="2351"/>
      <c r="K9" s="2351"/>
      <c r="L9" s="2351"/>
      <c r="M9" s="2351"/>
      <c r="N9" s="2351"/>
      <c r="O9" s="2351"/>
      <c r="P9" s="2351"/>
      <c r="Q9" s="2351"/>
      <c r="R9" s="2351"/>
      <c r="S9" s="2351"/>
      <c r="T9" s="2351"/>
      <c r="U9" s="927"/>
      <c r="W9" s="1699" t="s">
        <v>1105</v>
      </c>
      <c r="X9" s="1699" t="s">
        <v>1478</v>
      </c>
    </row>
    <row r="10" spans="1:32" ht="10" customHeight="1" x14ac:dyDescent="0.35">
      <c r="A10" s="926"/>
      <c r="U10" s="927"/>
      <c r="W10"/>
      <c r="X10"/>
    </row>
    <row r="11" spans="1:32" ht="15" customHeight="1" x14ac:dyDescent="0.35">
      <c r="A11" s="1122" t="s">
        <v>1108</v>
      </c>
      <c r="B11" t="s">
        <v>1156</v>
      </c>
      <c r="U11" s="927"/>
      <c r="W11" s="1699" t="s">
        <v>1107</v>
      </c>
      <c r="X11" s="1699" t="s">
        <v>1474</v>
      </c>
    </row>
    <row r="12" spans="1:32" s="932" customFormat="1" ht="10" customHeight="1" x14ac:dyDescent="0.25">
      <c r="A12" s="1140"/>
      <c r="B12" s="932" t="s">
        <v>899</v>
      </c>
      <c r="L12" s="932" t="s">
        <v>785</v>
      </c>
      <c r="U12" s="1119"/>
      <c r="W12" s="1155"/>
      <c r="X12" s="1155"/>
      <c r="Y12" s="1155"/>
      <c r="Z12" s="1155"/>
      <c r="AA12" s="1155"/>
      <c r="AB12" s="1155"/>
      <c r="AC12" s="1155"/>
      <c r="AD12" s="1155"/>
    </row>
    <row r="13" spans="1:32" ht="15" customHeight="1" x14ac:dyDescent="0.35">
      <c r="A13" s="1122"/>
      <c r="C13" s="938" t="str">
        <f>algemeen!E4</f>
        <v>ASFALT PRODUCTIE BEDRIJF nv</v>
      </c>
      <c r="M13" s="1123" t="str">
        <f>IF($AB$2=1,algemeen!E21,IF($AB$2=2,algemeen!H21,algemeen!K21))</f>
        <v>GHI nv</v>
      </c>
      <c r="N13" s="317"/>
      <c r="O13" s="317"/>
      <c r="U13" s="927"/>
      <c r="W13" s="1699" t="s">
        <v>1108</v>
      </c>
      <c r="X13" s="1699" t="s">
        <v>1475</v>
      </c>
    </row>
    <row r="14" spans="1:32" ht="15" customHeight="1" x14ac:dyDescent="0.35">
      <c r="A14" s="1122"/>
      <c r="C14" s="938" t="str">
        <f>algemeen!E5</f>
        <v>Dendermondsesteenweg 123</v>
      </c>
      <c r="M14" s="1123" t="str">
        <f>IF($AB$2=1,algemeen!E22,IF($AB$2=2,algemeen!H22,algemeen!K22))</f>
        <v>straat 3</v>
      </c>
      <c r="N14" s="317"/>
      <c r="O14" s="317"/>
      <c r="U14" s="927"/>
      <c r="X14" s="1699" t="s">
        <v>1476</v>
      </c>
    </row>
    <row r="15" spans="1:32" ht="15" customHeight="1" x14ac:dyDescent="0.35">
      <c r="A15" s="1122"/>
      <c r="C15" s="938" t="str">
        <f>algemeen!E6</f>
        <v>1234 Brussel</v>
      </c>
      <c r="M15" s="2337">
        <f>IF($AB$2=1,algemeen!E23,IF($AB$2=2,algemeen!H23,algemeen!K23))</f>
        <v>3000</v>
      </c>
      <c r="N15" s="2337">
        <f>IF($AB$2=1,algemeen!F23,IF($AB$2=2,algemeen!I23,algemeen!L23))</f>
        <v>0</v>
      </c>
      <c r="O15" s="1123" t="str">
        <f>IF($AB$2=1,algemeen!E24,IF($AB$2=2,algemeen!H24,algemeen!K24))</f>
        <v>Hasselt</v>
      </c>
      <c r="U15" s="927"/>
    </row>
    <row r="16" spans="1:32" ht="10" customHeight="1" x14ac:dyDescent="0.35">
      <c r="A16" s="1122"/>
      <c r="C16" s="938"/>
      <c r="M16" s="1123"/>
      <c r="N16" s="317"/>
      <c r="O16" s="1123"/>
      <c r="U16" s="927"/>
    </row>
    <row r="17" spans="1:30" ht="15" customHeight="1" x14ac:dyDescent="0.35">
      <c r="A17" s="1122" t="s">
        <v>1109</v>
      </c>
      <c r="B17" t="s">
        <v>1157</v>
      </c>
      <c r="C17" s="938"/>
      <c r="M17" s="1123"/>
      <c r="N17" s="317"/>
      <c r="O17" s="1123"/>
      <c r="U17" s="927"/>
    </row>
    <row r="18" spans="1:30" ht="15" customHeight="1" x14ac:dyDescent="0.35">
      <c r="A18" s="926"/>
      <c r="C18" s="938"/>
      <c r="G18" s="317" t="str">
        <f>IF(algemeen!$E$15="","niet van toepassing",algemeen!E15)</f>
        <v>Dekmantelvennootschap bvba</v>
      </c>
      <c r="M18" s="1123"/>
      <c r="N18" s="317"/>
      <c r="O18" s="1123"/>
      <c r="U18" s="927"/>
    </row>
    <row r="19" spans="1:30" ht="15" customHeight="1" x14ac:dyDescent="0.35">
      <c r="A19" s="926"/>
      <c r="C19" s="938"/>
      <c r="G19" s="317" t="str">
        <f>IF(algemeen!$E$15="","",algemeen!E16)</f>
        <v>Blue Lagoon 69</v>
      </c>
      <c r="M19" s="1123"/>
      <c r="N19" s="317"/>
      <c r="O19" s="1123"/>
      <c r="U19" s="927"/>
    </row>
    <row r="20" spans="1:30" ht="15" customHeight="1" x14ac:dyDescent="0.35">
      <c r="A20" s="926"/>
      <c r="C20" s="938"/>
      <c r="G20" s="317" t="str">
        <f>IF(algemeen!$E$15="","",algemeen!E17)</f>
        <v>666 Bananenstad, Curaçao</v>
      </c>
      <c r="M20" s="1123"/>
      <c r="N20" s="317"/>
      <c r="O20" s="1123"/>
      <c r="U20" s="927"/>
    </row>
    <row r="21" spans="1:30" ht="10" customHeight="1" x14ac:dyDescent="0.35">
      <c r="A21" s="926"/>
      <c r="C21" s="938"/>
      <c r="M21" s="1123"/>
      <c r="N21" s="317"/>
      <c r="O21" s="1123"/>
      <c r="U21" s="927"/>
    </row>
    <row r="22" spans="1:30" ht="15" customHeight="1" x14ac:dyDescent="0.35">
      <c r="A22" s="1122" t="s">
        <v>1110</v>
      </c>
      <c r="B22" t="s">
        <v>1462</v>
      </c>
      <c r="C22" s="938"/>
      <c r="M22" s="1123"/>
      <c r="N22" s="317"/>
      <c r="O22" s="1123"/>
      <c r="U22" s="927"/>
    </row>
    <row r="23" spans="1:30" ht="15" customHeight="1" x14ac:dyDescent="0.35">
      <c r="A23" s="1122"/>
      <c r="C23" s="938"/>
      <c r="J23" s="317" t="s">
        <v>1120</v>
      </c>
      <c r="M23" s="1123"/>
      <c r="N23" s="317"/>
      <c r="O23" s="1123"/>
      <c r="U23" s="927"/>
    </row>
    <row r="24" spans="1:30" ht="10" customHeight="1" x14ac:dyDescent="0.35">
      <c r="A24" s="1122"/>
      <c r="C24" s="938"/>
      <c r="M24" s="1123"/>
      <c r="N24" s="317"/>
      <c r="O24" s="1123"/>
      <c r="U24" s="927"/>
    </row>
    <row r="25" spans="1:30" ht="15" customHeight="1" x14ac:dyDescent="0.35">
      <c r="A25" s="1122" t="s">
        <v>1119</v>
      </c>
      <c r="B25" t="s">
        <v>1152</v>
      </c>
      <c r="C25" s="938"/>
      <c r="J25" s="317" t="str">
        <f>algemeen!D48</f>
        <v xml:space="preserve">EN 13108-1 (2006) + EN 13108-1/AC (2008) </v>
      </c>
      <c r="M25" s="1123"/>
      <c r="N25" s="317"/>
      <c r="O25" s="1123"/>
      <c r="U25" s="927"/>
    </row>
    <row r="26" spans="1:30" ht="10" customHeight="1" x14ac:dyDescent="0.35">
      <c r="A26" s="1122"/>
      <c r="C26" s="938"/>
      <c r="M26" s="1123"/>
      <c r="N26" s="317"/>
      <c r="O26" s="1123"/>
      <c r="U26" s="927"/>
    </row>
    <row r="27" spans="1:30" ht="15" customHeight="1" x14ac:dyDescent="0.35">
      <c r="A27" s="1122"/>
      <c r="B27" t="s">
        <v>1158</v>
      </c>
      <c r="C27" s="938"/>
      <c r="J27" s="317" t="s">
        <v>16</v>
      </c>
      <c r="K27" s="317"/>
      <c r="L27" s="939" t="s">
        <v>1155</v>
      </c>
      <c r="M27" s="2337">
        <v>1137</v>
      </c>
      <c r="N27" s="2337"/>
      <c r="O27" s="1123"/>
      <c r="U27" s="927"/>
    </row>
    <row r="28" spans="1:30" ht="10" customHeight="1" x14ac:dyDescent="0.35">
      <c r="A28" s="1122"/>
      <c r="G28" s="1141"/>
      <c r="H28" s="935"/>
      <c r="I28" s="935"/>
      <c r="J28" s="935"/>
      <c r="K28" s="935"/>
      <c r="L28" s="935"/>
      <c r="M28" s="935"/>
      <c r="N28" s="935"/>
      <c r="U28" s="927"/>
    </row>
    <row r="29" spans="1:30" ht="15" customHeight="1" x14ac:dyDescent="0.35">
      <c r="A29" s="1122" t="s">
        <v>1121</v>
      </c>
      <c r="B29" t="s">
        <v>1159</v>
      </c>
      <c r="G29" s="1141"/>
      <c r="H29" s="935"/>
      <c r="I29" s="935"/>
      <c r="J29" s="935"/>
      <c r="K29" s="935"/>
      <c r="L29" s="935"/>
      <c r="M29" s="935"/>
      <c r="N29" s="935"/>
      <c r="U29" s="927"/>
    </row>
    <row r="30" spans="1:30" ht="45" customHeight="1" x14ac:dyDescent="0.35">
      <c r="A30" s="926"/>
      <c r="B30" s="2347" t="s">
        <v>1126</v>
      </c>
      <c r="C30" s="2348"/>
      <c r="D30" s="2348"/>
      <c r="E30" s="2348"/>
      <c r="F30" s="2348"/>
      <c r="G30" s="2348"/>
      <c r="H30" s="2347" t="s">
        <v>1133</v>
      </c>
      <c r="I30" s="2348"/>
      <c r="J30" s="2348"/>
      <c r="K30" s="2348"/>
      <c r="L30" s="2348"/>
      <c r="M30" s="2348"/>
      <c r="N30" s="2348"/>
      <c r="O30" s="2348"/>
      <c r="P30" s="2348"/>
      <c r="Q30" s="2348"/>
      <c r="R30" s="2348"/>
      <c r="S30" s="2348"/>
      <c r="T30" s="2349"/>
      <c r="U30" s="927"/>
      <c r="W30" s="1577">
        <v>1</v>
      </c>
      <c r="X30" s="1577">
        <v>2</v>
      </c>
      <c r="Y30" s="1577">
        <v>3</v>
      </c>
      <c r="Z30" s="1577">
        <v>4</v>
      </c>
      <c r="AA30" s="1577">
        <v>5</v>
      </c>
      <c r="AB30" s="1577">
        <v>6</v>
      </c>
      <c r="AC30" s="1577">
        <v>7</v>
      </c>
      <c r="AD30" s="1577">
        <v>9</v>
      </c>
    </row>
    <row r="31" spans="1:30" ht="28.5" customHeight="1" x14ac:dyDescent="0.35">
      <c r="A31" s="926"/>
      <c r="B31" s="2343" t="s">
        <v>1127</v>
      </c>
      <c r="C31" s="2344"/>
      <c r="D31" s="2344"/>
      <c r="E31" s="2344"/>
      <c r="F31" s="2344"/>
      <c r="G31" s="2344"/>
      <c r="H31" s="1131"/>
      <c r="I31" s="1126"/>
      <c r="J31" s="1127"/>
      <c r="K31" s="1126"/>
      <c r="L31" s="1127"/>
      <c r="M31" s="1127"/>
      <c r="N31" s="1126"/>
      <c r="O31" s="1127"/>
      <c r="P31" s="1127"/>
      <c r="Q31" s="1125"/>
      <c r="R31" s="1125"/>
      <c r="S31" s="1125"/>
      <c r="T31" s="1128"/>
      <c r="U31" s="927"/>
      <c r="W31" s="1582" t="s">
        <v>1142</v>
      </c>
      <c r="X31" s="1582" t="s">
        <v>1142</v>
      </c>
      <c r="Y31" s="1582" t="s">
        <v>1142</v>
      </c>
      <c r="Z31" s="1582" t="s">
        <v>1142</v>
      </c>
      <c r="AA31" s="1582" t="s">
        <v>1142</v>
      </c>
      <c r="AB31" s="1582" t="s">
        <v>1142</v>
      </c>
      <c r="AC31" s="1582" t="s">
        <v>1142</v>
      </c>
      <c r="AD31" s="1582" t="s">
        <v>1142</v>
      </c>
    </row>
    <row r="32" spans="1:30" x14ac:dyDescent="0.35">
      <c r="A32" s="926"/>
      <c r="B32" s="1129" t="s">
        <v>1128</v>
      </c>
      <c r="C32" s="852"/>
      <c r="D32" s="852"/>
      <c r="E32" s="852"/>
      <c r="F32" s="852"/>
      <c r="G32" s="593"/>
      <c r="H32" s="1133"/>
      <c r="I32" s="1114"/>
      <c r="J32" s="1114"/>
      <c r="K32" s="1114"/>
      <c r="L32" s="1114"/>
      <c r="M32" s="1114"/>
      <c r="N32" s="1114"/>
      <c r="O32" s="1114"/>
      <c r="P32" s="1114"/>
      <c r="Q32" s="852"/>
      <c r="R32" s="1114"/>
      <c r="S32" s="1114"/>
      <c r="T32" s="1130"/>
      <c r="U32" s="927"/>
      <c r="W32" s="1582" t="s">
        <v>1142</v>
      </c>
      <c r="X32" s="1583"/>
      <c r="Y32" s="1582" t="s">
        <v>1142</v>
      </c>
      <c r="Z32" s="1582" t="s">
        <v>1142</v>
      </c>
      <c r="AA32" s="1582" t="s">
        <v>1142</v>
      </c>
      <c r="AB32" s="1582" t="s">
        <v>1142</v>
      </c>
      <c r="AC32" s="1582" t="s">
        <v>1142</v>
      </c>
      <c r="AD32" s="1583"/>
    </row>
    <row r="33" spans="1:30" ht="28.5" customHeight="1" x14ac:dyDescent="0.35">
      <c r="A33" s="926"/>
      <c r="B33" s="2345" t="s">
        <v>1129</v>
      </c>
      <c r="C33" s="2346"/>
      <c r="D33" s="2346"/>
      <c r="E33" s="2346"/>
      <c r="F33" s="2346"/>
      <c r="G33" s="2346"/>
      <c r="H33" s="1133"/>
      <c r="I33" s="1114"/>
      <c r="J33" s="1114"/>
      <c r="K33" s="1114"/>
      <c r="L33" s="1114"/>
      <c r="M33" s="1114"/>
      <c r="N33" s="1114"/>
      <c r="O33" s="1114"/>
      <c r="P33" s="1114"/>
      <c r="Q33" s="852"/>
      <c r="R33" s="1114"/>
      <c r="S33" s="1114"/>
      <c r="T33" s="1130"/>
      <c r="U33" s="927"/>
      <c r="W33" s="1582" t="s">
        <v>1142</v>
      </c>
      <c r="X33" s="1583"/>
      <c r="Y33" s="1582" t="s">
        <v>1142</v>
      </c>
      <c r="Z33" s="1582" t="s">
        <v>1142</v>
      </c>
      <c r="AA33" s="1582" t="s">
        <v>1142</v>
      </c>
      <c r="AB33" s="1582" t="s">
        <v>1142</v>
      </c>
      <c r="AC33" s="1582" t="s">
        <v>1142</v>
      </c>
      <c r="AD33" s="1583"/>
    </row>
    <row r="34" spans="1:30" x14ac:dyDescent="0.35">
      <c r="A34" s="926"/>
      <c r="B34" s="1129" t="s">
        <v>1130</v>
      </c>
      <c r="C34" s="852"/>
      <c r="D34" s="852"/>
      <c r="E34" s="852"/>
      <c r="F34" s="852"/>
      <c r="G34" s="593"/>
      <c r="H34" s="1133"/>
      <c r="I34" s="1114"/>
      <c r="J34" s="1114"/>
      <c r="K34" s="1114"/>
      <c r="L34" s="1114"/>
      <c r="M34" s="1114"/>
      <c r="N34" s="1114"/>
      <c r="O34" s="1114"/>
      <c r="P34" s="1114"/>
      <c r="Q34" s="1114"/>
      <c r="R34" s="1114"/>
      <c r="S34" s="1114"/>
      <c r="T34" s="1130"/>
      <c r="U34" s="927"/>
      <c r="W34" s="1582" t="s">
        <v>1142</v>
      </c>
      <c r="X34" s="1583"/>
      <c r="Y34" s="1582" t="s">
        <v>1142</v>
      </c>
      <c r="Z34" s="1582" t="s">
        <v>1142</v>
      </c>
      <c r="AA34" s="1582" t="s">
        <v>1142</v>
      </c>
      <c r="AB34" s="1582" t="s">
        <v>1142</v>
      </c>
      <c r="AC34" s="1582" t="s">
        <v>1142</v>
      </c>
      <c r="AD34" s="1583"/>
    </row>
    <row r="35" spans="1:30" x14ac:dyDescent="0.35">
      <c r="A35" s="926"/>
      <c r="B35" s="1129" t="s">
        <v>1131</v>
      </c>
      <c r="C35" s="852"/>
      <c r="D35" s="852"/>
      <c r="E35" s="852"/>
      <c r="F35" s="852"/>
      <c r="G35" s="593"/>
      <c r="H35" s="1133"/>
      <c r="I35" s="1114"/>
      <c r="J35" s="1114"/>
      <c r="K35" s="1114"/>
      <c r="L35" s="1114"/>
      <c r="M35" s="1114"/>
      <c r="N35" s="1114"/>
      <c r="O35" s="1114"/>
      <c r="P35" s="1114"/>
      <c r="Q35" s="1114"/>
      <c r="R35" s="1114"/>
      <c r="S35" s="1114"/>
      <c r="T35" s="1130"/>
      <c r="U35" s="927"/>
      <c r="W35" s="1582" t="s">
        <v>1142</v>
      </c>
      <c r="X35" s="1582" t="s">
        <v>1142</v>
      </c>
      <c r="Y35" s="1582" t="s">
        <v>1142</v>
      </c>
      <c r="Z35" s="1582" t="s">
        <v>1142</v>
      </c>
      <c r="AA35" s="1582" t="s">
        <v>1142</v>
      </c>
      <c r="AB35" s="1582" t="s">
        <v>1142</v>
      </c>
      <c r="AC35" s="1582" t="s">
        <v>1142</v>
      </c>
      <c r="AD35" s="1582" t="s">
        <v>1142</v>
      </c>
    </row>
    <row r="36" spans="1:30" x14ac:dyDescent="0.35">
      <c r="A36" s="926"/>
      <c r="B36" s="1129" t="s">
        <v>1132</v>
      </c>
      <c r="C36" s="852"/>
      <c r="D36" s="852"/>
      <c r="E36" s="852"/>
      <c r="F36" s="852"/>
      <c r="G36" s="593"/>
      <c r="H36" s="1133"/>
      <c r="I36" s="1114"/>
      <c r="J36" s="1114"/>
      <c r="K36" s="1114"/>
      <c r="L36" s="1114"/>
      <c r="M36" s="1114"/>
      <c r="N36" s="1114"/>
      <c r="O36" s="1114"/>
      <c r="P36" s="1114"/>
      <c r="Q36" s="1114"/>
      <c r="R36" s="1114"/>
      <c r="S36" s="1114"/>
      <c r="T36" s="1130"/>
      <c r="U36" s="927"/>
      <c r="W36" s="1582" t="s">
        <v>1142</v>
      </c>
      <c r="X36" s="1582" t="s">
        <v>1142</v>
      </c>
      <c r="Y36" s="1582" t="s">
        <v>1142</v>
      </c>
      <c r="Z36" s="1582" t="s">
        <v>1142</v>
      </c>
      <c r="AA36" s="1582" t="s">
        <v>1142</v>
      </c>
      <c r="AB36" s="1582" t="s">
        <v>1142</v>
      </c>
      <c r="AC36" s="1582" t="s">
        <v>1142</v>
      </c>
      <c r="AD36" s="1582" t="s">
        <v>1142</v>
      </c>
    </row>
    <row r="37" spans="1:30" x14ac:dyDescent="0.35">
      <c r="A37" s="926"/>
      <c r="B37" s="1129" t="s">
        <v>1312</v>
      </c>
      <c r="C37" s="852"/>
      <c r="D37" s="852"/>
      <c r="E37" s="852"/>
      <c r="F37" s="852"/>
      <c r="G37" s="593"/>
      <c r="H37" s="1133"/>
      <c r="I37" s="1114"/>
      <c r="J37" s="1114"/>
      <c r="K37" s="1114"/>
      <c r="L37" s="1114"/>
      <c r="M37" s="1114"/>
      <c r="N37" s="1114"/>
      <c r="O37" s="1114"/>
      <c r="P37" s="1114"/>
      <c r="Q37" s="1114"/>
      <c r="R37" s="1114"/>
      <c r="S37" s="1114"/>
      <c r="T37" s="1130"/>
      <c r="U37" s="927"/>
      <c r="W37" s="1583"/>
      <c r="X37" s="1583"/>
      <c r="Y37" s="1583"/>
      <c r="Z37" s="1583"/>
      <c r="AA37" s="1583"/>
      <c r="AB37" s="1583"/>
      <c r="AC37" s="1582" t="s">
        <v>1142</v>
      </c>
      <c r="AD37" s="1583"/>
    </row>
    <row r="38" spans="1:30" x14ac:dyDescent="0.35">
      <c r="A38" s="926"/>
      <c r="B38" s="1129" t="s">
        <v>1313</v>
      </c>
      <c r="C38" s="852"/>
      <c r="D38" s="852"/>
      <c r="E38" s="852"/>
      <c r="F38" s="852"/>
      <c r="G38" s="593"/>
      <c r="H38" s="1133"/>
      <c r="I38" s="1114"/>
      <c r="J38" s="1114"/>
      <c r="K38" s="1114"/>
      <c r="L38" s="1114"/>
      <c r="M38" s="1114"/>
      <c r="N38" s="1114"/>
      <c r="O38" s="1114"/>
      <c r="P38" s="1114"/>
      <c r="Q38" s="1114"/>
      <c r="R38" s="1114"/>
      <c r="S38" s="1114"/>
      <c r="T38" s="1130"/>
      <c r="U38" s="927"/>
      <c r="W38" s="1583"/>
      <c r="X38" s="1583"/>
      <c r="Y38" s="1583"/>
      <c r="Z38" s="1583"/>
      <c r="AA38" s="1583"/>
      <c r="AB38" s="1583"/>
      <c r="AC38" s="1582" t="s">
        <v>1142</v>
      </c>
      <c r="AD38" s="1583"/>
    </row>
    <row r="39" spans="1:30" x14ac:dyDescent="0.35">
      <c r="A39" s="926"/>
      <c r="B39" s="1129" t="s">
        <v>1314</v>
      </c>
      <c r="C39" s="852"/>
      <c r="D39" s="852"/>
      <c r="E39" s="852"/>
      <c r="F39" s="852"/>
      <c r="G39" s="593"/>
      <c r="H39" s="1133"/>
      <c r="I39" s="1114"/>
      <c r="J39" s="1114"/>
      <c r="K39" s="1114"/>
      <c r="L39" s="1114"/>
      <c r="M39" s="1114"/>
      <c r="N39" s="1114"/>
      <c r="O39" s="1114"/>
      <c r="P39" s="1114"/>
      <c r="Q39" s="1114"/>
      <c r="R39" s="1114"/>
      <c r="S39" s="1114"/>
      <c r="T39" s="1130"/>
      <c r="U39" s="927"/>
      <c r="W39" s="1582" t="s">
        <v>1142</v>
      </c>
      <c r="X39" s="1582" t="s">
        <v>1142</v>
      </c>
      <c r="Y39" s="1582" t="s">
        <v>1142</v>
      </c>
      <c r="Z39" s="1582" t="s">
        <v>1142</v>
      </c>
      <c r="AA39" s="1582" t="s">
        <v>1142</v>
      </c>
      <c r="AB39" s="1582" t="s">
        <v>1142</v>
      </c>
      <c r="AC39" s="1582" t="s">
        <v>1142</v>
      </c>
      <c r="AD39" s="1582" t="s">
        <v>1142</v>
      </c>
    </row>
    <row r="40" spans="1:30" ht="91.5" customHeight="1" x14ac:dyDescent="0.35">
      <c r="A40" s="926"/>
      <c r="B40" s="2341" t="s">
        <v>1315</v>
      </c>
      <c r="C40" s="2342"/>
      <c r="D40" s="2342"/>
      <c r="E40" s="2342"/>
      <c r="F40" s="2342"/>
      <c r="G40" s="2342"/>
      <c r="H40" s="1142"/>
      <c r="I40" s="1143"/>
      <c r="J40" s="1143"/>
      <c r="K40" s="1143"/>
      <c r="L40" s="1143"/>
      <c r="M40" s="1143"/>
      <c r="N40" s="1143"/>
      <c r="O40" s="1143"/>
      <c r="P40" s="1143"/>
      <c r="Q40" s="1195"/>
      <c r="R40" s="1195"/>
      <c r="S40" s="1195"/>
      <c r="T40" s="1196"/>
      <c r="U40" s="927"/>
      <c r="W40" s="1582" t="s">
        <v>1142</v>
      </c>
      <c r="X40" s="1582" t="s">
        <v>1142</v>
      </c>
      <c r="Y40" s="1582" t="s">
        <v>1142</v>
      </c>
      <c r="Z40" s="1582" t="s">
        <v>1142</v>
      </c>
      <c r="AA40" s="1582" t="s">
        <v>1142</v>
      </c>
      <c r="AB40" s="1582" t="s">
        <v>1142</v>
      </c>
      <c r="AC40" s="1582" t="s">
        <v>1142</v>
      </c>
      <c r="AD40" s="1582" t="s">
        <v>1142</v>
      </c>
    </row>
    <row r="41" spans="1:30" ht="6" customHeight="1" x14ac:dyDescent="0.35">
      <c r="A41" s="852"/>
      <c r="B41" s="1114"/>
      <c r="C41" s="1114"/>
      <c r="D41" s="1114"/>
      <c r="E41" s="1114"/>
      <c r="F41" s="1114"/>
      <c r="G41" s="593"/>
      <c r="H41" s="1114"/>
      <c r="I41" s="1114"/>
      <c r="J41" s="1114"/>
      <c r="K41" s="1114"/>
      <c r="L41" s="1114"/>
      <c r="M41" s="1114"/>
      <c r="N41" s="1114"/>
      <c r="O41" s="1114"/>
      <c r="P41" s="1114"/>
      <c r="Q41" s="1114"/>
      <c r="R41" s="1114"/>
      <c r="S41" s="1114"/>
      <c r="T41" s="1114"/>
      <c r="W41" s="1578" t="s">
        <v>1142</v>
      </c>
      <c r="X41" s="1578" t="s">
        <v>1142</v>
      </c>
      <c r="Y41" s="1578" t="s">
        <v>1142</v>
      </c>
      <c r="Z41" s="1578" t="s">
        <v>1142</v>
      </c>
      <c r="AA41" s="1578" t="s">
        <v>1142</v>
      </c>
      <c r="AB41" s="1578" t="s">
        <v>1142</v>
      </c>
      <c r="AC41" s="1578" t="s">
        <v>1142</v>
      </c>
      <c r="AD41" s="1578" t="s">
        <v>1142</v>
      </c>
    </row>
    <row r="42" spans="1:30" ht="14.15" customHeight="1" x14ac:dyDescent="0.35">
      <c r="A42" s="926"/>
      <c r="B42" s="1197" t="s">
        <v>1327</v>
      </c>
      <c r="C42" s="1127"/>
      <c r="D42" s="1127"/>
      <c r="E42" s="1127"/>
      <c r="F42" s="1127"/>
      <c r="G42" s="1132"/>
      <c r="H42" s="565" t="s">
        <v>1066</v>
      </c>
      <c r="I42" s="565"/>
      <c r="J42" s="565"/>
      <c r="K42" s="565">
        <f>IF(berekeningen!D$9=0,"",berekeningen!D$9)</f>
        <v>40</v>
      </c>
      <c r="L42" s="565" t="str">
        <f>IF(K42="","","mm:")</f>
        <v>mm:</v>
      </c>
      <c r="M42" s="565"/>
      <c r="N42" s="1161">
        <f>IF(K42="","",samenstelling!K$109)</f>
        <v>99.999735647425894</v>
      </c>
      <c r="O42" s="565" t="str">
        <f>IF(K42="","","%")</f>
        <v>%</v>
      </c>
      <c r="P42" s="565"/>
      <c r="Q42" s="329"/>
      <c r="R42" s="329"/>
      <c r="S42" s="1127"/>
      <c r="T42" s="1132"/>
      <c r="U42" s="927"/>
      <c r="W42" s="1578" t="s">
        <v>1142</v>
      </c>
      <c r="X42" s="1578" t="s">
        <v>1142</v>
      </c>
      <c r="Y42" s="1578" t="s">
        <v>1142</v>
      </c>
      <c r="Z42" s="1578" t="s">
        <v>1142</v>
      </c>
      <c r="AA42" s="1578" t="s">
        <v>1142</v>
      </c>
      <c r="AB42" s="1578" t="s">
        <v>1142</v>
      </c>
      <c r="AC42" s="1578" t="s">
        <v>1142</v>
      </c>
      <c r="AD42" s="1578" t="s">
        <v>1142</v>
      </c>
    </row>
    <row r="43" spans="1:30" s="206" customFormat="1" ht="14.15" customHeight="1" x14ac:dyDescent="0.35">
      <c r="A43" s="1144"/>
      <c r="B43" s="1198"/>
      <c r="G43" s="1159"/>
      <c r="H43" s="208" t="s">
        <v>1067</v>
      </c>
      <c r="I43" s="208"/>
      <c r="J43" s="208"/>
      <c r="K43" s="208">
        <f>IF(berekeningen!E$9=0,"",berekeningen!E$9)</f>
        <v>31.5</v>
      </c>
      <c r="L43" s="208" t="str">
        <f t="shared" ref="L43:L55" si="0">IF(K43="","","mm:")</f>
        <v>mm:</v>
      </c>
      <c r="M43" s="208"/>
      <c r="N43" s="1121">
        <f>IF(K43="","",samenstelling!L$109)</f>
        <v>99.999735647425894</v>
      </c>
      <c r="O43" s="208" t="str">
        <f t="shared" ref="O43:O55" si="1">IF(K43="","","%")</f>
        <v>%</v>
      </c>
      <c r="P43" s="208"/>
      <c r="Q43" s="208"/>
      <c r="R43" s="208"/>
      <c r="T43" s="1159"/>
      <c r="U43" s="1120"/>
      <c r="W43" s="1578" t="s">
        <v>1142</v>
      </c>
      <c r="X43" s="1578" t="s">
        <v>1142</v>
      </c>
      <c r="Y43" s="1578" t="s">
        <v>1142</v>
      </c>
      <c r="Z43" s="1578" t="s">
        <v>1142</v>
      </c>
      <c r="AA43" s="1578" t="s">
        <v>1142</v>
      </c>
      <c r="AB43" s="1578" t="s">
        <v>1142</v>
      </c>
      <c r="AC43" s="1578" t="s">
        <v>1142</v>
      </c>
      <c r="AD43" s="1578" t="s">
        <v>1142</v>
      </c>
    </row>
    <row r="44" spans="1:30" s="206" customFormat="1" ht="14.15" customHeight="1" x14ac:dyDescent="0.35">
      <c r="A44" s="1144"/>
      <c r="B44" s="1198"/>
      <c r="G44" s="1159"/>
      <c r="H44" s="208"/>
      <c r="I44" s="208"/>
      <c r="J44" s="208"/>
      <c r="K44" s="208">
        <f>IF(berekeningen!F$9=0,"",berekeningen!F$9)</f>
        <v>20</v>
      </c>
      <c r="L44" s="208" t="str">
        <f t="shared" si="0"/>
        <v>mm:</v>
      </c>
      <c r="M44" s="208"/>
      <c r="N44" s="1121">
        <f>IF(K44="","",samenstelling!M$109)</f>
        <v>99.948735647425877</v>
      </c>
      <c r="O44" s="208" t="str">
        <f t="shared" si="1"/>
        <v>%</v>
      </c>
      <c r="P44" s="208"/>
      <c r="Q44" s="208"/>
      <c r="R44" s="208"/>
      <c r="T44" s="1159"/>
      <c r="U44" s="1120"/>
      <c r="W44" s="1578" t="s">
        <v>1142</v>
      </c>
      <c r="X44" s="1578" t="s">
        <v>1142</v>
      </c>
      <c r="Y44" s="1578" t="s">
        <v>1142</v>
      </c>
      <c r="Z44" s="1578" t="s">
        <v>1142</v>
      </c>
      <c r="AA44" s="1578" t="s">
        <v>1142</v>
      </c>
      <c r="AB44" s="1578" t="s">
        <v>1142</v>
      </c>
      <c r="AC44" s="1578" t="s">
        <v>1142</v>
      </c>
      <c r="AD44" s="1578" t="s">
        <v>1142</v>
      </c>
    </row>
    <row r="45" spans="1:30" s="206" customFormat="1" ht="14.15" customHeight="1" x14ac:dyDescent="0.35">
      <c r="A45" s="1144"/>
      <c r="B45" s="1198"/>
      <c r="G45" s="1159"/>
      <c r="H45" s="208"/>
      <c r="I45" s="208"/>
      <c r="J45" s="208"/>
      <c r="K45" s="208">
        <f>IF(berekeningen!G$9=0,"",berekeningen!G$9)</f>
        <v>16</v>
      </c>
      <c r="L45" s="208" t="str">
        <f t="shared" si="0"/>
        <v>mm:</v>
      </c>
      <c r="M45" s="208"/>
      <c r="N45" s="1121">
        <f>IF(K45="","",samenstelling!N$109)</f>
        <v>97.500735647425884</v>
      </c>
      <c r="O45" s="208" t="str">
        <f t="shared" si="1"/>
        <v>%</v>
      </c>
      <c r="P45" s="208"/>
      <c r="Q45" s="208"/>
      <c r="R45" s="208"/>
      <c r="T45" s="1159"/>
      <c r="U45" s="1120"/>
      <c r="W45" s="1578" t="s">
        <v>1142</v>
      </c>
      <c r="X45" s="1578" t="s">
        <v>1142</v>
      </c>
      <c r="Y45" s="1578" t="s">
        <v>1142</v>
      </c>
      <c r="Z45" s="1578" t="s">
        <v>1142</v>
      </c>
      <c r="AA45" s="1578" t="s">
        <v>1142</v>
      </c>
      <c r="AB45" s="1578" t="s">
        <v>1142</v>
      </c>
      <c r="AC45" s="1578" t="s">
        <v>1142</v>
      </c>
      <c r="AD45" s="1578" t="s">
        <v>1142</v>
      </c>
    </row>
    <row r="46" spans="1:30" s="206" customFormat="1" ht="14.15" customHeight="1" x14ac:dyDescent="0.35">
      <c r="A46" s="1144"/>
      <c r="B46" s="1198"/>
      <c r="G46" s="1159"/>
      <c r="H46" s="208"/>
      <c r="I46" s="208"/>
      <c r="J46" s="208"/>
      <c r="K46" s="208">
        <f>IF(berekeningen!H$9=0,"",berekeningen!H$9)</f>
        <v>14</v>
      </c>
      <c r="L46" s="208" t="str">
        <f t="shared" si="0"/>
        <v>mm:</v>
      </c>
      <c r="M46" s="208"/>
      <c r="N46" s="1121">
        <f>IF(K46="","",samenstelling!O$109)</f>
        <v>95.868735647425879</v>
      </c>
      <c r="O46" s="208" t="str">
        <f t="shared" si="1"/>
        <v>%</v>
      </c>
      <c r="P46" s="208"/>
      <c r="Q46" s="208"/>
      <c r="R46" s="208"/>
      <c r="T46" s="1159"/>
      <c r="U46" s="1120"/>
      <c r="W46" s="1578" t="s">
        <v>1142</v>
      </c>
      <c r="X46" s="1578" t="s">
        <v>1142</v>
      </c>
      <c r="Y46" s="1578" t="s">
        <v>1142</v>
      </c>
      <c r="Z46" s="1578" t="s">
        <v>1142</v>
      </c>
      <c r="AA46" s="1578" t="s">
        <v>1142</v>
      </c>
      <c r="AB46" s="1578" t="s">
        <v>1142</v>
      </c>
      <c r="AC46" s="1578" t="s">
        <v>1142</v>
      </c>
      <c r="AD46" s="1578" t="s">
        <v>1142</v>
      </c>
    </row>
    <row r="47" spans="1:30" s="206" customFormat="1" ht="14.15" customHeight="1" x14ac:dyDescent="0.35">
      <c r="A47" s="1144"/>
      <c r="B47" s="1198"/>
      <c r="G47" s="1159"/>
      <c r="H47" s="208"/>
      <c r="I47" s="208"/>
      <c r="J47" s="208"/>
      <c r="K47" s="208">
        <f>IF(berekeningen!I$9=0,"",berekeningen!I$9)</f>
        <v>12.5</v>
      </c>
      <c r="L47" s="208" t="str">
        <f t="shared" si="0"/>
        <v>mm:</v>
      </c>
      <c r="M47" s="208"/>
      <c r="N47" s="1121">
        <f>IF(K47="","",samenstelling!P$109)</f>
        <v>92.553735647425881</v>
      </c>
      <c r="O47" s="208" t="str">
        <f t="shared" si="1"/>
        <v>%</v>
      </c>
      <c r="P47" s="208"/>
      <c r="Q47" s="208"/>
      <c r="R47" s="208"/>
      <c r="T47" s="1159"/>
      <c r="U47" s="1120"/>
      <c r="W47" s="1578" t="s">
        <v>1142</v>
      </c>
      <c r="X47" s="1578" t="s">
        <v>1142</v>
      </c>
      <c r="Y47" s="1578" t="s">
        <v>1142</v>
      </c>
      <c r="Z47" s="1578" t="s">
        <v>1142</v>
      </c>
      <c r="AA47" s="1578" t="s">
        <v>1142</v>
      </c>
      <c r="AB47" s="1578" t="s">
        <v>1142</v>
      </c>
      <c r="AC47" s="1578" t="s">
        <v>1142</v>
      </c>
      <c r="AD47" s="1578" t="s">
        <v>1142</v>
      </c>
    </row>
    <row r="48" spans="1:30" s="206" customFormat="1" ht="14.15" customHeight="1" x14ac:dyDescent="0.35">
      <c r="A48" s="1144"/>
      <c r="B48" s="1198"/>
      <c r="G48" s="1159"/>
      <c r="H48" s="208"/>
      <c r="I48" s="208"/>
      <c r="J48" s="208"/>
      <c r="K48" s="208">
        <f>IF(berekeningen!J$9=0,"",berekeningen!J$9)</f>
        <v>10</v>
      </c>
      <c r="L48" s="208" t="str">
        <f t="shared" si="0"/>
        <v>mm:</v>
      </c>
      <c r="M48" s="208"/>
      <c r="N48" s="1121">
        <f>IF(K48="","",samenstelling!Q$109)</f>
        <v>89.666735647425881</v>
      </c>
      <c r="O48" s="208" t="str">
        <f t="shared" si="1"/>
        <v>%</v>
      </c>
      <c r="P48" s="208"/>
      <c r="Q48" s="208"/>
      <c r="R48" s="208"/>
      <c r="T48" s="1159"/>
      <c r="U48" s="1120"/>
      <c r="W48" s="1578" t="s">
        <v>1142</v>
      </c>
      <c r="X48" s="1578" t="s">
        <v>1142</v>
      </c>
      <c r="Y48" s="1578" t="s">
        <v>1142</v>
      </c>
      <c r="Z48" s="1578" t="s">
        <v>1142</v>
      </c>
      <c r="AA48" s="1578" t="s">
        <v>1142</v>
      </c>
      <c r="AB48" s="1578" t="s">
        <v>1142</v>
      </c>
      <c r="AC48" s="1578" t="s">
        <v>1142</v>
      </c>
      <c r="AD48" s="1578" t="s">
        <v>1142</v>
      </c>
    </row>
    <row r="49" spans="1:30" s="206" customFormat="1" ht="14.15" customHeight="1" x14ac:dyDescent="0.35">
      <c r="A49" s="1144"/>
      <c r="B49" s="1198"/>
      <c r="G49" s="1159"/>
      <c r="H49" s="208"/>
      <c r="I49" s="208"/>
      <c r="J49" s="208"/>
      <c r="K49" s="208">
        <f>IF(berekeningen!K$9=0,"",berekeningen!K$9)</f>
        <v>8</v>
      </c>
      <c r="L49" s="208" t="str">
        <f t="shared" si="0"/>
        <v>mm:</v>
      </c>
      <c r="M49" s="208"/>
      <c r="N49" s="1121">
        <f>IF(K49="","",samenstelling!R$109)</f>
        <v>68.318617082683289</v>
      </c>
      <c r="O49" s="208" t="str">
        <f t="shared" si="1"/>
        <v>%</v>
      </c>
      <c r="P49" s="208"/>
      <c r="Q49" s="208"/>
      <c r="R49" s="208"/>
      <c r="T49" s="1159"/>
      <c r="U49" s="1120"/>
      <c r="W49" s="1578" t="s">
        <v>1142</v>
      </c>
      <c r="X49" s="1578" t="s">
        <v>1142</v>
      </c>
      <c r="Y49" s="1578" t="s">
        <v>1142</v>
      </c>
      <c r="Z49" s="1578" t="s">
        <v>1142</v>
      </c>
      <c r="AA49" s="1578" t="s">
        <v>1142</v>
      </c>
      <c r="AB49" s="1578" t="s">
        <v>1142</v>
      </c>
      <c r="AC49" s="1578" t="s">
        <v>1142</v>
      </c>
      <c r="AD49" s="1578" t="s">
        <v>1142</v>
      </c>
    </row>
    <row r="50" spans="1:30" s="206" customFormat="1" ht="14.15" customHeight="1" x14ac:dyDescent="0.35">
      <c r="A50" s="1144"/>
      <c r="B50" s="1198"/>
      <c r="G50" s="1159"/>
      <c r="H50" s="208"/>
      <c r="I50" s="208"/>
      <c r="J50" s="208"/>
      <c r="K50" s="208">
        <f>IF(berekeningen!L$9=0,"",berekeningen!L$9)</f>
        <v>6.3</v>
      </c>
      <c r="L50" s="208" t="str">
        <f t="shared" si="0"/>
        <v>mm:</v>
      </c>
      <c r="M50" s="208"/>
      <c r="N50" s="1121">
        <f>IF(K50="","",samenstelling!S$109)</f>
        <v>47.600398517940718</v>
      </c>
      <c r="O50" s="208" t="str">
        <f t="shared" si="1"/>
        <v>%</v>
      </c>
      <c r="P50" s="208"/>
      <c r="Q50" s="208"/>
      <c r="R50" s="208"/>
      <c r="T50" s="1159"/>
      <c r="U50" s="1120"/>
      <c r="W50" s="1578" t="s">
        <v>1142</v>
      </c>
      <c r="X50" s="1578" t="s">
        <v>1142</v>
      </c>
      <c r="Y50" s="1578" t="s">
        <v>1142</v>
      </c>
      <c r="Z50" s="1578" t="s">
        <v>1142</v>
      </c>
      <c r="AA50" s="1578" t="s">
        <v>1142</v>
      </c>
      <c r="AB50" s="1578" t="s">
        <v>1142</v>
      </c>
      <c r="AC50" s="1578" t="s">
        <v>1142</v>
      </c>
      <c r="AD50" s="1578" t="s">
        <v>1142</v>
      </c>
    </row>
    <row r="51" spans="1:30" s="206" customFormat="1" ht="14.15" customHeight="1" x14ac:dyDescent="0.35">
      <c r="A51" s="1144"/>
      <c r="B51" s="1198"/>
      <c r="G51" s="1159"/>
      <c r="H51" s="208"/>
      <c r="I51" s="208"/>
      <c r="J51" s="208"/>
      <c r="K51" s="208">
        <f>IF(berekeningen!M$9=0,"",berekeningen!M$9)</f>
        <v>4</v>
      </c>
      <c r="L51" s="208" t="str">
        <f t="shared" si="0"/>
        <v>mm:</v>
      </c>
      <c r="M51" s="208"/>
      <c r="N51" s="1121">
        <f>IF(K51="","",samenstelling!T$109)</f>
        <v>38.531179953198126</v>
      </c>
      <c r="O51" s="208" t="str">
        <f t="shared" si="1"/>
        <v>%</v>
      </c>
      <c r="P51" s="208"/>
      <c r="Q51" s="208"/>
      <c r="R51" s="208"/>
      <c r="T51" s="1159"/>
      <c r="U51" s="1120"/>
      <c r="W51" s="1578" t="s">
        <v>1142</v>
      </c>
      <c r="X51" s="1578" t="s">
        <v>1142</v>
      </c>
      <c r="Y51" s="1578" t="s">
        <v>1142</v>
      </c>
      <c r="Z51" s="1578" t="s">
        <v>1142</v>
      </c>
      <c r="AA51" s="1578" t="s">
        <v>1142</v>
      </c>
      <c r="AB51" s="1578" t="s">
        <v>1142</v>
      </c>
      <c r="AC51" s="1578" t="s">
        <v>1142</v>
      </c>
      <c r="AD51" s="1578" t="s">
        <v>1142</v>
      </c>
    </row>
    <row r="52" spans="1:30" s="206" customFormat="1" ht="14.15" customHeight="1" x14ac:dyDescent="0.35">
      <c r="A52" s="1144"/>
      <c r="B52" s="1198"/>
      <c r="G52" s="1159"/>
      <c r="H52" s="208"/>
      <c r="I52" s="208"/>
      <c r="J52" s="208"/>
      <c r="K52" s="208">
        <f>IF(berekeningen!N$9=0,"",berekeningen!N$9)</f>
        <v>2</v>
      </c>
      <c r="L52" s="208" t="str">
        <f t="shared" si="0"/>
        <v>mm:</v>
      </c>
      <c r="M52" s="208"/>
      <c r="N52" s="1121">
        <f>IF(K52="","",samenstelling!U$109)</f>
        <v>28.32396138845554</v>
      </c>
      <c r="O52" s="208" t="str">
        <f t="shared" si="1"/>
        <v>%</v>
      </c>
      <c r="P52" s="208"/>
      <c r="Q52" s="208"/>
      <c r="R52" s="208"/>
      <c r="T52" s="1159"/>
      <c r="U52" s="1120"/>
      <c r="W52" s="1578" t="s">
        <v>1142</v>
      </c>
      <c r="X52" s="1578" t="s">
        <v>1142</v>
      </c>
      <c r="Y52" s="1578" t="s">
        <v>1142</v>
      </c>
      <c r="Z52" s="1578" t="s">
        <v>1142</v>
      </c>
      <c r="AA52" s="1578" t="s">
        <v>1142</v>
      </c>
      <c r="AB52" s="1578" t="s">
        <v>1142</v>
      </c>
      <c r="AC52" s="1578" t="s">
        <v>1142</v>
      </c>
      <c r="AD52" s="1578" t="s">
        <v>1142</v>
      </c>
    </row>
    <row r="53" spans="1:30" s="206" customFormat="1" ht="14.15" customHeight="1" x14ac:dyDescent="0.35">
      <c r="A53" s="1144"/>
      <c r="B53" s="1198"/>
      <c r="G53" s="1159"/>
      <c r="H53" s="208"/>
      <c r="I53" s="208"/>
      <c r="J53" s="208"/>
      <c r="K53" s="208">
        <f>IF(berekeningen!O$9=0,"",berekeningen!O$9)</f>
        <v>1</v>
      </c>
      <c r="L53" s="208" t="str">
        <f t="shared" si="0"/>
        <v>mm:</v>
      </c>
      <c r="M53" s="208"/>
      <c r="N53" s="1121">
        <f>IF(K53="","",samenstelling!V$109)</f>
        <v>23.058242823712948</v>
      </c>
      <c r="O53" s="208" t="str">
        <f t="shared" si="1"/>
        <v>%</v>
      </c>
      <c r="P53" s="208"/>
      <c r="Q53" s="208"/>
      <c r="R53" s="208"/>
      <c r="T53" s="1159"/>
      <c r="U53" s="1120"/>
      <c r="W53" s="1578" t="s">
        <v>1142</v>
      </c>
      <c r="X53" s="1578" t="s">
        <v>1142</v>
      </c>
      <c r="Y53" s="1578" t="s">
        <v>1142</v>
      </c>
      <c r="Z53" s="1578" t="s">
        <v>1142</v>
      </c>
      <c r="AA53" s="1578" t="s">
        <v>1142</v>
      </c>
      <c r="AB53" s="1578" t="s">
        <v>1142</v>
      </c>
      <c r="AC53" s="1578" t="s">
        <v>1142</v>
      </c>
      <c r="AD53" s="1578" t="s">
        <v>1142</v>
      </c>
    </row>
    <row r="54" spans="1:30" s="206" customFormat="1" ht="14.15" customHeight="1" x14ac:dyDescent="0.35">
      <c r="A54" s="1144"/>
      <c r="B54" s="1198"/>
      <c r="G54" s="1159"/>
      <c r="H54" s="208"/>
      <c r="I54" s="208"/>
      <c r="J54" s="208"/>
      <c r="K54" s="208">
        <f>IF(berekeningen!P$9=0,"",berekeningen!P$9)</f>
        <v>0.5</v>
      </c>
      <c r="L54" s="208" t="str">
        <f t="shared" si="0"/>
        <v>mm:</v>
      </c>
      <c r="M54" s="208"/>
      <c r="N54" s="1121">
        <f>IF(K54="","",samenstelling!W$109)</f>
        <v>18.557524258970361</v>
      </c>
      <c r="O54" s="208" t="str">
        <f t="shared" si="1"/>
        <v>%</v>
      </c>
      <c r="P54" s="208"/>
      <c r="Q54" s="208"/>
      <c r="R54" s="208"/>
      <c r="T54" s="1159"/>
      <c r="U54" s="1120"/>
      <c r="W54" s="1578" t="s">
        <v>1142</v>
      </c>
      <c r="X54" s="1578" t="s">
        <v>1142</v>
      </c>
      <c r="Y54" s="1578" t="s">
        <v>1142</v>
      </c>
      <c r="Z54" s="1578" t="s">
        <v>1142</v>
      </c>
      <c r="AA54" s="1578" t="s">
        <v>1142</v>
      </c>
      <c r="AB54" s="1578" t="s">
        <v>1142</v>
      </c>
      <c r="AC54" s="1578" t="s">
        <v>1142</v>
      </c>
      <c r="AD54" s="1578" t="s">
        <v>1142</v>
      </c>
    </row>
    <row r="55" spans="1:30" s="206" customFormat="1" ht="14.15" customHeight="1" x14ac:dyDescent="0.35">
      <c r="A55" s="1144"/>
      <c r="B55" s="1198"/>
      <c r="G55" s="1159"/>
      <c r="H55" s="208"/>
      <c r="I55" s="208"/>
      <c r="J55" s="208"/>
      <c r="K55" s="208">
        <f>IF(berekeningen!Q$9=0,"",berekeningen!Q$9)</f>
        <v>0.25</v>
      </c>
      <c r="L55" s="208" t="str">
        <f t="shared" si="0"/>
        <v>mm:</v>
      </c>
      <c r="M55" s="208"/>
      <c r="N55" s="1121">
        <f>IF(K55="","",samenstelling!X$109)</f>
        <v>14.974805694227769</v>
      </c>
      <c r="O55" s="208" t="str">
        <f t="shared" si="1"/>
        <v>%</v>
      </c>
      <c r="P55" s="208"/>
      <c r="Q55" s="208"/>
      <c r="R55" s="208"/>
      <c r="T55" s="1159"/>
      <c r="U55" s="1120"/>
      <c r="W55" s="1578" t="s">
        <v>1142</v>
      </c>
      <c r="X55" s="1578" t="s">
        <v>1142</v>
      </c>
      <c r="Y55" s="1578" t="s">
        <v>1142</v>
      </c>
      <c r="Z55" s="1578" t="s">
        <v>1142</v>
      </c>
      <c r="AA55" s="1578" t="s">
        <v>1142</v>
      </c>
      <c r="AB55" s="1578" t="s">
        <v>1142</v>
      </c>
      <c r="AC55" s="1578" t="s">
        <v>1142</v>
      </c>
      <c r="AD55" s="1578" t="s">
        <v>1142</v>
      </c>
    </row>
    <row r="56" spans="1:30" s="206" customFormat="1" ht="14.15" customHeight="1" x14ac:dyDescent="0.35">
      <c r="A56" s="1144"/>
      <c r="B56" s="1198"/>
      <c r="G56" s="1159"/>
      <c r="H56" s="208"/>
      <c r="I56" s="208"/>
      <c r="J56" s="2336">
        <f>IF(berekeningen!R$9=0,"",berekeningen!R$9)</f>
        <v>0.125</v>
      </c>
      <c r="K56" s="2336"/>
      <c r="L56" s="208" t="str">
        <f>IF(J56="","","mm:")</f>
        <v>mm:</v>
      </c>
      <c r="M56" s="208"/>
      <c r="N56" s="1121">
        <f>IF(J56="","",samenstelling!Y$109)</f>
        <v>11.405659629485179</v>
      </c>
      <c r="O56" s="208" t="str">
        <f>IF(J56="","","%")</f>
        <v>%</v>
      </c>
      <c r="P56" s="208"/>
      <c r="Q56" s="208"/>
      <c r="R56" s="208"/>
      <c r="T56" s="1159"/>
      <c r="U56" s="1120"/>
      <c r="W56" s="1578" t="s">
        <v>1142</v>
      </c>
      <c r="X56" s="1578" t="s">
        <v>1142</v>
      </c>
      <c r="Y56" s="1578" t="s">
        <v>1142</v>
      </c>
      <c r="Z56" s="1578" t="s">
        <v>1142</v>
      </c>
      <c r="AA56" s="1578" t="s">
        <v>1142</v>
      </c>
      <c r="AB56" s="1578" t="s">
        <v>1142</v>
      </c>
      <c r="AC56" s="1578" t="s">
        <v>1142</v>
      </c>
      <c r="AD56" s="1578" t="s">
        <v>1142</v>
      </c>
    </row>
    <row r="57" spans="1:30" s="206" customFormat="1" ht="14.15" customHeight="1" x14ac:dyDescent="0.35">
      <c r="A57" s="1144"/>
      <c r="B57" s="1198"/>
      <c r="G57" s="1159"/>
      <c r="H57" s="208"/>
      <c r="I57" s="208"/>
      <c r="J57" s="2336">
        <f>IF(berekeningen!S$9=0,"",berekeningen!S$9)</f>
        <v>6.3E-2</v>
      </c>
      <c r="K57" s="2336"/>
      <c r="L57" s="208" t="str">
        <f>IF(J57="","","mm:")</f>
        <v>mm:</v>
      </c>
      <c r="M57" s="208"/>
      <c r="N57" s="1113">
        <f>IF(J57="","",samenstelling!Z$109)</f>
        <v>7.8679135647425893</v>
      </c>
      <c r="O57" s="208" t="str">
        <f>IF(J57="","","%")</f>
        <v>%</v>
      </c>
      <c r="P57" s="208"/>
      <c r="Q57" s="208"/>
      <c r="R57" s="208"/>
      <c r="T57" s="1159"/>
      <c r="U57" s="1120"/>
      <c r="W57" s="1578" t="s">
        <v>1142</v>
      </c>
      <c r="X57" s="1578" t="s">
        <v>1142</v>
      </c>
      <c r="Y57" s="1578" t="s">
        <v>1142</v>
      </c>
      <c r="Z57" s="1578" t="s">
        <v>1142</v>
      </c>
      <c r="AA57" s="1578" t="s">
        <v>1142</v>
      </c>
      <c r="AB57" s="1578" t="s">
        <v>1142</v>
      </c>
      <c r="AC57" s="1578" t="s">
        <v>1142</v>
      </c>
      <c r="AD57" s="1578" t="s">
        <v>1142</v>
      </c>
    </row>
    <row r="58" spans="1:30" s="206" customFormat="1" ht="14.15" customHeight="1" x14ac:dyDescent="0.35">
      <c r="A58" s="1144"/>
      <c r="B58" s="1199" t="s">
        <v>1328</v>
      </c>
      <c r="C58" s="1162"/>
      <c r="D58" s="1162"/>
      <c r="E58" s="1162"/>
      <c r="F58" s="1162"/>
      <c r="G58" s="1163"/>
      <c r="H58" s="252" t="s">
        <v>905</v>
      </c>
      <c r="I58" s="252"/>
      <c r="J58" s="252"/>
      <c r="K58" s="252"/>
      <c r="L58" s="252"/>
      <c r="M58" s="252"/>
      <c r="N58" s="252"/>
      <c r="O58" s="252"/>
      <c r="P58" s="286">
        <f>samenstelling!G176</f>
        <v>3.805679</v>
      </c>
      <c r="Q58" s="252" t="s">
        <v>182</v>
      </c>
      <c r="R58" s="252"/>
      <c r="S58" s="1162"/>
      <c r="T58" s="1163"/>
      <c r="U58" s="1120"/>
      <c r="W58" s="1578" t="s">
        <v>1142</v>
      </c>
      <c r="X58" s="1578" t="s">
        <v>1142</v>
      </c>
      <c r="Y58" s="1578" t="s">
        <v>1142</v>
      </c>
      <c r="Z58" s="1578" t="s">
        <v>1142</v>
      </c>
      <c r="AA58" s="1578" t="s">
        <v>1142</v>
      </c>
      <c r="AB58" s="1578" t="s">
        <v>1142</v>
      </c>
      <c r="AC58" s="1578" t="s">
        <v>1142</v>
      </c>
      <c r="AD58" s="1578" t="s">
        <v>1142</v>
      </c>
    </row>
    <row r="59" spans="1:30" s="206" customFormat="1" ht="14.15" customHeight="1" x14ac:dyDescent="0.3">
      <c r="A59" s="1144"/>
      <c r="B59" s="1199">
        <v>10</v>
      </c>
      <c r="C59" s="1162"/>
      <c r="D59" s="1162"/>
      <c r="E59" s="1162"/>
      <c r="F59" s="1162"/>
      <c r="G59" s="1163"/>
      <c r="H59" s="252" t="str">
        <f>IF(studie!K727="","","Bindmiddelvolume:")</f>
        <v>Bindmiddelvolume:</v>
      </c>
      <c r="I59" s="252"/>
      <c r="J59" s="252"/>
      <c r="K59" s="252"/>
      <c r="L59" s="252"/>
      <c r="M59" s="252"/>
      <c r="N59" s="252"/>
      <c r="O59" s="252"/>
      <c r="P59" s="1164" t="str">
        <f>IF(studie!K727="","","B")</f>
        <v>B</v>
      </c>
      <c r="Q59" s="1165" t="str">
        <f>IF(studie!K727="","","vol"&amp;studie!K727)</f>
        <v>vol13,5</v>
      </c>
      <c r="R59" s="252"/>
      <c r="S59" s="1162"/>
      <c r="T59" s="1163"/>
      <c r="U59" s="1120"/>
      <c r="W59" s="1579" t="s">
        <v>745</v>
      </c>
      <c r="X59" s="1579" t="s">
        <v>745</v>
      </c>
      <c r="Y59" s="1579" t="s">
        <v>745</v>
      </c>
      <c r="Z59" s="1578" t="s">
        <v>1142</v>
      </c>
      <c r="AA59" s="1579" t="s">
        <v>745</v>
      </c>
      <c r="AB59" s="1579" t="s">
        <v>745</v>
      </c>
      <c r="AC59" s="1579" t="s">
        <v>745</v>
      </c>
      <c r="AD59" s="1579" t="s">
        <v>745</v>
      </c>
    </row>
    <row r="60" spans="1:30" s="206" customFormat="1" ht="14.15" customHeight="1" x14ac:dyDescent="0.3">
      <c r="A60" s="1144"/>
      <c r="B60" s="1198" t="str">
        <f>IF(OR(algemeen!F43="EN 13108-5",algemeen!F43="EN 13108-7"),"2, 3, 4, 5, 7, 8, 10","1, 2, 3, 4, 5, 10")</f>
        <v>1, 2, 3, 4, 5, 10</v>
      </c>
      <c r="G60" s="1159"/>
      <c r="H60" s="208" t="str">
        <f>IF(AND(studie!F263="",studie!F264=""),"","Holle ruimte:")</f>
        <v>Holle ruimte:</v>
      </c>
      <c r="I60" s="208"/>
      <c r="J60" s="208"/>
      <c r="K60" s="208"/>
      <c r="L60" s="208"/>
      <c r="M60" s="208"/>
      <c r="N60" s="208"/>
      <c r="O60" s="208"/>
      <c r="P60" s="1117"/>
      <c r="Q60" s="942"/>
      <c r="R60" s="208"/>
      <c r="T60" s="1159"/>
      <c r="U60" s="1120"/>
      <c r="W60" s="1578" t="s">
        <v>1142</v>
      </c>
      <c r="X60" s="1578" t="s">
        <v>1142</v>
      </c>
      <c r="Y60" s="1578" t="s">
        <v>1142</v>
      </c>
      <c r="Z60" s="1578" t="s">
        <v>1142</v>
      </c>
      <c r="AA60" s="1578" t="s">
        <v>1142</v>
      </c>
      <c r="AB60" s="1579" t="s">
        <v>745</v>
      </c>
      <c r="AC60" s="1578" t="s">
        <v>1142</v>
      </c>
      <c r="AD60" s="1578" t="s">
        <v>1142</v>
      </c>
    </row>
    <row r="61" spans="1:30" s="206" customFormat="1" ht="14.15" customHeight="1" x14ac:dyDescent="0.3">
      <c r="A61" s="1144"/>
      <c r="B61" s="1198"/>
      <c r="G61" s="1159"/>
      <c r="H61" s="208"/>
      <c r="I61" s="208"/>
      <c r="J61" s="208"/>
      <c r="K61" s="208"/>
      <c r="L61" s="208"/>
      <c r="M61" s="208"/>
      <c r="N61" s="208"/>
      <c r="O61" s="208"/>
      <c r="P61" s="1117" t="str">
        <f>IF(studie!F263="","","V")</f>
        <v>V</v>
      </c>
      <c r="Q61" s="942" t="str">
        <f>IF(studie!F263="","","min"&amp;studie!F263)</f>
        <v>min2,0</v>
      </c>
      <c r="R61" s="208"/>
      <c r="T61" s="1159"/>
      <c r="U61" s="1120"/>
      <c r="W61" s="1578" t="s">
        <v>1142</v>
      </c>
      <c r="X61" s="1579" t="s">
        <v>745</v>
      </c>
      <c r="Y61" s="1578" t="s">
        <v>1142</v>
      </c>
      <c r="Z61" s="1578" t="s">
        <v>1142</v>
      </c>
      <c r="AA61" s="1578" t="s">
        <v>1142</v>
      </c>
      <c r="AB61" s="1579" t="s">
        <v>745</v>
      </c>
      <c r="AC61" s="1578" t="s">
        <v>1142</v>
      </c>
      <c r="AD61" s="1578" t="s">
        <v>1142</v>
      </c>
    </row>
    <row r="62" spans="1:30" s="206" customFormat="1" ht="14.15" customHeight="1" x14ac:dyDescent="0.3">
      <c r="A62" s="1144"/>
      <c r="B62" s="1198"/>
      <c r="G62" s="1159"/>
      <c r="H62" s="208"/>
      <c r="I62" s="208"/>
      <c r="J62" s="208"/>
      <c r="K62" s="208"/>
      <c r="L62" s="208"/>
      <c r="M62" s="208"/>
      <c r="N62" s="208"/>
      <c r="O62" s="208"/>
      <c r="P62" s="1117" t="str">
        <f>IF(studie!F264="","","V")</f>
        <v>V</v>
      </c>
      <c r="Q62" s="942" t="str">
        <f>IF(studie!F264="","","max"&amp;studie!F264)</f>
        <v>max6</v>
      </c>
      <c r="R62" s="208"/>
      <c r="T62" s="1159"/>
      <c r="U62" s="1120"/>
      <c r="W62" s="1578" t="s">
        <v>1142</v>
      </c>
      <c r="X62" s="1579" t="s">
        <v>745</v>
      </c>
      <c r="Y62" s="1578" t="s">
        <v>1142</v>
      </c>
      <c r="Z62" s="1578" t="s">
        <v>1142</v>
      </c>
      <c r="AA62" s="1578" t="s">
        <v>1142</v>
      </c>
      <c r="AB62" s="1579" t="s">
        <v>745</v>
      </c>
      <c r="AC62" s="1578" t="s">
        <v>1142</v>
      </c>
      <c r="AD62" s="1578" t="s">
        <v>1142</v>
      </c>
    </row>
    <row r="63" spans="1:30" s="206" customFormat="1" ht="14.15" customHeight="1" x14ac:dyDescent="0.3">
      <c r="A63" s="1144"/>
      <c r="B63" s="1198"/>
      <c r="G63" s="1159"/>
      <c r="H63" s="208"/>
      <c r="I63" s="208"/>
      <c r="J63" s="208"/>
      <c r="K63" s="208"/>
      <c r="L63" s="208"/>
      <c r="M63" s="208"/>
      <c r="N63" s="208"/>
      <c r="O63" s="208"/>
      <c r="P63" s="1117" t="str">
        <f>IF(studie!F268="","","V")</f>
        <v>V</v>
      </c>
      <c r="Q63" s="943" t="str">
        <f>IF(studie!F268="","","g"&amp;studie!F268)</f>
        <v>g12 tot 19</v>
      </c>
      <c r="R63" s="208"/>
      <c r="T63" s="1159"/>
      <c r="U63" s="1120"/>
      <c r="W63" s="1579" t="s">
        <v>745</v>
      </c>
      <c r="X63" s="1578" t="s">
        <v>1142</v>
      </c>
      <c r="Y63" s="1579" t="s">
        <v>745</v>
      </c>
      <c r="Z63" s="1579" t="s">
        <v>745</v>
      </c>
      <c r="AA63" s="1579" t="s">
        <v>745</v>
      </c>
      <c r="AB63" s="1579" t="s">
        <v>745</v>
      </c>
      <c r="AC63" s="1579" t="s">
        <v>745</v>
      </c>
      <c r="AD63" s="1579" t="s">
        <v>745</v>
      </c>
    </row>
    <row r="64" spans="1:30" s="206" customFormat="1" ht="14.15" customHeight="1" x14ac:dyDescent="0.3">
      <c r="A64" s="1144"/>
      <c r="B64" s="1198"/>
      <c r="G64" s="1159"/>
      <c r="H64" s="208"/>
      <c r="I64" s="208"/>
      <c r="J64" s="208"/>
      <c r="K64" s="208"/>
      <c r="L64" s="208"/>
      <c r="M64" s="208"/>
      <c r="N64" s="208"/>
      <c r="O64" s="208"/>
      <c r="P64" s="1117" t="str">
        <f>IF(studie!F269="","","V")</f>
        <v>V</v>
      </c>
      <c r="Q64" s="943" t="str">
        <f>IF(studie!F269="","","i"&amp;studie!F269)</f>
        <v>i3 tot 6</v>
      </c>
      <c r="R64" s="208"/>
      <c r="T64" s="1159"/>
      <c r="U64" s="1120"/>
      <c r="W64" s="1579" t="s">
        <v>745</v>
      </c>
      <c r="X64" s="1578" t="s">
        <v>1142</v>
      </c>
      <c r="Y64" s="1579" t="s">
        <v>745</v>
      </c>
      <c r="Z64" s="1579" t="s">
        <v>745</v>
      </c>
      <c r="AA64" s="1579" t="s">
        <v>745</v>
      </c>
      <c r="AB64" s="1579" t="s">
        <v>745</v>
      </c>
      <c r="AC64" s="1579" t="s">
        <v>745</v>
      </c>
      <c r="AD64" s="1579" t="s">
        <v>745</v>
      </c>
    </row>
    <row r="65" spans="1:30" s="206" customFormat="1" ht="14.15" customHeight="1" x14ac:dyDescent="0.3">
      <c r="A65" s="1144"/>
      <c r="B65" s="1198"/>
      <c r="G65" s="1159"/>
      <c r="H65" s="208"/>
      <c r="I65" s="208"/>
      <c r="J65" s="208"/>
      <c r="K65" s="208"/>
      <c r="L65" s="208"/>
      <c r="M65" s="208"/>
      <c r="N65" s="208"/>
      <c r="O65" s="208"/>
      <c r="P65" s="1117" t="str">
        <f>IF(studie!F270="","","V")</f>
        <v>V</v>
      </c>
      <c r="Q65" s="943" t="str">
        <f>IF(studie!F270="","","v"&amp;studie!F270)</f>
        <v>v7 tot 10</v>
      </c>
      <c r="R65" s="208"/>
      <c r="T65" s="1159"/>
      <c r="U65" s="1120"/>
      <c r="W65" s="1579" t="s">
        <v>745</v>
      </c>
      <c r="X65" s="1578" t="s">
        <v>1142</v>
      </c>
      <c r="Y65" s="1579" t="s">
        <v>745</v>
      </c>
      <c r="Z65" s="1579" t="s">
        <v>745</v>
      </c>
      <c r="AA65" s="1579" t="s">
        <v>745</v>
      </c>
      <c r="AB65" s="1579" t="s">
        <v>745</v>
      </c>
      <c r="AC65" s="1579" t="s">
        <v>745</v>
      </c>
      <c r="AD65" s="1579" t="s">
        <v>745</v>
      </c>
    </row>
    <row r="66" spans="1:30" s="206" customFormat="1" ht="14.15" customHeight="1" x14ac:dyDescent="0.3">
      <c r="A66" s="1144"/>
      <c r="B66" s="1200" t="str">
        <f>IF(algemeen!F43="EN 13108-3","3,5,10","3,10")</f>
        <v>3,10</v>
      </c>
      <c r="C66" s="1166"/>
      <c r="D66" s="1166"/>
      <c r="E66" s="1166"/>
      <c r="F66" s="1166"/>
      <c r="G66" s="1167"/>
      <c r="H66" s="207" t="str">
        <f>IF(AND(studie!F265="",studie!F266=""),"","Holle ruimte gevuld met bitumen:")</f>
        <v>Holle ruimte gevuld met bitumen:</v>
      </c>
      <c r="I66" s="207"/>
      <c r="J66" s="207"/>
      <c r="K66" s="207"/>
      <c r="L66" s="207"/>
      <c r="M66" s="207"/>
      <c r="N66" s="207"/>
      <c r="O66" s="207"/>
      <c r="P66" s="1168" t="str">
        <f>IF(studie!F265="","","VFB")</f>
        <v>VFB</v>
      </c>
      <c r="Q66" s="1169" t="str">
        <f>IF(studie!F265="","","min"&amp;studie!F265)</f>
        <v>min70</v>
      </c>
      <c r="R66" s="207"/>
      <c r="S66" s="1166"/>
      <c r="T66" s="1167"/>
      <c r="U66" s="1120"/>
      <c r="W66" s="1578" t="s">
        <v>1142</v>
      </c>
      <c r="X66" s="1579" t="s">
        <v>745</v>
      </c>
      <c r="Y66" s="1578" t="s">
        <v>1142</v>
      </c>
      <c r="Z66" s="1579" t="s">
        <v>745</v>
      </c>
      <c r="AA66" s="1578" t="s">
        <v>1142</v>
      </c>
      <c r="AB66" s="1579" t="s">
        <v>745</v>
      </c>
      <c r="AC66" s="1579" t="s">
        <v>745</v>
      </c>
      <c r="AD66" s="1579" t="s">
        <v>745</v>
      </c>
    </row>
    <row r="67" spans="1:30" s="206" customFormat="1" ht="14.15" customHeight="1" x14ac:dyDescent="0.3">
      <c r="A67" s="1144"/>
      <c r="B67" s="1201"/>
      <c r="C67" s="1170"/>
      <c r="D67" s="1170"/>
      <c r="E67" s="1170"/>
      <c r="F67" s="1170"/>
      <c r="G67" s="1171"/>
      <c r="H67" s="209"/>
      <c r="I67" s="209"/>
      <c r="J67" s="209"/>
      <c r="K67" s="209"/>
      <c r="L67" s="209"/>
      <c r="M67" s="209"/>
      <c r="N67" s="209"/>
      <c r="O67" s="209"/>
      <c r="P67" s="1184" t="str">
        <f>IF(studie!F266="","","VFB")</f>
        <v>VFB</v>
      </c>
      <c r="Q67" s="1172" t="str">
        <f>IF(studie!F266="","","max"&amp;studie!F266)</f>
        <v>max80</v>
      </c>
      <c r="R67" s="209"/>
      <c r="S67" s="1170"/>
      <c r="T67" s="1171"/>
      <c r="U67" s="1120"/>
      <c r="W67" s="1578" t="s">
        <v>1142</v>
      </c>
      <c r="X67" s="1579" t="s">
        <v>745</v>
      </c>
      <c r="Y67" s="1578" t="s">
        <v>1142</v>
      </c>
      <c r="Z67" s="1579" t="s">
        <v>745</v>
      </c>
      <c r="AA67" s="1578" t="s">
        <v>1142</v>
      </c>
      <c r="AB67" s="1579" t="s">
        <v>745</v>
      </c>
      <c r="AC67" s="1579" t="s">
        <v>745</v>
      </c>
      <c r="AD67" s="1579" t="s">
        <v>745</v>
      </c>
    </row>
    <row r="68" spans="1:30" s="206" customFormat="1" ht="14.15" customHeight="1" x14ac:dyDescent="0.3">
      <c r="A68" s="1144"/>
      <c r="B68" s="1198" t="s">
        <v>1316</v>
      </c>
      <c r="G68" s="1159"/>
      <c r="H68" s="208" t="str">
        <f>IF(studie!F267="","","Holle ruimte in mineraal toeslagmateriaal:")</f>
        <v>Holle ruimte in mineraal toeslagmateriaal:</v>
      </c>
      <c r="I68" s="208"/>
      <c r="J68" s="208"/>
      <c r="K68" s="208"/>
      <c r="L68" s="208"/>
      <c r="M68" s="208"/>
      <c r="N68" s="208"/>
      <c r="O68" s="208"/>
      <c r="P68" s="1117" t="str">
        <f>IF(studie!F267="","","VMA")</f>
        <v>VMA</v>
      </c>
      <c r="Q68" s="943" t="str">
        <f>IF(studie!F267="","","min"&amp;studie!F267)</f>
        <v>min14</v>
      </c>
      <c r="R68" s="208"/>
      <c r="T68" s="1159"/>
      <c r="U68" s="1120"/>
      <c r="W68" s="1578" t="s">
        <v>1142</v>
      </c>
      <c r="X68" s="1579" t="s">
        <v>745</v>
      </c>
      <c r="Y68" s="1579" t="s">
        <v>745</v>
      </c>
      <c r="Z68" s="1579" t="s">
        <v>745</v>
      </c>
      <c r="AA68" s="1578" t="s">
        <v>1142</v>
      </c>
      <c r="AB68" s="1579" t="s">
        <v>745</v>
      </c>
      <c r="AC68" s="1579" t="s">
        <v>745</v>
      </c>
      <c r="AD68" s="1579" t="s">
        <v>745</v>
      </c>
    </row>
    <row r="69" spans="1:30" s="206" customFormat="1" ht="14.15" customHeight="1" x14ac:dyDescent="0.3">
      <c r="A69" s="1144"/>
      <c r="B69" s="1199" t="s">
        <v>1317</v>
      </c>
      <c r="C69" s="1162"/>
      <c r="D69" s="1162"/>
      <c r="E69" s="1162"/>
      <c r="F69" s="1162"/>
      <c r="G69" s="1163"/>
      <c r="H69" s="438" t="s">
        <v>908</v>
      </c>
      <c r="I69" s="252"/>
      <c r="J69" s="252"/>
      <c r="K69" s="252"/>
      <c r="L69" s="252"/>
      <c r="M69" s="252"/>
      <c r="N69" s="252"/>
      <c r="O69" s="252"/>
      <c r="P69" s="438"/>
      <c r="Q69" s="441" t="str">
        <f>algemeen!F129</f>
        <v>145-185</v>
      </c>
      <c r="R69" s="438" t="s">
        <v>519</v>
      </c>
      <c r="S69" s="1162"/>
      <c r="T69" s="1163"/>
      <c r="U69" s="1120"/>
      <c r="W69" s="1578" t="s">
        <v>1142</v>
      </c>
      <c r="X69" s="1578" t="s">
        <v>1142</v>
      </c>
      <c r="Y69" s="1578" t="s">
        <v>1142</v>
      </c>
      <c r="Z69" s="1578" t="s">
        <v>1142</v>
      </c>
      <c r="AA69" s="1578" t="s">
        <v>1142</v>
      </c>
      <c r="AB69" s="1578" t="s">
        <v>1142</v>
      </c>
      <c r="AC69" s="1578" t="s">
        <v>1142</v>
      </c>
      <c r="AD69" s="1578" t="s">
        <v>1142</v>
      </c>
    </row>
    <row r="70" spans="1:30" s="206" customFormat="1" ht="14.15" customHeight="1" x14ac:dyDescent="0.3">
      <c r="A70" s="1144"/>
      <c r="B70" s="1199" t="s">
        <v>1318</v>
      </c>
      <c r="C70" s="1162"/>
      <c r="D70" s="1162"/>
      <c r="E70" s="1162"/>
      <c r="F70" s="1162"/>
      <c r="G70" s="1163"/>
      <c r="H70" s="252" t="str">
        <f>IF(studie!F320="","","Watergevoeligheid:")</f>
        <v>Watergevoeligheid:</v>
      </c>
      <c r="I70" s="252"/>
      <c r="J70" s="252"/>
      <c r="K70" s="252"/>
      <c r="L70" s="252"/>
      <c r="M70" s="252"/>
      <c r="N70" s="252"/>
      <c r="O70" s="252"/>
      <c r="P70" s="1164" t="str">
        <f>IF(studie!F320="","","ITSR")</f>
        <v>ITSR</v>
      </c>
      <c r="Q70" s="1173">
        <f>IF(studie!F320="","",studie!F320)</f>
        <v>90</v>
      </c>
      <c r="R70" s="252"/>
      <c r="S70" s="1162"/>
      <c r="T70" s="1163"/>
      <c r="U70" s="1120"/>
      <c r="W70" s="1578" t="s">
        <v>1142</v>
      </c>
      <c r="X70" s="1578" t="s">
        <v>1142</v>
      </c>
      <c r="Y70" s="1578" t="s">
        <v>1142</v>
      </c>
      <c r="Z70" s="1578" t="s">
        <v>1142</v>
      </c>
      <c r="AA70" s="1578" t="s">
        <v>1142</v>
      </c>
      <c r="AB70" s="1579" t="s">
        <v>745</v>
      </c>
      <c r="AC70" s="1578" t="s">
        <v>1142</v>
      </c>
      <c r="AD70" s="1578" t="s">
        <v>1142</v>
      </c>
    </row>
    <row r="71" spans="1:30" s="206" customFormat="1" ht="14.15" customHeight="1" x14ac:dyDescent="0.3">
      <c r="A71" s="1144"/>
      <c r="B71" s="1198" t="s">
        <v>1319</v>
      </c>
      <c r="G71" s="1159"/>
      <c r="H71" s="208" t="str">
        <f>IF(AND(P71="",P72=""),"","Stijfheid:")</f>
        <v>Stijfheid:</v>
      </c>
      <c r="I71" s="208"/>
      <c r="J71" s="208"/>
      <c r="K71" s="208"/>
      <c r="L71" s="208"/>
      <c r="M71" s="208"/>
      <c r="N71" s="208"/>
      <c r="O71" s="312"/>
      <c r="P71" s="1117" t="str">
        <f>IF(studie!F531="","","S")</f>
        <v>S</v>
      </c>
      <c r="Q71" s="943" t="str">
        <f>IF(studie!F531="","","min"&amp;studie!F531)</f>
        <v>min9000</v>
      </c>
      <c r="R71" s="208"/>
      <c r="T71" s="1159"/>
      <c r="U71" s="1120"/>
      <c r="W71" s="1578" t="s">
        <v>1142</v>
      </c>
      <c r="X71" s="1579" t="s">
        <v>745</v>
      </c>
      <c r="Y71" s="1579" t="s">
        <v>745</v>
      </c>
      <c r="Z71" s="1578" t="s">
        <v>1142</v>
      </c>
      <c r="AA71" s="1578" t="s">
        <v>1142</v>
      </c>
      <c r="AB71" s="1579" t="s">
        <v>745</v>
      </c>
      <c r="AC71" s="1579" t="s">
        <v>745</v>
      </c>
      <c r="AD71" s="1579" t="s">
        <v>745</v>
      </c>
    </row>
    <row r="72" spans="1:30" s="206" customFormat="1" ht="14.15" customHeight="1" x14ac:dyDescent="0.3">
      <c r="A72" s="1144"/>
      <c r="B72" s="1198"/>
      <c r="G72" s="1159"/>
      <c r="H72" s="208"/>
      <c r="I72" s="208"/>
      <c r="J72" s="208"/>
      <c r="K72" s="208"/>
      <c r="L72" s="208"/>
      <c r="M72" s="208"/>
      <c r="N72" s="208"/>
      <c r="O72" s="312"/>
      <c r="P72" s="1117" t="str">
        <f>IF(studie!F532="","","S")</f>
        <v>S</v>
      </c>
      <c r="Q72" s="943" t="str">
        <f>IF(studie!F532="","","max"&amp;studie!F532)</f>
        <v>max12000</v>
      </c>
      <c r="R72" s="208"/>
      <c r="T72" s="1159"/>
      <c r="U72" s="1120"/>
      <c r="W72" s="1578" t="s">
        <v>1142</v>
      </c>
      <c r="X72" s="1579" t="s">
        <v>745</v>
      </c>
      <c r="Y72" s="1579" t="s">
        <v>745</v>
      </c>
      <c r="Z72" s="1578" t="s">
        <v>1142</v>
      </c>
      <c r="AA72" s="1578" t="s">
        <v>1142</v>
      </c>
      <c r="AB72" s="1579" t="s">
        <v>745</v>
      </c>
      <c r="AC72" s="1579" t="s">
        <v>745</v>
      </c>
      <c r="AD72" s="1579" t="s">
        <v>745</v>
      </c>
    </row>
    <row r="73" spans="1:30" s="206" customFormat="1" ht="14.15" customHeight="1" x14ac:dyDescent="0.3">
      <c r="A73" s="1144"/>
      <c r="B73" s="1199" t="s">
        <v>1320</v>
      </c>
      <c r="C73" s="1162"/>
      <c r="D73" s="1162"/>
      <c r="E73" s="1162"/>
      <c r="F73" s="1162"/>
      <c r="G73" s="1163"/>
      <c r="H73" s="252" t="str">
        <f>IF(AND(P73="",P74=""),"","Weerstand tegen vermoeiing:")</f>
        <v>Weerstand tegen vermoeiing:</v>
      </c>
      <c r="I73" s="252"/>
      <c r="J73" s="252"/>
      <c r="K73" s="252"/>
      <c r="L73" s="252"/>
      <c r="M73" s="252"/>
      <c r="N73" s="252"/>
      <c r="O73" s="266"/>
      <c r="P73" s="1174" t="str">
        <f>IF(studie!F554="","","e")</f>
        <v>e</v>
      </c>
      <c r="Q73" s="1175" t="str">
        <f>IF(studie!F554="","","6-"&amp;studie!F554)</f>
        <v>6-120</v>
      </c>
      <c r="R73" s="252"/>
      <c r="S73" s="1162"/>
      <c r="T73" s="1163"/>
      <c r="U73" s="608"/>
      <c r="V73" s="208"/>
      <c r="W73" s="1580" t="s">
        <v>1142</v>
      </c>
      <c r="X73" s="1579" t="s">
        <v>745</v>
      </c>
      <c r="Y73" s="1579" t="s">
        <v>745</v>
      </c>
      <c r="Z73" s="1579" t="s">
        <v>745</v>
      </c>
      <c r="AA73" s="1578" t="s">
        <v>1142</v>
      </c>
      <c r="AB73" s="1579" t="s">
        <v>745</v>
      </c>
      <c r="AC73" s="1579" t="s">
        <v>745</v>
      </c>
      <c r="AD73" s="1579" t="s">
        <v>745</v>
      </c>
    </row>
    <row r="74" spans="1:30" s="206" customFormat="1" ht="14.15" customHeight="1" x14ac:dyDescent="0.3">
      <c r="A74" s="1144"/>
      <c r="B74" s="1198" t="s">
        <v>1316</v>
      </c>
      <c r="G74" s="1159"/>
      <c r="H74" s="208" t="str">
        <f>IF(AND(P74="",P75="",P76="",P78=""),"","Marshallwaarden:")</f>
        <v>Marshallwaarden:</v>
      </c>
      <c r="I74" s="208"/>
      <c r="J74" s="208"/>
      <c r="K74" s="208"/>
      <c r="L74" s="311" t="str">
        <f>IF(AND(studie!F693="",studie!F694=""),"","Stabiliteit:")</f>
        <v>Stabiliteit:</v>
      </c>
      <c r="M74" s="208"/>
      <c r="N74" s="208"/>
      <c r="O74" s="208"/>
      <c r="P74" s="1117" t="str">
        <f>IF(studie!F693="","","MS")</f>
        <v>MS</v>
      </c>
      <c r="Q74" s="942" t="str">
        <f>IF(studie!F693="","","min"&amp;studie!F693)</f>
        <v>min15</v>
      </c>
      <c r="R74" s="208"/>
      <c r="T74" s="1159"/>
      <c r="U74" s="608"/>
      <c r="V74" s="208"/>
      <c r="W74" s="1580" t="s">
        <v>1142</v>
      </c>
      <c r="X74" s="1579" t="s">
        <v>745</v>
      </c>
      <c r="Y74" s="1579" t="s">
        <v>745</v>
      </c>
      <c r="Z74" s="1579" t="s">
        <v>745</v>
      </c>
      <c r="AA74" s="1579" t="s">
        <v>745</v>
      </c>
      <c r="AB74" s="1579" t="s">
        <v>745</v>
      </c>
      <c r="AC74" s="1579" t="s">
        <v>745</v>
      </c>
      <c r="AD74" s="1579" t="s">
        <v>745</v>
      </c>
    </row>
    <row r="75" spans="1:30" s="206" customFormat="1" ht="14.15" customHeight="1" x14ac:dyDescent="0.3">
      <c r="A75" s="1144"/>
      <c r="B75" s="1198"/>
      <c r="G75" s="1159"/>
      <c r="H75" s="208"/>
      <c r="I75" s="208"/>
      <c r="J75" s="208"/>
      <c r="K75" s="208"/>
      <c r="L75" s="311"/>
      <c r="M75" s="208"/>
      <c r="N75" s="208"/>
      <c r="O75" s="208"/>
      <c r="P75" s="1117" t="str">
        <f>IF(studie!F694="","","MS")</f>
        <v>MS</v>
      </c>
      <c r="Q75" s="942" t="str">
        <f>IF(studie!F694="","","max"&amp;studie!F694)</f>
        <v>max10</v>
      </c>
      <c r="R75" s="208"/>
      <c r="T75" s="1159"/>
      <c r="U75" s="608"/>
      <c r="V75" s="208"/>
      <c r="W75" s="1580" t="s">
        <v>1142</v>
      </c>
      <c r="X75" s="1579" t="s">
        <v>745</v>
      </c>
      <c r="Y75" s="1579" t="s">
        <v>745</v>
      </c>
      <c r="Z75" s="1579" t="s">
        <v>745</v>
      </c>
      <c r="AA75" s="1579" t="s">
        <v>745</v>
      </c>
      <c r="AB75" s="1579" t="s">
        <v>745</v>
      </c>
      <c r="AC75" s="1579" t="s">
        <v>745</v>
      </c>
      <c r="AD75" s="1579" t="s">
        <v>745</v>
      </c>
    </row>
    <row r="76" spans="1:30" s="206" customFormat="1" ht="14.15" customHeight="1" x14ac:dyDescent="0.3">
      <c r="A76" s="1144"/>
      <c r="B76" s="1198"/>
      <c r="G76" s="1159"/>
      <c r="H76" s="208"/>
      <c r="I76" s="208"/>
      <c r="J76" s="208"/>
      <c r="K76" s="208"/>
      <c r="L76" s="311" t="str">
        <f>IF(studie!F695="","","Vloei:")</f>
        <v>Vloei:</v>
      </c>
      <c r="M76" s="208"/>
      <c r="N76" s="208"/>
      <c r="O76" s="208"/>
      <c r="P76" s="1117" t="str">
        <f>IF(studie!F695="","","F")</f>
        <v>F</v>
      </c>
      <c r="Q76" s="942" t="str">
        <f>IF(studie!F695="","","min"&amp;studie!F695)</f>
        <v>min1</v>
      </c>
      <c r="R76" s="208"/>
      <c r="T76" s="1159"/>
      <c r="U76" s="608"/>
      <c r="V76" s="208"/>
      <c r="W76" s="1580" t="s">
        <v>1142</v>
      </c>
      <c r="X76" s="1579" t="s">
        <v>745</v>
      </c>
      <c r="Y76" s="1579" t="s">
        <v>745</v>
      </c>
      <c r="Z76" s="1579" t="s">
        <v>745</v>
      </c>
      <c r="AA76" s="1579" t="s">
        <v>745</v>
      </c>
      <c r="AB76" s="1579" t="s">
        <v>745</v>
      </c>
      <c r="AC76" s="1579" t="s">
        <v>745</v>
      </c>
      <c r="AD76" s="1579" t="s">
        <v>745</v>
      </c>
    </row>
    <row r="77" spans="1:30" s="206" customFormat="1" ht="14.15" customHeight="1" x14ac:dyDescent="0.3">
      <c r="A77" s="1144"/>
      <c r="B77" s="1198"/>
      <c r="G77" s="1159"/>
      <c r="H77" s="208"/>
      <c r="I77" s="208"/>
      <c r="J77" s="208"/>
      <c r="K77" s="208"/>
      <c r="L77" s="311"/>
      <c r="M77" s="208"/>
      <c r="N77" s="208"/>
      <c r="O77" s="208"/>
      <c r="P77" s="1117" t="str">
        <f>IF(studie!F696="","","F")</f>
        <v>F</v>
      </c>
      <c r="Q77" s="942" t="str">
        <f>IF(studie!F696="","","max"&amp;studie!F696)</f>
        <v>max2,5</v>
      </c>
      <c r="R77" s="208"/>
      <c r="T77" s="1159"/>
      <c r="U77" s="608"/>
      <c r="V77" s="208"/>
      <c r="W77" s="1580" t="s">
        <v>1142</v>
      </c>
      <c r="X77" s="1579" t="s">
        <v>745</v>
      </c>
      <c r="Y77" s="1579" t="s">
        <v>745</v>
      </c>
      <c r="Z77" s="1579" t="s">
        <v>745</v>
      </c>
      <c r="AA77" s="1579" t="s">
        <v>745</v>
      </c>
      <c r="AB77" s="1579" t="s">
        <v>745</v>
      </c>
      <c r="AC77" s="1579" t="s">
        <v>745</v>
      </c>
      <c r="AD77" s="1579" t="s">
        <v>745</v>
      </c>
    </row>
    <row r="78" spans="1:30" s="206" customFormat="1" ht="14.15" customHeight="1" x14ac:dyDescent="0.3">
      <c r="A78" s="1144"/>
      <c r="B78" s="1198"/>
      <c r="G78" s="1159"/>
      <c r="H78" s="208"/>
      <c r="I78" s="208"/>
      <c r="J78" s="208"/>
      <c r="K78" s="208"/>
      <c r="L78" s="311" t="str">
        <f>IF(studie!F697="","","Quotiënt:")</f>
        <v>Quotiënt:</v>
      </c>
      <c r="M78" s="208"/>
      <c r="N78" s="208"/>
      <c r="O78" s="208"/>
      <c r="P78" s="1117" t="str">
        <f>IF(studie!F697="","","Q")</f>
        <v>Q</v>
      </c>
      <c r="Q78" s="942" t="str">
        <f>IF(studie!F697="","","min"&amp;studie!F697)</f>
        <v>min2,5</v>
      </c>
      <c r="R78" s="208"/>
      <c r="T78" s="1159"/>
      <c r="U78" s="608"/>
      <c r="V78" s="208"/>
      <c r="W78" s="1580" t="s">
        <v>1142</v>
      </c>
      <c r="X78" s="1579" t="s">
        <v>745</v>
      </c>
      <c r="Y78" s="1579" t="s">
        <v>745</v>
      </c>
      <c r="Z78" s="1579" t="s">
        <v>745</v>
      </c>
      <c r="AA78" s="1579" t="s">
        <v>745</v>
      </c>
      <c r="AB78" s="1579" t="s">
        <v>745</v>
      </c>
      <c r="AC78" s="1579" t="s">
        <v>745</v>
      </c>
      <c r="AD78" s="1579" t="s">
        <v>745</v>
      </c>
    </row>
    <row r="79" spans="1:30" s="206" customFormat="1" ht="14.15" customHeight="1" x14ac:dyDescent="0.3">
      <c r="A79" s="1144"/>
      <c r="B79" s="1199" t="s">
        <v>1316</v>
      </c>
      <c r="C79" s="1162"/>
      <c r="D79" s="1162"/>
      <c r="E79" s="1162"/>
      <c r="F79" s="1162"/>
      <c r="G79" s="1163"/>
      <c r="H79" s="252" t="str">
        <f>IF(Q79="","","Weerstand tegen permanente vervorming:")</f>
        <v>Weerstand tegen permanente vervorming:</v>
      </c>
      <c r="I79" s="252"/>
      <c r="J79" s="252"/>
      <c r="K79" s="252"/>
      <c r="L79" s="252"/>
      <c r="M79" s="252"/>
      <c r="N79" s="252"/>
      <c r="O79" s="252"/>
      <c r="P79" s="1164" t="str">
        <f>IF(studie!F344="","",studie!E344)</f>
        <v>P</v>
      </c>
      <c r="Q79" s="1176">
        <f>IF(studie!F344="","",studie!F344)</f>
        <v>5</v>
      </c>
      <c r="R79" s="252"/>
      <c r="S79" s="1162"/>
      <c r="T79" s="1163"/>
      <c r="U79" s="608"/>
      <c r="V79" s="208"/>
      <c r="W79" s="1580" t="s">
        <v>1142</v>
      </c>
      <c r="X79" s="1580" t="s">
        <v>1142</v>
      </c>
      <c r="Y79" s="1579" t="s">
        <v>745</v>
      </c>
      <c r="Z79" s="1578" t="s">
        <v>1142</v>
      </c>
      <c r="AA79" s="1578" t="s">
        <v>1142</v>
      </c>
      <c r="AB79" s="1579" t="s">
        <v>745</v>
      </c>
      <c r="AC79" s="1578" t="s">
        <v>1142</v>
      </c>
      <c r="AD79" s="1579" t="s">
        <v>745</v>
      </c>
    </row>
    <row r="80" spans="1:30" s="206" customFormat="1" ht="14.15" customHeight="1" x14ac:dyDescent="0.3">
      <c r="A80" s="1144"/>
      <c r="B80" s="1198" t="s">
        <v>1316</v>
      </c>
      <c r="G80" s="1159"/>
      <c r="H80" s="208" t="str">
        <f>IF(studie!K726="","","Weerstand tegen permanente vervorming")</f>
        <v>Weerstand tegen permanente vervorming</v>
      </c>
      <c r="I80" s="208"/>
      <c r="J80" s="208"/>
      <c r="K80" s="208"/>
      <c r="L80" s="208"/>
      <c r="M80" s="208"/>
      <c r="N80" s="208"/>
      <c r="O80" s="208"/>
      <c r="P80" s="1117"/>
      <c r="Q80" s="942"/>
      <c r="R80" s="208"/>
      <c r="T80" s="1159"/>
      <c r="U80" s="608"/>
      <c r="V80" s="208"/>
      <c r="W80" s="1580" t="s">
        <v>1142</v>
      </c>
      <c r="X80" s="1579" t="s">
        <v>745</v>
      </c>
      <c r="Y80" s="1579" t="s">
        <v>745</v>
      </c>
      <c r="Z80" s="1579" t="s">
        <v>745</v>
      </c>
      <c r="AA80" s="1579" t="s">
        <v>745</v>
      </c>
      <c r="AB80" s="1579" t="s">
        <v>745</v>
      </c>
      <c r="AC80" s="1579" t="s">
        <v>745</v>
      </c>
      <c r="AD80" s="1579" t="s">
        <v>745</v>
      </c>
    </row>
    <row r="81" spans="1:30" ht="14.15" customHeight="1" x14ac:dyDescent="0.35">
      <c r="A81" s="926"/>
      <c r="B81" s="1202"/>
      <c r="G81" s="1158"/>
      <c r="H81" s="208"/>
      <c r="I81" s="208" t="str">
        <f>IF(studie!K726="","","in triaxiale drukproef:")</f>
        <v>in triaxiale drukproef:</v>
      </c>
      <c r="J81" s="208"/>
      <c r="K81" s="208"/>
      <c r="L81" s="208"/>
      <c r="M81" s="208"/>
      <c r="N81" s="208"/>
      <c r="O81" s="208"/>
      <c r="P81" s="1118" t="s">
        <v>1068</v>
      </c>
      <c r="Q81" s="942" t="str">
        <f>IF(studie!K726="","","c max"&amp;studie!K726)</f>
        <v>c max1,4</v>
      </c>
      <c r="R81" s="208"/>
      <c r="T81" s="1158"/>
      <c r="U81" s="927"/>
      <c r="W81" s="1580" t="s">
        <v>1142</v>
      </c>
      <c r="X81" s="1579" t="s">
        <v>745</v>
      </c>
      <c r="Y81" s="1579" t="s">
        <v>745</v>
      </c>
      <c r="Z81" s="1579" t="s">
        <v>745</v>
      </c>
      <c r="AA81" s="1579" t="s">
        <v>745</v>
      </c>
      <c r="AB81" s="1579" t="s">
        <v>745</v>
      </c>
      <c r="AC81" s="1579" t="s">
        <v>745</v>
      </c>
      <c r="AD81" s="1579" t="s">
        <v>745</v>
      </c>
    </row>
    <row r="82" spans="1:30" s="206" customFormat="1" ht="14.15" customHeight="1" x14ac:dyDescent="0.3">
      <c r="A82" s="1144"/>
      <c r="B82" s="1199" t="s">
        <v>1321</v>
      </c>
      <c r="C82" s="1162"/>
      <c r="D82" s="1162"/>
      <c r="E82" s="1162"/>
      <c r="F82" s="1162"/>
      <c r="G82" s="1163"/>
      <c r="H82" s="252" t="str">
        <f>IF(studie!K724="","",studie!B724)</f>
        <v>Weerstand tegen afslijting door spijkerbanden:</v>
      </c>
      <c r="I82" s="252"/>
      <c r="J82" s="252"/>
      <c r="K82" s="252"/>
      <c r="L82" s="252"/>
      <c r="M82" s="252"/>
      <c r="N82" s="252"/>
      <c r="O82" s="266"/>
      <c r="P82" s="1164" t="str">
        <f>IF(studie!K724="","","Abr")</f>
        <v>Abr</v>
      </c>
      <c r="Q82" s="1173" t="str">
        <f>IF(studie!K724="","","Amax"&amp;studie!K724)</f>
        <v>Amax40</v>
      </c>
      <c r="R82" s="252"/>
      <c r="S82" s="1162"/>
      <c r="T82" s="1163"/>
      <c r="U82" s="608"/>
      <c r="V82" s="208"/>
      <c r="W82" s="1580" t="s">
        <v>1142</v>
      </c>
      <c r="X82" s="1580" t="s">
        <v>1142</v>
      </c>
      <c r="Y82" s="1579" t="s">
        <v>745</v>
      </c>
      <c r="Z82" s="1579" t="s">
        <v>745</v>
      </c>
      <c r="AA82" s="1578" t="s">
        <v>1142</v>
      </c>
      <c r="AB82" s="1579" t="s">
        <v>745</v>
      </c>
      <c r="AC82" s="1579" t="s">
        <v>745</v>
      </c>
      <c r="AD82" s="1579" t="s">
        <v>745</v>
      </c>
    </row>
    <row r="83" spans="1:30" s="206" customFormat="1" ht="14.15" customHeight="1" x14ac:dyDescent="0.3">
      <c r="A83" s="1144"/>
      <c r="B83" s="1199">
        <v>10</v>
      </c>
      <c r="C83" s="1162"/>
      <c r="D83" s="1162"/>
      <c r="E83" s="1162"/>
      <c r="F83" s="1162"/>
      <c r="G83" s="1163"/>
      <c r="H83" s="252" t="str">
        <f>IF(Q83="","","Afgedropen bindmiddel:")</f>
        <v>Afgedropen bindmiddel:</v>
      </c>
      <c r="I83" s="252"/>
      <c r="J83" s="266"/>
      <c r="K83" s="252"/>
      <c r="L83" s="252"/>
      <c r="M83" s="915"/>
      <c r="N83" s="252"/>
      <c r="O83" s="266"/>
      <c r="P83" s="1164" t="str">
        <f>IF(studie!F416="","","BD")</f>
        <v>BD</v>
      </c>
      <c r="Q83" s="1116" t="str">
        <f>IF(studie!F416="","","max"&amp;studie!F416)</f>
        <v>max0,3</v>
      </c>
      <c r="R83" s="252"/>
      <c r="S83" s="1162"/>
      <c r="T83" s="1163"/>
      <c r="U83" s="608"/>
      <c r="V83" s="208"/>
      <c r="W83" s="1579" t="s">
        <v>745</v>
      </c>
      <c r="X83" s="1579" t="s">
        <v>745</v>
      </c>
      <c r="Y83" s="1579" t="s">
        <v>745</v>
      </c>
      <c r="Z83" s="1579" t="s">
        <v>745</v>
      </c>
      <c r="AA83" s="1578" t="s">
        <v>1142</v>
      </c>
      <c r="AB83" s="1579" t="s">
        <v>745</v>
      </c>
      <c r="AC83" s="1578" t="s">
        <v>1142</v>
      </c>
      <c r="AD83" s="1579" t="s">
        <v>745</v>
      </c>
    </row>
    <row r="84" spans="1:30" s="206" customFormat="1" ht="14.15" customHeight="1" x14ac:dyDescent="0.3">
      <c r="A84" s="1144"/>
      <c r="B84" s="1199" t="s">
        <v>1322</v>
      </c>
      <c r="C84" s="1162"/>
      <c r="D84" s="1162"/>
      <c r="E84" s="1162"/>
      <c r="F84" s="1162"/>
      <c r="G84" s="1163"/>
      <c r="H84" s="252" t="str">
        <f>IF(Q84="","","Deeltjesverlies:")</f>
        <v>Deeltjesverlies:</v>
      </c>
      <c r="I84" s="252"/>
      <c r="J84" s="252"/>
      <c r="K84" s="252"/>
      <c r="L84" s="252"/>
      <c r="M84" s="252"/>
      <c r="N84" s="252"/>
      <c r="O84" s="252"/>
      <c r="P84" s="1164" t="str">
        <f>IF(studie!F462="","","PL")</f>
        <v>PL</v>
      </c>
      <c r="Q84" s="1176" t="str">
        <f>IF(studie!F462="","","max"&amp;studie!F462)</f>
        <v>max15</v>
      </c>
      <c r="R84" s="252"/>
      <c r="S84" s="1162"/>
      <c r="T84" s="1163"/>
      <c r="U84" s="608"/>
      <c r="V84" s="208"/>
      <c r="W84" s="1579" t="s">
        <v>745</v>
      </c>
      <c r="X84" s="1579" t="s">
        <v>745</v>
      </c>
      <c r="Y84" s="1579" t="s">
        <v>745</v>
      </c>
      <c r="Z84" s="1579" t="s">
        <v>745</v>
      </c>
      <c r="AA84" s="1579" t="s">
        <v>745</v>
      </c>
      <c r="AB84" s="1579" t="s">
        <v>745</v>
      </c>
      <c r="AC84" s="1578" t="s">
        <v>1142</v>
      </c>
      <c r="AD84" s="1579" t="s">
        <v>745</v>
      </c>
    </row>
    <row r="85" spans="1:30" s="206" customFormat="1" ht="14.15" customHeight="1" x14ac:dyDescent="0.3">
      <c r="A85" s="1144"/>
      <c r="B85" s="1198" t="s">
        <v>1323</v>
      </c>
      <c r="G85" s="1159"/>
      <c r="H85" s="208" t="str">
        <f>IF(AND(Q85="",Q86=""),"",studie!B728)</f>
        <v>Doorlatendheid:</v>
      </c>
      <c r="I85" s="208"/>
      <c r="J85" s="208"/>
      <c r="K85" s="208"/>
      <c r="L85" s="208"/>
      <c r="M85" s="208"/>
      <c r="N85" s="208"/>
      <c r="O85" s="208"/>
      <c r="P85" s="1117" t="str">
        <f>IF(Q85="","","K")</f>
        <v>K</v>
      </c>
      <c r="Q85" s="942" t="str">
        <f>IF(studie!K728="","","h min"&amp;studie!K728)</f>
        <v>h min2,5</v>
      </c>
      <c r="R85" s="208"/>
      <c r="T85" s="1159"/>
      <c r="U85" s="608"/>
      <c r="V85" s="208"/>
      <c r="W85" s="1579" t="s">
        <v>745</v>
      </c>
      <c r="X85" s="1579" t="s">
        <v>745</v>
      </c>
      <c r="Y85" s="1579" t="s">
        <v>745</v>
      </c>
      <c r="Z85" s="1579" t="s">
        <v>745</v>
      </c>
      <c r="AA85" s="1579" t="s">
        <v>745</v>
      </c>
      <c r="AB85" s="1579" t="s">
        <v>745</v>
      </c>
      <c r="AC85" s="1578" t="s">
        <v>1142</v>
      </c>
      <c r="AD85" s="1579" t="s">
        <v>745</v>
      </c>
    </row>
    <row r="86" spans="1:30" s="206" customFormat="1" ht="14.15" customHeight="1" x14ac:dyDescent="0.3">
      <c r="A86" s="1144"/>
      <c r="B86" s="1198"/>
      <c r="G86" s="1159"/>
      <c r="H86" s="208"/>
      <c r="I86" s="318"/>
      <c r="J86" s="318"/>
      <c r="K86" s="318"/>
      <c r="L86" s="318"/>
      <c r="M86" s="318"/>
      <c r="N86" s="318"/>
      <c r="O86" s="318"/>
      <c r="P86" s="1117" t="str">
        <f>IF(Q86="","","K")</f>
        <v>K</v>
      </c>
      <c r="Q86" s="942" t="str">
        <f>IF(studie!K729="","","v min"&amp;studie!K729)</f>
        <v>v min1</v>
      </c>
      <c r="R86" s="318"/>
      <c r="T86" s="1159"/>
      <c r="U86" s="608"/>
      <c r="V86" s="208"/>
      <c r="W86" s="1579" t="s">
        <v>745</v>
      </c>
      <c r="X86" s="1579" t="s">
        <v>745</v>
      </c>
      <c r="Y86" s="1579" t="s">
        <v>745</v>
      </c>
      <c r="Z86" s="1579" t="s">
        <v>745</v>
      </c>
      <c r="AA86" s="1579" t="s">
        <v>745</v>
      </c>
      <c r="AB86" s="1579" t="s">
        <v>745</v>
      </c>
      <c r="AC86" s="1578" t="s">
        <v>1142</v>
      </c>
      <c r="AD86" s="1579" t="s">
        <v>745</v>
      </c>
    </row>
    <row r="87" spans="1:30" s="206" customFormat="1" ht="14.15" customHeight="1" x14ac:dyDescent="0.3">
      <c r="A87" s="1144"/>
      <c r="B87" s="1199" t="s">
        <v>1324</v>
      </c>
      <c r="C87" s="1162"/>
      <c r="D87" s="1162"/>
      <c r="E87" s="1162"/>
      <c r="F87" s="1162"/>
      <c r="G87" s="1163"/>
      <c r="H87" s="252" t="str">
        <f>IF(Q87="","",studie!B730)</f>
        <v>Wrijving na polijsten:</v>
      </c>
      <c r="I87" s="438"/>
      <c r="J87" s="438"/>
      <c r="K87" s="438"/>
      <c r="L87" s="438"/>
      <c r="M87" s="438"/>
      <c r="N87" s="438"/>
      <c r="O87" s="438"/>
      <c r="P87" s="1164" t="str">
        <f>IF(Q87="","","FAP")</f>
        <v>FAP</v>
      </c>
      <c r="Q87" s="1176" t="str">
        <f>IF(studie!K730="","","min"&amp;studie!K730)</f>
        <v>min40</v>
      </c>
      <c r="R87" s="438"/>
      <c r="S87" s="1162"/>
      <c r="T87" s="1163"/>
      <c r="U87" s="608"/>
      <c r="V87" s="208"/>
      <c r="W87" s="1580" t="s">
        <v>1142</v>
      </c>
      <c r="X87" s="1580" t="s">
        <v>1142</v>
      </c>
      <c r="Y87" s="1579" t="s">
        <v>745</v>
      </c>
      <c r="Z87" s="1579" t="s">
        <v>745</v>
      </c>
      <c r="AA87" s="1578" t="s">
        <v>1142</v>
      </c>
      <c r="AB87" s="1579" t="s">
        <v>745</v>
      </c>
      <c r="AC87" s="1578" t="s">
        <v>1142</v>
      </c>
      <c r="AD87" s="1578" t="s">
        <v>1142</v>
      </c>
    </row>
    <row r="88" spans="1:30" ht="14.15" customHeight="1" x14ac:dyDescent="0.35">
      <c r="A88" s="926"/>
      <c r="B88" s="1203" t="s">
        <v>1325</v>
      </c>
      <c r="C88" s="1177"/>
      <c r="D88" s="1177"/>
      <c r="E88" s="1177"/>
      <c r="F88" s="1177"/>
      <c r="G88" s="1178"/>
      <c r="H88" s="207" t="str">
        <f>IF(Q88="","","Indrukking:")</f>
        <v>Indrukking:</v>
      </c>
      <c r="I88" s="207"/>
      <c r="J88" s="207"/>
      <c r="K88" s="207"/>
      <c r="L88" s="207"/>
      <c r="M88" s="283"/>
      <c r="N88" s="1179"/>
      <c r="O88" s="1180"/>
      <c r="P88" s="1168" t="str">
        <f>IF(Q88="","","I")</f>
        <v>I</v>
      </c>
      <c r="Q88" s="1181" t="str">
        <f>IF(studie!F507="","","min"&amp;studie!F507)</f>
        <v>min1,5</v>
      </c>
      <c r="R88" s="207"/>
      <c r="S88" s="1177"/>
      <c r="T88" s="1178"/>
      <c r="U88" s="337"/>
      <c r="V88" s="318"/>
      <c r="W88" s="1579" t="s">
        <v>745</v>
      </c>
      <c r="X88" s="1579" t="s">
        <v>745</v>
      </c>
      <c r="Y88" s="1579" t="s">
        <v>745</v>
      </c>
      <c r="Z88" s="1579" t="s">
        <v>745</v>
      </c>
      <c r="AA88" s="1579" t="s">
        <v>745</v>
      </c>
      <c r="AB88" s="1581" t="s">
        <v>1142</v>
      </c>
      <c r="AC88" s="1579" t="s">
        <v>745</v>
      </c>
      <c r="AD88" s="1579" t="s">
        <v>745</v>
      </c>
    </row>
    <row r="89" spans="1:30" ht="14.15" customHeight="1" x14ac:dyDescent="0.35">
      <c r="A89" s="926"/>
      <c r="B89" s="1202"/>
      <c r="G89" s="1158"/>
      <c r="H89" s="208"/>
      <c r="I89" s="208"/>
      <c r="J89" s="208"/>
      <c r="K89" s="208"/>
      <c r="L89" s="208"/>
      <c r="M89" s="312"/>
      <c r="N89" s="922"/>
      <c r="O89" s="311"/>
      <c r="P89" s="1117" t="str">
        <f>IF(Q89="","","I")</f>
        <v>I</v>
      </c>
      <c r="Q89" s="1116" t="str">
        <f>IF(studie!F508="","","max"&amp;studie!F508)</f>
        <v>max7</v>
      </c>
      <c r="R89" s="208"/>
      <c r="T89" s="1158"/>
      <c r="U89" s="337"/>
      <c r="V89" s="318"/>
      <c r="W89" s="1579" t="s">
        <v>745</v>
      </c>
      <c r="X89" s="1579" t="s">
        <v>745</v>
      </c>
      <c r="Y89" s="1579" t="s">
        <v>745</v>
      </c>
      <c r="Z89" s="1579" t="s">
        <v>745</v>
      </c>
      <c r="AA89" s="1579" t="s">
        <v>745</v>
      </c>
      <c r="AB89" s="1582" t="s">
        <v>1142</v>
      </c>
      <c r="AC89" s="1579" t="s">
        <v>745</v>
      </c>
      <c r="AD89" s="1579" t="s">
        <v>745</v>
      </c>
    </row>
    <row r="90" spans="1:30" s="318" customFormat="1" ht="14.15" customHeight="1" x14ac:dyDescent="0.3">
      <c r="A90" s="324"/>
      <c r="B90" s="1204"/>
      <c r="C90" s="449"/>
      <c r="D90" s="449"/>
      <c r="E90" s="449"/>
      <c r="F90" s="449"/>
      <c r="G90" s="1182"/>
      <c r="H90" s="209"/>
      <c r="I90" s="209" t="str">
        <f>IF(Q90="","","Toename van de indrukking:")</f>
        <v>Toename van de indrukking:</v>
      </c>
      <c r="J90" s="209"/>
      <c r="K90" s="209"/>
      <c r="L90" s="209"/>
      <c r="M90" s="265"/>
      <c r="N90" s="1183"/>
      <c r="O90" s="408"/>
      <c r="P90" s="1184" t="str">
        <f>IF(Q90="","","I")</f>
        <v>I</v>
      </c>
      <c r="Q90" s="1185" t="str">
        <f>IF(studie!F509="","","nc max"&amp;studie!F509)</f>
        <v>nc max0,6</v>
      </c>
      <c r="R90" s="209"/>
      <c r="S90" s="449"/>
      <c r="T90" s="1182"/>
      <c r="U90" s="337"/>
      <c r="W90" s="1579" t="s">
        <v>745</v>
      </c>
      <c r="X90" s="1579" t="s">
        <v>745</v>
      </c>
      <c r="Y90" s="1579" t="s">
        <v>745</v>
      </c>
      <c r="Z90" s="1579" t="s">
        <v>745</v>
      </c>
      <c r="AA90" s="1579" t="s">
        <v>745</v>
      </c>
      <c r="AB90" s="1581" t="s">
        <v>1142</v>
      </c>
      <c r="AC90" s="1579" t="s">
        <v>745</v>
      </c>
      <c r="AD90" s="1579" t="s">
        <v>745</v>
      </c>
    </row>
    <row r="91" spans="1:30" s="318" customFormat="1" ht="14.15" customHeight="1" x14ac:dyDescent="0.3">
      <c r="A91" s="324"/>
      <c r="B91" s="1205">
        <v>10</v>
      </c>
      <c r="G91" s="1160"/>
      <c r="H91" s="208" t="str">
        <f>IF(Q91="","",studie!B731)</f>
        <v>Mengsel SATS duurzaamheid Index:</v>
      </c>
      <c r="I91" s="208"/>
      <c r="J91" s="208"/>
      <c r="K91" s="208"/>
      <c r="L91" s="208"/>
      <c r="M91" s="312"/>
      <c r="N91" s="922"/>
      <c r="O91" s="311"/>
      <c r="P91" s="1117" t="str">
        <f>IF(Q91="","","MDI")</f>
        <v>MDI</v>
      </c>
      <c r="Q91" s="1097" t="str">
        <f>IF(studie!K731="","","min"&amp;studie!K731)</f>
        <v>min50</v>
      </c>
      <c r="R91" s="208"/>
      <c r="T91" s="1160"/>
      <c r="U91" s="337"/>
      <c r="W91" s="1581" t="s">
        <v>1142</v>
      </c>
      <c r="X91" s="1579" t="s">
        <v>745</v>
      </c>
      <c r="Y91" s="1579" t="s">
        <v>745</v>
      </c>
      <c r="Z91" s="1579" t="s">
        <v>745</v>
      </c>
      <c r="AA91" s="1579" t="s">
        <v>745</v>
      </c>
      <c r="AB91" s="1579" t="s">
        <v>745</v>
      </c>
      <c r="AC91" s="1579" t="s">
        <v>745</v>
      </c>
      <c r="AD91" s="1579" t="s">
        <v>745</v>
      </c>
    </row>
    <row r="92" spans="1:30" s="318" customFormat="1" ht="14.15" customHeight="1" x14ac:dyDescent="0.3">
      <c r="A92" s="324"/>
      <c r="B92" s="1206">
        <v>10</v>
      </c>
      <c r="C92" s="438"/>
      <c r="D92" s="438"/>
      <c r="E92" s="438"/>
      <c r="F92" s="438"/>
      <c r="G92" s="1186"/>
      <c r="H92" s="252" t="str">
        <f>IF(Q92="","",studie!B732)</f>
        <v>Lage temperatuur eigenschappen:</v>
      </c>
      <c r="I92" s="252"/>
      <c r="J92" s="252"/>
      <c r="K92" s="252"/>
      <c r="L92" s="252"/>
      <c r="M92" s="266"/>
      <c r="N92" s="1187"/>
      <c r="O92" s="396"/>
      <c r="P92" s="1164" t="str">
        <f>IF(Q92="","","TSRST")</f>
        <v>TSRST</v>
      </c>
      <c r="Q92" s="1173" t="str">
        <f>IF(studie!K732="","","max"&amp;studie!K732)</f>
        <v>max22,5</v>
      </c>
      <c r="R92" s="252"/>
      <c r="S92" s="438"/>
      <c r="T92" s="1186"/>
      <c r="U92" s="337"/>
      <c r="W92" s="1581" t="s">
        <v>1142</v>
      </c>
      <c r="X92" s="1581" t="s">
        <v>1142</v>
      </c>
      <c r="Y92" s="1579" t="s">
        <v>745</v>
      </c>
      <c r="Z92" s="1581" t="s">
        <v>1142</v>
      </c>
      <c r="AA92" s="1581" t="s">
        <v>1142</v>
      </c>
      <c r="AB92" s="1581" t="s">
        <v>1142</v>
      </c>
      <c r="AC92" s="1581" t="s">
        <v>1142</v>
      </c>
      <c r="AD92" s="1581" t="s">
        <v>1142</v>
      </c>
    </row>
    <row r="93" spans="1:30" s="318" customFormat="1" ht="14.15" customHeight="1" x14ac:dyDescent="0.3">
      <c r="A93" s="324"/>
      <c r="B93" s="1206">
        <v>10</v>
      </c>
      <c r="C93" s="438"/>
      <c r="D93" s="438"/>
      <c r="E93" s="438"/>
      <c r="F93" s="438"/>
      <c r="G93" s="1186"/>
      <c r="H93" s="252" t="str">
        <f>IF(Q93="","",studie!B733)</f>
        <v>Breuksterkte:</v>
      </c>
      <c r="I93" s="252"/>
      <c r="J93" s="252"/>
      <c r="K93" s="252"/>
      <c r="L93" s="252"/>
      <c r="M93" s="266"/>
      <c r="N93" s="1187"/>
      <c r="O93" s="396"/>
      <c r="P93" s="1164" t="str">
        <f>IF(Q93="","","K")</f>
        <v>K</v>
      </c>
      <c r="Q93" s="1173" t="str">
        <f>IF(studie!K733="","","Ic max"&amp;studie!K733)</f>
        <v>Ic max45</v>
      </c>
      <c r="R93" s="252"/>
      <c r="S93" s="438"/>
      <c r="T93" s="1186"/>
      <c r="U93" s="337"/>
      <c r="W93" s="1581" t="s">
        <v>1142</v>
      </c>
      <c r="X93" s="1579" t="s">
        <v>745</v>
      </c>
      <c r="Y93" s="1579" t="s">
        <v>745</v>
      </c>
      <c r="Z93" s="1579" t="s">
        <v>745</v>
      </c>
      <c r="AA93" s="1581" t="s">
        <v>1142</v>
      </c>
      <c r="AB93" s="1579" t="s">
        <v>745</v>
      </c>
      <c r="AC93" s="1579" t="s">
        <v>745</v>
      </c>
      <c r="AD93" s="1579" t="s">
        <v>745</v>
      </c>
    </row>
    <row r="94" spans="1:30" s="318" customFormat="1" ht="14.15" customHeight="1" x14ac:dyDescent="0.3">
      <c r="A94" s="324"/>
      <c r="B94" s="1206">
        <f>IF(Q94="","",studie!L736)</f>
        <v>6</v>
      </c>
      <c r="C94" s="438"/>
      <c r="D94" s="438"/>
      <c r="E94" s="438"/>
      <c r="F94" s="438"/>
      <c r="G94" s="1186"/>
      <c r="H94" s="252" t="str">
        <f>IF(Q94="","",studie!B736)</f>
        <v>Prestatie 1:</v>
      </c>
      <c r="I94" s="252"/>
      <c r="J94" s="252"/>
      <c r="K94" s="252"/>
      <c r="L94" s="252"/>
      <c r="M94" s="252"/>
      <c r="N94" s="252"/>
      <c r="O94" s="252"/>
      <c r="P94" s="266" t="str">
        <f>IF(Q94="","",studie!I736)</f>
        <v>A</v>
      </c>
      <c r="Q94" s="1173">
        <f>IF(studie!K736="","",studie!K736)</f>
        <v>1</v>
      </c>
      <c r="R94" s="252"/>
      <c r="S94" s="438"/>
      <c r="T94" s="1186"/>
      <c r="U94" s="337"/>
      <c r="W94" s="1584" t="s">
        <v>745</v>
      </c>
      <c r="X94" s="1584" t="s">
        <v>745</v>
      </c>
      <c r="Y94" s="1584" t="s">
        <v>745</v>
      </c>
      <c r="Z94" s="1584" t="s">
        <v>745</v>
      </c>
      <c r="AA94" s="1584" t="s">
        <v>745</v>
      </c>
      <c r="AB94" s="1584" t="s">
        <v>745</v>
      </c>
      <c r="AC94" s="1584" t="s">
        <v>745</v>
      </c>
      <c r="AD94" s="1584" t="s">
        <v>745</v>
      </c>
    </row>
    <row r="95" spans="1:30" s="318" customFormat="1" ht="14.15" customHeight="1" x14ac:dyDescent="0.3">
      <c r="A95" s="324"/>
      <c r="B95" s="1206">
        <f>IF(Q95="","",studie!L737)</f>
        <v>7</v>
      </c>
      <c r="C95" s="438"/>
      <c r="D95" s="438"/>
      <c r="E95" s="438"/>
      <c r="F95" s="438"/>
      <c r="G95" s="1186"/>
      <c r="H95" s="252" t="str">
        <f>IF(Q95="","",studie!B737)</f>
        <v>Prestatie 2:</v>
      </c>
      <c r="I95" s="252"/>
      <c r="J95" s="252"/>
      <c r="K95" s="252"/>
      <c r="L95" s="252"/>
      <c r="M95" s="252"/>
      <c r="N95" s="252"/>
      <c r="O95" s="252"/>
      <c r="P95" s="266" t="str">
        <f>IF(Q95="","",studie!I737)</f>
        <v>B</v>
      </c>
      <c r="Q95" s="1173">
        <f>IF(studie!K737="","",studie!K737)</f>
        <v>2</v>
      </c>
      <c r="R95" s="252"/>
      <c r="S95" s="438"/>
      <c r="T95" s="1186"/>
      <c r="U95" s="337"/>
      <c r="W95" s="1584" t="s">
        <v>745</v>
      </c>
      <c r="X95" s="1584" t="s">
        <v>745</v>
      </c>
      <c r="Y95" s="1584" t="s">
        <v>745</v>
      </c>
      <c r="Z95" s="1584" t="s">
        <v>745</v>
      </c>
      <c r="AA95" s="1584" t="s">
        <v>745</v>
      </c>
      <c r="AB95" s="1584" t="s">
        <v>745</v>
      </c>
      <c r="AC95" s="1584" t="s">
        <v>745</v>
      </c>
      <c r="AD95" s="1584" t="s">
        <v>745</v>
      </c>
    </row>
    <row r="96" spans="1:30" s="318" customFormat="1" ht="14.15" customHeight="1" x14ac:dyDescent="0.3">
      <c r="A96" s="324"/>
      <c r="B96" s="1206">
        <f>IF(Q96="","",studie!L738)</f>
        <v>8</v>
      </c>
      <c r="C96" s="438"/>
      <c r="D96" s="438"/>
      <c r="E96" s="438"/>
      <c r="F96" s="438"/>
      <c r="G96" s="1186"/>
      <c r="H96" s="252" t="str">
        <f>IF(Q96="","",studie!B738)</f>
        <v>Prestatie 3:</v>
      </c>
      <c r="I96" s="252"/>
      <c r="J96" s="252"/>
      <c r="K96" s="252"/>
      <c r="L96" s="252"/>
      <c r="M96" s="252"/>
      <c r="N96" s="252"/>
      <c r="O96" s="252"/>
      <c r="P96" s="266" t="str">
        <f>IF(Q96="","",studie!I738)</f>
        <v>C</v>
      </c>
      <c r="Q96" s="1173">
        <f>IF(studie!K738="","",studie!K738)</f>
        <v>3</v>
      </c>
      <c r="R96" s="252"/>
      <c r="S96" s="438"/>
      <c r="T96" s="1186"/>
      <c r="U96" s="337"/>
      <c r="W96" s="1584" t="s">
        <v>745</v>
      </c>
      <c r="X96" s="1584" t="s">
        <v>745</v>
      </c>
      <c r="Y96" s="1584" t="s">
        <v>745</v>
      </c>
      <c r="Z96" s="1584" t="s">
        <v>745</v>
      </c>
      <c r="AA96" s="1584" t="s">
        <v>745</v>
      </c>
      <c r="AB96" s="1584" t="s">
        <v>745</v>
      </c>
      <c r="AC96" s="1584" t="s">
        <v>745</v>
      </c>
      <c r="AD96" s="1584" t="s">
        <v>745</v>
      </c>
    </row>
    <row r="97" spans="1:30" s="318" customFormat="1" ht="14.15" customHeight="1" x14ac:dyDescent="0.3">
      <c r="A97" s="324"/>
      <c r="B97" s="1206">
        <f>IF(Q97="","",studie!L739)</f>
        <v>9</v>
      </c>
      <c r="C97" s="438"/>
      <c r="D97" s="438"/>
      <c r="E97" s="438"/>
      <c r="F97" s="438"/>
      <c r="G97" s="1186"/>
      <c r="H97" s="252" t="str">
        <f>IF(Q97="","",studie!B739)</f>
        <v>Prestatie 4:</v>
      </c>
      <c r="I97" s="252"/>
      <c r="J97" s="252"/>
      <c r="K97" s="252"/>
      <c r="L97" s="252"/>
      <c r="M97" s="252"/>
      <c r="N97" s="252"/>
      <c r="O97" s="252"/>
      <c r="P97" s="266" t="str">
        <f>IF(Q97="","",studie!I739)</f>
        <v>D</v>
      </c>
      <c r="Q97" s="1173">
        <f>IF(studie!K739="","",studie!K739)</f>
        <v>4</v>
      </c>
      <c r="R97" s="252"/>
      <c r="S97" s="438"/>
      <c r="T97" s="1186"/>
      <c r="U97" s="337"/>
      <c r="W97" s="1584" t="s">
        <v>745</v>
      </c>
      <c r="X97" s="1584" t="s">
        <v>745</v>
      </c>
      <c r="Y97" s="1584" t="s">
        <v>745</v>
      </c>
      <c r="Z97" s="1584" t="s">
        <v>745</v>
      </c>
      <c r="AA97" s="1584" t="s">
        <v>745</v>
      </c>
      <c r="AB97" s="1584" t="s">
        <v>745</v>
      </c>
      <c r="AC97" s="1584" t="s">
        <v>745</v>
      </c>
      <c r="AD97" s="1584" t="s">
        <v>745</v>
      </c>
    </row>
    <row r="98" spans="1:30" s="318" customFormat="1" ht="14.15" customHeight="1" x14ac:dyDescent="0.3">
      <c r="A98" s="324"/>
      <c r="B98" s="1206">
        <v>10</v>
      </c>
      <c r="C98" s="438"/>
      <c r="D98" s="438"/>
      <c r="E98" s="438"/>
      <c r="F98" s="438"/>
      <c r="G98" s="1186"/>
      <c r="H98" s="252" t="str">
        <f>IF(Q98="","",studie!B734)</f>
        <v>Weerstand tegen brandstof:</v>
      </c>
      <c r="I98" s="252"/>
      <c r="J98" s="252"/>
      <c r="K98" s="252"/>
      <c r="L98" s="252"/>
      <c r="M98" s="252"/>
      <c r="N98" s="252"/>
      <c r="O98" s="252"/>
      <c r="P98" s="266" t="str">
        <f>IF(Q98="","","Ci")</f>
        <v>Ci</v>
      </c>
      <c r="Q98" s="1173" t="str">
        <f>IF(studie!K734="","","max"&amp;studie!K734)</f>
        <v>max8</v>
      </c>
      <c r="R98" s="252"/>
      <c r="S98" s="438"/>
      <c r="T98" s="1186"/>
      <c r="U98" s="337"/>
      <c r="W98" s="1581" t="s">
        <v>1142</v>
      </c>
      <c r="X98" s="1581" t="s">
        <v>1142</v>
      </c>
      <c r="Y98" s="1579" t="s">
        <v>745</v>
      </c>
      <c r="Z98" s="1581" t="s">
        <v>1142</v>
      </c>
      <c r="AA98" s="1581" t="s">
        <v>1142</v>
      </c>
      <c r="AB98" s="1581" t="s">
        <v>1142</v>
      </c>
      <c r="AC98" s="1581" t="s">
        <v>1142</v>
      </c>
      <c r="AD98" s="1581" t="s">
        <v>1142</v>
      </c>
    </row>
    <row r="99" spans="1:30" s="318" customFormat="1" ht="14.15" customHeight="1" x14ac:dyDescent="0.3">
      <c r="A99" s="324"/>
      <c r="B99" s="1206">
        <v>10</v>
      </c>
      <c r="C99" s="438"/>
      <c r="D99" s="438"/>
      <c r="E99" s="438"/>
      <c r="F99" s="438"/>
      <c r="G99" s="1186"/>
      <c r="H99" s="252" t="str">
        <f>IF(Q99="","",studie!B735)</f>
        <v>Weerstand tegen ontdooivloeistof:</v>
      </c>
      <c r="I99" s="252"/>
      <c r="J99" s="252"/>
      <c r="K99" s="252"/>
      <c r="L99" s="252"/>
      <c r="M99" s="252"/>
      <c r="N99" s="252"/>
      <c r="O99" s="252"/>
      <c r="P99" s="1188" t="str">
        <f>IF(Q99="","","b")</f>
        <v>b</v>
      </c>
      <c r="Q99" s="1173" t="str">
        <f>IF(studie!K735="","","min"&amp;studie!K735)</f>
        <v>min50</v>
      </c>
      <c r="R99" s="252"/>
      <c r="S99" s="438"/>
      <c r="T99" s="1186"/>
      <c r="U99" s="337"/>
      <c r="W99" s="1581" t="s">
        <v>1142</v>
      </c>
      <c r="X99" s="1581" t="s">
        <v>1142</v>
      </c>
      <c r="Y99" s="1579" t="s">
        <v>745</v>
      </c>
      <c r="Z99" s="1581" t="s">
        <v>1142</v>
      </c>
      <c r="AA99" s="1581" t="s">
        <v>1142</v>
      </c>
      <c r="AB99" s="1581" t="s">
        <v>1142</v>
      </c>
      <c r="AC99" s="1581" t="s">
        <v>1142</v>
      </c>
      <c r="AD99" s="1581" t="s">
        <v>1142</v>
      </c>
    </row>
    <row r="100" spans="1:30" s="318" customFormat="1" ht="14.15" customHeight="1" x14ac:dyDescent="0.3">
      <c r="A100" s="324"/>
      <c r="B100" s="1206" t="s">
        <v>1318</v>
      </c>
      <c r="C100" s="438"/>
      <c r="D100" s="438"/>
      <c r="E100" s="438"/>
      <c r="F100" s="438"/>
      <c r="G100" s="1186"/>
      <c r="H100" s="252" t="str">
        <f>IF(Q100="","","Affiniteit tussen aggregaat en bitumen:")</f>
        <v>Affiniteit tussen aggregaat en bitumen:</v>
      </c>
      <c r="I100" s="252"/>
      <c r="J100" s="252"/>
      <c r="K100" s="252"/>
      <c r="L100" s="252"/>
      <c r="M100" s="252"/>
      <c r="N100" s="252"/>
      <c r="O100" s="252"/>
      <c r="P100" s="1164" t="str">
        <f>IF(Q100="","",studie!E650)</f>
        <v>BAAmax</v>
      </c>
      <c r="Q100" s="1173" t="str">
        <f>IF(studie!F650="","","max"&amp;studie!F650)</f>
        <v>max5</v>
      </c>
      <c r="R100" s="252"/>
      <c r="S100" s="438"/>
      <c r="T100" s="1186"/>
      <c r="U100" s="337"/>
      <c r="W100" s="1579" t="s">
        <v>745</v>
      </c>
      <c r="X100" s="1579" t="s">
        <v>745</v>
      </c>
      <c r="Y100" s="1579" t="s">
        <v>745</v>
      </c>
      <c r="Z100" s="1579" t="s">
        <v>745</v>
      </c>
      <c r="AA100" s="1579" t="s">
        <v>745</v>
      </c>
      <c r="AB100" s="1579" t="s">
        <v>745</v>
      </c>
      <c r="AC100" s="1581" t="s">
        <v>1142</v>
      </c>
      <c r="AD100" s="1579" t="s">
        <v>745</v>
      </c>
    </row>
    <row r="101" spans="1:30" s="318" customFormat="1" ht="14.15" customHeight="1" x14ac:dyDescent="0.3">
      <c r="A101" s="324"/>
      <c r="B101" s="1378" t="s">
        <v>1326</v>
      </c>
      <c r="C101" s="484"/>
      <c r="D101" s="484"/>
      <c r="E101" s="484"/>
      <c r="F101" s="484"/>
      <c r="G101" s="1379"/>
      <c r="H101" s="284" t="str">
        <f>IF(studie!K725="","",studie!B725)</f>
        <v>Reactie bij brand:</v>
      </c>
      <c r="I101" s="284"/>
      <c r="J101" s="284"/>
      <c r="K101" s="284"/>
      <c r="L101" s="284"/>
      <c r="M101" s="284"/>
      <c r="N101" s="284"/>
      <c r="O101" s="1380"/>
      <c r="P101" s="1380" t="str">
        <f>IF(studie!K725="","",studie!I725)</f>
        <v>euroclass</v>
      </c>
      <c r="Q101" s="1381" t="str">
        <f>IF(studie!K725="","",studie!K725)</f>
        <v>NPD</v>
      </c>
      <c r="R101" s="284"/>
      <c r="S101" s="484"/>
      <c r="T101" s="1379"/>
      <c r="U101" s="337"/>
      <c r="W101" s="1581" t="s">
        <v>1142</v>
      </c>
      <c r="X101" s="1581" t="s">
        <v>1142</v>
      </c>
      <c r="Y101" s="1581" t="s">
        <v>1142</v>
      </c>
      <c r="Z101" s="1581" t="s">
        <v>1142</v>
      </c>
      <c r="AA101" s="1581" t="s">
        <v>1142</v>
      </c>
      <c r="AB101" s="1581" t="s">
        <v>1142</v>
      </c>
      <c r="AC101" s="1581" t="s">
        <v>1142</v>
      </c>
      <c r="AD101" s="1581" t="s">
        <v>1142</v>
      </c>
    </row>
    <row r="102" spans="1:30" ht="14.15" customHeight="1" x14ac:dyDescent="0.35">
      <c r="A102" s="926"/>
      <c r="U102" s="927"/>
      <c r="Y102" s="1156"/>
    </row>
    <row r="103" spans="1:30" ht="14.15" customHeight="1" x14ac:dyDescent="0.35">
      <c r="A103" s="926" t="s">
        <v>1459</v>
      </c>
      <c r="B103" t="s">
        <v>1460</v>
      </c>
      <c r="Q103" s="317" t="s">
        <v>1461</v>
      </c>
      <c r="U103" s="927"/>
      <c r="Y103" s="1156"/>
    </row>
    <row r="104" spans="1:30" ht="14.15" customHeight="1" x14ac:dyDescent="0.35">
      <c r="A104" s="926"/>
      <c r="U104" s="927"/>
      <c r="Y104" s="1156"/>
    </row>
    <row r="105" spans="1:30" ht="14.15" customHeight="1" x14ac:dyDescent="0.35">
      <c r="A105" s="1122"/>
      <c r="B105" t="s">
        <v>1160</v>
      </c>
      <c r="U105" s="927"/>
    </row>
    <row r="106" spans="1:30" ht="14.15" customHeight="1" x14ac:dyDescent="0.35">
      <c r="A106" s="926"/>
      <c r="B106" t="s">
        <v>1161</v>
      </c>
      <c r="U106" s="927"/>
    </row>
    <row r="107" spans="1:30" ht="14.15" customHeight="1" x14ac:dyDescent="0.35">
      <c r="A107" s="926"/>
      <c r="B107" t="s">
        <v>1162</v>
      </c>
      <c r="U107" s="927"/>
    </row>
    <row r="108" spans="1:30" ht="14.15" customHeight="1" x14ac:dyDescent="0.35">
      <c r="A108" s="926"/>
      <c r="U108" s="927"/>
    </row>
    <row r="109" spans="1:30" ht="14.15" customHeight="1" x14ac:dyDescent="0.35">
      <c r="A109" s="926"/>
      <c r="B109" t="s">
        <v>1163</v>
      </c>
      <c r="U109" s="927"/>
    </row>
    <row r="110" spans="1:30" ht="14.15" customHeight="1" x14ac:dyDescent="0.35">
      <c r="A110" s="926"/>
      <c r="B110" s="2350" t="str">
        <f>algemeen!E10</f>
        <v>Jan Baas</v>
      </c>
      <c r="C110" s="2350"/>
      <c r="D110" s="2350"/>
      <c r="E110" s="2350"/>
      <c r="F110" s="2350"/>
      <c r="G110" s="2350"/>
      <c r="H110" s="2350"/>
      <c r="I110" s="2350"/>
      <c r="J110" s="2350"/>
      <c r="K110" s="2350"/>
      <c r="L110" s="2350"/>
      <c r="M110" s="2350"/>
      <c r="N110" s="2350"/>
      <c r="O110" s="2350"/>
      <c r="P110" s="2350"/>
      <c r="Q110" s="2350"/>
      <c r="R110" s="2350"/>
      <c r="S110" s="2350"/>
      <c r="T110" s="2350"/>
      <c r="U110" s="927"/>
    </row>
    <row r="111" spans="1:30" ht="14.15" customHeight="1" x14ac:dyDescent="0.35">
      <c r="A111" s="926"/>
      <c r="B111" s="2350" t="str">
        <f>algemeen!E11</f>
        <v>gedelegeerd bestuurder</v>
      </c>
      <c r="C111" s="2350"/>
      <c r="D111" s="2350"/>
      <c r="E111" s="2350"/>
      <c r="F111" s="2350"/>
      <c r="G111" s="2350"/>
      <c r="H111" s="2350"/>
      <c r="I111" s="2350"/>
      <c r="J111" s="2350"/>
      <c r="K111" s="2350"/>
      <c r="L111" s="2350"/>
      <c r="M111" s="2350"/>
      <c r="N111" s="2350"/>
      <c r="O111" s="2350"/>
      <c r="P111" s="2350"/>
      <c r="Q111" s="2350"/>
      <c r="R111" s="2350"/>
      <c r="S111" s="2350"/>
      <c r="T111" s="2350"/>
      <c r="U111" s="927"/>
    </row>
    <row r="112" spans="1:30" ht="14.15" customHeight="1" x14ac:dyDescent="0.35">
      <c r="A112" s="926"/>
      <c r="B112" s="1712" t="s">
        <v>1153</v>
      </c>
      <c r="C112" s="2339"/>
      <c r="D112" s="2339"/>
      <c r="E112" s="2339"/>
      <c r="F112" s="2339"/>
      <c r="G112" s="2339"/>
      <c r="H112" s="2339"/>
      <c r="I112" s="2339"/>
      <c r="J112" s="2339"/>
      <c r="K112" s="2339"/>
      <c r="L112" s="2339"/>
      <c r="M112" s="2339"/>
      <c r="N112" s="2339"/>
      <c r="O112" s="1712" t="s">
        <v>1154</v>
      </c>
      <c r="P112" s="2338"/>
      <c r="Q112" s="2338"/>
      <c r="R112" s="2338"/>
      <c r="S112" s="2338"/>
      <c r="T112" s="2338"/>
      <c r="U112" s="1586"/>
    </row>
    <row r="113" spans="1:21" ht="14.15" customHeight="1" x14ac:dyDescent="0.35">
      <c r="A113" s="926"/>
      <c r="B113" s="1712"/>
      <c r="C113" s="1585"/>
      <c r="D113" s="1585"/>
      <c r="E113" s="1585"/>
      <c r="F113" s="1585"/>
      <c r="G113" s="1585"/>
      <c r="H113" s="1585"/>
      <c r="I113" s="1585"/>
      <c r="J113" s="1585"/>
      <c r="K113" s="1585"/>
      <c r="L113" s="1585"/>
      <c r="M113" s="1585"/>
      <c r="N113" s="1585"/>
      <c r="O113" s="1585"/>
      <c r="P113" s="1585"/>
      <c r="Q113" s="1585"/>
      <c r="R113" s="1585"/>
      <c r="S113" s="1585"/>
      <c r="T113" s="1585"/>
      <c r="U113" s="1586"/>
    </row>
    <row r="114" spans="1:21" ht="14.15" customHeight="1" x14ac:dyDescent="0.35">
      <c r="A114" s="926"/>
      <c r="B114" s="1712" t="s">
        <v>1148</v>
      </c>
      <c r="C114" s="1585"/>
      <c r="D114" s="1585"/>
      <c r="E114" s="1585"/>
      <c r="F114" s="1585"/>
      <c r="G114" s="1585"/>
      <c r="H114" s="1585"/>
      <c r="I114" s="1585"/>
      <c r="J114" s="1585"/>
      <c r="K114" s="1585"/>
      <c r="L114" s="1585"/>
      <c r="M114" s="1585"/>
      <c r="N114" s="1585"/>
      <c r="O114" s="1585"/>
      <c r="P114" s="1585"/>
      <c r="Q114" s="1585"/>
      <c r="R114" s="1585"/>
      <c r="S114" s="1585"/>
      <c r="T114" s="1585"/>
      <c r="U114" s="1586"/>
    </row>
    <row r="115" spans="1:21" ht="14.15" customHeight="1" x14ac:dyDescent="0.35">
      <c r="A115" s="926"/>
      <c r="B115" s="1712"/>
      <c r="C115" s="1585"/>
      <c r="D115" s="1585"/>
      <c r="E115" s="1585"/>
      <c r="F115" s="1585"/>
      <c r="G115" s="1585"/>
      <c r="H115" s="1585"/>
      <c r="I115" s="1585"/>
      <c r="J115" s="1585"/>
      <c r="K115" s="1585"/>
      <c r="L115" s="1585"/>
      <c r="M115" s="1585"/>
      <c r="N115" s="1585"/>
      <c r="O115" s="1585"/>
      <c r="P115" s="1585"/>
      <c r="Q115" s="1585"/>
      <c r="R115" s="1585"/>
      <c r="S115" s="1585"/>
      <c r="T115" s="1585"/>
      <c r="U115" s="1586"/>
    </row>
    <row r="116" spans="1:21" ht="14.15" customHeight="1" x14ac:dyDescent="0.35">
      <c r="A116" s="926"/>
      <c r="B116" s="1712"/>
      <c r="C116" s="1585"/>
      <c r="D116" s="1585"/>
      <c r="E116" s="1585"/>
      <c r="F116" s="1585"/>
      <c r="G116" s="1585"/>
      <c r="H116" s="1585"/>
      <c r="I116" s="1585"/>
      <c r="J116" s="1585"/>
      <c r="K116" s="1585"/>
      <c r="L116" s="1585"/>
      <c r="M116" s="1585"/>
      <c r="N116" s="1585"/>
      <c r="O116" s="1585"/>
      <c r="P116" s="1585"/>
      <c r="Q116" s="1585"/>
      <c r="R116" s="1585"/>
      <c r="S116" s="1585"/>
      <c r="T116" s="1585"/>
      <c r="U116" s="1586"/>
    </row>
    <row r="117" spans="1:21" ht="14.15" customHeight="1" thickBot="1" x14ac:dyDescent="0.4">
      <c r="A117" s="928"/>
      <c r="B117" s="929"/>
      <c r="C117" s="1587"/>
      <c r="D117" s="1587"/>
      <c r="E117" s="1587"/>
      <c r="F117" s="1587"/>
      <c r="G117" s="1587"/>
      <c r="H117" s="1587"/>
      <c r="I117" s="1587"/>
      <c r="J117" s="1587"/>
      <c r="K117" s="1587"/>
      <c r="L117" s="1587"/>
      <c r="M117" s="1587"/>
      <c r="N117" s="1587"/>
      <c r="O117" s="1587"/>
      <c r="P117" s="1587"/>
      <c r="Q117" s="1587"/>
      <c r="R117" s="1587"/>
      <c r="S117" s="1587"/>
      <c r="T117" s="1587"/>
      <c r="U117" s="1588"/>
    </row>
    <row r="118" spans="1:21" ht="14.15" customHeight="1" x14ac:dyDescent="0.35"/>
    <row r="119" spans="1:21" ht="14.15" customHeight="1" x14ac:dyDescent="0.35"/>
    <row r="120" spans="1:21" ht="14.15" customHeight="1" x14ac:dyDescent="0.35"/>
    <row r="121" spans="1:21" ht="14.15" customHeight="1" x14ac:dyDescent="0.35"/>
    <row r="122" spans="1:21" ht="14.15" customHeight="1" x14ac:dyDescent="0.35"/>
    <row r="123" spans="1:21" ht="14.15" customHeight="1" x14ac:dyDescent="0.35"/>
    <row r="124" spans="1:21" ht="14.15" customHeight="1" x14ac:dyDescent="0.35"/>
    <row r="125" spans="1:21" ht="14.15" customHeight="1" x14ac:dyDescent="0.35"/>
    <row r="126" spans="1:21" ht="14.15" customHeight="1" x14ac:dyDescent="0.35"/>
    <row r="127" spans="1:21" ht="14.15" customHeight="1" x14ac:dyDescent="0.35"/>
    <row r="128" spans="1:21" ht="14.15" customHeight="1" x14ac:dyDescent="0.35"/>
    <row r="129" ht="14.15" customHeight="1" x14ac:dyDescent="0.35"/>
    <row r="130" ht="14.15" customHeight="1" x14ac:dyDescent="0.35"/>
    <row r="131" ht="14.15" customHeight="1" x14ac:dyDescent="0.35"/>
    <row r="132" ht="14.15" customHeight="1" x14ac:dyDescent="0.35"/>
    <row r="133" ht="14.15" customHeight="1" x14ac:dyDescent="0.35"/>
    <row r="134" ht="14.15" customHeight="1" x14ac:dyDescent="0.35"/>
    <row r="135" ht="14.15" customHeight="1" x14ac:dyDescent="0.35"/>
    <row r="136" ht="14.15" customHeight="1" x14ac:dyDescent="0.35"/>
    <row r="137" ht="14.15" customHeight="1" x14ac:dyDescent="0.35"/>
    <row r="138" ht="14.15" customHeight="1" x14ac:dyDescent="0.35"/>
    <row r="139" ht="14.15" customHeight="1" x14ac:dyDescent="0.35"/>
    <row r="140" ht="14.15" customHeight="1" x14ac:dyDescent="0.35"/>
    <row r="141" ht="14.15" customHeight="1" x14ac:dyDescent="0.35"/>
    <row r="142" ht="14.15" customHeight="1" x14ac:dyDescent="0.35"/>
    <row r="143" ht="14.15" customHeight="1" x14ac:dyDescent="0.35"/>
    <row r="144" ht="14.15" customHeight="1" x14ac:dyDescent="0.35"/>
    <row r="145" ht="14.15" customHeight="1" x14ac:dyDescent="0.35"/>
    <row r="146" ht="14.15" customHeight="1" x14ac:dyDescent="0.35"/>
    <row r="147" ht="14.15" customHeight="1" x14ac:dyDescent="0.35"/>
    <row r="148" ht="14.15" customHeight="1" x14ac:dyDescent="0.35"/>
    <row r="149" ht="14.15" customHeight="1" x14ac:dyDescent="0.35"/>
    <row r="150" ht="14.15" customHeight="1" x14ac:dyDescent="0.35"/>
    <row r="151" ht="14.15" customHeight="1" x14ac:dyDescent="0.35"/>
    <row r="152" ht="14.15" customHeight="1" x14ac:dyDescent="0.35"/>
    <row r="153" ht="14.15" customHeight="1" x14ac:dyDescent="0.35"/>
    <row r="154" ht="14.15" customHeight="1" x14ac:dyDescent="0.35"/>
    <row r="155" ht="14.15" customHeight="1" x14ac:dyDescent="0.35"/>
    <row r="156" ht="14.15" customHeight="1" x14ac:dyDescent="0.35"/>
    <row r="157" ht="14.15" customHeight="1" x14ac:dyDescent="0.35"/>
    <row r="158" ht="14.15" customHeight="1" x14ac:dyDescent="0.35"/>
    <row r="159" ht="14.15" customHeight="1" x14ac:dyDescent="0.35"/>
    <row r="160" ht="14.15" customHeight="1" x14ac:dyDescent="0.35"/>
    <row r="161" ht="14.15" customHeight="1" x14ac:dyDescent="0.35"/>
    <row r="162" ht="14.15" customHeight="1" x14ac:dyDescent="0.35"/>
    <row r="163" ht="14.15" customHeight="1" x14ac:dyDescent="0.35"/>
    <row r="164" ht="14.15" customHeight="1" x14ac:dyDescent="0.35"/>
    <row r="165" ht="14.15" customHeight="1" x14ac:dyDescent="0.35"/>
    <row r="166" ht="14.15" customHeight="1" x14ac:dyDescent="0.35"/>
    <row r="167" ht="14.15" customHeight="1" x14ac:dyDescent="0.35"/>
    <row r="168" ht="14.15" customHeight="1" x14ac:dyDescent="0.35"/>
    <row r="169" ht="14.15" customHeight="1" x14ac:dyDescent="0.35"/>
    <row r="170" ht="14.15" customHeight="1" x14ac:dyDescent="0.35"/>
    <row r="171" ht="14.15" customHeight="1" x14ac:dyDescent="0.35"/>
    <row r="172" ht="14.15" customHeight="1" x14ac:dyDescent="0.35"/>
    <row r="173" ht="14.15" customHeight="1" x14ac:dyDescent="0.35"/>
    <row r="174" ht="14.15" customHeight="1" x14ac:dyDescent="0.35"/>
    <row r="175" ht="14.15" customHeight="1" x14ac:dyDescent="0.35"/>
    <row r="176" ht="14.15" customHeight="1" x14ac:dyDescent="0.35"/>
    <row r="177" ht="14.15" customHeight="1" x14ac:dyDescent="0.35"/>
    <row r="178" ht="14.15" customHeight="1" x14ac:dyDescent="0.35"/>
    <row r="179" ht="14.15" customHeight="1" x14ac:dyDescent="0.35"/>
    <row r="180" ht="14.15" customHeight="1" x14ac:dyDescent="0.35"/>
    <row r="181" ht="14.15" customHeight="1" x14ac:dyDescent="0.35"/>
    <row r="182" ht="14.15" customHeight="1" x14ac:dyDescent="0.35"/>
    <row r="183" ht="14.15" customHeight="1" x14ac:dyDescent="0.35"/>
    <row r="184" ht="14.15" customHeight="1" x14ac:dyDescent="0.35"/>
    <row r="185" ht="14.15" customHeight="1" x14ac:dyDescent="0.35"/>
    <row r="186" ht="14.15" customHeight="1" x14ac:dyDescent="0.35"/>
    <row r="187" ht="14.15" customHeight="1" x14ac:dyDescent="0.35"/>
    <row r="188" ht="14.15" customHeight="1" x14ac:dyDescent="0.35"/>
    <row r="189" ht="14.15" customHeight="1" x14ac:dyDescent="0.35"/>
    <row r="190" ht="14.15" customHeight="1" x14ac:dyDescent="0.35"/>
    <row r="191" ht="14.15" customHeight="1" x14ac:dyDescent="0.35"/>
    <row r="192" ht="14.15" customHeight="1" x14ac:dyDescent="0.35"/>
    <row r="193" ht="14.15" customHeight="1" x14ac:dyDescent="0.35"/>
    <row r="194" ht="14.15" customHeight="1" x14ac:dyDescent="0.35"/>
  </sheetData>
  <sheetProtection algorithmName="SHA-512" hashValue="FR5FCgiLEl4bMPAtIbcejl1m9BCBH5C90UyqpMEWiGbKBkKVTMlADPMElBTx1hZwmNOHJkDrdnqsPbzqwoq7+Q==" saltValue="mdQMLNtTS4X4w8Uqoiwv3Q==" spinCount="100000" sheet="1" objects="1" scenarios="1" autoFilter="0"/>
  <autoFilter ref="W30:AD101" xr:uid="{00000000-0009-0000-0000-000011000000}"/>
  <mergeCells count="15">
    <mergeCell ref="P112:T112"/>
    <mergeCell ref="C112:N112"/>
    <mergeCell ref="B6:T6"/>
    <mergeCell ref="B40:G40"/>
    <mergeCell ref="B31:G31"/>
    <mergeCell ref="B33:G33"/>
    <mergeCell ref="B30:G30"/>
    <mergeCell ref="H30:T30"/>
    <mergeCell ref="B110:T110"/>
    <mergeCell ref="B111:T111"/>
    <mergeCell ref="J56:K56"/>
    <mergeCell ref="J57:K57"/>
    <mergeCell ref="B9:T9"/>
    <mergeCell ref="M15:N15"/>
    <mergeCell ref="M27:N27"/>
  </mergeCells>
  <pageMargins left="0.39370078740157483" right="0.19685039370078741" top="0.39370078740157483" bottom="0.59055118110236227" header="0.31496062992125984" footer="0.31496062992125984"/>
  <pageSetup paperSize="9" orientation="portrait" r:id="rId1"/>
  <rowBreaks count="1" manualBreakCount="1">
    <brk id="40"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9389629810485"/>
  </sheetPr>
  <dimension ref="A1:M97"/>
  <sheetViews>
    <sheetView topLeftCell="A18" workbookViewId="0">
      <selection activeCell="A23" sqref="A23"/>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IF(algemeen!E62="J",algemeen!F93,"zonder centrale !")</f>
        <v>3a3</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algemeen!E21</f>
        <v>ABC nv</v>
      </c>
      <c r="E3" s="575"/>
      <c r="F3" s="575"/>
      <c r="G3" s="575"/>
      <c r="H3" s="575"/>
      <c r="I3" s="574" t="str">
        <f>algemeen!E24</f>
        <v>Gaurain-Ramecroix</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"&amp;'VN1'!I2&amp;'VN1'!J2</f>
        <v>VN:  801/64/2010/13RE-1234/0</v>
      </c>
      <c r="E5" s="571"/>
      <c r="F5" s="570"/>
      <c r="G5" s="570"/>
      <c r="H5" s="570"/>
      <c r="I5" s="570" t="str">
        <f>"TF:  "&amp;berekeningen!E7</f>
        <v>TF:  0801/1234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IF(algemeen!F99="","",algemeen!F99)</f>
        <v>40-60</v>
      </c>
      <c r="D12" s="573" t="str">
        <f>IF(algemeen!H99="","",algemeen!H99&amp;" "&amp;algemeen!F96)</f>
        <v/>
      </c>
      <c r="E12" s="1793"/>
      <c r="F12" s="1794"/>
      <c r="G12" s="1794"/>
      <c r="H12" s="1794"/>
      <c r="I12" s="1794"/>
      <c r="J12" s="1794"/>
      <c r="K12" s="1794"/>
      <c r="L12" s="1794"/>
      <c r="M12" s="1795"/>
    </row>
    <row r="13" spans="1:13" s="208" customFormat="1" ht="17.149999999999999" customHeight="1" x14ac:dyDescent="0.35">
      <c r="A13" s="250"/>
      <c r="C13" s="591" t="str">
        <f>IF(algemeen!F100="","",algemeen!F100)</f>
        <v>22-40</v>
      </c>
      <c r="D13" s="594" t="str">
        <f>IF(algemeen!H100="","",algemeen!H100&amp;" "&amp;algemeen!F96)</f>
        <v/>
      </c>
      <c r="E13" s="1787"/>
      <c r="F13" s="1788"/>
      <c r="G13" s="1788"/>
      <c r="H13" s="1788"/>
      <c r="I13" s="1788"/>
      <c r="J13" s="1788"/>
      <c r="K13" s="1788"/>
      <c r="L13" s="1788"/>
      <c r="M13" s="1789"/>
    </row>
    <row r="14" spans="1:13" s="208" customFormat="1" ht="17.149999999999999" customHeight="1" x14ac:dyDescent="0.35">
      <c r="A14" s="250"/>
      <c r="C14" s="591" t="str">
        <f>IF(algemeen!F101="","",algemeen!F101)</f>
        <v>16-22</v>
      </c>
      <c r="D14" s="594" t="str">
        <f>IF(algemeen!H101="","",algemeen!H101&amp;" "&amp;algemeen!F96)</f>
        <v/>
      </c>
      <c r="E14" s="1787"/>
      <c r="F14" s="1788"/>
      <c r="G14" s="1788"/>
      <c r="H14" s="1788"/>
      <c r="I14" s="1788"/>
      <c r="J14" s="1788"/>
      <c r="K14" s="1788"/>
      <c r="L14" s="1788"/>
      <c r="M14" s="1789"/>
    </row>
    <row r="15" spans="1:13" s="208" customFormat="1" ht="17.149999999999999" customHeight="1" x14ac:dyDescent="0.35">
      <c r="A15" s="250"/>
      <c r="C15" s="591" t="str">
        <f>IF(algemeen!F102="","",algemeen!F102)</f>
        <v>8-16</v>
      </c>
      <c r="D15" s="594" t="str">
        <f>IF(algemeen!H102="","",algemeen!H102&amp;" "&amp;algemeen!F96)</f>
        <v/>
      </c>
      <c r="E15" s="1787"/>
      <c r="F15" s="1788"/>
      <c r="G15" s="1788"/>
      <c r="H15" s="1788"/>
      <c r="I15" s="1788"/>
      <c r="J15" s="1788"/>
      <c r="K15" s="1788"/>
      <c r="L15" s="1788"/>
      <c r="M15" s="1789"/>
    </row>
    <row r="16" spans="1:13" s="208" customFormat="1" ht="17.149999999999999" customHeight="1" x14ac:dyDescent="0.35">
      <c r="A16" s="250"/>
      <c r="C16" s="591" t="str">
        <f>IF(algemeen!F103="","",algemeen!F103)</f>
        <v>3-8</v>
      </c>
      <c r="D16" s="594" t="str">
        <f>IF(algemeen!H103="","",algemeen!H103&amp;" "&amp;algemeen!F96)</f>
        <v/>
      </c>
      <c r="E16" s="1787"/>
      <c r="F16" s="1788"/>
      <c r="G16" s="1788"/>
      <c r="H16" s="1788"/>
      <c r="I16" s="1788"/>
      <c r="J16" s="1788"/>
      <c r="K16" s="1788"/>
      <c r="L16" s="1788"/>
      <c r="M16" s="1789"/>
    </row>
    <row r="17" spans="1:13" s="208" customFormat="1" ht="17.149999999999999" customHeight="1" x14ac:dyDescent="0.35">
      <c r="A17" s="589"/>
      <c r="B17" s="569"/>
      <c r="C17" s="592" t="str">
        <f>IF(algemeen!F104="","",algemeen!F104)</f>
        <v>0-3</v>
      </c>
      <c r="D17" s="599" t="str">
        <f>IF(algemeen!H104="","",algemeen!H104&amp;" "&amp;algemeen!F96)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IF(algemeen!F110="J","rechtstreekse terugvoer",IF(algemeen!H109="","",algemeen!H109&amp;" "&amp;algemeen!F96))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IF(algemeen!H111="","",algemeen!H111&amp;" "&amp;algemeen!F96)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IF(algemeen!H112="","",algemeen!H112&amp;" "&amp;algemeen!F96)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IF(algemeen!H113="","",algemeen!H113&amp;" "&amp;algemeen!F96)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IF(algemeen!H114="","",algemeen!H114&amp;" "&amp;algemeen!F96)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IF(algemeen!H106="","",algemeen!H106&amp;" "&amp;algemeen!F96)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IF(algemeen!H107="","",algemeen!H107&amp;" "&amp;algemeen!F96)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IF(algemeen!H108="","",algemeen!H108&amp;" "&amp;algemeen!F96)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IF(algemeen!H115="","",algemeen!H115&amp;" "&amp;algemeen!F96)</f>
        <v>0 kg</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IF(algemeen!F118="","",algemeen!F118)</f>
        <v>1 zakje van 2 kg op 3000 kg</v>
      </c>
      <c r="F41" s="1834"/>
      <c r="G41" s="1834"/>
      <c r="H41" s="1835"/>
      <c r="J41" s="544" t="s">
        <v>314</v>
      </c>
      <c r="K41" s="545"/>
      <c r="L41" s="545"/>
      <c r="M41" s="596" t="str">
        <f>IF(algemeen!F125="","n.v.t.",algemeen!F125)</f>
        <v>max. 270</v>
      </c>
    </row>
    <row r="42" spans="1:13" s="208" customFormat="1" ht="10.9" customHeight="1" x14ac:dyDescent="0.35">
      <c r="A42" s="251" t="str">
        <f>IF(algemeen!B119="","",algemeen!B119)</f>
        <v>Trinidad Epurée Z0/8</v>
      </c>
      <c r="B42" s="252"/>
      <c r="C42" s="252"/>
      <c r="D42" s="252"/>
      <c r="E42" s="1836" t="str">
        <f>IF(algemeen!F119="","",algemeen!F119)</f>
        <v>1,2 %</v>
      </c>
      <c r="F42" s="1837"/>
      <c r="G42" s="1837"/>
      <c r="H42" s="1838"/>
      <c r="J42" s="251" t="s">
        <v>676</v>
      </c>
      <c r="K42" s="252"/>
      <c r="L42" s="252"/>
      <c r="M42" s="597" t="str">
        <f>IF(algemeen!F126="","n.v.t.",algemeen!F126)</f>
        <v>110-150</v>
      </c>
    </row>
    <row r="43" spans="1:13" s="208" customFormat="1" ht="10.9" customHeight="1" x14ac:dyDescent="0.35">
      <c r="A43" s="251" t="str">
        <f>IF(algemeen!B120="","",algemeen!B120)</f>
        <v>Afdruipremmer</v>
      </c>
      <c r="B43" s="252"/>
      <c r="C43" s="252"/>
      <c r="D43" s="252"/>
      <c r="E43" s="1836" t="str">
        <f>IF(algemeen!F120="","",algemeen!F120)</f>
        <v>0,05 %</v>
      </c>
      <c r="F43" s="1837"/>
      <c r="G43" s="1837"/>
      <c r="H43" s="1838"/>
      <c r="J43" s="251" t="s">
        <v>677</v>
      </c>
      <c r="K43" s="252"/>
      <c r="L43" s="252"/>
      <c r="M43" s="597" t="str">
        <f>IF(algemeen!F127="","n.v.t.",algemeen!F127)</f>
        <v>n.v.t.</v>
      </c>
    </row>
    <row r="44" spans="1:13" s="208" customFormat="1" ht="10.9" customHeight="1" x14ac:dyDescent="0.35">
      <c r="A44" s="251" t="str">
        <f>IF(algemeen!B121="","",algemeen!B121)</f>
        <v/>
      </c>
      <c r="B44" s="252"/>
      <c r="C44" s="252"/>
      <c r="D44" s="252"/>
      <c r="E44" s="1836" t="str">
        <f>IF(algemeen!F121="","",algemeen!F121)</f>
        <v/>
      </c>
      <c r="F44" s="1837"/>
      <c r="G44" s="1837"/>
      <c r="H44" s="1838"/>
      <c r="J44" s="251" t="s">
        <v>592</v>
      </c>
      <c r="K44" s="252"/>
      <c r="L44" s="252"/>
      <c r="M44" s="597" t="str">
        <f>IF(algemeen!F128="","n.v.t.",algemeen!F128)</f>
        <v>155-175</v>
      </c>
    </row>
    <row r="45" spans="1:13" s="208" customFormat="1" ht="10.9" customHeight="1" thickBot="1" x14ac:dyDescent="0.4">
      <c r="A45" s="547" t="str">
        <f>IF(algemeen!B122="","",algemeen!B122)</f>
        <v/>
      </c>
      <c r="B45" s="262"/>
      <c r="C45" s="262"/>
      <c r="D45" s="262"/>
      <c r="E45" s="1839" t="str">
        <f>IF(algemeen!F122="","",algemeen!F122)</f>
        <v/>
      </c>
      <c r="F45" s="1840"/>
      <c r="G45" s="1840"/>
      <c r="H45" s="1841"/>
      <c r="J45" s="547" t="s">
        <v>678</v>
      </c>
      <c r="K45" s="262"/>
      <c r="L45" s="262"/>
      <c r="M45" s="598" t="str">
        <f>IF(algemeen!F129="","n.v.t.",algemeen!F129)</f>
        <v>145-185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IF(algemeen!F132="","",algemeen!F132&amp;" s "&amp;algemeen!B132)</f>
        <v>11 s Voormengtijd</v>
      </c>
      <c r="B48" s="604"/>
      <c r="C48" s="604" t="str">
        <f>IF(algemeen!F133="","",algemeen!F133&amp;" s "&amp;algemeen!B133)</f>
        <v>12 s Droge mengtijd</v>
      </c>
      <c r="D48" s="604"/>
      <c r="E48" s="604"/>
      <c r="F48" s="604" t="str">
        <f>IF(algemeen!F134="","",algemeen!F134&amp;" s "&amp;algemeen!B134)</f>
        <v>13 s Namengtijd</v>
      </c>
      <c r="G48" s="604"/>
      <c r="H48" s="604" t="str">
        <f>IF(algemeen!F135="","",algemeen!F135&amp;" s "&amp;algemeen!B135)</f>
        <v>14 s Natte mengtijd</v>
      </c>
      <c r="I48" s="604"/>
      <c r="J48" s="604"/>
      <c r="K48" s="604" t="str">
        <f>IF(algemeen!F136="","",algemeen!F136&amp;" s "&amp;algemeen!B136)</f>
        <v>15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i0ajIylGn5WKbeYK2EXjUef3VssPjLdhbNqhHGi0ZOq7Q/0CdemXU04gaLJcmNhLdJVhisis4799N1PVxTAl9Q==" saltValue="I5YJWeAQLe7hJrT5W0opU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IF(algemeen!F62="J",algemeen!I93,"zonder centrale !")</f>
        <v>4b4</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algemeen!H21</f>
        <v>DEF nv</v>
      </c>
      <c r="E3" s="575"/>
      <c r="F3" s="575"/>
      <c r="G3" s="575"/>
      <c r="H3" s="575"/>
      <c r="I3" s="574" t="str">
        <f>algemeen!H24</f>
        <v>Antwerpen</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"&amp;'VN1'!I3&amp;'VN1'!J3</f>
        <v>VN:  802/64/2010/13RE-1234/0</v>
      </c>
      <c r="E5" s="571"/>
      <c r="F5" s="570"/>
      <c r="G5" s="570"/>
      <c r="H5" s="570"/>
      <c r="I5" s="570" t="str">
        <f>"TF:  "&amp;berekeningen!H7</f>
        <v>TF:  0802/1234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IF(algemeen!I99="","",algemeen!I99)</f>
        <v/>
      </c>
      <c r="D12" s="573" t="str">
        <f>IF(algemeen!K99="","",algemeen!K99&amp;" "&amp;algemeen!I96)</f>
        <v/>
      </c>
      <c r="E12" s="1793"/>
      <c r="F12" s="1794"/>
      <c r="G12" s="1794"/>
      <c r="H12" s="1794"/>
      <c r="I12" s="1794"/>
      <c r="J12" s="1794"/>
      <c r="K12" s="1794"/>
      <c r="L12" s="1794"/>
      <c r="M12" s="1795"/>
    </row>
    <row r="13" spans="1:13" s="208" customFormat="1" ht="17.149999999999999" customHeight="1" x14ac:dyDescent="0.35">
      <c r="A13" s="250"/>
      <c r="C13" s="591" t="str">
        <f>IF(algemeen!I100="","",algemeen!I100)</f>
        <v/>
      </c>
      <c r="D13" s="594" t="str">
        <f>IF(algemeen!K100="","",algemeen!K100&amp;" "&amp;algemeen!I96)</f>
        <v/>
      </c>
      <c r="E13" s="1787"/>
      <c r="F13" s="1788"/>
      <c r="G13" s="1788"/>
      <c r="H13" s="1788"/>
      <c r="I13" s="1788"/>
      <c r="J13" s="1788"/>
      <c r="K13" s="1788"/>
      <c r="L13" s="1788"/>
      <c r="M13" s="1789"/>
    </row>
    <row r="14" spans="1:13" s="208" customFormat="1" ht="17.149999999999999" customHeight="1" x14ac:dyDescent="0.35">
      <c r="A14" s="250"/>
      <c r="C14" s="591" t="str">
        <f>IF(algemeen!I101="","",algemeen!I101)</f>
        <v/>
      </c>
      <c r="D14" s="594" t="str">
        <f>IF(algemeen!K101="","",algemeen!K101&amp;" "&amp;algemeen!I96)</f>
        <v/>
      </c>
      <c r="E14" s="1787"/>
      <c r="F14" s="1788"/>
      <c r="G14" s="1788"/>
      <c r="H14" s="1788"/>
      <c r="I14" s="1788"/>
      <c r="J14" s="1788"/>
      <c r="K14" s="1788"/>
      <c r="L14" s="1788"/>
      <c r="M14" s="1789"/>
    </row>
    <row r="15" spans="1:13" s="208" customFormat="1" ht="17.149999999999999" customHeight="1" x14ac:dyDescent="0.35">
      <c r="A15" s="250"/>
      <c r="C15" s="591" t="str">
        <f>IF(algemeen!I102="","",algemeen!I102)</f>
        <v/>
      </c>
      <c r="D15" s="594" t="str">
        <f>IF(algemeen!K102="","",algemeen!K102&amp;" "&amp;algemeen!I96)</f>
        <v/>
      </c>
      <c r="E15" s="1787"/>
      <c r="F15" s="1788"/>
      <c r="G15" s="1788"/>
      <c r="H15" s="1788"/>
      <c r="I15" s="1788"/>
      <c r="J15" s="1788"/>
      <c r="K15" s="1788"/>
      <c r="L15" s="1788"/>
      <c r="M15" s="1789"/>
    </row>
    <row r="16" spans="1:13" s="208" customFormat="1" ht="17.149999999999999" customHeight="1" x14ac:dyDescent="0.35">
      <c r="A16" s="250"/>
      <c r="C16" s="591" t="str">
        <f>IF(algemeen!I103="","",algemeen!I103)</f>
        <v/>
      </c>
      <c r="D16" s="594" t="str">
        <f>IF(algemeen!K103="","",algemeen!K103&amp;" "&amp;algemeen!I96)</f>
        <v/>
      </c>
      <c r="E16" s="1787"/>
      <c r="F16" s="1788"/>
      <c r="G16" s="1788"/>
      <c r="H16" s="1788"/>
      <c r="I16" s="1788"/>
      <c r="J16" s="1788"/>
      <c r="K16" s="1788"/>
      <c r="L16" s="1788"/>
      <c r="M16" s="1789"/>
    </row>
    <row r="17" spans="1:13" s="208" customFormat="1" ht="17.149999999999999" customHeight="1" x14ac:dyDescent="0.35">
      <c r="A17" s="589"/>
      <c r="B17" s="569"/>
      <c r="C17" s="592" t="str">
        <f>IF(algemeen!I104="","",algemeen!I104)</f>
        <v/>
      </c>
      <c r="D17" s="599" t="str">
        <f>IF(algemeen!K104="","",algemeen!K104&amp;" "&amp;algemeen!I96)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IF(algemeen!I110="J","rechtstreekse terugvoer",IF(algemeen!K109="","",algemeen!K109&amp;" "&amp;algemeen!I96))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IF(algemeen!K111="","",algemeen!K111&amp;" "&amp;algemeen!I96)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IF(algemeen!K112="","",algemeen!K112&amp;" "&amp;algemeen!I96)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IF(algemeen!K113="","",algemeen!K113&amp;" "&amp;algemeen!I96)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IF(algemeen!K114="","",algemeen!K114&amp;" "&amp;algemeen!I96)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IF(algemeen!K106="","",algemeen!K106&amp;" "&amp;algemeen!I96)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IF(algemeen!K107="","",algemeen!K107&amp;" "&amp;algemeen!I96)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IF(algemeen!K108="","",algemeen!K108&amp;" "&amp;algemeen!I96)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IF(algemeen!K115="","",algemeen!K115&amp;" "&amp;algemeen!I96)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IF(algemeen!I118="","",algemeen!I118)</f>
        <v>2 zakjes van 3 kg op 4000 kg</v>
      </c>
      <c r="F41" s="1834"/>
      <c r="G41" s="1834"/>
      <c r="H41" s="1835"/>
      <c r="J41" s="544" t="s">
        <v>314</v>
      </c>
      <c r="K41" s="545"/>
      <c r="L41" s="545"/>
      <c r="M41" s="596" t="str">
        <f>IF(algemeen!I125="","n.v.t.",algemeen!I125)</f>
        <v>max. 270</v>
      </c>
    </row>
    <row r="42" spans="1:13" s="208" customFormat="1" ht="10.9" customHeight="1" x14ac:dyDescent="0.35">
      <c r="A42" s="251" t="str">
        <f>IF(algemeen!B119="","",algemeen!B119)</f>
        <v>Trinidad Epurée Z0/8</v>
      </c>
      <c r="B42" s="252"/>
      <c r="C42" s="252"/>
      <c r="D42" s="252"/>
      <c r="E42" s="1836" t="str">
        <f>IF(algemeen!I119="","",algemeen!I119)</f>
        <v/>
      </c>
      <c r="F42" s="1837"/>
      <c r="G42" s="1837"/>
      <c r="H42" s="1838"/>
      <c r="J42" s="251" t="s">
        <v>676</v>
      </c>
      <c r="K42" s="252"/>
      <c r="L42" s="252"/>
      <c r="M42" s="597" t="str">
        <f>IF(algemeen!I126="","n.v.t.",algemeen!I126)</f>
        <v>115-155</v>
      </c>
    </row>
    <row r="43" spans="1:13" s="208" customFormat="1" ht="10.9" customHeight="1" x14ac:dyDescent="0.35">
      <c r="A43" s="251" t="str">
        <f>IF(algemeen!B120="","",algemeen!B120)</f>
        <v>Afdruipremmer</v>
      </c>
      <c r="B43" s="252"/>
      <c r="C43" s="252"/>
      <c r="D43" s="252"/>
      <c r="E43" s="1836" t="str">
        <f>IF(algemeen!I120="","",algemeen!I120)</f>
        <v/>
      </c>
      <c r="F43" s="1837"/>
      <c r="G43" s="1837"/>
      <c r="H43" s="1838"/>
      <c r="J43" s="251" t="s">
        <v>677</v>
      </c>
      <c r="K43" s="252"/>
      <c r="L43" s="252"/>
      <c r="M43" s="597" t="str">
        <f>IF(algemeen!I127="","n.v.t.",algemeen!I127)</f>
        <v>n.v.t.</v>
      </c>
    </row>
    <row r="44" spans="1:13" s="208" customFormat="1" ht="10.9" customHeight="1" x14ac:dyDescent="0.35">
      <c r="A44" s="251" t="str">
        <f>IF(algemeen!B121="","",algemeen!B121)</f>
        <v/>
      </c>
      <c r="B44" s="252"/>
      <c r="C44" s="252"/>
      <c r="D44" s="252"/>
      <c r="E44" s="1836" t="str">
        <f>IF(algemeen!I121="","",algemeen!I121)</f>
        <v/>
      </c>
      <c r="F44" s="1837"/>
      <c r="G44" s="1837"/>
      <c r="H44" s="1838"/>
      <c r="J44" s="251" t="s">
        <v>592</v>
      </c>
      <c r="K44" s="252"/>
      <c r="L44" s="252"/>
      <c r="M44" s="597" t="str">
        <f>IF(algemeen!I128="","n.v.t.",algemeen!I128)</f>
        <v>160-180</v>
      </c>
    </row>
    <row r="45" spans="1:13" s="208" customFormat="1" ht="10.9" customHeight="1" thickBot="1" x14ac:dyDescent="0.4">
      <c r="A45" s="547" t="str">
        <f>IF(algemeen!B122="","",algemeen!B122)</f>
        <v/>
      </c>
      <c r="B45" s="262"/>
      <c r="C45" s="262"/>
      <c r="D45" s="262"/>
      <c r="E45" s="1839" t="str">
        <f>IF(algemeen!I122="","",algemeen!I122)</f>
        <v/>
      </c>
      <c r="F45" s="1840"/>
      <c r="G45" s="1840"/>
      <c r="H45" s="1841"/>
      <c r="J45" s="547" t="s">
        <v>678</v>
      </c>
      <c r="K45" s="262"/>
      <c r="L45" s="262"/>
      <c r="M45" s="598" t="str">
        <f>IF(algemeen!I129="","n.v.t.",algemeen!I129)</f>
        <v>150-190</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IF(algemeen!I132="","",algemeen!I132&amp;" s "&amp;algemeen!B132)</f>
        <v>16 s Voormengtijd</v>
      </c>
      <c r="B48" s="604"/>
      <c r="C48" s="604" t="str">
        <f>IF(algemeen!I133="","",algemeen!I133&amp;" s "&amp;algemeen!B133)</f>
        <v>17 s Droge mengtijd</v>
      </c>
      <c r="D48" s="604"/>
      <c r="E48" s="604"/>
      <c r="F48" s="604" t="str">
        <f>IF(algemeen!I134="","",algemeen!I134&amp;" s "&amp;algemeen!B134)</f>
        <v>18 s Namengtijd</v>
      </c>
      <c r="G48" s="604"/>
      <c r="H48" s="604" t="str">
        <f>IF(algemeen!I135="","",algemeen!I135&amp;" s "&amp;algemeen!B135)</f>
        <v>19 s Natte mengtijd</v>
      </c>
      <c r="I48" s="604"/>
      <c r="J48" s="604"/>
      <c r="K48" s="604" t="str">
        <f>IF(algemeen!I136="","",algemeen!I136&amp;" s "&amp;algemeen!B136)</f>
        <v>20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mUVzspGrYTQr2edKKMwP5VXSRDMAAEBUTp7CCsAPfrgwu4L3KzrmARPjE8CUXMkCq6auaZMKsZk+GCMacBSWjg==" saltValue="J8Zrp9IVdT9R3xwm+zZVyg=="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IF(algemeen!G62="J",algemeen!L93,"zonder centrale !")</f>
        <v>4CX50PAVT49</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algemeen!K21</f>
        <v>GHI nv</v>
      </c>
      <c r="E3" s="575"/>
      <c r="F3" s="575"/>
      <c r="G3" s="575"/>
      <c r="H3" s="575"/>
      <c r="I3" s="574" t="str">
        <f>algemeen!K24</f>
        <v>Hasselt</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"&amp;'VN1'!I4&amp;'VN1'!J4</f>
        <v>VN:  8031/64/2010/13RE-1234/0</v>
      </c>
      <c r="E5" s="571"/>
      <c r="F5" s="570"/>
      <c r="G5" s="570"/>
      <c r="H5" s="570"/>
      <c r="I5" s="570" t="str">
        <f>"TF:  "&amp;berekeningen!K7</f>
        <v>TF:  8031/1234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IF(algemeen!L99="","",algemeen!L99)</f>
        <v/>
      </c>
      <c r="D12" s="573" t="str">
        <f>IF(algemeen!N99="","",algemeen!N99&amp;" "&amp;algemeen!L96)</f>
        <v/>
      </c>
      <c r="E12" s="1793"/>
      <c r="F12" s="1794"/>
      <c r="G12" s="1794"/>
      <c r="H12" s="1794"/>
      <c r="I12" s="1794"/>
      <c r="J12" s="1794"/>
      <c r="K12" s="1794"/>
      <c r="L12" s="1794"/>
      <c r="M12" s="1795"/>
    </row>
    <row r="13" spans="1:13" s="208" customFormat="1" ht="17.149999999999999" customHeight="1" x14ac:dyDescent="0.35">
      <c r="A13" s="250"/>
      <c r="C13" s="591" t="str">
        <f>IF(algemeen!L100="","",algemeen!L100)</f>
        <v/>
      </c>
      <c r="D13" s="594" t="str">
        <f>IF(algemeen!N100="","",algemeen!N100&amp;" "&amp;algemeen!L96)</f>
        <v/>
      </c>
      <c r="E13" s="1787"/>
      <c r="F13" s="1788"/>
      <c r="G13" s="1788"/>
      <c r="H13" s="1788"/>
      <c r="I13" s="1788"/>
      <c r="J13" s="1788"/>
      <c r="K13" s="1788"/>
      <c r="L13" s="1788"/>
      <c r="M13" s="1789"/>
    </row>
    <row r="14" spans="1:13" s="208" customFormat="1" ht="17.149999999999999" customHeight="1" x14ac:dyDescent="0.35">
      <c r="A14" s="250"/>
      <c r="C14" s="591" t="str">
        <f>IF(algemeen!L101="","",algemeen!L101)</f>
        <v/>
      </c>
      <c r="D14" s="594" t="str">
        <f>IF(algemeen!N101="","",algemeen!N101&amp;" "&amp;algemeen!L96)</f>
        <v/>
      </c>
      <c r="E14" s="1787"/>
      <c r="F14" s="1788"/>
      <c r="G14" s="1788"/>
      <c r="H14" s="1788"/>
      <c r="I14" s="1788"/>
      <c r="J14" s="1788"/>
      <c r="K14" s="1788"/>
      <c r="L14" s="1788"/>
      <c r="M14" s="1789"/>
    </row>
    <row r="15" spans="1:13" s="208" customFormat="1" ht="17.149999999999999" customHeight="1" x14ac:dyDescent="0.35">
      <c r="A15" s="250"/>
      <c r="C15" s="591" t="str">
        <f>IF(algemeen!L102="","",algemeen!L102)</f>
        <v/>
      </c>
      <c r="D15" s="594" t="str">
        <f>IF(algemeen!N102="","",algemeen!N102&amp;" "&amp;algemeen!L96)</f>
        <v/>
      </c>
      <c r="E15" s="1787"/>
      <c r="F15" s="1788"/>
      <c r="G15" s="1788"/>
      <c r="H15" s="1788"/>
      <c r="I15" s="1788"/>
      <c r="J15" s="1788"/>
      <c r="K15" s="1788"/>
      <c r="L15" s="1788"/>
      <c r="M15" s="1789"/>
    </row>
    <row r="16" spans="1:13" s="208" customFormat="1" ht="17.149999999999999" customHeight="1" x14ac:dyDescent="0.35">
      <c r="A16" s="250"/>
      <c r="C16" s="591" t="str">
        <f>IF(algemeen!L103="","",algemeen!L103)</f>
        <v/>
      </c>
      <c r="D16" s="594" t="str">
        <f>IF(algemeen!N103="","",algemeen!N103&amp;" "&amp;algemeen!L96)</f>
        <v/>
      </c>
      <c r="E16" s="1787"/>
      <c r="F16" s="1788"/>
      <c r="G16" s="1788"/>
      <c r="H16" s="1788"/>
      <c r="I16" s="1788"/>
      <c r="J16" s="1788"/>
      <c r="K16" s="1788"/>
      <c r="L16" s="1788"/>
      <c r="M16" s="1789"/>
    </row>
    <row r="17" spans="1:13" s="208" customFormat="1" ht="17.149999999999999" customHeight="1" x14ac:dyDescent="0.35">
      <c r="A17" s="589"/>
      <c r="B17" s="569"/>
      <c r="C17" s="592" t="str">
        <f>IF(algemeen!L104="","",algemeen!L104)</f>
        <v/>
      </c>
      <c r="D17" s="599" t="str">
        <f>IF(algemeen!N104="","",algemeen!N104&amp;" "&amp;algemeen!L96)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IF(algemeen!L110="J","rechtstreekse terugvoer",IF(algemeen!N109="","",algemeen!N109&amp;" "&amp;algemeen!L96))</f>
        <v>rechtstreekse terugvoer</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IF(algemeen!N111="","",algemeen!N111&amp;" "&amp;algemeen!L96)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IF(algemeen!N112="","",algemeen!N112&amp;" "&amp;algemeen!L96)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IF(algemeen!N113="","",algemeen!N113&amp;" "&amp;algemeen!L96)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IF(algemeen!N114="","",algemeen!N114&amp;" "&amp;algemeen!L96)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IF(algemeen!N106="","",algemeen!N106&amp;" "&amp;algemeen!L96)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IF(algemeen!N107="","",algemeen!N107&amp;" "&amp;algemeen!L96)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IF(algemeen!N108="","",algemeen!N108&amp;" "&amp;algemeen!L96)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IF(algemeen!N115="","",algemeen!N115&amp;" "&amp;algemeen!L96)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IF(algemeen!L118="","",algemeen!L118)</f>
        <v>3 zakjes van 4 kg op 5000 kg</v>
      </c>
      <c r="F41" s="1834"/>
      <c r="G41" s="1834"/>
      <c r="H41" s="1835"/>
      <c r="J41" s="544" t="s">
        <v>314</v>
      </c>
      <c r="K41" s="545"/>
      <c r="L41" s="545"/>
      <c r="M41" s="596" t="str">
        <f>IF(algemeen!L125="","n.v.t.",algemeen!L125)</f>
        <v>max. 270</v>
      </c>
    </row>
    <row r="42" spans="1:13" s="208" customFormat="1" ht="10.9" customHeight="1" x14ac:dyDescent="0.35">
      <c r="A42" s="251" t="str">
        <f>IF(algemeen!B119="","",algemeen!B119)</f>
        <v>Trinidad Epurée Z0/8</v>
      </c>
      <c r="B42" s="252"/>
      <c r="C42" s="252"/>
      <c r="D42" s="252"/>
      <c r="E42" s="1836" t="str">
        <f>IF(algemeen!L119="","",algemeen!L119)</f>
        <v/>
      </c>
      <c r="F42" s="1837"/>
      <c r="G42" s="1837"/>
      <c r="H42" s="1838"/>
      <c r="J42" s="251" t="s">
        <v>676</v>
      </c>
      <c r="K42" s="252"/>
      <c r="L42" s="252"/>
      <c r="M42" s="597" t="str">
        <f>IF(algemeen!L126="","n.v.t.",algemeen!L126)</f>
        <v>120-160</v>
      </c>
    </row>
    <row r="43" spans="1:13" s="208" customFormat="1" ht="10.9" customHeight="1" x14ac:dyDescent="0.35">
      <c r="A43" s="251" t="str">
        <f>IF(algemeen!B120="","",algemeen!B120)</f>
        <v>Afdruipremmer</v>
      </c>
      <c r="B43" s="252"/>
      <c r="C43" s="252"/>
      <c r="D43" s="252"/>
      <c r="E43" s="1836" t="str">
        <f>IF(algemeen!L120="","",algemeen!L120)</f>
        <v/>
      </c>
      <c r="F43" s="1837"/>
      <c r="G43" s="1837"/>
      <c r="H43" s="1838"/>
      <c r="J43" s="251" t="s">
        <v>677</v>
      </c>
      <c r="K43" s="252"/>
      <c r="L43" s="252"/>
      <c r="M43" s="597" t="str">
        <f>IF(algemeen!L127="","n.v.t.",algemeen!L127)</f>
        <v>95-105</v>
      </c>
    </row>
    <row r="44" spans="1:13" s="208" customFormat="1" ht="10.9" customHeight="1" x14ac:dyDescent="0.35">
      <c r="A44" s="251" t="str">
        <f>IF(algemeen!B121="","",algemeen!B121)</f>
        <v/>
      </c>
      <c r="B44" s="252"/>
      <c r="C44" s="252"/>
      <c r="D44" s="252"/>
      <c r="E44" s="1836" t="str">
        <f>IF(algemeen!L121="","",algemeen!L121)</f>
        <v/>
      </c>
      <c r="F44" s="1837"/>
      <c r="G44" s="1837"/>
      <c r="H44" s="1838"/>
      <c r="J44" s="251" t="s">
        <v>592</v>
      </c>
      <c r="K44" s="252"/>
      <c r="L44" s="252"/>
      <c r="M44" s="597" t="str">
        <f>IF(algemeen!L128="","n.v.t.",algemeen!L128)</f>
        <v>165-185</v>
      </c>
    </row>
    <row r="45" spans="1:13" s="208" customFormat="1" ht="10.9" customHeight="1" thickBot="1" x14ac:dyDescent="0.4">
      <c r="A45" s="547" t="str">
        <f>IF(algemeen!B122="","",algemeen!B122)</f>
        <v/>
      </c>
      <c r="B45" s="262"/>
      <c r="C45" s="262"/>
      <c r="D45" s="262"/>
      <c r="E45" s="1839" t="str">
        <f>IF(algemeen!L122="","",algemeen!L122)</f>
        <v/>
      </c>
      <c r="F45" s="1840"/>
      <c r="G45" s="1840"/>
      <c r="H45" s="1841"/>
      <c r="J45" s="547" t="s">
        <v>678</v>
      </c>
      <c r="K45" s="262"/>
      <c r="L45" s="262"/>
      <c r="M45" s="598" t="str">
        <f>IF(algemeen!L129="","n.v.t.",algemeen!L129)</f>
        <v>155-195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IF(algemeen!L132="","",algemeen!L132&amp;" s "&amp;algemeen!B132)</f>
        <v>21 s Voormengtijd</v>
      </c>
      <c r="B48" s="604"/>
      <c r="C48" s="604" t="str">
        <f>IF(algemeen!L133="","",algemeen!L133&amp;" s "&amp;algemeen!B133)</f>
        <v>22 s Droge mengtijd</v>
      </c>
      <c r="D48" s="604"/>
      <c r="E48" s="604"/>
      <c r="F48" s="604" t="str">
        <f>IF(algemeen!L134="","",algemeen!L134&amp;" s "&amp;algemeen!B134)</f>
        <v>23 s Namengtijd</v>
      </c>
      <c r="G48" s="604"/>
      <c r="H48" s="604" t="str">
        <f>IF(algemeen!L135="","",algemeen!L135&amp;" s "&amp;algemeen!B135)</f>
        <v>24 s Natte mengtijd</v>
      </c>
      <c r="I48" s="604"/>
      <c r="J48" s="604"/>
      <c r="K48" s="604" t="str">
        <f>IF(algemeen!L136="","",algemeen!L136&amp;" s "&amp;algemeen!B136)</f>
        <v>25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ZJd3fGU5k5AGMQkxETrPhqthDxxGLIpLgzyahg/AmLlHVKDO2C5S66SM92TQZIL2ZCKQNeZczzh5pIVjRVA63A==" saltValue="VeKGNrMfU7Z1nEWyUPkfq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algemeen!E21</f>
        <v>ABC nv</v>
      </c>
      <c r="F1" s="924"/>
      <c r="G1" s="924"/>
      <c r="H1" s="924"/>
      <c r="I1" s="924"/>
      <c r="J1" s="925"/>
      <c r="L1" s="1349" t="s">
        <v>783</v>
      </c>
      <c r="M1" s="563"/>
      <c r="N1" s="563"/>
      <c r="O1" s="561"/>
      <c r="P1" s="561"/>
      <c r="Q1" s="561"/>
      <c r="R1" s="561"/>
      <c r="S1" s="561"/>
      <c r="T1" s="561"/>
      <c r="U1" s="2352" t="str">
        <f>IF(algemeen!E62="J",algemeen!F93,"zonder centrale !")</f>
        <v>3a3</v>
      </c>
      <c r="V1" s="2352"/>
      <c r="W1" s="2352"/>
      <c r="X1" s="2352"/>
      <c r="Y1" s="2352"/>
      <c r="Z1" s="564" t="s">
        <v>784</v>
      </c>
      <c r="AA1" s="1921"/>
      <c r="AB1" s="1920"/>
    </row>
    <row r="2" spans="1:28" s="208" customFormat="1" ht="13" customHeight="1" thickTop="1" x14ac:dyDescent="0.35">
      <c r="A2" s="250"/>
      <c r="E2" s="938" t="str">
        <f>algemeen!E24</f>
        <v>Gaurain-Ramecroix</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4" t="str">
        <f>IF(algemeen!B140="","",algemeen!B140)</f>
        <v/>
      </c>
      <c r="M4" s="2355"/>
      <c r="N4" s="2355"/>
      <c r="O4" s="2355"/>
      <c r="P4" s="2355"/>
      <c r="Q4" s="2355"/>
      <c r="R4" s="2355"/>
      <c r="S4" s="2355"/>
      <c r="T4" s="2355"/>
      <c r="U4" s="2355"/>
      <c r="V4" s="2355"/>
      <c r="W4" s="2355"/>
      <c r="X4" s="2355"/>
      <c r="Y4" s="2355"/>
      <c r="Z4" s="2355"/>
      <c r="AA4" s="2355"/>
      <c r="AB4" s="2356"/>
    </row>
    <row r="5" spans="1:28" s="208" customFormat="1" ht="13" customHeight="1" x14ac:dyDescent="0.35">
      <c r="A5" s="250"/>
      <c r="E5" s="779" t="str">
        <f>"VN:  "&amp;'VN1'!I2&amp;'VN1'!J2</f>
        <v>VN:  801/64/2010/13RE-1234/0</v>
      </c>
      <c r="F5" s="779"/>
      <c r="G5" s="779"/>
      <c r="H5" s="779"/>
      <c r="J5" s="608"/>
      <c r="L5" s="2357" t="str">
        <f>IF(algemeen!B141="","",algemeen!B141)</f>
        <v/>
      </c>
      <c r="M5" s="2320"/>
      <c r="N5" s="2320"/>
      <c r="O5" s="2320"/>
      <c r="P5" s="2320"/>
      <c r="Q5" s="2320"/>
      <c r="R5" s="2320"/>
      <c r="S5" s="2320"/>
      <c r="T5" s="2320"/>
      <c r="U5" s="2320"/>
      <c r="V5" s="2320"/>
      <c r="W5" s="2320"/>
      <c r="X5" s="2320"/>
      <c r="Y5" s="2320"/>
      <c r="Z5" s="2320"/>
      <c r="AA5" s="2320"/>
      <c r="AB5" s="2358"/>
    </row>
    <row r="6" spans="1:28" s="208" customFormat="1" ht="13" customHeight="1" thickBot="1" x14ac:dyDescent="0.4">
      <c r="A6" s="255"/>
      <c r="B6" s="256"/>
      <c r="C6" s="256"/>
      <c r="D6" s="256"/>
      <c r="E6" s="1351" t="str">
        <f>"TF:  "&amp;berekeningen!E7</f>
        <v>TF:  0801/1234</v>
      </c>
      <c r="F6" s="1351"/>
      <c r="G6" s="1351"/>
      <c r="H6" s="1351"/>
      <c r="I6" s="256"/>
      <c r="J6" s="609"/>
      <c r="L6" s="2359" t="str">
        <f>IF(algemeen!B142="","",algemeen!B142)</f>
        <v/>
      </c>
      <c r="M6" s="2360"/>
      <c r="N6" s="2360"/>
      <c r="O6" s="2360"/>
      <c r="P6" s="2360"/>
      <c r="Q6" s="2360"/>
      <c r="R6" s="2360"/>
      <c r="S6" s="2360"/>
      <c r="T6" s="2360"/>
      <c r="U6" s="2360"/>
      <c r="V6" s="2360"/>
      <c r="W6" s="2360"/>
      <c r="X6" s="2360"/>
      <c r="Y6" s="2360"/>
      <c r="Z6" s="2360"/>
      <c r="AA6" s="2360"/>
      <c r="AB6" s="2361"/>
    </row>
    <row r="7" spans="1:28" s="208" customFormat="1" ht="13" customHeight="1" x14ac:dyDescent="0.35"/>
    <row r="8" spans="1:28" s="208" customFormat="1" ht="13" customHeight="1" thickBot="1" x14ac:dyDescent="0.4">
      <c r="A8" s="2362" t="s">
        <v>792</v>
      </c>
      <c r="B8" s="2362"/>
      <c r="C8" s="2362"/>
      <c r="D8" s="2362"/>
      <c r="E8" s="2362"/>
      <c r="F8" s="2362"/>
      <c r="G8" s="2362"/>
      <c r="H8" s="2362"/>
      <c r="I8" s="2362"/>
      <c r="J8" s="2362"/>
      <c r="K8" s="2362"/>
      <c r="L8" s="2362"/>
      <c r="M8" s="2362"/>
      <c r="O8" s="593" t="s">
        <v>793</v>
      </c>
      <c r="P8" s="593"/>
      <c r="Q8" s="593"/>
      <c r="R8" s="593"/>
      <c r="S8" s="593"/>
      <c r="T8" s="593"/>
      <c r="U8" s="1347"/>
      <c r="V8" s="2353" t="s">
        <v>802</v>
      </c>
      <c r="W8" s="2353"/>
      <c r="X8" s="2353"/>
      <c r="Y8" s="2353"/>
      <c r="Z8" s="2353"/>
      <c r="AA8" s="2353"/>
      <c r="AB8" s="2353"/>
    </row>
    <row r="9" spans="1:28" s="208" customFormat="1" ht="13" customHeight="1" x14ac:dyDescent="0.35">
      <c r="A9" s="544" t="str">
        <f>IF(algemeen!B118="","",algemeen!B118)</f>
        <v>rode kleurstof</v>
      </c>
      <c r="B9" s="545"/>
      <c r="C9" s="545"/>
      <c r="D9" s="545"/>
      <c r="E9" s="545"/>
      <c r="F9" s="545"/>
      <c r="G9" s="1833" t="str">
        <f>IF(algemeen!F118="","",algemeen!F118)</f>
        <v>1 zakje van 2 kg op 3000 kg</v>
      </c>
      <c r="H9" s="1834"/>
      <c r="I9" s="1834"/>
      <c r="J9" s="1834"/>
      <c r="K9" s="1834"/>
      <c r="L9" s="1834"/>
      <c r="M9" s="1835"/>
      <c r="O9" s="544" t="s">
        <v>314</v>
      </c>
      <c r="P9" s="1353"/>
      <c r="Q9" s="545"/>
      <c r="R9" s="1353"/>
      <c r="S9" s="545"/>
      <c r="T9" s="596" t="str">
        <f>IF(algemeen!F125="","n.v.t.",algemeen!F125)</f>
        <v>max. 270</v>
      </c>
      <c r="U9" s="1348"/>
      <c r="V9" s="544" t="str">
        <f>IF(algemeen!$F132="","",algemeen!$B132&amp;":")</f>
        <v>Voormengtijd:</v>
      </c>
      <c r="W9" s="1354"/>
      <c r="X9" s="1354"/>
      <c r="Y9" s="1355"/>
      <c r="Z9" s="1354"/>
      <c r="AA9" s="545" t="str">
        <f>IF(algemeen!$F132="","",algemeen!$F132&amp;" s ")</f>
        <v xml:space="preserve">11 s </v>
      </c>
      <c r="AB9" s="546"/>
    </row>
    <row r="10" spans="1:28" s="208" customFormat="1" ht="13" customHeight="1" x14ac:dyDescent="0.35">
      <c r="A10" s="251" t="str">
        <f>IF(algemeen!B119="","",algemeen!B119)</f>
        <v>Trinidad Epurée Z0/8</v>
      </c>
      <c r="B10" s="252"/>
      <c r="C10" s="252"/>
      <c r="D10" s="252"/>
      <c r="E10" s="252"/>
      <c r="F10" s="252"/>
      <c r="G10" s="1836" t="str">
        <f>IF(algemeen!F119="","",algemeen!F119)</f>
        <v>1,2 %</v>
      </c>
      <c r="H10" s="1837"/>
      <c r="I10" s="1837"/>
      <c r="J10" s="1837"/>
      <c r="K10" s="1837"/>
      <c r="L10" s="1837"/>
      <c r="M10" s="1838"/>
      <c r="O10" s="251" t="s">
        <v>676</v>
      </c>
      <c r="P10" s="252"/>
      <c r="Q10" s="252"/>
      <c r="R10" s="252"/>
      <c r="S10" s="252"/>
      <c r="T10" s="597" t="str">
        <f>IF(algemeen!F126="","n.v.t.",algemeen!F126)</f>
        <v>110-150</v>
      </c>
      <c r="U10" s="311"/>
      <c r="V10" s="251" t="str">
        <f>IF(algemeen!$F133="","",algemeen!$B133&amp;":")</f>
        <v>Droge mengtijd:</v>
      </c>
      <c r="W10" s="396"/>
      <c r="X10" s="396"/>
      <c r="Y10" s="396"/>
      <c r="Z10" s="396"/>
      <c r="AA10" s="252" t="str">
        <f>IF(algemeen!$F133="","",algemeen!$F133&amp;" s ")</f>
        <v xml:space="preserve">12 s </v>
      </c>
      <c r="AB10" s="261"/>
    </row>
    <row r="11" spans="1:28" s="208" customFormat="1" ht="13" customHeight="1" x14ac:dyDescent="0.35">
      <c r="A11" s="251" t="str">
        <f>IF(algemeen!B120="","",algemeen!B120)</f>
        <v>Afdruipremmer</v>
      </c>
      <c r="B11" s="252"/>
      <c r="C11" s="252"/>
      <c r="D11" s="252"/>
      <c r="E11" s="252"/>
      <c r="F11" s="252"/>
      <c r="G11" s="1836" t="str">
        <f>IF(algemeen!F120="","",algemeen!F120)</f>
        <v>0,05 %</v>
      </c>
      <c r="H11" s="1837"/>
      <c r="I11" s="1837"/>
      <c r="J11" s="1837"/>
      <c r="K11" s="1837"/>
      <c r="L11" s="1837"/>
      <c r="M11" s="1838"/>
      <c r="O11" s="251" t="s">
        <v>677</v>
      </c>
      <c r="P11" s="252"/>
      <c r="Q11" s="252"/>
      <c r="R11" s="252"/>
      <c r="S11" s="252"/>
      <c r="T11" s="597" t="str">
        <f>IF(algemeen!F127="","n.v.t.",algemeen!F127)</f>
        <v>n.v.t.</v>
      </c>
      <c r="V11" s="251" t="str">
        <f>IF(algemeen!$F134="","",algemeen!$B134&amp;":")</f>
        <v>Namengtijd:</v>
      </c>
      <c r="W11" s="252"/>
      <c r="X11" s="252"/>
      <c r="Y11" s="252"/>
      <c r="Z11" s="252"/>
      <c r="AA11" s="252" t="str">
        <f>IF(algemeen!$F134="","",algemeen!$F134&amp;" s ")</f>
        <v xml:space="preserve">13 s </v>
      </c>
      <c r="AB11" s="261"/>
    </row>
    <row r="12" spans="1:28" s="208" customFormat="1" ht="13" customHeight="1" x14ac:dyDescent="0.35">
      <c r="A12" s="251" t="str">
        <f>IF(algemeen!B121="","",algemeen!B121)</f>
        <v/>
      </c>
      <c r="B12" s="252"/>
      <c r="C12" s="252"/>
      <c r="D12" s="252"/>
      <c r="E12" s="252"/>
      <c r="F12" s="252"/>
      <c r="G12" s="1836" t="str">
        <f>IF(algemeen!F121="","",algemeen!F121)</f>
        <v/>
      </c>
      <c r="H12" s="1837"/>
      <c r="I12" s="1837"/>
      <c r="J12" s="1837"/>
      <c r="K12" s="1837"/>
      <c r="L12" s="1837"/>
      <c r="M12" s="1838"/>
      <c r="O12" s="251" t="s">
        <v>592</v>
      </c>
      <c r="P12" s="252"/>
      <c r="Q12" s="252"/>
      <c r="R12" s="252"/>
      <c r="S12" s="252"/>
      <c r="T12" s="597" t="str">
        <f>IF(algemeen!F128="","n.v.t.",algemeen!F128)</f>
        <v>155-175</v>
      </c>
      <c r="V12" s="251" t="str">
        <f>IF(algemeen!$F135="","",algemeen!$B135&amp;":")</f>
        <v>Natte mengtijd:</v>
      </c>
      <c r="W12" s="252"/>
      <c r="X12" s="252"/>
      <c r="Y12" s="252"/>
      <c r="Z12" s="252"/>
      <c r="AA12" s="252" t="str">
        <f>IF(algemeen!$F135="","",algemeen!$F135&amp;" s ")</f>
        <v xml:space="preserve">14 s </v>
      </c>
      <c r="AB12" s="261"/>
    </row>
    <row r="13" spans="1:28" s="208" customFormat="1" ht="13" customHeight="1" thickBot="1" x14ac:dyDescent="0.4">
      <c r="A13" s="547" t="str">
        <f>IF(algemeen!B122="","",algemeen!B122)</f>
        <v/>
      </c>
      <c r="B13" s="262"/>
      <c r="C13" s="262"/>
      <c r="D13" s="262"/>
      <c r="E13" s="262"/>
      <c r="F13" s="262"/>
      <c r="G13" s="1839" t="str">
        <f>IF(algemeen!F122="","",algemeen!F122)</f>
        <v/>
      </c>
      <c r="H13" s="1840"/>
      <c r="I13" s="1840"/>
      <c r="J13" s="1840"/>
      <c r="K13" s="1840"/>
      <c r="L13" s="1840"/>
      <c r="M13" s="1841"/>
      <c r="O13" s="547" t="s">
        <v>678</v>
      </c>
      <c r="P13" s="262"/>
      <c r="Q13" s="262"/>
      <c r="R13" s="262"/>
      <c r="S13" s="262"/>
      <c r="T13" s="598" t="str">
        <f>IF(algemeen!F129="","n.v.t.",algemeen!F129)</f>
        <v>145-185</v>
      </c>
      <c r="V13" s="547" t="str">
        <f>IF(algemeen!$F136="","",algemeen!$B136&amp;":")</f>
        <v>Totale mengtijd:</v>
      </c>
      <c r="W13" s="262"/>
      <c r="X13" s="262"/>
      <c r="Y13" s="262"/>
      <c r="Z13" s="262"/>
      <c r="AA13" s="262" t="str">
        <f>IF(algemeen!$F136="","",algemeen!$F136&amp;" s ")</f>
        <v xml:space="preserve">15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3" t="str">
        <f>"Instelwaarden voor de asfaltmenginstallatie ("&amp;algemeen!F96&amp;")"</f>
        <v>Instelwaarden voor de asfaltmenginstallatie (kg)</v>
      </c>
      <c r="B15" s="2353"/>
      <c r="C15" s="2353"/>
      <c r="D15" s="2353"/>
      <c r="E15" s="2353"/>
      <c r="F15" s="2353"/>
      <c r="G15" s="2353"/>
      <c r="H15" s="2353"/>
      <c r="I15" s="2353"/>
      <c r="J15" s="2353"/>
      <c r="K15" s="2353"/>
      <c r="L15" s="2353"/>
      <c r="M15" s="2353"/>
      <c r="N15" s="2353"/>
      <c r="O15" s="2353"/>
      <c r="P15" s="2353"/>
      <c r="Q15" s="2353"/>
      <c r="R15" s="2353"/>
      <c r="S15" s="2353"/>
      <c r="T15" s="2353"/>
      <c r="U15" s="2353"/>
      <c r="V15" s="2353"/>
      <c r="W15" s="2353"/>
      <c r="X15" s="2353"/>
      <c r="Y15" s="2353"/>
      <c r="Z15" s="2353"/>
      <c r="AA15" s="2353"/>
      <c r="AB15" s="2353"/>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IF(algemeen!F99="","",algemeen!F99)</f>
        <v>40-60</v>
      </c>
      <c r="P16" s="1357" t="str">
        <f>IF(algemeen!F100="","",algemeen!F100)</f>
        <v>22-40</v>
      </c>
      <c r="Q16" s="1357" t="str">
        <f>IF(algemeen!F101="","",algemeen!F101)</f>
        <v>16-22</v>
      </c>
      <c r="R16" s="1357" t="str">
        <f>IF(algemeen!F102="","",algemeen!F102)</f>
        <v>8-16</v>
      </c>
      <c r="S16" s="1357" t="str">
        <f>IF(algemeen!F103="","",algemeen!F103)</f>
        <v>3-8</v>
      </c>
      <c r="T16" s="1360" t="str">
        <f>IF(algemeen!F104="","",algemeen!F104)</f>
        <v>0-3</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IF(algemeen!H99="","",algemeen!H99)</f>
        <v/>
      </c>
      <c r="P17" s="1364" t="str">
        <f>IF(algemeen!H100="","",algemeen!H100)</f>
        <v/>
      </c>
      <c r="Q17" s="1364" t="str">
        <f>IF(algemeen!H101="","",algemeen!H101)</f>
        <v/>
      </c>
      <c r="R17" s="1364" t="str">
        <f>IF(algemeen!H102="","",algemeen!H102)</f>
        <v/>
      </c>
      <c r="S17" s="1364" t="str">
        <f>IF(algemeen!H103="","",algemeen!H103)</f>
        <v/>
      </c>
      <c r="T17" s="1365" t="str">
        <f>IF(algemeen!H104="","",algemeen!H104)</f>
        <v/>
      </c>
      <c r="U17" s="1366" t="str">
        <f>IF(algemeen!F110="J","rechtstreekse terugvoer",IF(algemeen!H109="","",algemeen!H109))</f>
        <v/>
      </c>
      <c r="V17" s="1364" t="str">
        <f>IF(algemeen!H111="","",algemeen!H111)</f>
        <v/>
      </c>
      <c r="W17" s="1367" t="str">
        <f>IF(algemeen!H112="","",algemeen!H112)</f>
        <v/>
      </c>
      <c r="X17" s="1368" t="str">
        <f>IF(algemeen!H113="","",algemeen!H113)</f>
        <v/>
      </c>
      <c r="Y17" s="1365" t="str">
        <f>IF(algemeen!H114="","",algemeen!H114)</f>
        <v/>
      </c>
      <c r="Z17" s="1366" t="str">
        <f>IF(algemeen!H106="","",algemeen!H106)</f>
        <v/>
      </c>
      <c r="AA17" s="1364" t="str">
        <f>IF(algemeen!H107="","",algemeen!H107)</f>
        <v/>
      </c>
      <c r="AB17" s="1369" t="str">
        <f>IF(algemeen!H108="","",algemeen!H108)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aF8wsTh72Dzn5dIQ5q1o+ge3G4W0JV4vafab0uNVxi2Kd1ULwdNVB9H3kJWHtCW9+c/+EfgAE+9ldkBvgc6BxA==" saltValue="W35nntLb4vCgs92ypmVW/w=="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algemeen!H21</f>
        <v>DEF nv</v>
      </c>
      <c r="F1" s="924"/>
      <c r="G1" s="924"/>
      <c r="H1" s="924"/>
      <c r="I1" s="924"/>
      <c r="J1" s="925"/>
      <c r="L1" s="1349" t="s">
        <v>783</v>
      </c>
      <c r="M1" s="563"/>
      <c r="N1" s="563"/>
      <c r="O1" s="561"/>
      <c r="P1" s="561"/>
      <c r="Q1" s="561"/>
      <c r="R1" s="561"/>
      <c r="S1" s="561"/>
      <c r="T1" s="561"/>
      <c r="U1" s="2352" t="str">
        <f>IF(algemeen!F62="J",algemeen!I93,"zonder centrale !")</f>
        <v>4b4</v>
      </c>
      <c r="V1" s="2352"/>
      <c r="W1" s="2352"/>
      <c r="X1" s="2352"/>
      <c r="Y1" s="2352"/>
      <c r="Z1" s="564" t="s">
        <v>784</v>
      </c>
      <c r="AA1" s="1921"/>
      <c r="AB1" s="1920"/>
    </row>
    <row r="2" spans="1:28" s="208" customFormat="1" ht="13" customHeight="1" thickTop="1" x14ac:dyDescent="0.35">
      <c r="A2" s="250"/>
      <c r="E2" s="938" t="str">
        <f>algemeen!H24</f>
        <v>Antwerpen</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4" t="str">
        <f>IF(algemeen!B140="","",algemeen!B140)</f>
        <v/>
      </c>
      <c r="M4" s="2355"/>
      <c r="N4" s="2355"/>
      <c r="O4" s="2355"/>
      <c r="P4" s="2355"/>
      <c r="Q4" s="2355"/>
      <c r="R4" s="2355"/>
      <c r="S4" s="2355"/>
      <c r="T4" s="2355"/>
      <c r="U4" s="2355"/>
      <c r="V4" s="2355"/>
      <c r="W4" s="2355"/>
      <c r="X4" s="2355"/>
      <c r="Y4" s="2355"/>
      <c r="Z4" s="2355"/>
      <c r="AA4" s="2355"/>
      <c r="AB4" s="2356"/>
    </row>
    <row r="5" spans="1:28" s="208" customFormat="1" ht="13" customHeight="1" x14ac:dyDescent="0.35">
      <c r="A5" s="250"/>
      <c r="E5" s="779" t="str">
        <f>"VN:  "&amp;'VN1'!I3&amp;'VN1'!J3</f>
        <v>VN:  802/64/2010/13RE-1234/0</v>
      </c>
      <c r="F5" s="779"/>
      <c r="G5" s="779"/>
      <c r="H5" s="779"/>
      <c r="J5" s="608"/>
      <c r="L5" s="2357" t="str">
        <f>IF(algemeen!B141="","",algemeen!B141)</f>
        <v/>
      </c>
      <c r="M5" s="2320"/>
      <c r="N5" s="2320"/>
      <c r="O5" s="2320"/>
      <c r="P5" s="2320"/>
      <c r="Q5" s="2320"/>
      <c r="R5" s="2320"/>
      <c r="S5" s="2320"/>
      <c r="T5" s="2320"/>
      <c r="U5" s="2320"/>
      <c r="V5" s="2320"/>
      <c r="W5" s="2320"/>
      <c r="X5" s="2320"/>
      <c r="Y5" s="2320"/>
      <c r="Z5" s="2320"/>
      <c r="AA5" s="2320"/>
      <c r="AB5" s="2358"/>
    </row>
    <row r="6" spans="1:28" s="208" customFormat="1" ht="13" customHeight="1" thickBot="1" x14ac:dyDescent="0.4">
      <c r="A6" s="255"/>
      <c r="B6" s="256"/>
      <c r="C6" s="256"/>
      <c r="D6" s="256"/>
      <c r="E6" s="1351" t="str">
        <f>"TF:  "&amp;berekeningen!H7</f>
        <v>TF:  0802/1234</v>
      </c>
      <c r="F6" s="1351"/>
      <c r="G6" s="1351"/>
      <c r="H6" s="1351"/>
      <c r="I6" s="256"/>
      <c r="J6" s="609"/>
      <c r="L6" s="2359" t="str">
        <f>IF(algemeen!B142="","",algemeen!B142)</f>
        <v/>
      </c>
      <c r="M6" s="2360"/>
      <c r="N6" s="2360"/>
      <c r="O6" s="2360"/>
      <c r="P6" s="2360"/>
      <c r="Q6" s="2360"/>
      <c r="R6" s="2360"/>
      <c r="S6" s="2360"/>
      <c r="T6" s="2360"/>
      <c r="U6" s="2360"/>
      <c r="V6" s="2360"/>
      <c r="W6" s="2360"/>
      <c r="X6" s="2360"/>
      <c r="Y6" s="2360"/>
      <c r="Z6" s="2360"/>
      <c r="AA6" s="2360"/>
      <c r="AB6" s="2361"/>
    </row>
    <row r="7" spans="1:28" s="208" customFormat="1" ht="13" customHeight="1" x14ac:dyDescent="0.35"/>
    <row r="8" spans="1:28" s="208" customFormat="1" ht="13" customHeight="1" thickBot="1" x14ac:dyDescent="0.4">
      <c r="A8" s="2362" t="s">
        <v>792</v>
      </c>
      <c r="B8" s="2362"/>
      <c r="C8" s="2362"/>
      <c r="D8" s="2362"/>
      <c r="E8" s="2362"/>
      <c r="F8" s="2362"/>
      <c r="G8" s="2362"/>
      <c r="H8" s="2362"/>
      <c r="I8" s="2362"/>
      <c r="J8" s="2362"/>
      <c r="K8" s="2362"/>
      <c r="L8" s="2362"/>
      <c r="M8" s="2362"/>
      <c r="O8" s="593" t="s">
        <v>793</v>
      </c>
      <c r="P8" s="593"/>
      <c r="Q8" s="593"/>
      <c r="R8" s="593"/>
      <c r="S8" s="593"/>
      <c r="T8" s="593"/>
      <c r="U8" s="1347"/>
      <c r="V8" s="2353" t="s">
        <v>802</v>
      </c>
      <c r="W8" s="2353"/>
      <c r="X8" s="2353"/>
      <c r="Y8" s="2353"/>
      <c r="Z8" s="2353"/>
      <c r="AA8" s="2353"/>
      <c r="AB8" s="2353"/>
    </row>
    <row r="9" spans="1:28" s="208" customFormat="1" ht="13" customHeight="1" x14ac:dyDescent="0.35">
      <c r="A9" s="544" t="str">
        <f>IF(algemeen!B118="","",algemeen!B118)</f>
        <v>rode kleurstof</v>
      </c>
      <c r="B9" s="545"/>
      <c r="C9" s="545"/>
      <c r="D9" s="545"/>
      <c r="E9" s="545"/>
      <c r="F9" s="545"/>
      <c r="G9" s="1833" t="str">
        <f>IF(algemeen!I118="","",algemeen!I118)</f>
        <v>2 zakjes van 3 kg op 4000 kg</v>
      </c>
      <c r="H9" s="1834"/>
      <c r="I9" s="1834"/>
      <c r="J9" s="1834"/>
      <c r="K9" s="1834"/>
      <c r="L9" s="1834"/>
      <c r="M9" s="1835"/>
      <c r="O9" s="544" t="s">
        <v>314</v>
      </c>
      <c r="P9" s="1353"/>
      <c r="Q9" s="545"/>
      <c r="R9" s="1353"/>
      <c r="S9" s="545"/>
      <c r="T9" s="596" t="str">
        <f>IF(algemeen!I125="","n.v.t.",algemeen!I125)</f>
        <v>max. 270</v>
      </c>
      <c r="U9" s="1348"/>
      <c r="V9" s="544" t="str">
        <f>IF(algemeen!$I132="","",algemeen!$B132&amp;":")</f>
        <v>Voormengtijd:</v>
      </c>
      <c r="W9" s="1354"/>
      <c r="X9" s="1354"/>
      <c r="Y9" s="1355"/>
      <c r="Z9" s="1354"/>
      <c r="AA9" s="545" t="str">
        <f>IF(algemeen!$I132="","",algemeen!$I132&amp;" s ")</f>
        <v xml:space="preserve">16 s </v>
      </c>
      <c r="AB9" s="546"/>
    </row>
    <row r="10" spans="1:28" s="208" customFormat="1" ht="13" customHeight="1" x14ac:dyDescent="0.35">
      <c r="A10" s="251" t="str">
        <f>IF(algemeen!B119="","",algemeen!B119)</f>
        <v>Trinidad Epurée Z0/8</v>
      </c>
      <c r="B10" s="252"/>
      <c r="C10" s="252"/>
      <c r="D10" s="252"/>
      <c r="E10" s="252"/>
      <c r="F10" s="252"/>
      <c r="G10" s="1836" t="str">
        <f>IF(algemeen!I119="","",algemeen!I119)</f>
        <v/>
      </c>
      <c r="H10" s="1837"/>
      <c r="I10" s="1837"/>
      <c r="J10" s="1837"/>
      <c r="K10" s="1837"/>
      <c r="L10" s="1837"/>
      <c r="M10" s="1838"/>
      <c r="O10" s="251" t="s">
        <v>676</v>
      </c>
      <c r="P10" s="252"/>
      <c r="Q10" s="252"/>
      <c r="R10" s="252"/>
      <c r="S10" s="252"/>
      <c r="T10" s="597" t="str">
        <f>IF(algemeen!I126="","n.v.t.",algemeen!I126)</f>
        <v>115-155</v>
      </c>
      <c r="U10" s="311"/>
      <c r="V10" s="251" t="str">
        <f>IF(algemeen!$I133="","",algemeen!$B133&amp;":")</f>
        <v>Droge mengtijd:</v>
      </c>
      <c r="W10" s="396"/>
      <c r="X10" s="396"/>
      <c r="Y10" s="396"/>
      <c r="Z10" s="396"/>
      <c r="AA10" s="252" t="str">
        <f>IF(algemeen!$I133="","",algemeen!$I133&amp;" s ")</f>
        <v xml:space="preserve">17 s </v>
      </c>
      <c r="AB10" s="261"/>
    </row>
    <row r="11" spans="1:28" s="208" customFormat="1" ht="13" customHeight="1" x14ac:dyDescent="0.35">
      <c r="A11" s="251" t="str">
        <f>IF(algemeen!B120="","",algemeen!B120)</f>
        <v>Afdruipremmer</v>
      </c>
      <c r="B11" s="252"/>
      <c r="C11" s="252"/>
      <c r="D11" s="252"/>
      <c r="E11" s="252"/>
      <c r="F11" s="252"/>
      <c r="G11" s="1836" t="str">
        <f>IF(algemeen!I120="","",algemeen!I120)</f>
        <v/>
      </c>
      <c r="H11" s="1837"/>
      <c r="I11" s="1837"/>
      <c r="J11" s="1837"/>
      <c r="K11" s="1837"/>
      <c r="L11" s="1837"/>
      <c r="M11" s="1838"/>
      <c r="O11" s="251" t="s">
        <v>677</v>
      </c>
      <c r="P11" s="252"/>
      <c r="Q11" s="252"/>
      <c r="R11" s="252"/>
      <c r="S11" s="252"/>
      <c r="T11" s="597" t="str">
        <f>IF(algemeen!I127="","n.v.t.",algemeen!I127)</f>
        <v>n.v.t.</v>
      </c>
      <c r="V11" s="251" t="str">
        <f>IF(algemeen!$I134="","",algemeen!$B134&amp;":")</f>
        <v>Namengtijd:</v>
      </c>
      <c r="W11" s="252"/>
      <c r="X11" s="252"/>
      <c r="Y11" s="252"/>
      <c r="Z11" s="252"/>
      <c r="AA11" s="252" t="str">
        <f>IF(algemeen!$I134="","",algemeen!$I134&amp;" s ")</f>
        <v xml:space="preserve">18 s </v>
      </c>
      <c r="AB11" s="261"/>
    </row>
    <row r="12" spans="1:28" s="208" customFormat="1" ht="13" customHeight="1" x14ac:dyDescent="0.35">
      <c r="A12" s="251" t="str">
        <f>IF(algemeen!B121="","",algemeen!B121)</f>
        <v/>
      </c>
      <c r="B12" s="252"/>
      <c r="C12" s="252"/>
      <c r="D12" s="252"/>
      <c r="E12" s="252"/>
      <c r="F12" s="252"/>
      <c r="G12" s="1836" t="str">
        <f>IF(algemeen!I121="","",algemeen!I121)</f>
        <v/>
      </c>
      <c r="H12" s="1837"/>
      <c r="I12" s="1837"/>
      <c r="J12" s="1837"/>
      <c r="K12" s="1837"/>
      <c r="L12" s="1837"/>
      <c r="M12" s="1838"/>
      <c r="O12" s="251" t="s">
        <v>592</v>
      </c>
      <c r="P12" s="252"/>
      <c r="Q12" s="252"/>
      <c r="R12" s="252"/>
      <c r="S12" s="252"/>
      <c r="T12" s="597" t="str">
        <f>IF(algemeen!I128="","n.v.t.",algemeen!I128)</f>
        <v>160-180</v>
      </c>
      <c r="V12" s="251" t="str">
        <f>IF(algemeen!$I135="","",algemeen!$B135&amp;":")</f>
        <v>Natte mengtijd:</v>
      </c>
      <c r="W12" s="252"/>
      <c r="X12" s="252"/>
      <c r="Y12" s="252"/>
      <c r="Z12" s="252"/>
      <c r="AA12" s="252" t="str">
        <f>IF(algemeen!$I135="","",algemeen!$I135&amp;" s ")</f>
        <v xml:space="preserve">19 s </v>
      </c>
      <c r="AB12" s="261"/>
    </row>
    <row r="13" spans="1:28" s="208" customFormat="1" ht="13" customHeight="1" thickBot="1" x14ac:dyDescent="0.4">
      <c r="A13" s="547" t="str">
        <f>IF(algemeen!B122="","",algemeen!B122)</f>
        <v/>
      </c>
      <c r="B13" s="262"/>
      <c r="C13" s="262"/>
      <c r="D13" s="262"/>
      <c r="E13" s="262"/>
      <c r="F13" s="262"/>
      <c r="G13" s="1839" t="str">
        <f>IF(algemeen!I122="","",algemeen!I122)</f>
        <v/>
      </c>
      <c r="H13" s="1840"/>
      <c r="I13" s="1840"/>
      <c r="J13" s="1840"/>
      <c r="K13" s="1840"/>
      <c r="L13" s="1840"/>
      <c r="M13" s="1841"/>
      <c r="O13" s="547" t="s">
        <v>678</v>
      </c>
      <c r="P13" s="262"/>
      <c r="Q13" s="262"/>
      <c r="R13" s="262"/>
      <c r="S13" s="262"/>
      <c r="T13" s="598" t="str">
        <f>IF(algemeen!I129="","n.v.t.",algemeen!I129)</f>
        <v>150-190</v>
      </c>
      <c r="V13" s="547" t="str">
        <f>IF(algemeen!$I136="","",algemeen!$B136&amp;":")</f>
        <v>Totale mengtijd:</v>
      </c>
      <c r="W13" s="262"/>
      <c r="X13" s="262"/>
      <c r="Y13" s="262"/>
      <c r="Z13" s="262"/>
      <c r="AA13" s="262" t="str">
        <f>IF(algemeen!$I136="","",algemeen!$I136&amp;" s ")</f>
        <v xml:space="preserve">20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3" t="str">
        <f>"Instelwaarden voor de asfaltmenginstallatie ("&amp;algemeen!I96&amp;")"</f>
        <v>Instelwaarden voor de asfaltmenginstallatie ()</v>
      </c>
      <c r="B15" s="2353"/>
      <c r="C15" s="2353"/>
      <c r="D15" s="2353"/>
      <c r="E15" s="2353"/>
      <c r="F15" s="2353"/>
      <c r="G15" s="2353"/>
      <c r="H15" s="2353"/>
      <c r="I15" s="2353"/>
      <c r="J15" s="2353"/>
      <c r="K15" s="2353"/>
      <c r="L15" s="2353"/>
      <c r="M15" s="2353"/>
      <c r="N15" s="2353"/>
      <c r="O15" s="2353"/>
      <c r="P15" s="2353"/>
      <c r="Q15" s="2353"/>
      <c r="R15" s="2353"/>
      <c r="S15" s="2353"/>
      <c r="T15" s="2353"/>
      <c r="U15" s="2353"/>
      <c r="V15" s="2353"/>
      <c r="W15" s="2353"/>
      <c r="X15" s="2353"/>
      <c r="Y15" s="2353"/>
      <c r="Z15" s="2353"/>
      <c r="AA15" s="2353"/>
      <c r="AB15" s="2353"/>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IF(algemeen!I99="","",algemeen!I99)</f>
        <v/>
      </c>
      <c r="P16" s="1357" t="str">
        <f>IF(algemeen!I100="","",algemeen!I100)</f>
        <v/>
      </c>
      <c r="Q16" s="1357" t="str">
        <f>IF(algemeen!I101="","",algemeen!I101)</f>
        <v/>
      </c>
      <c r="R16" s="1357" t="str">
        <f>IF(algemeen!I102="","",algemeen!I102)</f>
        <v/>
      </c>
      <c r="S16" s="1357" t="str">
        <f>IF(algemeen!I103="","",algemeen!I103)</f>
        <v/>
      </c>
      <c r="T16" s="1360" t="str">
        <f>IF(algemeen!I104="","",algemeen!I104)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IF(algemeen!K99="","",algemeen!K99)</f>
        <v/>
      </c>
      <c r="P17" s="1364" t="str">
        <f>IF(algemeen!K100="","",algemeen!K100)</f>
        <v/>
      </c>
      <c r="Q17" s="1364" t="str">
        <f>IF(algemeen!K101="","",algemeen!K101)</f>
        <v/>
      </c>
      <c r="R17" s="1364" t="str">
        <f>IF(algemeen!K102="","",algemeen!K102)</f>
        <v/>
      </c>
      <c r="S17" s="1364" t="str">
        <f>IF(algemeen!K103="","",algemeen!K103)</f>
        <v/>
      </c>
      <c r="T17" s="1365" t="str">
        <f>IF(algemeen!K104="","",algemeen!K104)</f>
        <v/>
      </c>
      <c r="U17" s="1366" t="str">
        <f>IF(algemeen!I110="J","rechtstreekse terugvoer",IF(algemeen!K109="","",algemeen!K109))</f>
        <v/>
      </c>
      <c r="V17" s="1364" t="str">
        <f>IF(algemeen!K111="","",algemeen!K111)</f>
        <v/>
      </c>
      <c r="W17" s="1367" t="str">
        <f>IF(algemeen!K112="","",algemeen!K112)</f>
        <v/>
      </c>
      <c r="X17" s="1368" t="str">
        <f>IF(algemeen!K113="","",algemeen!K113)</f>
        <v/>
      </c>
      <c r="Y17" s="1365" t="str">
        <f>IF(algemeen!K114="","",algemeen!K114)</f>
        <v/>
      </c>
      <c r="Z17" s="1366" t="str">
        <f>IF(algemeen!K106="","",algemeen!K106)</f>
        <v/>
      </c>
      <c r="AA17" s="1364" t="str">
        <f>IF(algemeen!K107="","",algemeen!K107)</f>
        <v/>
      </c>
      <c r="AB17" s="1369" t="str">
        <f>IF(algemeen!K108="","",algemeen!K108)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Lp63FlZvTC85VNKqA1kOC0F/yyMvP3esZnX31p+kmP4FilUFIfTNyWHjflEioFok/MthYYfPQoV4muk6iy1G1g==" saltValue="NTcIYagXJjKTsUI7EoEHhg=="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algemeen!K21</f>
        <v>GHI nv</v>
      </c>
      <c r="F1" s="924"/>
      <c r="G1" s="924"/>
      <c r="H1" s="924"/>
      <c r="I1" s="924"/>
      <c r="J1" s="925"/>
      <c r="L1" s="1349" t="s">
        <v>783</v>
      </c>
      <c r="M1" s="563"/>
      <c r="N1" s="563"/>
      <c r="O1" s="561"/>
      <c r="P1" s="561"/>
      <c r="Q1" s="561"/>
      <c r="R1" s="561"/>
      <c r="S1" s="561"/>
      <c r="T1" s="561"/>
      <c r="U1" s="2352" t="str">
        <f>IF(algemeen!G62="J",algemeen!L93,"zonder centrale !")</f>
        <v>4CX50PAVT49</v>
      </c>
      <c r="V1" s="2352"/>
      <c r="W1" s="2352"/>
      <c r="X1" s="2352"/>
      <c r="Y1" s="2352"/>
      <c r="Z1" s="564" t="s">
        <v>784</v>
      </c>
      <c r="AA1" s="1921"/>
      <c r="AB1" s="1920"/>
    </row>
    <row r="2" spans="1:28" s="208" customFormat="1" ht="13" customHeight="1" thickTop="1" x14ac:dyDescent="0.35">
      <c r="A2" s="250"/>
      <c r="E2" s="938" t="str">
        <f>algemeen!K24</f>
        <v>Hasselt</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4" t="str">
        <f>IF(algemeen!B140="","",algemeen!B140)</f>
        <v/>
      </c>
      <c r="M4" s="2355"/>
      <c r="N4" s="2355"/>
      <c r="O4" s="2355"/>
      <c r="P4" s="2355"/>
      <c r="Q4" s="2355"/>
      <c r="R4" s="2355"/>
      <c r="S4" s="2355"/>
      <c r="T4" s="2355"/>
      <c r="U4" s="2355"/>
      <c r="V4" s="2355"/>
      <c r="W4" s="2355"/>
      <c r="X4" s="2355"/>
      <c r="Y4" s="2355"/>
      <c r="Z4" s="2355"/>
      <c r="AA4" s="2355"/>
      <c r="AB4" s="2356"/>
    </row>
    <row r="5" spans="1:28" s="208" customFormat="1" ht="13" customHeight="1" x14ac:dyDescent="0.35">
      <c r="A5" s="250"/>
      <c r="E5" s="779" t="str">
        <f>"VN:  "&amp;'VN1'!I4&amp;'VN1'!J4</f>
        <v>VN:  8031/64/2010/13RE-1234/0</v>
      </c>
      <c r="F5" s="779"/>
      <c r="G5" s="779"/>
      <c r="H5" s="779"/>
      <c r="J5" s="608"/>
      <c r="L5" s="2357" t="str">
        <f>IF(algemeen!B141="","",algemeen!B141)</f>
        <v/>
      </c>
      <c r="M5" s="2320"/>
      <c r="N5" s="2320"/>
      <c r="O5" s="2320"/>
      <c r="P5" s="2320"/>
      <c r="Q5" s="2320"/>
      <c r="R5" s="2320"/>
      <c r="S5" s="2320"/>
      <c r="T5" s="2320"/>
      <c r="U5" s="2320"/>
      <c r="V5" s="2320"/>
      <c r="W5" s="2320"/>
      <c r="X5" s="2320"/>
      <c r="Y5" s="2320"/>
      <c r="Z5" s="2320"/>
      <c r="AA5" s="2320"/>
      <c r="AB5" s="2358"/>
    </row>
    <row r="6" spans="1:28" s="208" customFormat="1" ht="13" customHeight="1" thickBot="1" x14ac:dyDescent="0.4">
      <c r="A6" s="255"/>
      <c r="B6" s="256"/>
      <c r="C6" s="256"/>
      <c r="D6" s="256"/>
      <c r="E6" s="1351" t="str">
        <f>"TF:  "&amp;berekeningen!K7</f>
        <v>TF:  8031/1234</v>
      </c>
      <c r="F6" s="1351"/>
      <c r="G6" s="1351"/>
      <c r="H6" s="1351"/>
      <c r="I6" s="256"/>
      <c r="J6" s="609"/>
      <c r="L6" s="2359" t="str">
        <f>IF(algemeen!B142="","",algemeen!B142)</f>
        <v/>
      </c>
      <c r="M6" s="2360"/>
      <c r="N6" s="2360"/>
      <c r="O6" s="2360"/>
      <c r="P6" s="2360"/>
      <c r="Q6" s="2360"/>
      <c r="R6" s="2360"/>
      <c r="S6" s="2360"/>
      <c r="T6" s="2360"/>
      <c r="U6" s="2360"/>
      <c r="V6" s="2360"/>
      <c r="W6" s="2360"/>
      <c r="X6" s="2360"/>
      <c r="Y6" s="2360"/>
      <c r="Z6" s="2360"/>
      <c r="AA6" s="2360"/>
      <c r="AB6" s="2361"/>
    </row>
    <row r="7" spans="1:28" s="208" customFormat="1" ht="13" customHeight="1" x14ac:dyDescent="0.35"/>
    <row r="8" spans="1:28" s="208" customFormat="1" ht="13" customHeight="1" thickBot="1" x14ac:dyDescent="0.4">
      <c r="A8" s="2362" t="s">
        <v>792</v>
      </c>
      <c r="B8" s="2362"/>
      <c r="C8" s="2362"/>
      <c r="D8" s="2362"/>
      <c r="E8" s="2362"/>
      <c r="F8" s="2362"/>
      <c r="G8" s="2362"/>
      <c r="H8" s="2362"/>
      <c r="I8" s="2362"/>
      <c r="J8" s="2362"/>
      <c r="K8" s="2362"/>
      <c r="L8" s="2362"/>
      <c r="M8" s="2362"/>
      <c r="O8" s="593" t="s">
        <v>793</v>
      </c>
      <c r="P8" s="593"/>
      <c r="Q8" s="593"/>
      <c r="R8" s="593"/>
      <c r="S8" s="593"/>
      <c r="T8" s="593"/>
      <c r="U8" s="1347"/>
      <c r="V8" s="2353" t="s">
        <v>802</v>
      </c>
      <c r="W8" s="2353"/>
      <c r="X8" s="2353"/>
      <c r="Y8" s="2353"/>
      <c r="Z8" s="2353"/>
      <c r="AA8" s="2353"/>
      <c r="AB8" s="2353"/>
    </row>
    <row r="9" spans="1:28" s="208" customFormat="1" ht="13" customHeight="1" x14ac:dyDescent="0.35">
      <c r="A9" s="544" t="str">
        <f>IF(algemeen!B118="","",algemeen!B118)</f>
        <v>rode kleurstof</v>
      </c>
      <c r="B9" s="545"/>
      <c r="C9" s="545"/>
      <c r="D9" s="545"/>
      <c r="E9" s="545"/>
      <c r="F9" s="545"/>
      <c r="G9" s="1833" t="str">
        <f>IF(algemeen!L118="","",algemeen!L118)</f>
        <v>3 zakjes van 4 kg op 5000 kg</v>
      </c>
      <c r="H9" s="1834"/>
      <c r="I9" s="1834"/>
      <c r="J9" s="1834"/>
      <c r="K9" s="1834"/>
      <c r="L9" s="1834"/>
      <c r="M9" s="1835"/>
      <c r="O9" s="544" t="s">
        <v>314</v>
      </c>
      <c r="P9" s="1353"/>
      <c r="Q9" s="545"/>
      <c r="R9" s="1353"/>
      <c r="S9" s="545"/>
      <c r="T9" s="596" t="str">
        <f>IF(algemeen!L125="","n.v.t.",algemeen!L125)</f>
        <v>max. 270</v>
      </c>
      <c r="U9" s="1348"/>
      <c r="V9" s="544" t="str">
        <f>IF(algemeen!$N132="","",algemeen!$B132&amp;":")</f>
        <v/>
      </c>
      <c r="W9" s="1354"/>
      <c r="X9" s="1354"/>
      <c r="Y9" s="1355"/>
      <c r="Z9" s="1354"/>
      <c r="AA9" s="545" t="str">
        <f>IF(algemeen!$L132="","",algemeen!$L132&amp;" s ")</f>
        <v xml:space="preserve">21 s </v>
      </c>
      <c r="AB9" s="546"/>
    </row>
    <row r="10" spans="1:28" s="208" customFormat="1" ht="13" customHeight="1" x14ac:dyDescent="0.35">
      <c r="A10" s="251" t="str">
        <f>IF(algemeen!B119="","",algemeen!B119)</f>
        <v>Trinidad Epurée Z0/8</v>
      </c>
      <c r="B10" s="252"/>
      <c r="C10" s="252"/>
      <c r="D10" s="252"/>
      <c r="E10" s="252"/>
      <c r="F10" s="252"/>
      <c r="G10" s="1836" t="str">
        <f>IF(algemeen!L119="","",algemeen!L119)</f>
        <v/>
      </c>
      <c r="H10" s="1837"/>
      <c r="I10" s="1837"/>
      <c r="J10" s="1837"/>
      <c r="K10" s="1837"/>
      <c r="L10" s="1837"/>
      <c r="M10" s="1838"/>
      <c r="O10" s="251" t="s">
        <v>676</v>
      </c>
      <c r="P10" s="252"/>
      <c r="Q10" s="252"/>
      <c r="R10" s="252"/>
      <c r="S10" s="252"/>
      <c r="T10" s="597" t="str">
        <f>IF(algemeen!L126="","n.v.t.",algemeen!L126)</f>
        <v>120-160</v>
      </c>
      <c r="U10" s="311"/>
      <c r="V10" s="251" t="str">
        <f>IF(algemeen!$N133="","",algemeen!$B133&amp;":")</f>
        <v/>
      </c>
      <c r="W10" s="396"/>
      <c r="X10" s="396"/>
      <c r="Y10" s="396"/>
      <c r="Z10" s="396"/>
      <c r="AA10" s="252" t="str">
        <f>IF(algemeen!$L133="","",algemeen!$L133&amp;" s ")</f>
        <v xml:space="preserve">22 s </v>
      </c>
      <c r="AB10" s="261"/>
    </row>
    <row r="11" spans="1:28" s="208" customFormat="1" ht="13" customHeight="1" x14ac:dyDescent="0.35">
      <c r="A11" s="251" t="str">
        <f>IF(algemeen!B120="","",algemeen!B120)</f>
        <v>Afdruipremmer</v>
      </c>
      <c r="B11" s="252"/>
      <c r="C11" s="252"/>
      <c r="D11" s="252"/>
      <c r="E11" s="252"/>
      <c r="F11" s="252"/>
      <c r="G11" s="1836" t="str">
        <f>IF(algemeen!L120="","",algemeen!L120)</f>
        <v/>
      </c>
      <c r="H11" s="1837"/>
      <c r="I11" s="1837"/>
      <c r="J11" s="1837"/>
      <c r="K11" s="1837"/>
      <c r="L11" s="1837"/>
      <c r="M11" s="1838"/>
      <c r="O11" s="251" t="s">
        <v>677</v>
      </c>
      <c r="P11" s="252"/>
      <c r="Q11" s="252"/>
      <c r="R11" s="252"/>
      <c r="S11" s="252"/>
      <c r="T11" s="597" t="str">
        <f>IF(algemeen!L127="","n.v.t.",algemeen!L127)</f>
        <v>95-105</v>
      </c>
      <c r="V11" s="251" t="str">
        <f>IF(algemeen!$N134="","",algemeen!$B134&amp;":")</f>
        <v/>
      </c>
      <c r="W11" s="252"/>
      <c r="X11" s="252"/>
      <c r="Y11" s="252"/>
      <c r="Z11" s="252"/>
      <c r="AA11" s="252" t="str">
        <f>IF(algemeen!$L134="","",algemeen!$L134&amp;" s ")</f>
        <v xml:space="preserve">23 s </v>
      </c>
      <c r="AB11" s="261"/>
    </row>
    <row r="12" spans="1:28" s="208" customFormat="1" ht="13" customHeight="1" x14ac:dyDescent="0.35">
      <c r="A12" s="251" t="str">
        <f>IF(algemeen!B121="","",algemeen!B121)</f>
        <v/>
      </c>
      <c r="B12" s="252"/>
      <c r="C12" s="252"/>
      <c r="D12" s="252"/>
      <c r="E12" s="252"/>
      <c r="F12" s="252"/>
      <c r="G12" s="1836" t="str">
        <f>IF(algemeen!L121="","",algemeen!L121)</f>
        <v/>
      </c>
      <c r="H12" s="1837"/>
      <c r="I12" s="1837"/>
      <c r="J12" s="1837"/>
      <c r="K12" s="1837"/>
      <c r="L12" s="1837"/>
      <c r="M12" s="1838"/>
      <c r="O12" s="251" t="s">
        <v>592</v>
      </c>
      <c r="P12" s="252"/>
      <c r="Q12" s="252"/>
      <c r="R12" s="252"/>
      <c r="S12" s="252"/>
      <c r="T12" s="597" t="str">
        <f>IF(algemeen!L128="","n.v.t.",algemeen!L128)</f>
        <v>165-185</v>
      </c>
      <c r="V12" s="251" t="str">
        <f>IF(algemeen!$N135="","",algemeen!$B135&amp;":")</f>
        <v/>
      </c>
      <c r="W12" s="252"/>
      <c r="X12" s="252"/>
      <c r="Y12" s="252"/>
      <c r="Z12" s="252"/>
      <c r="AA12" s="252" t="str">
        <f>IF(algemeen!$L135="","",algemeen!$L135&amp;" s ")</f>
        <v xml:space="preserve">24 s </v>
      </c>
      <c r="AB12" s="261"/>
    </row>
    <row r="13" spans="1:28" s="208" customFormat="1" ht="13" customHeight="1" thickBot="1" x14ac:dyDescent="0.4">
      <c r="A13" s="547" t="str">
        <f>IF(algemeen!B122="","",algemeen!B122)</f>
        <v/>
      </c>
      <c r="B13" s="262"/>
      <c r="C13" s="262"/>
      <c r="D13" s="262"/>
      <c r="E13" s="262"/>
      <c r="F13" s="262"/>
      <c r="G13" s="1839" t="str">
        <f>IF(algemeen!L122="","",algemeen!L122)</f>
        <v/>
      </c>
      <c r="H13" s="1840"/>
      <c r="I13" s="1840"/>
      <c r="J13" s="1840"/>
      <c r="K13" s="1840"/>
      <c r="L13" s="1840"/>
      <c r="M13" s="1841"/>
      <c r="O13" s="547" t="s">
        <v>678</v>
      </c>
      <c r="P13" s="262"/>
      <c r="Q13" s="262"/>
      <c r="R13" s="262"/>
      <c r="S13" s="262"/>
      <c r="T13" s="598" t="str">
        <f>IF(algemeen!L129="","n.v.t.",algemeen!L129)</f>
        <v>155-195</v>
      </c>
      <c r="V13" s="547" t="str">
        <f>IF(algemeen!$N136="","",algemeen!$B136&amp;":")</f>
        <v/>
      </c>
      <c r="W13" s="262"/>
      <c r="X13" s="262"/>
      <c r="Y13" s="262"/>
      <c r="Z13" s="262"/>
      <c r="AA13" s="262" t="str">
        <f>IF(algemeen!$L136="","",algemeen!$L136&amp;" s ")</f>
        <v xml:space="preserve">25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3" t="str">
        <f>"Instelwaarden voor de asfaltmenginstallatie ("&amp;algemeen!L96&amp;")"</f>
        <v>Instelwaarden voor de asfaltmenginstallatie ()</v>
      </c>
      <c r="B15" s="2353"/>
      <c r="C15" s="2353"/>
      <c r="D15" s="2353"/>
      <c r="E15" s="2353"/>
      <c r="F15" s="2353"/>
      <c r="G15" s="2353"/>
      <c r="H15" s="2353"/>
      <c r="I15" s="2353"/>
      <c r="J15" s="2353"/>
      <c r="K15" s="2353"/>
      <c r="L15" s="2353"/>
      <c r="M15" s="2353"/>
      <c r="N15" s="2353"/>
      <c r="O15" s="2353"/>
      <c r="P15" s="2353"/>
      <c r="Q15" s="2353"/>
      <c r="R15" s="2353"/>
      <c r="S15" s="2353"/>
      <c r="T15" s="2353"/>
      <c r="U15" s="2353"/>
      <c r="V15" s="2353"/>
      <c r="W15" s="2353"/>
      <c r="X15" s="2353"/>
      <c r="Y15" s="2353"/>
      <c r="Z15" s="2353"/>
      <c r="AA15" s="2353"/>
      <c r="AB15" s="2353"/>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IF(algemeen!L99="","",algemeen!L99)</f>
        <v/>
      </c>
      <c r="P16" s="1357" t="str">
        <f>IF(algemeen!L100="","",algemeen!L100)</f>
        <v/>
      </c>
      <c r="Q16" s="1357" t="str">
        <f>IF(algemeen!L101="","",algemeen!L101)</f>
        <v/>
      </c>
      <c r="R16" s="1357" t="str">
        <f>IF(algemeen!L102="","",algemeen!L102)</f>
        <v/>
      </c>
      <c r="S16" s="1357" t="str">
        <f>IF(algemeen!L103="","",algemeen!L103)</f>
        <v/>
      </c>
      <c r="T16" s="1360" t="str">
        <f>IF(algemeen!L104="","",algemeen!L104)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IF(algemeen!N99="","",algemeen!N99)</f>
        <v/>
      </c>
      <c r="P17" s="1364" t="str">
        <f>IF(algemeen!N100="","",algemeen!N100)</f>
        <v/>
      </c>
      <c r="Q17" s="1364" t="str">
        <f>IF(algemeen!N101="","",algemeen!N101)</f>
        <v/>
      </c>
      <c r="R17" s="1364" t="str">
        <f>IF(algemeen!N102="","",algemeen!N102)</f>
        <v/>
      </c>
      <c r="S17" s="1364" t="str">
        <f>IF(algemeen!N103="","",algemeen!N103)</f>
        <v/>
      </c>
      <c r="T17" s="1365" t="str">
        <f>IF(algemeen!N104="","",algemeen!N104)</f>
        <v/>
      </c>
      <c r="U17" s="1366" t="str">
        <f>IF(algemeen!L110="J","rechtstreekse terugvoer",IF(algemeen!N109="","",algemeen!N109))</f>
        <v>rechtstreekse terugvoer</v>
      </c>
      <c r="V17" s="1364" t="str">
        <f>IF(algemeen!N111="","",algemeen!N111)</f>
        <v/>
      </c>
      <c r="W17" s="1367" t="str">
        <f>IF(algemeen!N112="","",algemeen!N112)</f>
        <v/>
      </c>
      <c r="X17" s="1368" t="str">
        <f>IF(algemeen!N113="","",algemeen!N113)</f>
        <v/>
      </c>
      <c r="Y17" s="1365" t="str">
        <f>IF(algemeen!N114="","",algemeen!N114)</f>
        <v/>
      </c>
      <c r="Z17" s="1366" t="str">
        <f>IF(algemeen!N106="","",algemeen!N106)</f>
        <v/>
      </c>
      <c r="AA17" s="1364" t="str">
        <f>IF(algemeen!N107="","",algemeen!N107)</f>
        <v/>
      </c>
      <c r="AB17" s="1369" t="str">
        <f>IF(algemeen!N108="","",algemeen!N108)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qxdFz73EMwv8PHWiha+9uGOnSwalurpb0+5/RXRvgQKA/dGQA5X+6cV17+q0paego16rQ+QdZTi5ErWKFOmG7g==" saltValue="5/dANBrPlxtcw7ji//LV0A==" spinCount="100000" sheet="1" objects="1" scenarios="1"/>
  <mergeCells count="7">
    <mergeCell ref="A15:AB15"/>
    <mergeCell ref="U1:Y1"/>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59999389629810485"/>
  </sheetPr>
  <dimension ref="A1:J32"/>
  <sheetViews>
    <sheetView workbookViewId="0">
      <selection activeCell="A24" sqref="A24"/>
    </sheetView>
  </sheetViews>
  <sheetFormatPr defaultColWidth="9.1796875" defaultRowHeight="14.5" x14ac:dyDescent="0.35"/>
  <cols>
    <col min="1" max="3" width="9.1796875" style="1585"/>
    <col min="4" max="4" width="9.1796875" style="1585" customWidth="1"/>
    <col min="5" max="5" width="9.54296875" style="1585" bestFit="1" customWidth="1"/>
    <col min="6" max="6" width="9.1796875" style="1585"/>
    <col min="7" max="7" width="9.1796875" style="1585" customWidth="1"/>
    <col min="8" max="16384" width="9.1796875" style="1585"/>
  </cols>
  <sheetData>
    <row r="1" spans="1:10" ht="18.5" x14ac:dyDescent="0.45">
      <c r="A1" s="1717" t="s">
        <v>1193</v>
      </c>
      <c r="B1" s="1717"/>
      <c r="C1" s="1717"/>
      <c r="D1" s="1717"/>
      <c r="E1" s="1717"/>
      <c r="F1" s="1717"/>
      <c r="G1" s="1717"/>
      <c r="H1" s="1717"/>
      <c r="I1" s="1717"/>
    </row>
    <row r="2" spans="1:10" ht="24.75" customHeight="1" x14ac:dyDescent="0.35">
      <c r="A2"/>
      <c r="B2"/>
      <c r="C2"/>
      <c r="D2"/>
      <c r="E2"/>
      <c r="F2"/>
      <c r="G2"/>
      <c r="H2"/>
      <c r="I2"/>
    </row>
    <row r="3" spans="1:10" s="1713" customFormat="1" ht="15" customHeight="1" x14ac:dyDescent="0.35">
      <c r="A3" s="1718" t="s">
        <v>1194</v>
      </c>
      <c r="B3" s="1719"/>
      <c r="C3" s="1719"/>
      <c r="D3" s="1720"/>
      <c r="E3" s="1721" t="s">
        <v>1195</v>
      </c>
      <c r="F3" s="1721" t="s">
        <v>1196</v>
      </c>
      <c r="G3" s="1721" t="s">
        <v>1197</v>
      </c>
      <c r="H3" s="1721" t="s">
        <v>1198</v>
      </c>
      <c r="I3" s="1721" t="s">
        <v>1199</v>
      </c>
    </row>
    <row r="4" spans="1:10" ht="25" customHeight="1" x14ac:dyDescent="0.35">
      <c r="A4" s="1722" t="s">
        <v>1200</v>
      </c>
      <c r="B4" s="1863"/>
      <c r="C4" s="1863"/>
      <c r="D4" s="1864"/>
      <c r="E4" s="1856">
        <f>samenstelling!N177</f>
        <v>4.1924204280590098</v>
      </c>
      <c r="F4" s="1915"/>
      <c r="G4" s="1856" t="str">
        <f t="shared" ref="G4:G24" si="0">IF(F4="","",ABS(E4-F4))</f>
        <v/>
      </c>
      <c r="H4" s="1873"/>
      <c r="I4" s="1873"/>
    </row>
    <row r="5" spans="1:10" ht="25" customHeight="1" x14ac:dyDescent="0.35">
      <c r="A5" s="1723" t="s">
        <v>1216</v>
      </c>
      <c r="B5" s="1865"/>
      <c r="C5" s="1865"/>
      <c r="D5" s="1866"/>
      <c r="E5" s="1223" t="str">
        <f>samenstelling!AF43&amp;" "&amp;samenstelling!AF44&amp;" "&amp;samenstelling!AF45</f>
        <v xml:space="preserve">0,07  </v>
      </c>
      <c r="F5" s="1874"/>
      <c r="G5" s="1725" t="str">
        <f t="shared" si="0"/>
        <v/>
      </c>
      <c r="H5" s="1874"/>
      <c r="I5" s="1874"/>
    </row>
    <row r="6" spans="1:10" ht="25" customHeight="1" x14ac:dyDescent="0.35">
      <c r="A6" s="1723" t="s">
        <v>1212</v>
      </c>
      <c r="B6" s="1865"/>
      <c r="C6" s="1865"/>
      <c r="D6" s="1866"/>
      <c r="E6" s="1725">
        <f>SUM(samenstelling!C145:'samenstelling'!C147)</f>
        <v>2.2160500000000001</v>
      </c>
      <c r="F6" s="1894"/>
      <c r="G6" s="1725" t="str">
        <f t="shared" si="0"/>
        <v/>
      </c>
      <c r="H6" s="1874"/>
      <c r="I6" s="1874"/>
    </row>
    <row r="7" spans="1:10" s="1714" customFormat="1" ht="25" customHeight="1" x14ac:dyDescent="0.35">
      <c r="A7" s="1723" t="s">
        <v>1217</v>
      </c>
      <c r="B7" s="1867"/>
      <c r="C7" s="1867"/>
      <c r="D7" s="1868"/>
      <c r="E7" s="1724">
        <f>samenstelling!AC143</f>
        <v>38.961038961038966</v>
      </c>
      <c r="F7" s="1872"/>
      <c r="G7" s="1724" t="str">
        <f t="shared" si="0"/>
        <v/>
      </c>
      <c r="H7" s="1875"/>
      <c r="I7" s="1875"/>
    </row>
    <row r="8" spans="1:10" s="1714" customFormat="1" ht="25" customHeight="1" x14ac:dyDescent="0.35">
      <c r="A8" s="1723" t="s">
        <v>1213</v>
      </c>
      <c r="B8" s="1867"/>
      <c r="C8" s="1867"/>
      <c r="D8" s="1868"/>
      <c r="E8" s="1869">
        <f>SUM(samenstelling!C56:'samenstelling'!C58)</f>
        <v>30</v>
      </c>
      <c r="F8" s="1917"/>
      <c r="G8" s="1724" t="str">
        <f t="shared" si="0"/>
        <v/>
      </c>
      <c r="H8" s="1884"/>
      <c r="I8" s="1884"/>
    </row>
    <row r="9" spans="1:10" ht="25" customHeight="1" x14ac:dyDescent="0.35">
      <c r="A9" s="1723" t="s">
        <v>1201</v>
      </c>
      <c r="B9" s="1865"/>
      <c r="C9" s="1865"/>
      <c r="D9" s="1866"/>
      <c r="E9" s="1870">
        <f>samenstelling!Q$109</f>
        <v>89.666735647425881</v>
      </c>
      <c r="F9" s="1916"/>
      <c r="G9" s="1725" t="str">
        <f t="shared" si="0"/>
        <v/>
      </c>
      <c r="H9" s="1883"/>
      <c r="I9" s="1883"/>
    </row>
    <row r="10" spans="1:10" ht="25" customHeight="1" x14ac:dyDescent="0.35">
      <c r="A10" s="1723" t="s">
        <v>1202</v>
      </c>
      <c r="B10" s="1865"/>
      <c r="C10" s="1865"/>
      <c r="D10" s="1866"/>
      <c r="E10" s="1870">
        <f>samenstelling!S$109</f>
        <v>47.600398517940718</v>
      </c>
      <c r="F10" s="1916"/>
      <c r="G10" s="1725" t="str">
        <f t="shared" si="0"/>
        <v/>
      </c>
      <c r="H10" s="1874"/>
      <c r="I10" s="1874"/>
      <c r="J10" s="1859"/>
    </row>
    <row r="11" spans="1:10" ht="25" customHeight="1" x14ac:dyDescent="0.35">
      <c r="A11" s="1723" t="s">
        <v>1203</v>
      </c>
      <c r="B11" s="1865"/>
      <c r="C11" s="1865"/>
      <c r="D11" s="1866"/>
      <c r="E11" s="1870">
        <f>samenstelling!T$109</f>
        <v>38.531179953198126</v>
      </c>
      <c r="F11" s="1916"/>
      <c r="G11" s="1725" t="str">
        <f t="shared" si="0"/>
        <v/>
      </c>
      <c r="H11" s="1874"/>
      <c r="I11" s="1874"/>
    </row>
    <row r="12" spans="1:10" ht="25" customHeight="1" x14ac:dyDescent="0.35">
      <c r="A12" s="1723" t="s">
        <v>1204</v>
      </c>
      <c r="B12" s="1865"/>
      <c r="C12" s="1865"/>
      <c r="D12" s="1866"/>
      <c r="E12" s="1870">
        <f>samenstelling!U$109</f>
        <v>28.32396138845554</v>
      </c>
      <c r="F12" s="1916"/>
      <c r="G12" s="1725" t="str">
        <f t="shared" si="0"/>
        <v/>
      </c>
      <c r="H12" s="1874"/>
      <c r="I12" s="1874"/>
    </row>
    <row r="13" spans="1:10" ht="25" customHeight="1" x14ac:dyDescent="0.35">
      <c r="A13" s="1723" t="s">
        <v>1205</v>
      </c>
      <c r="B13" s="1865"/>
      <c r="C13" s="1865"/>
      <c r="D13" s="1866"/>
      <c r="E13" s="1870">
        <f>samenstelling!V$109</f>
        <v>23.058242823712948</v>
      </c>
      <c r="F13" s="1916"/>
      <c r="G13" s="1725" t="str">
        <f t="shared" si="0"/>
        <v/>
      </c>
      <c r="H13" s="1874"/>
      <c r="I13" s="1874"/>
    </row>
    <row r="14" spans="1:10" ht="25" customHeight="1" x14ac:dyDescent="0.35">
      <c r="A14" s="1723" t="s">
        <v>1617</v>
      </c>
      <c r="B14" s="1865"/>
      <c r="C14" s="1865"/>
      <c r="D14" s="1866"/>
      <c r="E14" s="1870">
        <f>samenstelling!W$109</f>
        <v>18.557524258970361</v>
      </c>
      <c r="F14" s="1916"/>
      <c r="G14" s="1725" t="str">
        <f t="shared" si="0"/>
        <v/>
      </c>
      <c r="H14" s="1883"/>
      <c r="I14" s="1883"/>
    </row>
    <row r="15" spans="1:10" ht="25" customHeight="1" x14ac:dyDescent="0.35">
      <c r="A15" s="1723" t="s">
        <v>1206</v>
      </c>
      <c r="B15" s="1865"/>
      <c r="C15" s="1865"/>
      <c r="D15" s="1866"/>
      <c r="E15" s="1870">
        <f>samenstelling!X$109</f>
        <v>14.974805694227769</v>
      </c>
      <c r="F15" s="1916"/>
      <c r="G15" s="1725" t="str">
        <f t="shared" si="0"/>
        <v/>
      </c>
      <c r="H15" s="1874"/>
      <c r="I15" s="1874"/>
    </row>
    <row r="16" spans="1:10" ht="25" customHeight="1" x14ac:dyDescent="0.35">
      <c r="A16" s="1723" t="s">
        <v>1218</v>
      </c>
      <c r="B16" s="1865"/>
      <c r="C16" s="1865"/>
      <c r="D16" s="1866"/>
      <c r="E16" s="1725">
        <f>samenstelling!N169</f>
        <v>6.775454460401539</v>
      </c>
      <c r="F16" s="1894"/>
      <c r="G16" s="1725" t="str">
        <f t="shared" si="0"/>
        <v/>
      </c>
      <c r="H16" s="1874"/>
      <c r="I16" s="1874"/>
    </row>
    <row r="17" spans="1:10" ht="25" customHeight="1" x14ac:dyDescent="0.35">
      <c r="A17" s="1723" t="s">
        <v>1207</v>
      </c>
      <c r="B17" s="1865"/>
      <c r="C17" s="1865"/>
      <c r="D17" s="1866"/>
      <c r="E17" s="1857">
        <f>samenstelling!T167</f>
        <v>2.9397048309231293</v>
      </c>
      <c r="F17" s="1876"/>
      <c r="G17" s="1857" t="str">
        <f t="shared" si="0"/>
        <v/>
      </c>
      <c r="H17" s="1874"/>
      <c r="I17" s="1874"/>
    </row>
    <row r="18" spans="1:10" ht="25" customHeight="1" x14ac:dyDescent="0.35">
      <c r="A18" s="1723" t="s">
        <v>1618</v>
      </c>
      <c r="B18" s="1865"/>
      <c r="C18" s="1865"/>
      <c r="D18" s="1866"/>
      <c r="E18" s="1857">
        <f>berekeningen!$AK$43</f>
        <v>2.7087125767186144</v>
      </c>
      <c r="F18" s="1876"/>
      <c r="G18" s="1857" t="str">
        <f t="shared" si="0"/>
        <v/>
      </c>
      <c r="H18" s="1883"/>
      <c r="I18" s="1883"/>
    </row>
    <row r="19" spans="1:10" ht="25" customHeight="1" x14ac:dyDescent="0.35">
      <c r="A19" s="1723" t="s">
        <v>1208</v>
      </c>
      <c r="B19" s="1865"/>
      <c r="C19" s="1865"/>
      <c r="D19" s="1866"/>
      <c r="E19" s="1857">
        <f>samenstelling!T169</f>
        <v>3.39</v>
      </c>
      <c r="F19" s="1876"/>
      <c r="G19" s="1857" t="str">
        <f t="shared" si="0"/>
        <v/>
      </c>
      <c r="H19" s="1874"/>
      <c r="I19" s="1874"/>
    </row>
    <row r="20" spans="1:10" ht="25" customHeight="1" x14ac:dyDescent="0.35">
      <c r="A20" s="1723" t="s">
        <v>1209</v>
      </c>
      <c r="B20" s="1865"/>
      <c r="C20" s="1865"/>
      <c r="D20" s="1866"/>
      <c r="E20" s="1857">
        <f>samenstelling!AA125</f>
        <v>2.6999844065071712</v>
      </c>
      <c r="F20" s="1876"/>
      <c r="G20" s="1725" t="str">
        <f t="shared" si="0"/>
        <v/>
      </c>
      <c r="H20" s="1874"/>
      <c r="I20" s="1874"/>
    </row>
    <row r="21" spans="1:10" ht="25" customHeight="1" x14ac:dyDescent="0.35">
      <c r="A21" s="1723" t="s">
        <v>1210</v>
      </c>
      <c r="B21" s="1865"/>
      <c r="C21" s="1865"/>
      <c r="D21" s="1866"/>
      <c r="E21" s="1871" t="str">
        <f>samenstelling!U26&amp;" "&amp;samenstelling!U27</f>
        <v xml:space="preserve">45 </v>
      </c>
      <c r="F21" s="1916"/>
      <c r="G21" s="1725" t="str">
        <f t="shared" si="0"/>
        <v/>
      </c>
      <c r="H21" s="1874"/>
      <c r="I21" s="1874"/>
    </row>
    <row r="22" spans="1:10" s="1714" customFormat="1" ht="25" customHeight="1" x14ac:dyDescent="0.35">
      <c r="A22" s="1723" t="s">
        <v>1211</v>
      </c>
      <c r="B22" s="1867"/>
      <c r="C22" s="1867"/>
      <c r="D22" s="1868"/>
      <c r="E22" s="1872"/>
      <c r="F22" s="1875"/>
      <c r="G22" s="1725" t="str">
        <f t="shared" si="0"/>
        <v/>
      </c>
      <c r="H22" s="1875"/>
      <c r="I22" s="1875"/>
    </row>
    <row r="23" spans="1:10" ht="25" customHeight="1" x14ac:dyDescent="0.35">
      <c r="A23" s="2363" t="s">
        <v>1619</v>
      </c>
      <c r="B23" s="2363"/>
      <c r="C23" s="2363"/>
      <c r="D23" s="2363"/>
      <c r="E23" s="1725">
        <f>ROUND(samenstelling!$M$118,1)</f>
        <v>59.6</v>
      </c>
      <c r="F23" s="1894"/>
      <c r="G23" s="1725" t="str">
        <f t="shared" si="0"/>
        <v/>
      </c>
      <c r="H23" s="1885"/>
      <c r="I23" s="1885"/>
    </row>
    <row r="24" spans="1:10" ht="25" customHeight="1" x14ac:dyDescent="0.35">
      <c r="A24" s="1723" t="s">
        <v>1215</v>
      </c>
      <c r="B24" s="1865"/>
      <c r="C24" s="1865"/>
      <c r="D24" s="1865"/>
      <c r="E24" s="1860">
        <f>berekeningen!C77</f>
        <v>30.739838617513996</v>
      </c>
      <c r="F24" s="1894"/>
      <c r="G24" s="1725" t="str">
        <f t="shared" si="0"/>
        <v/>
      </c>
      <c r="H24" s="1874"/>
      <c r="I24" s="1874"/>
    </row>
    <row r="25" spans="1:10" ht="25" customHeight="1" x14ac:dyDescent="0.35">
      <c r="A25" s="1726" t="s">
        <v>1278</v>
      </c>
      <c r="B25"/>
      <c r="C25"/>
      <c r="D25" s="1158"/>
      <c r="E25" s="1727"/>
      <c r="F25" s="1882"/>
      <c r="G25" s="1725"/>
      <c r="H25" s="1879"/>
      <c r="I25" s="1879"/>
    </row>
    <row r="26" spans="1:10" ht="25" customHeight="1" x14ac:dyDescent="0.35">
      <c r="A26" s="1726"/>
      <c r="B26"/>
      <c r="C26" s="206"/>
      <c r="D26" s="1862" t="s">
        <v>1620</v>
      </c>
      <c r="E26" s="1728"/>
      <c r="F26" s="1880"/>
      <c r="G26" s="1728">
        <f>MAX(ABS(-ABS(E4-F4)/0.4-ABS(E16-F16)/1.6+ABS(E10-F10)/12+ABS(E12-F12)/2-ABS(E17-F17)-ABS(E18-F18)/0.32+ABS(E21-F21)/16+ABS(E19-F19)/0.8+ABS(E23-F23)/10000),ABS(-ABS(E4-F4)/0.4-ABS(E16-F16)/1.6+ABS(E11-F11)/12+ABS(E12-F12)/2-ABS(E17-F17)-ABS(E18-F18)/0.32+ABS(E21-F21)/16+ABS(E19-F19)/0.8+ABS(E23-F23)/10000))</f>
        <v>1.691269384073002</v>
      </c>
      <c r="H26" s="1877"/>
      <c r="I26" s="1877"/>
    </row>
    <row r="27" spans="1:10" ht="25" customHeight="1" x14ac:dyDescent="0.35">
      <c r="A27" s="1726"/>
      <c r="B27"/>
      <c r="C27" s="206"/>
      <c r="D27" s="1862" t="s">
        <v>1621</v>
      </c>
      <c r="E27" s="1728"/>
      <c r="F27" s="1880"/>
      <c r="G27" s="1728">
        <f>ABS(-ABS(E4-F4)/0.2-ABS(E16-F16)/0.6-ABS(E17-F17)/0.08+ABS(E21-F21)/6+ABS(E18-F18)/0.2+ABS(E19-F19)/0.12+ABS(E12-F12)/0.4+ABS(E14-F14)/8)</f>
        <v>53.422320259599829</v>
      </c>
      <c r="H27" s="1877"/>
      <c r="I27" s="1877"/>
    </row>
    <row r="28" spans="1:10" ht="25" customHeight="1" x14ac:dyDescent="0.35">
      <c r="A28" s="1726"/>
      <c r="B28"/>
      <c r="C28" s="206"/>
      <c r="D28" s="1862" t="s">
        <v>1622</v>
      </c>
      <c r="E28" s="1861"/>
      <c r="F28" s="1881"/>
      <c r="G28" s="1861">
        <f>ABS(-ABS(E4-F4)/0.14-ABS(E16-F16)/0.4+ABS(E14-F14)/0.35-ABS(E17-F17)/0.03+ABS(E21-F21)/8+ABS(E18-F18)/0.1+ABS(E19-F19)/0.1)</f>
        <v>25.24103373223771</v>
      </c>
      <c r="H28" s="1878"/>
      <c r="I28" s="1878"/>
    </row>
    <row r="29" spans="1:10" ht="15" customHeight="1" x14ac:dyDescent="0.35">
      <c r="A29" s="1726"/>
      <c r="B29"/>
      <c r="C29"/>
      <c r="D29"/>
      <c r="E29" s="206"/>
      <c r="F29" s="206"/>
      <c r="G29" s="206"/>
      <c r="H29"/>
      <c r="I29" s="1158"/>
    </row>
    <row r="30" spans="1:10" ht="15" customHeight="1" x14ac:dyDescent="0.35">
      <c r="A30" s="1127"/>
      <c r="B30" s="1127"/>
      <c r="C30" s="1127"/>
      <c r="D30" s="1127"/>
      <c r="E30" s="1127"/>
      <c r="F30" s="1127"/>
      <c r="G30" s="1127"/>
      <c r="H30" s="1127"/>
      <c r="I30" s="1127"/>
    </row>
    <row r="31" spans="1:10" ht="15" customHeight="1" x14ac:dyDescent="0.35">
      <c r="A31"/>
      <c r="B31"/>
      <c r="C31"/>
      <c r="D31"/>
      <c r="E31"/>
      <c r="F31"/>
      <c r="G31"/>
      <c r="H31"/>
      <c r="I31"/>
    </row>
    <row r="32" spans="1:10" s="1716" customFormat="1" ht="10.5" x14ac:dyDescent="0.35">
      <c r="A32" s="267"/>
      <c r="B32" s="267"/>
      <c r="C32" s="267"/>
      <c r="D32" s="269" t="s">
        <v>1214</v>
      </c>
      <c r="E32" s="269" t="str">
        <f>'VN1'!A53</f>
        <v>801/64/</v>
      </c>
      <c r="F32" s="267" t="str">
        <f>algemeen!J$68</f>
        <v>2007/123A</v>
      </c>
      <c r="G32" s="268"/>
      <c r="H32" s="269"/>
      <c r="I32" s="269"/>
      <c r="J32" s="1715"/>
    </row>
  </sheetData>
  <sheetProtection algorithmName="SHA-512" hashValue="TROSwJM2W6kD0xshfIAx8eJ1vvnPnJllJQ1v8FXUJ3gtniJ/Z7hqoDnInYd1pyLcL8HhVj0mDn/BvT4eDOuAXg==" saltValue="gCNCcjsnirT2YaneUJNvyg==" spinCount="100000" sheet="1" objects="1" scenarios="1"/>
  <mergeCells count="1">
    <mergeCell ref="A23:D2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tint="0.59999389629810485"/>
    <pageSetUpPr fitToPage="1"/>
  </sheetPr>
  <dimension ref="B2:E47"/>
  <sheetViews>
    <sheetView topLeftCell="A25" workbookViewId="0">
      <selection activeCell="E39" sqref="E39"/>
    </sheetView>
  </sheetViews>
  <sheetFormatPr defaultColWidth="9.1796875" defaultRowHeight="14.5" x14ac:dyDescent="0.35"/>
  <cols>
    <col min="2" max="2" width="27.1796875" bestFit="1" customWidth="1"/>
    <col min="3" max="3" width="31.1796875" customWidth="1"/>
    <col min="4" max="5" width="30.7265625" customWidth="1"/>
  </cols>
  <sheetData>
    <row r="2" spans="2:5" x14ac:dyDescent="0.35">
      <c r="B2" s="2366" t="s">
        <v>1164</v>
      </c>
      <c r="C2" s="2367"/>
      <c r="D2" s="2367"/>
      <c r="E2" s="2368"/>
    </row>
    <row r="3" spans="2:5" x14ac:dyDescent="0.35">
      <c r="B3" s="1207" t="s">
        <v>1190</v>
      </c>
      <c r="C3" s="1208" t="str">
        <f>IF(algemeen!E62="N","",algemeen!$E4)</f>
        <v>ASFALT PRODUCTIE BEDRIJF nv</v>
      </c>
      <c r="D3" s="1208" t="str">
        <f>IF(algemeen!F62="N","",algemeen!$E4)</f>
        <v>ASFALT PRODUCTIE BEDRIJF nv</v>
      </c>
      <c r="E3" s="1208" t="str">
        <f>IF(algemeen!G62="N","",algemeen!$E4)</f>
        <v>ASFALT PRODUCTIE BEDRIJF nv</v>
      </c>
    </row>
    <row r="4" spans="2:5" x14ac:dyDescent="0.35">
      <c r="B4" s="1209" t="s">
        <v>1189</v>
      </c>
      <c r="C4" s="1210" t="str">
        <f>IF(algemeen!E62="N","",algemeen!E21&amp;" "&amp;algemeen!E24)</f>
        <v>ABC nv Gaurain-Ramecroix</v>
      </c>
      <c r="D4" s="1210" t="str">
        <f>IF(algemeen!F62="N","",algemeen!H21&amp;" "&amp;algemeen!H24)</f>
        <v>DEF nv Antwerpen</v>
      </c>
      <c r="E4" s="1210" t="str">
        <f>IF(algemeen!G62="N","",algemeen!K21&amp;" "&amp;algemeen!K24)</f>
        <v>GHI nv Hasselt</v>
      </c>
    </row>
    <row r="5" spans="2:5" x14ac:dyDescent="0.35">
      <c r="B5" s="1209" t="s">
        <v>1165</v>
      </c>
      <c r="C5" s="1211">
        <f>IF(algemeen!E62="N","",algemeen!$G78)</f>
        <v>40409</v>
      </c>
      <c r="D5" s="1211">
        <f>IF(algemeen!F62="N","",algemeen!$G78)</f>
        <v>40409</v>
      </c>
      <c r="E5" s="1211">
        <f>IF(algemeen!G62="N","",algemeen!$G78)</f>
        <v>40409</v>
      </c>
    </row>
    <row r="6" spans="2:5" x14ac:dyDescent="0.35">
      <c r="B6" s="1209" t="s">
        <v>1166</v>
      </c>
      <c r="C6" s="1210" t="str">
        <f>IF(algemeen!E62="N","",MID(algemeen!$J66,6,15))</f>
        <v>13RE-1234/0</v>
      </c>
      <c r="D6" s="1210" t="str">
        <f>IF(algemeen!F62="N","",MID(algemeen!$J66,6,15))</f>
        <v>13RE-1234/0</v>
      </c>
      <c r="E6" s="1210" t="str">
        <f>IF(algemeen!G62="N","",MID(algemeen!$J66,6,15))</f>
        <v>13RE-1234/0</v>
      </c>
    </row>
    <row r="7" spans="2:5" x14ac:dyDescent="0.35">
      <c r="B7" s="1209" t="s">
        <v>1167</v>
      </c>
      <c r="C7" s="1210" t="str">
        <f>IF(algemeen!E62="N","",algemeen!$D47)</f>
        <v>SB 250 (5.0)</v>
      </c>
      <c r="D7" s="1210" t="str">
        <f>IF(algemeen!F62="N","",algemeen!$D47)</f>
        <v>SB 250 (5.0)</v>
      </c>
      <c r="E7" s="1210" t="str">
        <f>IF(algemeen!G62="N","",algemeen!$D47)</f>
        <v>SB 250 (5.0)</v>
      </c>
    </row>
    <row r="8" spans="2:5" x14ac:dyDescent="0.35">
      <c r="B8" s="1212" t="s">
        <v>1188</v>
      </c>
      <c r="C8" s="1213" t="str">
        <f>IF(algemeen!E62="N","",berekeningen!E7)</f>
        <v>0801/1234</v>
      </c>
      <c r="D8" s="1213" t="str">
        <f>IF(algemeen!F62="N","",berekeningen!H7)</f>
        <v>0802/1234</v>
      </c>
      <c r="E8" s="1213" t="str">
        <f>IF(algemeen!G62="N","",berekeningen!K7)</f>
        <v>8031/1234</v>
      </c>
    </row>
    <row r="11" spans="2:5" x14ac:dyDescent="0.35">
      <c r="B11" s="2364" t="s">
        <v>1185</v>
      </c>
      <c r="C11" s="2364"/>
    </row>
    <row r="12" spans="2:5" x14ac:dyDescent="0.35">
      <c r="B12" s="1207" t="s">
        <v>1168</v>
      </c>
      <c r="C12" s="1214" t="str">
        <f>algemeen!F40</f>
        <v>AB-3A1</v>
      </c>
    </row>
    <row r="13" spans="2:5" x14ac:dyDescent="0.35">
      <c r="B13" s="1209" t="s">
        <v>1169</v>
      </c>
      <c r="C13" s="1215">
        <f>samenstelling!N167</f>
        <v>71.182431554471393</v>
      </c>
    </row>
    <row r="14" spans="2:5" x14ac:dyDescent="0.35">
      <c r="B14" s="1209" t="s">
        <v>1186</v>
      </c>
      <c r="C14" s="1215">
        <f>samenstelling!N168</f>
        <v>22.04211398512707</v>
      </c>
    </row>
    <row r="15" spans="2:5" x14ac:dyDescent="0.35">
      <c r="B15" s="1209" t="s">
        <v>1170</v>
      </c>
      <c r="C15" s="1215">
        <f>samenstelling!N169</f>
        <v>6.775454460401539</v>
      </c>
    </row>
    <row r="16" spans="2:5" x14ac:dyDescent="0.35">
      <c r="B16" s="1209" t="s">
        <v>1171</v>
      </c>
      <c r="C16" s="1215">
        <f>samenstelling!G176</f>
        <v>3.805679</v>
      </c>
    </row>
    <row r="17" spans="2:5" x14ac:dyDescent="0.35">
      <c r="B17" s="1209" t="s">
        <v>1172</v>
      </c>
      <c r="C17" s="1215">
        <f>samenstelling!C68</f>
        <v>0.33</v>
      </c>
    </row>
    <row r="18" spans="2:5" x14ac:dyDescent="0.35">
      <c r="B18" s="1209" t="s">
        <v>1173</v>
      </c>
      <c r="C18" s="1216" t="s">
        <v>1191</v>
      </c>
    </row>
    <row r="19" spans="2:5" x14ac:dyDescent="0.35">
      <c r="B19" s="1209" t="s">
        <v>1187</v>
      </c>
      <c r="C19" s="1210">
        <f>SUM(samenstelling!C56:'samenstelling'!C58)</f>
        <v>30</v>
      </c>
    </row>
    <row r="20" spans="2:5" x14ac:dyDescent="0.35">
      <c r="B20" s="1209" t="s">
        <v>1174</v>
      </c>
      <c r="C20" s="1210" t="str">
        <f>samenstelling!H26&amp;" "&amp;samenstelling!H27</f>
        <v xml:space="preserve">IIa </v>
      </c>
      <c r="D20" s="1217" t="str">
        <f>samenstelling!H27</f>
        <v/>
      </c>
    </row>
    <row r="21" spans="2:5" x14ac:dyDescent="0.35">
      <c r="B21" s="1209" t="s">
        <v>1175</v>
      </c>
      <c r="C21" s="1210" t="str">
        <f>samenstelling!H43&amp;" "&amp;samenstelling!H44&amp;" "&amp;samenstelling!H45</f>
        <v xml:space="preserve">Mexphalte CLT50/70  </v>
      </c>
      <c r="D21" s="1217" t="str">
        <f>samenstelling!H44</f>
        <v/>
      </c>
      <c r="E21" t="str">
        <f>samenstelling!H45</f>
        <v/>
      </c>
    </row>
    <row r="22" spans="2:5" x14ac:dyDescent="0.35">
      <c r="B22" s="1209" t="s">
        <v>1176</v>
      </c>
      <c r="C22" s="1210" t="str">
        <f>samenstelling!H68</f>
        <v>Cellulose Viatop Premium</v>
      </c>
    </row>
    <row r="23" spans="2:5" x14ac:dyDescent="0.35">
      <c r="B23" s="1209" t="s">
        <v>1177</v>
      </c>
      <c r="C23" s="1216" t="s">
        <v>1191</v>
      </c>
    </row>
    <row r="24" spans="2:5" x14ac:dyDescent="0.35">
      <c r="B24" s="1209" t="s">
        <v>1178</v>
      </c>
      <c r="C24" s="1218">
        <f>samenstelling!AC143</f>
        <v>38.961038961038966</v>
      </c>
    </row>
    <row r="25" spans="2:5" x14ac:dyDescent="0.35">
      <c r="B25" s="1209" t="s">
        <v>1179</v>
      </c>
      <c r="C25" s="1219">
        <f>studie!H154*1000</f>
        <v>3015.439118985762</v>
      </c>
    </row>
    <row r="26" spans="2:5" x14ac:dyDescent="0.35">
      <c r="B26" s="1209" t="s">
        <v>1180</v>
      </c>
      <c r="C26" s="1218">
        <f>studie!H258</f>
        <v>15.5</v>
      </c>
    </row>
    <row r="27" spans="2:5" x14ac:dyDescent="0.35">
      <c r="B27" s="1209" t="s">
        <v>1181</v>
      </c>
      <c r="C27" s="1219">
        <f>studie!H257*1000</f>
        <v>2684.110592447611</v>
      </c>
    </row>
    <row r="28" spans="2:5" x14ac:dyDescent="0.35">
      <c r="B28" s="1212" t="s">
        <v>1192</v>
      </c>
      <c r="C28" s="1213" t="str">
        <f>algemeen!K148</f>
        <v>130-180</v>
      </c>
    </row>
    <row r="31" spans="2:5" x14ac:dyDescent="0.35">
      <c r="B31" s="2365" t="s">
        <v>1184</v>
      </c>
      <c r="C31" s="2365"/>
    </row>
    <row r="32" spans="2:5" x14ac:dyDescent="0.35">
      <c r="B32" s="1220" t="s">
        <v>1182</v>
      </c>
      <c r="C32" s="1220" t="s">
        <v>1183</v>
      </c>
    </row>
    <row r="33" spans="2:3" x14ac:dyDescent="0.35">
      <c r="B33" s="1221" t="str">
        <f>IF(algemeen!E55=2,"31,5","")</f>
        <v>31,5</v>
      </c>
      <c r="C33" s="1222">
        <f>samenstelling!L109</f>
        <v>99.999735647425894</v>
      </c>
    </row>
    <row r="34" spans="2:3" x14ac:dyDescent="0.35">
      <c r="B34" s="1223" t="str">
        <f>IF(algemeen!E55=2,"20","")</f>
        <v>20</v>
      </c>
      <c r="C34" s="1224">
        <f>samenstelling!M109</f>
        <v>99.948735647425877</v>
      </c>
    </row>
    <row r="35" spans="2:3" x14ac:dyDescent="0.35">
      <c r="B35" s="1223" t="str">
        <f>IF(algemeen!E55=2,"14","")</f>
        <v>14</v>
      </c>
      <c r="C35" s="1224">
        <f>samenstelling!O109</f>
        <v>95.868735647425879</v>
      </c>
    </row>
    <row r="36" spans="2:3" x14ac:dyDescent="0.35">
      <c r="B36" s="1223" t="str">
        <f>IF(algemeen!E55=2,"10","")</f>
        <v>10</v>
      </c>
      <c r="C36" s="1224">
        <f>samenstelling!Q$109</f>
        <v>89.666735647425881</v>
      </c>
    </row>
    <row r="37" spans="2:3" x14ac:dyDescent="0.35">
      <c r="B37" s="1223" t="str">
        <f>IF(algemeen!E55=2,"6,3","")</f>
        <v>6,3</v>
      </c>
      <c r="C37" s="1224">
        <f>samenstelling!S$109</f>
        <v>47.600398517940718</v>
      </c>
    </row>
    <row r="38" spans="2:3" x14ac:dyDescent="0.35">
      <c r="B38" s="1223" t="str">
        <f>IF(algemeen!E55=2,"4","")</f>
        <v>4</v>
      </c>
      <c r="C38" s="1224">
        <f>samenstelling!T$109</f>
        <v>38.531179953198126</v>
      </c>
    </row>
    <row r="39" spans="2:3" x14ac:dyDescent="0.35">
      <c r="B39" s="1223" t="str">
        <f>IF(algemeen!E55=2,"2","")</f>
        <v>2</v>
      </c>
      <c r="C39" s="1224">
        <f>samenstelling!U$109</f>
        <v>28.32396138845554</v>
      </c>
    </row>
    <row r="40" spans="2:3" x14ac:dyDescent="0.35">
      <c r="B40" s="1223" t="str">
        <f>IF(algemeen!E55=2,"1","")</f>
        <v>1</v>
      </c>
      <c r="C40" s="1224">
        <f>samenstelling!V$109</f>
        <v>23.058242823712948</v>
      </c>
    </row>
    <row r="41" spans="2:3" x14ac:dyDescent="0.35">
      <c r="B41" s="1223" t="str">
        <f>IF(algemeen!E55=2,"0,5","")</f>
        <v>0,5</v>
      </c>
      <c r="C41" s="1224">
        <f>samenstelling!W$109</f>
        <v>18.557524258970361</v>
      </c>
    </row>
    <row r="42" spans="2:3" x14ac:dyDescent="0.35">
      <c r="B42" s="1223" t="str">
        <f>IF(algemeen!E55=2,"0,25","")</f>
        <v>0,25</v>
      </c>
      <c r="C42" s="1224">
        <f>samenstelling!X$109</f>
        <v>14.974805694227769</v>
      </c>
    </row>
    <row r="43" spans="2:3" x14ac:dyDescent="0.35">
      <c r="B43" s="1223" t="str">
        <f>IF(algemeen!E55=2,"0,125","")</f>
        <v>0,125</v>
      </c>
      <c r="C43" s="1224">
        <f>samenstelling!Y$109</f>
        <v>11.405659629485179</v>
      </c>
    </row>
    <row r="44" spans="2:3" x14ac:dyDescent="0.35">
      <c r="B44" s="1225" t="str">
        <f>IF(algemeen!E55=2,"0,063","")</f>
        <v>0,063</v>
      </c>
      <c r="C44" s="1226">
        <f>samenstelling!Z$109</f>
        <v>7.8679135647425893</v>
      </c>
    </row>
    <row r="46" spans="2:3" x14ac:dyDescent="0.35">
      <c r="B46" s="2366" t="s">
        <v>1656</v>
      </c>
      <c r="C46" s="2368"/>
    </row>
    <row r="47" spans="2:3" x14ac:dyDescent="0.35">
      <c r="B47" s="1922" t="s">
        <v>1657</v>
      </c>
      <c r="C47" s="1923">
        <f>IF(algemeen!P78="",algemeen!G78,algemeen!P78)</f>
        <v>40409</v>
      </c>
    </row>
  </sheetData>
  <sheetProtection algorithmName="SHA-512" hashValue="xA19NOUv3HivzhwwyQS9GFM7LpkwB4DENXEXjYKSz0aJOR+XyZczyeDJT+eK615T48kGMnz/DfpJqsZXf2IBAA==" saltValue="zSlzS6QfVRImt3ZhGW9wBg==" spinCount="100000" sheet="1" objects="1" scenarios="1"/>
  <mergeCells count="4">
    <mergeCell ref="B11:C11"/>
    <mergeCell ref="B31:C31"/>
    <mergeCell ref="B2:E2"/>
    <mergeCell ref="B46:C46"/>
  </mergeCells>
  <pageMargins left="0.70866141732283472" right="0.70866141732283472" top="0.74803149606299213" bottom="0.74803149606299213" header="0.31496062992125984" footer="0.31496062992125984"/>
  <pageSetup paperSize="9" scale="73"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1"/>
  </sheetPr>
  <dimension ref="A1:AP138"/>
  <sheetViews>
    <sheetView workbookViewId="0">
      <selection activeCell="A24" sqref="A24"/>
    </sheetView>
  </sheetViews>
  <sheetFormatPr defaultColWidth="9.1796875" defaultRowHeight="14" x14ac:dyDescent="0.3"/>
  <cols>
    <col min="1" max="2" width="9.1796875" style="1"/>
    <col min="3" max="3" width="9.54296875" style="1" bestFit="1" customWidth="1"/>
    <col min="4" max="5" width="12.1796875" style="1" bestFit="1" customWidth="1"/>
    <col min="6" max="6" width="13.81640625" style="1" bestFit="1" customWidth="1"/>
    <col min="7" max="7" width="12.81640625" style="1" customWidth="1"/>
    <col min="8" max="8" width="10.7265625" style="1" customWidth="1"/>
    <col min="9" max="9" width="9.1796875" style="1"/>
    <col min="10" max="10" width="10.1796875" style="1" bestFit="1" customWidth="1"/>
    <col min="11" max="11" width="13.7265625" style="1" customWidth="1"/>
    <col min="12" max="12" width="10.26953125" style="1" customWidth="1"/>
    <col min="13" max="18" width="9.1796875" style="1"/>
    <col min="19" max="19" width="11.26953125" style="1" bestFit="1" customWidth="1"/>
    <col min="20" max="22" width="9.1796875" style="1"/>
    <col min="23" max="23" width="9.7265625" style="1" bestFit="1" customWidth="1"/>
    <col min="24" max="24" width="10.7265625" style="1" bestFit="1" customWidth="1"/>
    <col min="25" max="30" width="9.1796875" style="1"/>
    <col min="31" max="31" width="10.1796875" style="1" bestFit="1" customWidth="1"/>
    <col min="32" max="32" width="12.1796875" style="1" bestFit="1" customWidth="1"/>
    <col min="33" max="16384" width="9.1796875" style="1"/>
  </cols>
  <sheetData>
    <row r="1" spans="1:42" x14ac:dyDescent="0.3">
      <c r="A1" s="1" t="s">
        <v>53</v>
      </c>
      <c r="C1" s="1" t="s">
        <v>1279</v>
      </c>
      <c r="D1" s="1" t="s">
        <v>1280</v>
      </c>
      <c r="E1" s="1" t="s">
        <v>1281</v>
      </c>
      <c r="F1" s="1" t="s">
        <v>1282</v>
      </c>
      <c r="G1" s="1" t="s">
        <v>1283</v>
      </c>
      <c r="H1" s="1" t="s">
        <v>455</v>
      </c>
      <c r="I1" s="1" t="s">
        <v>1285</v>
      </c>
      <c r="J1" s="1" t="s">
        <v>1290</v>
      </c>
      <c r="K1" s="1" t="s">
        <v>1284</v>
      </c>
      <c r="L1" s="1" t="s">
        <v>1286</v>
      </c>
      <c r="M1" s="1" t="s">
        <v>1287</v>
      </c>
      <c r="N1" s="1" t="s">
        <v>1288</v>
      </c>
      <c r="O1" s="1" t="s">
        <v>1289</v>
      </c>
      <c r="Q1" s="1" t="s">
        <v>1291</v>
      </c>
    </row>
    <row r="2" spans="1:42" x14ac:dyDescent="0.3">
      <c r="C2" s="75">
        <v>1</v>
      </c>
      <c r="D2" s="75">
        <v>2</v>
      </c>
      <c r="E2" s="75">
        <v>2</v>
      </c>
      <c r="F2" s="1375">
        <f>IF(studie!E3="J",1,0)</f>
        <v>1</v>
      </c>
      <c r="G2" s="1375">
        <f>IF(studie!E222="J",2,0)</f>
        <v>2</v>
      </c>
      <c r="H2" s="1375">
        <f>IF(studie!E275="J",3,0)</f>
        <v>3</v>
      </c>
      <c r="I2" s="1375">
        <f>IF(OR(studie!E325="J",studie!E514="J",studie!E537="J",studie!E559="J"),1,0)</f>
        <v>1</v>
      </c>
      <c r="J2" s="1375">
        <f>IF(OR(studie!F354="J",studie!F383="J",studie!E702="J"),1,0)</f>
        <v>1</v>
      </c>
      <c r="K2" s="1375">
        <f>IF(studie!E421="J",2,0)</f>
        <v>2</v>
      </c>
      <c r="L2" s="1375">
        <f>IF(OR(studie!E467="J",studie!E589="J",studie!E614="J"),1,0)</f>
        <v>1</v>
      </c>
      <c r="M2" s="1375">
        <f>IF(studie!E627="J",1,0)</f>
        <v>1</v>
      </c>
      <c r="N2" s="1375">
        <f>IF(studie!E655="J",2,0)</f>
        <v>2</v>
      </c>
      <c r="O2" s="1375">
        <f>SUM(C2:N2)</f>
        <v>19</v>
      </c>
      <c r="Q2" s="1376">
        <f>SUM(F2:N2)</f>
        <v>14</v>
      </c>
      <c r="S2" s="1698"/>
    </row>
    <row r="3" spans="1:42" x14ac:dyDescent="0.3">
      <c r="C3" s="75">
        <v>1</v>
      </c>
      <c r="D3" s="75">
        <v>2</v>
      </c>
      <c r="E3" s="75">
        <v>4</v>
      </c>
      <c r="F3" s="1375">
        <f>E2+E3</f>
        <v>6</v>
      </c>
      <c r="G3" s="1375">
        <f>F2+F3</f>
        <v>7</v>
      </c>
      <c r="H3" s="1375">
        <f>G2+G3</f>
        <v>9</v>
      </c>
      <c r="I3" s="1375">
        <f t="shared" ref="I3:N3" si="0">H2+H3</f>
        <v>12</v>
      </c>
      <c r="J3" s="1375">
        <f t="shared" si="0"/>
        <v>13</v>
      </c>
      <c r="K3" s="1375">
        <f t="shared" si="0"/>
        <v>14</v>
      </c>
      <c r="L3" s="1375">
        <f t="shared" si="0"/>
        <v>16</v>
      </c>
      <c r="M3" s="1375">
        <f t="shared" si="0"/>
        <v>17</v>
      </c>
      <c r="N3" s="1375">
        <f t="shared" si="0"/>
        <v>18</v>
      </c>
      <c r="O3" s="75"/>
    </row>
    <row r="5" spans="1:42" x14ac:dyDescent="0.3">
      <c r="A5" s="1" t="s">
        <v>52</v>
      </c>
      <c r="D5" s="14" t="str">
        <f>algemeen!E28&amp;"/"&amp;algemeen!J65</f>
        <v>801/64</v>
      </c>
      <c r="G5" s="14" t="str">
        <f>algemeen!H28&amp;"/"&amp;algemeen!J65</f>
        <v>802/64</v>
      </c>
      <c r="J5" s="14" t="str">
        <f>algemeen!K28&amp;"/"&amp;algemeen!J65</f>
        <v>8031/64</v>
      </c>
    </row>
    <row r="7" spans="1:42" x14ac:dyDescent="0.3">
      <c r="A7" s="1" t="s">
        <v>648</v>
      </c>
      <c r="D7" s="14" t="str">
        <f>IF(MID(D5,4,1)="/","0"&amp;MID(D5,1,3),MID(D5,1,4))</f>
        <v>0801</v>
      </c>
      <c r="E7" s="14" t="str">
        <f>D7&amp;"/"&amp;algemeen!$J69</f>
        <v>0801/1234</v>
      </c>
      <c r="G7" s="14" t="str">
        <f>IF(MID(G5,4,1)="/","0"&amp;MID(G5,1,3),MID(G5,1,4))</f>
        <v>0802</v>
      </c>
      <c r="H7" s="14" t="str">
        <f>G7&amp;"/"&amp;algemeen!$J69</f>
        <v>0802/1234</v>
      </c>
      <c r="J7" s="14" t="str">
        <f>IF(MID(J5,4,1)="/","0"&amp;MID(J5,1,3),MID(J5,1,4))</f>
        <v>8031</v>
      </c>
      <c r="K7" s="14" t="str">
        <f>J7&amp;"/"&amp;algemeen!$J69</f>
        <v>8031/1234</v>
      </c>
    </row>
    <row r="9" spans="1:42" x14ac:dyDescent="0.3">
      <c r="A9" s="1" t="s">
        <v>126</v>
      </c>
      <c r="D9" s="14">
        <f>VLOOKUP(algemeen!$E$55,algemeen!$B$52:$T$54,4,FALSE)</f>
        <v>40</v>
      </c>
      <c r="E9" s="14">
        <f>VLOOKUP(algemeen!$E$55,algemeen!$B$52:$T$54,5,FALSE)</f>
        <v>31.5</v>
      </c>
      <c r="F9" s="14">
        <f>VLOOKUP(algemeen!$E$55,algemeen!$B$52:$T$54,6,FALSE)</f>
        <v>20</v>
      </c>
      <c r="G9" s="14">
        <f>VLOOKUP(algemeen!$E$55,algemeen!$B$52:$T$54,7,FALSE)</f>
        <v>16</v>
      </c>
      <c r="H9" s="14">
        <f>VLOOKUP(algemeen!$E$55,algemeen!$B$52:$T$54,8,FALSE)</f>
        <v>14</v>
      </c>
      <c r="I9" s="14">
        <f>VLOOKUP(algemeen!$E$55,algemeen!$B$52:$T$54,9,FALSE)</f>
        <v>12.5</v>
      </c>
      <c r="J9" s="14">
        <f>VLOOKUP(algemeen!$E$55,algemeen!$B$52:$T$54,10,FALSE)</f>
        <v>10</v>
      </c>
      <c r="K9" s="14">
        <f>VLOOKUP(algemeen!$E$55,algemeen!$B$52:$T$54,11,FALSE)</f>
        <v>8</v>
      </c>
      <c r="L9" s="14">
        <f>VLOOKUP(algemeen!$E$55,algemeen!$B$52:$T$54,12,FALSE)</f>
        <v>6.3</v>
      </c>
      <c r="M9" s="14">
        <f>VLOOKUP(algemeen!$E$55,algemeen!$B$52:$T$54,13,FALSE)</f>
        <v>4</v>
      </c>
      <c r="N9" s="14">
        <f>VLOOKUP(algemeen!$E$55,algemeen!$B$52:$T$54,14,FALSE)</f>
        <v>2</v>
      </c>
      <c r="O9" s="14">
        <f>VLOOKUP(algemeen!$E$55,algemeen!$B$52:$T$54,15,FALSE)</f>
        <v>1</v>
      </c>
      <c r="P9" s="14">
        <f>VLOOKUP(algemeen!$E$55,algemeen!$B$52:$T$54,16,FALSE)</f>
        <v>0.5</v>
      </c>
      <c r="Q9" s="14">
        <f>VLOOKUP(algemeen!$E$55,algemeen!$B$52:$T$54,17,FALSE)</f>
        <v>0.25</v>
      </c>
      <c r="R9" s="14">
        <f>VLOOKUP(algemeen!$E$55,algemeen!$B$52:$T$54,18,FALSE)</f>
        <v>0.125</v>
      </c>
      <c r="S9" s="14">
        <f>VLOOKUP(algemeen!$E$55,algemeen!$B$52:$T$54,19,FALSE)</f>
        <v>6.3E-2</v>
      </c>
    </row>
    <row r="11" spans="1:42" x14ac:dyDescent="0.3">
      <c r="A11" s="1" t="s">
        <v>80</v>
      </c>
      <c r="C11" s="14">
        <f>samenstelling!B56</f>
        <v>71</v>
      </c>
      <c r="D11" s="1" t="s">
        <v>244</v>
      </c>
      <c r="F11" s="14">
        <f>100-M11</f>
        <v>95</v>
      </c>
      <c r="G11" s="75" t="s">
        <v>243</v>
      </c>
      <c r="I11" s="14">
        <f>samenstelling!C56</f>
        <v>30</v>
      </c>
      <c r="J11" s="77">
        <f>(I11-Q11)*100/(100-D$51)</f>
        <v>29.641185647425896</v>
      </c>
      <c r="K11" s="1" t="s">
        <v>245</v>
      </c>
      <c r="M11" s="76">
        <f>samenstelling!AC56</f>
        <v>5</v>
      </c>
      <c r="N11" s="1" t="s">
        <v>246</v>
      </c>
      <c r="P11" s="14">
        <f>I11</f>
        <v>30</v>
      </c>
      <c r="Q11" s="14">
        <f>M11*P11/100</f>
        <v>1.5</v>
      </c>
    </row>
    <row r="12" spans="1:42" x14ac:dyDescent="0.3">
      <c r="C12" s="14">
        <f>samenstelling!B57</f>
        <v>0</v>
      </c>
      <c r="D12" s="1" t="s">
        <v>244</v>
      </c>
      <c r="F12" s="14">
        <f t="shared" ref="F12:F13" si="1">100-M12</f>
        <v>100</v>
      </c>
      <c r="G12" s="75" t="s">
        <v>243</v>
      </c>
      <c r="I12" s="14">
        <f>samenstelling!C57</f>
        <v>0</v>
      </c>
      <c r="J12" s="77">
        <f t="shared" ref="J12:J13" si="2">(I12-Q12)*100/(100-D$51)</f>
        <v>0</v>
      </c>
      <c r="K12" s="1" t="s">
        <v>245</v>
      </c>
      <c r="M12" s="76">
        <f>samenstelling!AC57</f>
        <v>0</v>
      </c>
      <c r="N12" s="1" t="s">
        <v>246</v>
      </c>
      <c r="P12" s="14">
        <f t="shared" ref="P12:P13" si="3">I12</f>
        <v>0</v>
      </c>
      <c r="Q12" s="14">
        <f t="shared" ref="Q12:Q13" si="4">M12*P12/100</f>
        <v>0</v>
      </c>
    </row>
    <row r="13" spans="1:42" x14ac:dyDescent="0.3">
      <c r="C13" s="14">
        <f>samenstelling!B58</f>
        <v>0</v>
      </c>
      <c r="D13" s="1" t="s">
        <v>244</v>
      </c>
      <c r="F13" s="14">
        <f t="shared" si="1"/>
        <v>100</v>
      </c>
      <c r="G13" s="75" t="s">
        <v>243</v>
      </c>
      <c r="I13" s="14">
        <f>samenstelling!C58</f>
        <v>0</v>
      </c>
      <c r="J13" s="77">
        <f t="shared" si="2"/>
        <v>0</v>
      </c>
      <c r="K13" s="1" t="s">
        <v>245</v>
      </c>
      <c r="M13" s="76">
        <f>samenstelling!AC58</f>
        <v>0</v>
      </c>
      <c r="N13" s="1" t="s">
        <v>246</v>
      </c>
      <c r="P13" s="14">
        <f t="shared" si="3"/>
        <v>0</v>
      </c>
      <c r="Q13" s="14">
        <f t="shared" si="4"/>
        <v>0</v>
      </c>
    </row>
    <row r="14" spans="1:42" x14ac:dyDescent="0.3">
      <c r="W14" s="1" t="s">
        <v>1331</v>
      </c>
      <c r="X14" s="1" t="s">
        <v>1223</v>
      </c>
      <c r="AE14" s="1" t="s">
        <v>309</v>
      </c>
      <c r="AF14" s="1" t="s">
        <v>1335</v>
      </c>
      <c r="AJ14" s="1" t="s">
        <v>310</v>
      </c>
      <c r="AK14" s="1" t="s">
        <v>1336</v>
      </c>
    </row>
    <row r="15" spans="1:42" ht="14.5" x14ac:dyDescent="0.35">
      <c r="A15" s="1" t="s">
        <v>255</v>
      </c>
      <c r="C15" s="130">
        <f>samenstelling!B88</f>
        <v>1</v>
      </c>
      <c r="D15" s="76">
        <f>IF(D$9="",0,IF(samenstelling!$C8=0,0,IF(samenstelling!W8="",100,samenstelling!W8)))</f>
        <v>100</v>
      </c>
      <c r="E15" s="76">
        <f>IF(E$9="",0,IF(samenstelling!$C8=0,0,IF(samenstelling!X8="",100,samenstelling!X8)))</f>
        <v>100</v>
      </c>
      <c r="F15" s="76">
        <f>IF(F$9="",0,IF(samenstelling!$C8=0,0,IF(samenstelling!Y8="",100,samenstelling!Y8)))</f>
        <v>99</v>
      </c>
      <c r="G15" s="76">
        <f>IF(G$9="",0,IF(samenstelling!$C8=0,0,IF(samenstelling!Z8="",100,samenstelling!Z8)))</f>
        <v>55</v>
      </c>
      <c r="H15" s="76">
        <f>IF(H$9="",0,IF(samenstelling!$C8=0,0,IF(samenstelling!AA8="",100,samenstelling!AA8)))</f>
        <v>25</v>
      </c>
      <c r="I15" s="76">
        <f>IF(I$9="",0,IF(samenstelling!$C8=0,0,IF(samenstelling!AB8="",100,samenstelling!AB8)))</f>
        <v>10</v>
      </c>
      <c r="J15" s="76">
        <f>IF(J$9="",0,IF(samenstelling!$C8=0,0,IF(samenstelling!AC8="",100,samenstelling!AC8)))</f>
        <v>2</v>
      </c>
      <c r="K15" s="76">
        <f>IF(K$9="",0,IF(samenstelling!$C8=0,0,IF(samenstelling!AD8="",100,samenstelling!AD8)))</f>
        <v>1</v>
      </c>
      <c r="L15" s="76">
        <f>IF(L$9="",0,IF(samenstelling!$C8=0,0,IF(samenstelling!AE8="",100,samenstelling!AE8)))</f>
        <v>0.9</v>
      </c>
      <c r="M15" s="76">
        <f>IF(M$9="",0,IF(samenstelling!$C8=0,0,IF(samenstelling!AF8="",100,samenstelling!AF8)))</f>
        <v>0.8</v>
      </c>
      <c r="N15" s="76">
        <f>IF(N$9="",0,IF(samenstelling!$C8=0,0,IF(samenstelling!AG8="",100,samenstelling!AG8)))</f>
        <v>0.7</v>
      </c>
      <c r="O15" s="76">
        <f>IF(O$9="",0,IF(samenstelling!$C8=0,0,IF(samenstelling!AH8="",100,samenstelling!AH8)))</f>
        <v>0.6</v>
      </c>
      <c r="P15" s="76">
        <f>IF(P$9="",0,IF(samenstelling!$C8=0,0,IF(samenstelling!AI8="",100,samenstelling!AI8)))</f>
        <v>0.5</v>
      </c>
      <c r="Q15" s="76">
        <f>IF(Q$9="",0,IF(samenstelling!$C8=0,0,IF(samenstelling!AJ8="",100,samenstelling!AJ8)))</f>
        <v>0.4</v>
      </c>
      <c r="R15" s="76">
        <f>IF(R$9="",0,IF(samenstelling!$C8=0,0,IF(samenstelling!AK8="",100,samenstelling!AK8)))</f>
        <v>0.3</v>
      </c>
      <c r="S15" s="77">
        <f>IF(S$9="",0,IF(samenstelling!$C8=0,0,IF(samenstelling!AL8="",100,samenstelling!AL8)))</f>
        <v>0.2</v>
      </c>
      <c r="U15" s="1" t="s">
        <v>308</v>
      </c>
      <c r="W15" s="1342">
        <f>IF(OR(samenstelling!S8=0,samenstelling!S8=""),0.000001,samenstelling!Z88/samenstelling!S8)</f>
        <v>3.6572248117604875E-3</v>
      </c>
      <c r="Y15" s="1" t="s">
        <v>291</v>
      </c>
      <c r="AA15" s="77">
        <f>HLOOKUP(2,samenstelling!K$87:Z$109,2,FALSE)</f>
        <v>3.5699999999999996E-2</v>
      </c>
      <c r="AC15" s="1" t="s">
        <v>306</v>
      </c>
      <c r="AE15" s="77">
        <f>samenstelling!C88-AA15</f>
        <v>5.0642999999999994</v>
      </c>
      <c r="AF15" s="1342">
        <f>IF(OR(samenstelling!S8=0,samenstelling!S8=""),0.000001,AE15/samenstelling!S8)</f>
        <v>1.8158121190390817</v>
      </c>
      <c r="AH15" s="1" t="s">
        <v>292</v>
      </c>
      <c r="AJ15" s="77">
        <f>AA15-samenstelling!Z88</f>
        <v>2.5499999999999995E-2</v>
      </c>
      <c r="AK15" s="1342">
        <f>IF(OR(samenstelling!S8=0,samenstelling!S8=""),0.000001,AJ15/samenstelling!S8)</f>
        <v>9.1430620294012162E-3</v>
      </c>
      <c r="AM15" s="1" t="s">
        <v>307</v>
      </c>
      <c r="AO15" s="14">
        <f>IF(samenstelling!U8="R",100,0)</f>
        <v>0</v>
      </c>
      <c r="AP15" s="76">
        <f t="shared" ref="AP15:AP30" si="5">AJ15*AO15/100</f>
        <v>0</v>
      </c>
    </row>
    <row r="16" spans="1:42" ht="14.5" x14ac:dyDescent="0.35">
      <c r="C16" s="130">
        <f>samenstelling!B89</f>
        <v>2</v>
      </c>
      <c r="D16" s="76">
        <f>IF(D$9="",0,IF(samenstelling!$C9=0,0,IF(samenstelling!W9="",100,samenstelling!W9)))</f>
        <v>100</v>
      </c>
      <c r="E16" s="76">
        <f>IF(E$9="",0,IF(samenstelling!$C9=0,0,IF(samenstelling!X9="",100,samenstelling!X9)))</f>
        <v>100</v>
      </c>
      <c r="F16" s="76">
        <f>IF(F$9="",0,IF(samenstelling!$C9=0,0,IF(samenstelling!Y9="",100,samenstelling!Y9)))</f>
        <v>100</v>
      </c>
      <c r="G16" s="76">
        <f>IF(G$9="",0,IF(samenstelling!$C9=0,0,IF(samenstelling!Z9="",100,samenstelling!Z9)))</f>
        <v>98</v>
      </c>
      <c r="H16" s="76">
        <f>IF(H$9="",0,IF(samenstelling!$C9=0,0,IF(samenstelling!AA9="",100,samenstelling!AA9)))</f>
        <v>97</v>
      </c>
      <c r="I16" s="76">
        <f>IF(I$9="",0,IF(samenstelling!$C9=0,0,IF(samenstelling!AB9="",100,samenstelling!AB9)))</f>
        <v>72</v>
      </c>
      <c r="J16" s="76">
        <f>IF(J$9="",0,IF(samenstelling!$C9=0,0,IF(samenstelling!AC9="",100,samenstelling!AC9)))</f>
        <v>65</v>
      </c>
      <c r="K16" s="76">
        <f>IF(K$9="",0,IF(samenstelling!$C9=0,0,IF(samenstelling!AD9="",100,samenstelling!AD9)))</f>
        <v>44</v>
      </c>
      <c r="L16" s="76">
        <f>IF(L$9="",0,IF(samenstelling!$C9=0,0,IF(samenstelling!AE9="",100,samenstelling!AE9)))</f>
        <v>21</v>
      </c>
      <c r="M16" s="76">
        <f>IF(M$9="",0,IF(samenstelling!$C9=0,0,IF(samenstelling!AF9="",100,samenstelling!AF9)))</f>
        <v>10</v>
      </c>
      <c r="N16" s="76">
        <f>IF(N$9="",0,IF(samenstelling!$C9=0,0,IF(samenstelling!AG9="",100,samenstelling!AG9)))</f>
        <v>4</v>
      </c>
      <c r="O16" s="76">
        <f>IF(O$9="",0,IF(samenstelling!$C9=0,0,IF(samenstelling!AH9="",100,samenstelling!AH9)))</f>
        <v>3</v>
      </c>
      <c r="P16" s="76">
        <f>IF(P$9="",0,IF(samenstelling!$C9=0,0,IF(samenstelling!AI9="",100,samenstelling!AI9)))</f>
        <v>2</v>
      </c>
      <c r="Q16" s="76">
        <f>IF(Q$9="",0,IF(samenstelling!$C9=0,0,IF(samenstelling!AJ9="",100,samenstelling!AJ9)))</f>
        <v>1</v>
      </c>
      <c r="R16" s="76">
        <f>IF(R$9="",0,IF(samenstelling!$C9=0,0,IF(samenstelling!AK9="",100,samenstelling!AK9)))</f>
        <v>0.5</v>
      </c>
      <c r="S16" s="77">
        <f>IF(S$9="",0,IF(samenstelling!$C9=0,0,IF(samenstelling!AL9="",100,samenstelling!AL9)))</f>
        <v>0.2</v>
      </c>
      <c r="W16" s="1342">
        <f>IF(OR(samenstelling!S9=0,samenstelling!S9=""),0.000001,samenstelling!Z89/samenstelling!S9)</f>
        <v>7.3170731707317086E-3</v>
      </c>
      <c r="AA16" s="77">
        <f>HLOOKUP(2,samenstelling!K$87:Z$109,3,FALSE)</f>
        <v>0.40799999999999997</v>
      </c>
      <c r="AE16" s="77">
        <f>samenstelling!C89-AA16</f>
        <v>9.7919999999999998</v>
      </c>
      <c r="AF16" s="1342">
        <f>IF(OR(samenstelling!S9=0,samenstelling!S9=""),0.000001,AE16/samenstelling!S9)</f>
        <v>3.5121951219512195</v>
      </c>
      <c r="AJ16" s="77">
        <f>AA16-samenstelling!Z89</f>
        <v>0.38759999999999994</v>
      </c>
      <c r="AK16" s="1342">
        <f>IF(OR(samenstelling!S9=0,samenstelling!S9=""),0.000001,AJ16/samenstelling!S9)</f>
        <v>0.13902439024390242</v>
      </c>
      <c r="AO16" s="14">
        <f>IF(samenstelling!U9="R",100,0)</f>
        <v>0</v>
      </c>
      <c r="AP16" s="76">
        <f t="shared" si="5"/>
        <v>0</v>
      </c>
    </row>
    <row r="17" spans="3:42" ht="14.5" x14ac:dyDescent="0.35">
      <c r="C17" s="130">
        <f>samenstelling!B90</f>
        <v>3</v>
      </c>
      <c r="D17" s="76">
        <f>IF(D$9="",0,IF(samenstelling!$C10=0,0,IF(samenstelling!W10="",100,samenstelling!W10)))</f>
        <v>100</v>
      </c>
      <c r="E17" s="76">
        <f>IF(E$9="",0,IF(samenstelling!$C10=0,0,IF(samenstelling!X10="",100,samenstelling!X10)))</f>
        <v>100</v>
      </c>
      <c r="F17" s="76">
        <f>IF(F$9="",0,IF(samenstelling!$C10=0,0,IF(samenstelling!Y10="",100,samenstelling!Y10)))</f>
        <v>100</v>
      </c>
      <c r="G17" s="76">
        <f>IF(G$9="",0,IF(samenstelling!$C10=0,0,IF(samenstelling!Z10="",100,samenstelling!Z10)))</f>
        <v>100</v>
      </c>
      <c r="H17" s="76">
        <f>IF(H$9="",0,IF(samenstelling!$C10=0,0,IF(samenstelling!AA10="",100,samenstelling!AA10)))</f>
        <v>100</v>
      </c>
      <c r="I17" s="76">
        <f>IF(I$9="",0,IF(samenstelling!$C10=0,0,IF(samenstelling!AB10="",100,samenstelling!AB10)))</f>
        <v>100</v>
      </c>
      <c r="J17" s="76">
        <f>IF(J$9="",0,IF(samenstelling!$C10=0,0,IF(samenstelling!AC10="",100,samenstelling!AC10)))</f>
        <v>100</v>
      </c>
      <c r="K17" s="76">
        <f>IF(K$9="",0,IF(samenstelling!$C10=0,0,IF(samenstelling!AD10="",100,samenstelling!AD10)))</f>
        <v>98</v>
      </c>
      <c r="L17" s="76">
        <f>IF(L$9="",0,IF(samenstelling!$C10=0,0,IF(samenstelling!AE10="",100,samenstelling!AE10)))</f>
        <v>85</v>
      </c>
      <c r="M17" s="76">
        <f>IF(M$9="",0,IF(samenstelling!$C10=0,0,IF(samenstelling!AF10="",100,samenstelling!AF10)))</f>
        <v>64</v>
      </c>
      <c r="N17" s="76">
        <f>IF(N$9="",0,IF(samenstelling!$C10=0,0,IF(samenstelling!AG10="",100,samenstelling!AG10)))</f>
        <v>23</v>
      </c>
      <c r="O17" s="76">
        <f>IF(O$9="",0,IF(samenstelling!$C10=0,0,IF(samenstelling!AH10="",100,samenstelling!AH10)))</f>
        <v>11</v>
      </c>
      <c r="P17" s="76">
        <f>IF(P$9="",0,IF(samenstelling!$C10=0,0,IF(samenstelling!AI10="",100,samenstelling!AI10)))</f>
        <v>4</v>
      </c>
      <c r="Q17" s="76">
        <f>IF(Q$9="",0,IF(samenstelling!$C10=0,0,IF(samenstelling!AJ10="",100,samenstelling!AJ10)))</f>
        <v>3</v>
      </c>
      <c r="R17" s="76">
        <f>IF(R$9="",0,IF(samenstelling!$C10=0,0,IF(samenstelling!AK10="",100,samenstelling!AK10)))</f>
        <v>2</v>
      </c>
      <c r="S17" s="77">
        <f>IF(S$9="",0,IF(samenstelling!$C10=0,0,IF(samenstelling!AL10="",100,samenstelling!AL10)))</f>
        <v>1</v>
      </c>
      <c r="W17" s="1342">
        <f>IF(OR(samenstelling!S10=0,samenstelling!S10=""),0.000001,samenstelling!Z90/samenstelling!S10)</f>
        <v>5.4917444364680545E-2</v>
      </c>
      <c r="AA17" s="77">
        <f>HLOOKUP(2,samenstelling!K$87:Z$109,4,FALSE)</f>
        <v>3.5190000000000001</v>
      </c>
      <c r="AE17" s="77">
        <f>samenstelling!C90-AA17</f>
        <v>11.781000000000001</v>
      </c>
      <c r="AF17" s="1342">
        <f>IF(OR(samenstelling!S10=0,samenstelling!S10=""),0.000001,AE17/samenstelling!S10)</f>
        <v>4.2286432160804024</v>
      </c>
      <c r="AJ17" s="77">
        <f>AA17-samenstelling!Z90</f>
        <v>3.3660000000000001</v>
      </c>
      <c r="AK17" s="1342">
        <f>IF(OR(samenstelling!S10=0,samenstelling!S10=""),0.000001,AJ17/samenstelling!S10)</f>
        <v>1.2081837760229721</v>
      </c>
      <c r="AO17" s="14">
        <f>IF(samenstelling!U10="R",100,0)</f>
        <v>100</v>
      </c>
      <c r="AP17" s="76">
        <f t="shared" si="5"/>
        <v>3.3660000000000001</v>
      </c>
    </row>
    <row r="18" spans="3:42" ht="14.5" x14ac:dyDescent="0.35">
      <c r="C18" s="130">
        <f>samenstelling!B91</f>
        <v>0</v>
      </c>
      <c r="D18" s="76">
        <f>IF(D$9="",0,IF(samenstelling!$C11=0,0,IF(samenstelling!W11="",100,samenstelling!W11)))</f>
        <v>100</v>
      </c>
      <c r="E18" s="76">
        <f>IF(E$9="",0,IF(samenstelling!$C11=0,0,IF(samenstelling!X11="",100,samenstelling!X11)))</f>
        <v>100</v>
      </c>
      <c r="F18" s="76">
        <f>IF(F$9="",0,IF(samenstelling!$C11=0,0,IF(samenstelling!Y11="",100,samenstelling!Y11)))</f>
        <v>100</v>
      </c>
      <c r="G18" s="76">
        <f>IF(G$9="",0,IF(samenstelling!$C11=0,0,IF(samenstelling!Z11="",100,samenstelling!Z11)))</f>
        <v>100</v>
      </c>
      <c r="H18" s="76">
        <f>IF(H$9="",0,IF(samenstelling!$C11=0,0,IF(samenstelling!AA11="",100,samenstelling!AA11)))</f>
        <v>100</v>
      </c>
      <c r="I18" s="76">
        <f>IF(I$9="",0,IF(samenstelling!$C11=0,0,IF(samenstelling!AB11="",100,samenstelling!AB11)))</f>
        <v>100</v>
      </c>
      <c r="J18" s="76">
        <f>IF(J$9="",0,IF(samenstelling!$C11=0,0,IF(samenstelling!AC11="",100,samenstelling!AC11)))</f>
        <v>100</v>
      </c>
      <c r="K18" s="76">
        <f>IF(K$9="",0,IF(samenstelling!$C11=0,0,IF(samenstelling!AD11="",100,samenstelling!AD11)))</f>
        <v>100</v>
      </c>
      <c r="L18" s="76">
        <f>IF(L$9="",0,IF(samenstelling!$C11=0,0,IF(samenstelling!AE11="",100,samenstelling!AE11)))</f>
        <v>100</v>
      </c>
      <c r="M18" s="76">
        <f>IF(M$9="",0,IF(samenstelling!$C11=0,0,IF(samenstelling!AF11="",100,samenstelling!AF11)))</f>
        <v>100</v>
      </c>
      <c r="N18" s="76">
        <f>IF(N$9="",0,IF(samenstelling!$C11=0,0,IF(samenstelling!AG11="",100,samenstelling!AG11)))</f>
        <v>100</v>
      </c>
      <c r="O18" s="76">
        <f>IF(O$9="",0,IF(samenstelling!$C11=0,0,IF(samenstelling!AH11="",100,samenstelling!AH11)))</f>
        <v>100</v>
      </c>
      <c r="P18" s="76">
        <f>IF(P$9="",0,IF(samenstelling!$C11=0,0,IF(samenstelling!AI11="",100,samenstelling!AI11)))</f>
        <v>100</v>
      </c>
      <c r="Q18" s="76">
        <f>IF(Q$9="",0,IF(samenstelling!$C11=0,0,IF(samenstelling!AJ11="",100,samenstelling!AJ11)))</f>
        <v>100</v>
      </c>
      <c r="R18" s="76">
        <f>IF(R$9="",0,IF(samenstelling!$C11=0,0,IF(samenstelling!AK11="",100,samenstelling!AK11)))</f>
        <v>100</v>
      </c>
      <c r="S18" s="77">
        <f>IF(S$9="",0,IF(samenstelling!$C11=0,0,IF(samenstelling!AL11="",100,samenstelling!AL11)))</f>
        <v>100</v>
      </c>
      <c r="W18" s="1342">
        <f>IF(OR(samenstelling!S11=0,samenstelling!S11=""),0.000001,samenstelling!Z91/samenstelling!S11)</f>
        <v>9.9999999999999995E-7</v>
      </c>
      <c r="AA18" s="77">
        <f>HLOOKUP(2,samenstelling!K$87:Z$109,5,FALSE)</f>
        <v>0</v>
      </c>
      <c r="AE18" s="77">
        <f>samenstelling!C91-AA18</f>
        <v>0</v>
      </c>
      <c r="AF18" s="1342">
        <f>IF(OR(samenstelling!S11=0,samenstelling!S11=""),0.000001,AE18/samenstelling!S11)</f>
        <v>9.9999999999999995E-7</v>
      </c>
      <c r="AJ18" s="77">
        <f>AA18-samenstelling!Z91</f>
        <v>0</v>
      </c>
      <c r="AK18" s="1342">
        <f>IF(OR(samenstelling!S11=0,samenstelling!S11=""),0.000001,AJ18/samenstelling!S11)</f>
        <v>9.9999999999999995E-7</v>
      </c>
      <c r="AO18" s="14">
        <f>IF(samenstelling!U11="R",100,0)</f>
        <v>0</v>
      </c>
      <c r="AP18" s="76">
        <f t="shared" si="5"/>
        <v>0</v>
      </c>
    </row>
    <row r="19" spans="3:42" ht="14.5" x14ac:dyDescent="0.35">
      <c r="C19" s="130">
        <f>samenstelling!B92</f>
        <v>0</v>
      </c>
      <c r="D19" s="76">
        <f>IF(D$9="",0,IF(samenstelling!$C12=0,0,IF(samenstelling!W12="",100,samenstelling!W12)))</f>
        <v>100</v>
      </c>
      <c r="E19" s="76">
        <f>IF(E$9="",0,IF(samenstelling!$C12=0,0,IF(samenstelling!X12="",100,samenstelling!X12)))</f>
        <v>100</v>
      </c>
      <c r="F19" s="76">
        <f>IF(F$9="",0,IF(samenstelling!$C12=0,0,IF(samenstelling!Y12="",100,samenstelling!Y12)))</f>
        <v>100</v>
      </c>
      <c r="G19" s="76">
        <f>IF(G$9="",0,IF(samenstelling!$C12=0,0,IF(samenstelling!Z12="",100,samenstelling!Z12)))</f>
        <v>100</v>
      </c>
      <c r="H19" s="76">
        <f>IF(H$9="",0,IF(samenstelling!$C12=0,0,IF(samenstelling!AA12="",100,samenstelling!AA12)))</f>
        <v>100</v>
      </c>
      <c r="I19" s="76">
        <f>IF(I$9="",0,IF(samenstelling!$C12=0,0,IF(samenstelling!AB12="",100,samenstelling!AB12)))</f>
        <v>100</v>
      </c>
      <c r="J19" s="76">
        <f>IF(J$9="",0,IF(samenstelling!$C12=0,0,IF(samenstelling!AC12="",100,samenstelling!AC12)))</f>
        <v>100</v>
      </c>
      <c r="K19" s="76">
        <f>IF(K$9="",0,IF(samenstelling!$C12=0,0,IF(samenstelling!AD12="",100,samenstelling!AD12)))</f>
        <v>100</v>
      </c>
      <c r="L19" s="76">
        <f>IF(L$9="",0,IF(samenstelling!$C12=0,0,IF(samenstelling!AE12="",100,samenstelling!AE12)))</f>
        <v>100</v>
      </c>
      <c r="M19" s="76">
        <f>IF(M$9="",0,IF(samenstelling!$C12=0,0,IF(samenstelling!AF12="",100,samenstelling!AF12)))</f>
        <v>100</v>
      </c>
      <c r="N19" s="76">
        <f>IF(N$9="",0,IF(samenstelling!$C12=0,0,IF(samenstelling!AG12="",100,samenstelling!AG12)))</f>
        <v>100</v>
      </c>
      <c r="O19" s="76">
        <f>IF(O$9="",0,IF(samenstelling!$C12=0,0,IF(samenstelling!AH12="",100,samenstelling!AH12)))</f>
        <v>100</v>
      </c>
      <c r="P19" s="76">
        <f>IF(P$9="",0,IF(samenstelling!$C12=0,0,IF(samenstelling!AI12="",100,samenstelling!AI12)))</f>
        <v>100</v>
      </c>
      <c r="Q19" s="76">
        <f>IF(Q$9="",0,IF(samenstelling!$C12=0,0,IF(samenstelling!AJ12="",100,samenstelling!AJ12)))</f>
        <v>100</v>
      </c>
      <c r="R19" s="76">
        <f>IF(R$9="",0,IF(samenstelling!$C12=0,0,IF(samenstelling!AK12="",100,samenstelling!AK12)))</f>
        <v>100</v>
      </c>
      <c r="S19" s="77">
        <f>IF(S$9="",0,IF(samenstelling!$C12=0,0,IF(samenstelling!AL12="",100,samenstelling!AL12)))</f>
        <v>100</v>
      </c>
      <c r="W19" s="1342">
        <f>IF(OR(samenstelling!S12=0,samenstelling!S12=""),0.000001,samenstelling!Z92/samenstelling!S12)</f>
        <v>9.9999999999999995E-7</v>
      </c>
      <c r="AA19" s="77">
        <f>HLOOKUP(2,samenstelling!K$87:Z$109,6,FALSE)</f>
        <v>0</v>
      </c>
      <c r="AE19" s="77">
        <f>samenstelling!C92-AA19</f>
        <v>0</v>
      </c>
      <c r="AF19" s="1342">
        <f>IF(OR(samenstelling!S12=0,samenstelling!S12=""),0.000001,AE19/samenstelling!S12)</f>
        <v>9.9999999999999995E-7</v>
      </c>
      <c r="AJ19" s="77">
        <f>AA19-samenstelling!Z92</f>
        <v>0</v>
      </c>
      <c r="AK19" s="1342">
        <f>IF(OR(samenstelling!S12=0,samenstelling!S12=""),0.000001,AJ19/samenstelling!S12)</f>
        <v>9.9999999999999995E-7</v>
      </c>
      <c r="AO19" s="14">
        <f>IF(samenstelling!U12="R",100,0)</f>
        <v>0</v>
      </c>
      <c r="AP19" s="76">
        <f t="shared" si="5"/>
        <v>0</v>
      </c>
    </row>
    <row r="20" spans="3:42" ht="14.5" x14ac:dyDescent="0.35">
      <c r="C20" s="130">
        <f>samenstelling!B93</f>
        <v>6</v>
      </c>
      <c r="D20" s="76">
        <f>IF(D$9="",0,IF(samenstelling!$C13=0,0,IF(samenstelling!W13="",100,samenstelling!W13)))</f>
        <v>100</v>
      </c>
      <c r="E20" s="76">
        <f>IF(E$9="",0,IF(samenstelling!$C13=0,0,IF(samenstelling!X13="",100,samenstelling!X13)))</f>
        <v>100</v>
      </c>
      <c r="F20" s="76">
        <f>IF(F$9="",0,IF(samenstelling!$C13=0,0,IF(samenstelling!Y13="",100,samenstelling!Y13)))</f>
        <v>100</v>
      </c>
      <c r="G20" s="76">
        <f>IF(G$9="",0,IF(samenstelling!$C13=0,0,IF(samenstelling!Z13="",100,samenstelling!Z13)))</f>
        <v>100</v>
      </c>
      <c r="H20" s="76">
        <f>IF(H$9="",0,IF(samenstelling!$C13=0,0,IF(samenstelling!AA13="",100,samenstelling!AA13)))</f>
        <v>100</v>
      </c>
      <c r="I20" s="76">
        <f>IF(I$9="",0,IF(samenstelling!$C13=0,0,IF(samenstelling!AB13="",100,samenstelling!AB13)))</f>
        <v>100</v>
      </c>
      <c r="J20" s="76">
        <f>IF(J$9="",0,IF(samenstelling!$C13=0,0,IF(samenstelling!AC13="",100,samenstelling!AC13)))</f>
        <v>95</v>
      </c>
      <c r="K20" s="76">
        <f>IF(K$9="",0,IF(samenstelling!$C13=0,0,IF(samenstelling!AD13="",100,samenstelling!AD13)))</f>
        <v>50</v>
      </c>
      <c r="L20" s="76">
        <f>IF(L$9="",0,IF(samenstelling!$C13=0,0,IF(samenstelling!AE13="",100,samenstelling!AE13)))</f>
        <v>12</v>
      </c>
      <c r="M20" s="76">
        <f>IF(M$9="",0,IF(samenstelling!$C13=0,0,IF(samenstelling!AF13="",100,samenstelling!AF13)))</f>
        <v>7</v>
      </c>
      <c r="N20" s="76">
        <f>IF(N$9="",0,IF(samenstelling!$C13=0,0,IF(samenstelling!AG13="",100,samenstelling!AG13)))</f>
        <v>6</v>
      </c>
      <c r="O20" s="76">
        <f>IF(O$9="",0,IF(samenstelling!$C13=0,0,IF(samenstelling!AH13="",100,samenstelling!AH13)))</f>
        <v>5</v>
      </c>
      <c r="P20" s="76">
        <f>IF(P$9="",0,IF(samenstelling!$C13=0,0,IF(samenstelling!AI13="",100,samenstelling!AI13)))</f>
        <v>4</v>
      </c>
      <c r="Q20" s="76">
        <f>IF(Q$9="",0,IF(samenstelling!$C13=0,0,IF(samenstelling!AJ13="",100,samenstelling!AJ13)))</f>
        <v>3</v>
      </c>
      <c r="R20" s="76">
        <f>IF(R$9="",0,IF(samenstelling!$C13=0,0,IF(samenstelling!AK13="",100,samenstelling!AK13)))</f>
        <v>2</v>
      </c>
      <c r="S20" s="77">
        <f>IF(S$9="",0,IF(samenstelling!$C13=0,0,IF(samenstelling!AL13="",100,samenstelling!AL13)))</f>
        <v>1</v>
      </c>
      <c r="W20" s="1342">
        <f>IF(OR(samenstelling!S13=0,samenstelling!S13=""),0.000001,samenstelling!Z93/samenstelling!S13)</f>
        <v>0.10996884735202492</v>
      </c>
      <c r="AA20" s="77">
        <f>HLOOKUP(2,samenstelling!K$87:Z$109,7,FALSE)</f>
        <v>2.1179999999999999</v>
      </c>
      <c r="AE20" s="77">
        <f>samenstelling!C93-AA20</f>
        <v>33.181999999999995</v>
      </c>
      <c r="AF20" s="1342">
        <f>IF(OR(samenstelling!S13=0,samenstelling!S13=""),0.000001,AE20/samenstelling!S13)</f>
        <v>10.337071651090341</v>
      </c>
      <c r="AJ20" s="77">
        <f>AA20-samenstelling!Z93</f>
        <v>1.7649999999999999</v>
      </c>
      <c r="AK20" s="1342">
        <f>IF(OR(samenstelling!S13=0,samenstelling!S13=""),0.000001,AJ20/samenstelling!S13)</f>
        <v>0.54984423676012462</v>
      </c>
      <c r="AO20" s="14">
        <f>IF(samenstelling!U13="R",100,0)</f>
        <v>0</v>
      </c>
      <c r="AP20" s="76">
        <f t="shared" si="5"/>
        <v>0</v>
      </c>
    </row>
    <row r="21" spans="3:42" ht="14.5" x14ac:dyDescent="0.35">
      <c r="C21" s="130">
        <f>samenstelling!B94</f>
        <v>11</v>
      </c>
      <c r="D21" s="76">
        <f>IF(D$9="",0,IF(samenstelling!$C14=0,0,IF(samenstelling!W14="",100,samenstelling!W14)))</f>
        <v>0</v>
      </c>
      <c r="E21" s="76">
        <f>IF(E$9="",0,IF(samenstelling!$C14=0,0,IF(samenstelling!X14="",100,samenstelling!X14)))</f>
        <v>0</v>
      </c>
      <c r="F21" s="76">
        <f>IF(F$9="",0,IF(samenstelling!$C14=0,0,IF(samenstelling!Y14="",100,samenstelling!Y14)))</f>
        <v>0</v>
      </c>
      <c r="G21" s="76">
        <f>IF(G$9="",0,IF(samenstelling!$C14=0,0,IF(samenstelling!Z14="",100,samenstelling!Z14)))</f>
        <v>0</v>
      </c>
      <c r="H21" s="76">
        <f>IF(H$9="",0,IF(samenstelling!$C14=0,0,IF(samenstelling!AA14="",100,samenstelling!AA14)))</f>
        <v>0</v>
      </c>
      <c r="I21" s="76">
        <f>IF(I$9="",0,IF(samenstelling!$C14=0,0,IF(samenstelling!AB14="",100,samenstelling!AB14)))</f>
        <v>0</v>
      </c>
      <c r="J21" s="76">
        <f>IF(J$9="",0,IF(samenstelling!$C14=0,0,IF(samenstelling!AC14="",100,samenstelling!AC14)))</f>
        <v>0</v>
      </c>
      <c r="K21" s="76">
        <f>IF(K$9="",0,IF(samenstelling!$C14=0,0,IF(samenstelling!AD14="",100,samenstelling!AD14)))</f>
        <v>0</v>
      </c>
      <c r="L21" s="76">
        <f>IF(L$9="",0,IF(samenstelling!$C14=0,0,IF(samenstelling!AE14="",100,samenstelling!AE14)))</f>
        <v>0</v>
      </c>
      <c r="M21" s="76">
        <f>IF(M$9="",0,IF(samenstelling!$C14=0,0,IF(samenstelling!AF14="",100,samenstelling!AF14)))</f>
        <v>0</v>
      </c>
      <c r="N21" s="76">
        <f>IF(N$9="",0,IF(samenstelling!$C14=0,0,IF(samenstelling!AG14="",100,samenstelling!AG14)))</f>
        <v>0</v>
      </c>
      <c r="O21" s="76">
        <f>IF(O$9="",0,IF(samenstelling!$C14=0,0,IF(samenstelling!AH14="",100,samenstelling!AH14)))</f>
        <v>0</v>
      </c>
      <c r="P21" s="76">
        <f>IF(P$9="",0,IF(samenstelling!$C14=0,0,IF(samenstelling!AI14="",100,samenstelling!AI14)))</f>
        <v>0</v>
      </c>
      <c r="Q21" s="76">
        <f>IF(Q$9="",0,IF(samenstelling!$C14=0,0,IF(samenstelling!AJ14="",100,samenstelling!AJ14)))</f>
        <v>0</v>
      </c>
      <c r="R21" s="76">
        <f>IF(R$9="",0,IF(samenstelling!$C14=0,0,IF(samenstelling!AK14="",100,samenstelling!AK14)))</f>
        <v>0</v>
      </c>
      <c r="S21" s="77">
        <f>IF(S$9="",0,IF(samenstelling!$C14=0,0,IF(samenstelling!AL14="",100,samenstelling!AL14)))</f>
        <v>0</v>
      </c>
      <c r="W21" s="1342">
        <f>IF(OR(samenstelling!S14=0,samenstelling!S14=""),0.000001,samenstelling!Z94/samenstelling!S14)</f>
        <v>0</v>
      </c>
      <c r="AA21" s="77">
        <f>HLOOKUP(2,samenstelling!K$87:Z$109,8,FALSE)</f>
        <v>0</v>
      </c>
      <c r="AE21" s="77">
        <f>samenstelling!C94-AA21</f>
        <v>0</v>
      </c>
      <c r="AF21" s="1342">
        <f>IF(OR(samenstelling!S14=0,samenstelling!S14=""),0.000001,AE21/samenstelling!S14)</f>
        <v>0</v>
      </c>
      <c r="AJ21" s="77">
        <f>AA21-samenstelling!Z94</f>
        <v>0</v>
      </c>
      <c r="AK21" s="1342">
        <f>IF(OR(samenstelling!S14=0,samenstelling!S14=""),0.000001,AJ21/samenstelling!S14)</f>
        <v>0</v>
      </c>
      <c r="AO21" s="14">
        <f>IF(samenstelling!U14="R",100,0)</f>
        <v>0</v>
      </c>
      <c r="AP21" s="76">
        <f t="shared" si="5"/>
        <v>0</v>
      </c>
    </row>
    <row r="22" spans="3:42" ht="14.5" x14ac:dyDescent="0.35">
      <c r="C22" s="130">
        <f>samenstelling!B95</f>
        <v>12</v>
      </c>
      <c r="D22" s="76">
        <f>IF(D$9="",0,IF(samenstelling!$C15=0,0,IF(samenstelling!W15="",100,samenstelling!W15)))</f>
        <v>0</v>
      </c>
      <c r="E22" s="76">
        <f>IF(E$9="",0,IF(samenstelling!$C15=0,0,IF(samenstelling!X15="",100,samenstelling!X15)))</f>
        <v>0</v>
      </c>
      <c r="F22" s="76">
        <f>IF(F$9="",0,IF(samenstelling!$C15=0,0,IF(samenstelling!Y15="",100,samenstelling!Y15)))</f>
        <v>0</v>
      </c>
      <c r="G22" s="76">
        <f>IF(G$9="",0,IF(samenstelling!$C15=0,0,IF(samenstelling!Z15="",100,samenstelling!Z15)))</f>
        <v>0</v>
      </c>
      <c r="H22" s="76">
        <f>IF(H$9="",0,IF(samenstelling!$C15=0,0,IF(samenstelling!AA15="",100,samenstelling!AA15)))</f>
        <v>0</v>
      </c>
      <c r="I22" s="76">
        <f>IF(I$9="",0,IF(samenstelling!$C15=0,0,IF(samenstelling!AB15="",100,samenstelling!AB15)))</f>
        <v>0</v>
      </c>
      <c r="J22" s="76">
        <f>IF(J$9="",0,IF(samenstelling!$C15=0,0,IF(samenstelling!AC15="",100,samenstelling!AC15)))</f>
        <v>0</v>
      </c>
      <c r="K22" s="76">
        <f>IF(K$9="",0,IF(samenstelling!$C15=0,0,IF(samenstelling!AD15="",100,samenstelling!AD15)))</f>
        <v>0</v>
      </c>
      <c r="L22" s="76">
        <f>IF(L$9="",0,IF(samenstelling!$C15=0,0,IF(samenstelling!AE15="",100,samenstelling!AE15)))</f>
        <v>0</v>
      </c>
      <c r="M22" s="76">
        <f>IF(M$9="",0,IF(samenstelling!$C15=0,0,IF(samenstelling!AF15="",100,samenstelling!AF15)))</f>
        <v>0</v>
      </c>
      <c r="N22" s="76">
        <f>IF(N$9="",0,IF(samenstelling!$C15=0,0,IF(samenstelling!AG15="",100,samenstelling!AG15)))</f>
        <v>0</v>
      </c>
      <c r="O22" s="76">
        <f>IF(O$9="",0,IF(samenstelling!$C15=0,0,IF(samenstelling!AH15="",100,samenstelling!AH15)))</f>
        <v>0</v>
      </c>
      <c r="P22" s="76">
        <f>IF(P$9="",0,IF(samenstelling!$C15=0,0,IF(samenstelling!AI15="",100,samenstelling!AI15)))</f>
        <v>0</v>
      </c>
      <c r="Q22" s="76">
        <f>IF(Q$9="",0,IF(samenstelling!$C15=0,0,IF(samenstelling!AJ15="",100,samenstelling!AJ15)))</f>
        <v>0</v>
      </c>
      <c r="R22" s="76">
        <f>IF(R$9="",0,IF(samenstelling!$C15=0,0,IF(samenstelling!AK15="",100,samenstelling!AK15)))</f>
        <v>0</v>
      </c>
      <c r="S22" s="77">
        <f>IF(S$9="",0,IF(samenstelling!$C15=0,0,IF(samenstelling!AL15="",100,samenstelling!AL15)))</f>
        <v>0</v>
      </c>
      <c r="W22" s="1342">
        <f>IF(OR(samenstelling!S15=0,samenstelling!S15=""),0.000001,samenstelling!Z95/samenstelling!S15)</f>
        <v>0</v>
      </c>
      <c r="AA22" s="77">
        <f>HLOOKUP(2,samenstelling!K$87:Z$109,9,FALSE)</f>
        <v>0</v>
      </c>
      <c r="AE22" s="77">
        <f>samenstelling!C95-AA22</f>
        <v>0</v>
      </c>
      <c r="AF22" s="1342">
        <f>IF(OR(samenstelling!S15=0,samenstelling!S15=""),0.000001,AE22/samenstelling!S15)</f>
        <v>0</v>
      </c>
      <c r="AJ22" s="77">
        <f>AA22-samenstelling!Z95</f>
        <v>0</v>
      </c>
      <c r="AK22" s="1342">
        <f>IF(OR(samenstelling!S15=0,samenstelling!S15=""),0.000001,AJ22/samenstelling!S15)</f>
        <v>0</v>
      </c>
      <c r="AO22" s="14">
        <f>IF(samenstelling!U15="R",100,0)</f>
        <v>0</v>
      </c>
      <c r="AP22" s="76">
        <f t="shared" si="5"/>
        <v>0</v>
      </c>
    </row>
    <row r="23" spans="3:42" ht="14.5" x14ac:dyDescent="0.35">
      <c r="C23" s="130">
        <f>samenstelling!B96</f>
        <v>16</v>
      </c>
      <c r="D23" s="76">
        <f>IF(D$9="",0,IF(samenstelling!$C16=0,0,IF(samenstelling!W16="",100,samenstelling!W16)))</f>
        <v>0</v>
      </c>
      <c r="E23" s="76">
        <f>IF(E$9="",0,IF(samenstelling!$C16=0,0,IF(samenstelling!X16="",100,samenstelling!X16)))</f>
        <v>0</v>
      </c>
      <c r="F23" s="76">
        <f>IF(F$9="",0,IF(samenstelling!$C16=0,0,IF(samenstelling!Y16="",100,samenstelling!Y16)))</f>
        <v>0</v>
      </c>
      <c r="G23" s="76">
        <f>IF(G$9="",0,IF(samenstelling!$C16=0,0,IF(samenstelling!Z16="",100,samenstelling!Z16)))</f>
        <v>0</v>
      </c>
      <c r="H23" s="76">
        <f>IF(H$9="",0,IF(samenstelling!$C16=0,0,IF(samenstelling!AA16="",100,samenstelling!AA16)))</f>
        <v>0</v>
      </c>
      <c r="I23" s="76">
        <f>IF(I$9="",0,IF(samenstelling!$C16=0,0,IF(samenstelling!AB16="",100,samenstelling!AB16)))</f>
        <v>0</v>
      </c>
      <c r="J23" s="76">
        <f>IF(J$9="",0,IF(samenstelling!$C16=0,0,IF(samenstelling!AC16="",100,samenstelling!AC16)))</f>
        <v>0</v>
      </c>
      <c r="K23" s="76">
        <f>IF(K$9="",0,IF(samenstelling!$C16=0,0,IF(samenstelling!AD16="",100,samenstelling!AD16)))</f>
        <v>0</v>
      </c>
      <c r="L23" s="76">
        <f>IF(L$9="",0,IF(samenstelling!$C16=0,0,IF(samenstelling!AE16="",100,samenstelling!AE16)))</f>
        <v>0</v>
      </c>
      <c r="M23" s="76">
        <f>IF(M$9="",0,IF(samenstelling!$C16=0,0,IF(samenstelling!AF16="",100,samenstelling!AF16)))</f>
        <v>0</v>
      </c>
      <c r="N23" s="76">
        <f>IF(N$9="",0,IF(samenstelling!$C16=0,0,IF(samenstelling!AG16="",100,samenstelling!AG16)))</f>
        <v>0</v>
      </c>
      <c r="O23" s="76">
        <f>IF(O$9="",0,IF(samenstelling!$C16=0,0,IF(samenstelling!AH16="",100,samenstelling!AH16)))</f>
        <v>0</v>
      </c>
      <c r="P23" s="76">
        <f>IF(P$9="",0,IF(samenstelling!$C16=0,0,IF(samenstelling!AI16="",100,samenstelling!AI16)))</f>
        <v>0</v>
      </c>
      <c r="Q23" s="76">
        <f>IF(Q$9="",0,IF(samenstelling!$C16=0,0,IF(samenstelling!AJ16="",100,samenstelling!AJ16)))</f>
        <v>0</v>
      </c>
      <c r="R23" s="76">
        <f>IF(R$9="",0,IF(samenstelling!$C16=0,0,IF(samenstelling!AK16="",100,samenstelling!AK16)))</f>
        <v>0</v>
      </c>
      <c r="S23" s="77">
        <f>IF(S$9="",0,IF(samenstelling!$C16=0,0,IF(samenstelling!AL16="",100,samenstelling!AL16)))</f>
        <v>0</v>
      </c>
      <c r="W23" s="1342">
        <f>IF(OR(samenstelling!S16=0,samenstelling!S16=""),0.000001,samenstelling!Z96/samenstelling!S16)</f>
        <v>0</v>
      </c>
      <c r="AA23" s="77">
        <f>HLOOKUP(2,samenstelling!K$87:Z$109,10,FALSE)</f>
        <v>0</v>
      </c>
      <c r="AE23" s="77">
        <f>samenstelling!C96-AA23</f>
        <v>0</v>
      </c>
      <c r="AF23" s="1342">
        <f>IF(OR(samenstelling!S16=0,samenstelling!S16=""),0.000001,AE23/samenstelling!S16)</f>
        <v>0</v>
      </c>
      <c r="AJ23" s="77">
        <f>AA23-samenstelling!Z96</f>
        <v>0</v>
      </c>
      <c r="AK23" s="1342">
        <f>IF(OR(samenstelling!S16=0,samenstelling!S16=""),0.000001,AJ23/samenstelling!S16)</f>
        <v>0</v>
      </c>
      <c r="AO23" s="14">
        <f>IF(samenstelling!U16="R",100,0)</f>
        <v>0</v>
      </c>
      <c r="AP23" s="76">
        <f t="shared" si="5"/>
        <v>0</v>
      </c>
    </row>
    <row r="24" spans="3:42" ht="14.5" x14ac:dyDescent="0.35">
      <c r="C24" s="130">
        <f>samenstelling!B97</f>
        <v>0</v>
      </c>
      <c r="D24" s="76">
        <f>IF(D$9="",0,IF(samenstelling!$C17=0,0,IF(samenstelling!W17="",100,samenstelling!W17)))</f>
        <v>100</v>
      </c>
      <c r="E24" s="76">
        <f>IF(E$9="",0,IF(samenstelling!$C17=0,0,IF(samenstelling!X17="",100,samenstelling!X17)))</f>
        <v>100</v>
      </c>
      <c r="F24" s="76">
        <f>IF(F$9="",0,IF(samenstelling!$C17=0,0,IF(samenstelling!Y17="",100,samenstelling!Y17)))</f>
        <v>100</v>
      </c>
      <c r="G24" s="76">
        <f>IF(G$9="",0,IF(samenstelling!$C17=0,0,IF(samenstelling!Z17="",100,samenstelling!Z17)))</f>
        <v>100</v>
      </c>
      <c r="H24" s="76">
        <f>IF(H$9="",0,IF(samenstelling!$C17=0,0,IF(samenstelling!AA17="",100,samenstelling!AA17)))</f>
        <v>100</v>
      </c>
      <c r="I24" s="76">
        <f>IF(I$9="",0,IF(samenstelling!$C17=0,0,IF(samenstelling!AB17="",100,samenstelling!AB17)))</f>
        <v>100</v>
      </c>
      <c r="J24" s="76">
        <f>IF(J$9="",0,IF(samenstelling!$C17=0,0,IF(samenstelling!AC17="",100,samenstelling!AC17)))</f>
        <v>100</v>
      </c>
      <c r="K24" s="76">
        <f>IF(K$9="",0,IF(samenstelling!$C17=0,0,IF(samenstelling!AD17="",100,samenstelling!AD17)))</f>
        <v>100</v>
      </c>
      <c r="L24" s="76">
        <f>IF(L$9="",0,IF(samenstelling!$C17=0,0,IF(samenstelling!AE17="",100,samenstelling!AE17)))</f>
        <v>100</v>
      </c>
      <c r="M24" s="76">
        <f>IF(M$9="",0,IF(samenstelling!$C17=0,0,IF(samenstelling!AF17="",100,samenstelling!AF17)))</f>
        <v>100</v>
      </c>
      <c r="N24" s="76">
        <f>IF(N$9="",0,IF(samenstelling!$C17=0,0,IF(samenstelling!AG17="",100,samenstelling!AG17)))</f>
        <v>100</v>
      </c>
      <c r="O24" s="76">
        <f>IF(O$9="",0,IF(samenstelling!$C17=0,0,IF(samenstelling!AH17="",100,samenstelling!AH17)))</f>
        <v>100</v>
      </c>
      <c r="P24" s="76">
        <f>IF(P$9="",0,IF(samenstelling!$C17=0,0,IF(samenstelling!AI17="",100,samenstelling!AI17)))</f>
        <v>100</v>
      </c>
      <c r="Q24" s="76">
        <f>IF(Q$9="",0,IF(samenstelling!$C17=0,0,IF(samenstelling!AJ17="",100,samenstelling!AJ17)))</f>
        <v>100</v>
      </c>
      <c r="R24" s="76">
        <f>IF(R$9="",0,IF(samenstelling!$C17=0,0,IF(samenstelling!AK17="",100,samenstelling!AK17)))</f>
        <v>100</v>
      </c>
      <c r="S24" s="77">
        <f>IF(S$9="",0,IF(samenstelling!$C17=0,0,IF(samenstelling!AL17="",100,samenstelling!AL17)))</f>
        <v>100</v>
      </c>
      <c r="W24" s="1342">
        <f>IF(OR(samenstelling!S17=0,samenstelling!S17=""),0.000001,samenstelling!Z97/samenstelling!S17)</f>
        <v>9.9999999999999995E-7</v>
      </c>
      <c r="AA24" s="77">
        <f>HLOOKUP(2,samenstelling!K$87:Z$109,11,FALSE)</f>
        <v>0</v>
      </c>
      <c r="AE24" s="77">
        <f>samenstelling!C97-AA24</f>
        <v>0</v>
      </c>
      <c r="AF24" s="1342">
        <f>IF(OR(samenstelling!S17=0,samenstelling!S17=""),0.000001,AE24/samenstelling!S17)</f>
        <v>9.9999999999999995E-7</v>
      </c>
      <c r="AJ24" s="77">
        <f>AA24-samenstelling!Z97</f>
        <v>0</v>
      </c>
      <c r="AK24" s="1342">
        <f>IF(OR(samenstelling!S17=0,samenstelling!S17=""),0.000001,AJ24/samenstelling!S17)</f>
        <v>9.9999999999999995E-7</v>
      </c>
      <c r="AO24" s="14">
        <f>IF(samenstelling!U17="R",100,0)</f>
        <v>0</v>
      </c>
      <c r="AP24" s="76">
        <f t="shared" si="5"/>
        <v>0</v>
      </c>
    </row>
    <row r="25" spans="3:42" ht="14.5" x14ac:dyDescent="0.35">
      <c r="C25" s="130">
        <f>samenstelling!B98</f>
        <v>41</v>
      </c>
      <c r="D25" s="76">
        <f>IF(D$9="",0,IF(samenstelling!$C26=0,0,IF(samenstelling!W26="",100,samenstelling!W26)))</f>
        <v>100</v>
      </c>
      <c r="E25" s="76">
        <f>IF(E$9="",0,IF(samenstelling!$C26=0,0,IF(samenstelling!X26="",100,samenstelling!X26)))</f>
        <v>100</v>
      </c>
      <c r="F25" s="76">
        <f>IF(F$9="",0,IF(samenstelling!$C26=0,0,IF(samenstelling!Y26="",100,samenstelling!Y26)))</f>
        <v>100</v>
      </c>
      <c r="G25" s="76">
        <f>IF(G$9="",0,IF(samenstelling!$C26=0,0,IF(samenstelling!Z26="",100,samenstelling!Z26)))</f>
        <v>100</v>
      </c>
      <c r="H25" s="76">
        <f>IF(H$9="",0,IF(samenstelling!$C26=0,0,IF(samenstelling!AA26="",100,samenstelling!AA26)))</f>
        <v>100</v>
      </c>
      <c r="I25" s="76">
        <f>IF(I$9="",0,IF(samenstelling!$C26=0,0,IF(samenstelling!AB26="",100,samenstelling!AB26)))</f>
        <v>100</v>
      </c>
      <c r="J25" s="76">
        <f>IF(J$9="",0,IF(samenstelling!$C26=0,0,IF(samenstelling!AC26="",100,samenstelling!AC26)))</f>
        <v>100</v>
      </c>
      <c r="K25" s="76">
        <f>IF(K$9="",0,IF(samenstelling!$C26=0,0,IF(samenstelling!AD26="",100,samenstelling!AD26)))</f>
        <v>100</v>
      </c>
      <c r="L25" s="76">
        <f>IF(L$9="",0,IF(samenstelling!$C26=0,0,IF(samenstelling!AE26="",100,samenstelling!AE26)))</f>
        <v>100</v>
      </c>
      <c r="M25" s="76">
        <f>IF(M$9="",0,IF(samenstelling!$C26=0,0,IF(samenstelling!AF26="",100,samenstelling!AF26)))</f>
        <v>100</v>
      </c>
      <c r="N25" s="76">
        <f>IF(N$9="",0,IF(samenstelling!$C26=0,0,IF(samenstelling!AG26="",100,samenstelling!AG26)))</f>
        <v>100</v>
      </c>
      <c r="O25" s="76">
        <f>IF(O$9="",0,IF(samenstelling!$C26=0,0,IF(samenstelling!AH26="",100,samenstelling!AH26)))</f>
        <v>99</v>
      </c>
      <c r="P25" s="76">
        <f>IF(P$9="",0,IF(samenstelling!$C26=0,0,IF(samenstelling!AI26="",100,samenstelling!AI26)))</f>
        <v>98</v>
      </c>
      <c r="Q25" s="76">
        <f>IF(Q$9="",0,IF(samenstelling!$C26=0,0,IF(samenstelling!AJ26="",100,samenstelling!AJ26)))</f>
        <v>97</v>
      </c>
      <c r="R25" s="76">
        <f>IF(R$9="",0,IF(samenstelling!$C26=0,0,IF(samenstelling!AK26="",100,samenstelling!AK26)))</f>
        <v>90</v>
      </c>
      <c r="S25" s="77">
        <f>IF(S$9="",0,IF(samenstelling!$C26=0,0,IF(samenstelling!AL26="",100,samenstelling!AL26)))</f>
        <v>85</v>
      </c>
      <c r="W25" s="1342">
        <f>IF(OR(samenstelling!S26=0,samenstelling!S26=""),0.000001,samenstelling!Z98/samenstelling!S26)</f>
        <v>0.17314814814814816</v>
      </c>
      <c r="X25" s="1342">
        <f>IF(OR(samenstelling!AM26=0,samenstelling!AM26=""),0.000001,samenstelling!Z98/samenstelling!AM26)</f>
        <v>2.6714285714285718E-2</v>
      </c>
      <c r="AA25" s="77">
        <f>HLOOKUP(2,samenstelling!K$87:Z$109,12,FALSE)</f>
        <v>0.55000000000000004</v>
      </c>
      <c r="AE25" s="77">
        <f>samenstelling!C98-AA25</f>
        <v>0</v>
      </c>
      <c r="AF25" s="1342">
        <f>IF(OR(samenstelling!S26=0,samenstelling!S26=""),0.000001,AE25/samenstelling!S26)</f>
        <v>0</v>
      </c>
      <c r="AJ25" s="77">
        <f>AA25-samenstelling!Z98</f>
        <v>8.2499999999999962E-2</v>
      </c>
      <c r="AK25" s="1342">
        <f>IF(OR(samenstelling!S26=0,samenstelling!S26=""),0.000001,AJ25/samenstelling!S26)</f>
        <v>3.0555555555555541E-2</v>
      </c>
      <c r="AO25" s="14"/>
      <c r="AP25" s="76">
        <f t="shared" si="5"/>
        <v>0</v>
      </c>
    </row>
    <row r="26" spans="3:42" ht="14.5" x14ac:dyDescent="0.35">
      <c r="C26" s="130">
        <f>samenstelling!B99</f>
        <v>0</v>
      </c>
      <c r="D26" s="76">
        <f>IF(D$9="",0,IF(samenstelling!$C27=0,0,IF(samenstelling!W27="",100,samenstelling!W27)))</f>
        <v>100</v>
      </c>
      <c r="E26" s="76">
        <f>IF(E$9="",0,IF(samenstelling!$C27=0,0,IF(samenstelling!X27="",100,samenstelling!X27)))</f>
        <v>100</v>
      </c>
      <c r="F26" s="76">
        <f>IF(F$9="",0,IF(samenstelling!$C27=0,0,IF(samenstelling!Y27="",100,samenstelling!Y27)))</f>
        <v>100</v>
      </c>
      <c r="G26" s="76">
        <f>IF(G$9="",0,IF(samenstelling!$C27=0,0,IF(samenstelling!Z27="",100,samenstelling!Z27)))</f>
        <v>100</v>
      </c>
      <c r="H26" s="76">
        <f>IF(H$9="",0,IF(samenstelling!$C27=0,0,IF(samenstelling!AA27="",100,samenstelling!AA27)))</f>
        <v>100</v>
      </c>
      <c r="I26" s="76">
        <f>IF(I$9="",0,IF(samenstelling!$C27=0,0,IF(samenstelling!AB27="",100,samenstelling!AB27)))</f>
        <v>100</v>
      </c>
      <c r="J26" s="76">
        <f>IF(J$9="",0,IF(samenstelling!$C27=0,0,IF(samenstelling!AC27="",100,samenstelling!AC27)))</f>
        <v>100</v>
      </c>
      <c r="K26" s="76">
        <f>IF(K$9="",0,IF(samenstelling!$C27=0,0,IF(samenstelling!AD27="",100,samenstelling!AD27)))</f>
        <v>100</v>
      </c>
      <c r="L26" s="76">
        <f>IF(L$9="",0,IF(samenstelling!$C27=0,0,IF(samenstelling!AE27="",100,samenstelling!AE27)))</f>
        <v>100</v>
      </c>
      <c r="M26" s="76">
        <f>IF(M$9="",0,IF(samenstelling!$C27=0,0,IF(samenstelling!AF27="",100,samenstelling!AF27)))</f>
        <v>100</v>
      </c>
      <c r="N26" s="76">
        <f>IF(N$9="",0,IF(samenstelling!$C27=0,0,IF(samenstelling!AG27="",100,samenstelling!AG27)))</f>
        <v>100</v>
      </c>
      <c r="O26" s="76">
        <f>IF(O$9="",0,IF(samenstelling!$C27=0,0,IF(samenstelling!AH27="",100,samenstelling!AH27)))</f>
        <v>100</v>
      </c>
      <c r="P26" s="76">
        <f>IF(P$9="",0,IF(samenstelling!$C27=0,0,IF(samenstelling!AI27="",100,samenstelling!AI27)))</f>
        <v>100</v>
      </c>
      <c r="Q26" s="76">
        <f>IF(Q$9="",0,IF(samenstelling!$C27=0,0,IF(samenstelling!AJ27="",100,samenstelling!AJ27)))</f>
        <v>100</v>
      </c>
      <c r="R26" s="76">
        <f>IF(R$9="",0,IF(samenstelling!$C27=0,0,IF(samenstelling!AK27="",100,samenstelling!AK27)))</f>
        <v>100</v>
      </c>
      <c r="S26" s="77">
        <f>IF(S$9="",0,IF(samenstelling!$C27=0,0,IF(samenstelling!AL27="",100,samenstelling!AL27)))</f>
        <v>100</v>
      </c>
      <c r="W26" s="1342">
        <f>IF(OR(samenstelling!S27=0,samenstelling!S27=""),0.000001,samenstelling!Z99/samenstelling!S27)</f>
        <v>9.9999999999999995E-7</v>
      </c>
      <c r="X26" s="1342">
        <f>IF(OR(samenstelling!AM27=0,samenstelling!AM27=""),0.000001,samenstelling!Z99/samenstelling!AM27)</f>
        <v>9.9999999999999995E-7</v>
      </c>
      <c r="AA26" s="77">
        <f>HLOOKUP(2,samenstelling!K$87:Z$109,13,FALSE)</f>
        <v>0</v>
      </c>
      <c r="AE26" s="77">
        <f>samenstelling!C99-AA26</f>
        <v>0</v>
      </c>
      <c r="AF26" s="1342">
        <f>IF(OR(samenstelling!S27=0,samenstelling!S27=""),0.000001,AE26/samenstelling!S27)</f>
        <v>9.9999999999999995E-7</v>
      </c>
      <c r="AJ26" s="77">
        <f>AA26-samenstelling!Z99</f>
        <v>0</v>
      </c>
      <c r="AK26" s="1342">
        <f>IF(OR(samenstelling!S27=0,samenstelling!S27=""),0.000001,AJ26/samenstelling!S27)</f>
        <v>9.9999999999999995E-7</v>
      </c>
      <c r="AO26" s="14"/>
      <c r="AP26" s="76">
        <f t="shared" si="5"/>
        <v>0</v>
      </c>
    </row>
    <row r="27" spans="3:42" ht="14.5" x14ac:dyDescent="0.35">
      <c r="C27" s="130">
        <f>samenstelling!B100</f>
        <v>0</v>
      </c>
      <c r="D27" s="76">
        <f>IF(D$9="",0,IF(samenstelling!$C29=0,0,IF(samenstelling!W29="",100,samenstelling!W29)))</f>
        <v>100</v>
      </c>
      <c r="E27" s="76">
        <f>IF(E$9="",0,IF(samenstelling!$C29=0,0,IF(samenstelling!X29="",100,samenstelling!X29)))</f>
        <v>100</v>
      </c>
      <c r="F27" s="76">
        <f>IF(F$9="",0,IF(samenstelling!$C29=0,0,IF(samenstelling!Y29="",100,samenstelling!Y29)))</f>
        <v>100</v>
      </c>
      <c r="G27" s="76">
        <f>IF(G$9="",0,IF(samenstelling!$C29=0,0,IF(samenstelling!Z29="",100,samenstelling!Z29)))</f>
        <v>100</v>
      </c>
      <c r="H27" s="76">
        <f>IF(H$9="",0,IF(samenstelling!$C29=0,0,IF(samenstelling!AA29="",100,samenstelling!AA29)))</f>
        <v>100</v>
      </c>
      <c r="I27" s="76">
        <f>IF(I$9="",0,IF(samenstelling!$C29=0,0,IF(samenstelling!AB29="",100,samenstelling!AB29)))</f>
        <v>100</v>
      </c>
      <c r="J27" s="76">
        <f>IF(J$9="",0,IF(samenstelling!$C29=0,0,IF(samenstelling!AC29="",100,samenstelling!AC29)))</f>
        <v>100</v>
      </c>
      <c r="K27" s="76">
        <f>IF(K$9="",0,IF(samenstelling!$C29=0,0,IF(samenstelling!AD29="",100,samenstelling!AD29)))</f>
        <v>100</v>
      </c>
      <c r="L27" s="76">
        <f>IF(L$9="",0,IF(samenstelling!$C29=0,0,IF(samenstelling!AE29="",100,samenstelling!AE29)))</f>
        <v>100</v>
      </c>
      <c r="M27" s="76">
        <f>IF(M$9="",0,IF(samenstelling!$C29=0,0,IF(samenstelling!AF29="",100,samenstelling!AF29)))</f>
        <v>100</v>
      </c>
      <c r="N27" s="76">
        <f>IF(N$9="",0,IF(samenstelling!$C29=0,0,IF(samenstelling!AG29="",100,samenstelling!AG29)))</f>
        <v>100</v>
      </c>
      <c r="O27" s="76">
        <f>IF(O$9="",0,IF(samenstelling!$C29=0,0,IF(samenstelling!AH29="",100,samenstelling!AH29)))</f>
        <v>100</v>
      </c>
      <c r="P27" s="76">
        <f>IF(P$9="",0,IF(samenstelling!$C29=0,0,IF(samenstelling!AI29="",100,samenstelling!AI29)))</f>
        <v>100</v>
      </c>
      <c r="Q27" s="76">
        <f>IF(Q$9="",0,IF(samenstelling!$C29=0,0,IF(samenstelling!AJ29="",100,samenstelling!AJ29)))</f>
        <v>100</v>
      </c>
      <c r="R27" s="76">
        <f>IF(R$9="",0,IF(samenstelling!$C29=0,0,IF(samenstelling!AK29="",100,samenstelling!AK29)))</f>
        <v>100</v>
      </c>
      <c r="S27" s="77">
        <f>IF(S$9="",0,IF(samenstelling!$C29=0,0,IF(samenstelling!AL29="",100,samenstelling!AL29)))</f>
        <v>100</v>
      </c>
      <c r="W27" s="1342">
        <f>IF(OR(samenstelling!S29=0,samenstelling!S29=""),0.000001,samenstelling!Z100/samenstelling!S29)</f>
        <v>0.32773684252552676</v>
      </c>
      <c r="AA27" s="77">
        <f>HLOOKUP(2,samenstelling!K$87:Z$109,14,FALSE)</f>
        <v>1</v>
      </c>
      <c r="AE27" s="77">
        <f>samenstelling!C100-AA27</f>
        <v>0</v>
      </c>
      <c r="AF27" s="1342">
        <f>IF(OR(samenstelling!S29=0,samenstelling!S29=""),0.000001,AE27/samenstelling!S29)</f>
        <v>0</v>
      </c>
      <c r="AJ27" s="77">
        <f>AA27-samenstelling!Z100</f>
        <v>0</v>
      </c>
      <c r="AK27" s="1342">
        <f>IF(OR(samenstelling!S29=0,samenstelling!S29=""),0.000001,AJ27/samenstelling!S29)</f>
        <v>0</v>
      </c>
      <c r="AO27" s="14"/>
      <c r="AP27" s="76">
        <f t="shared" si="5"/>
        <v>0</v>
      </c>
    </row>
    <row r="28" spans="3:42" ht="14.5" x14ac:dyDescent="0.35">
      <c r="C28" s="130">
        <f>samenstelling!B101</f>
        <v>71</v>
      </c>
      <c r="D28" s="76">
        <f>IF(D$9="",0,IF(samenstelling!$C56=0,0,IF(samenstelling!AK56="",100,samenstelling!AK56)))</f>
        <v>100</v>
      </c>
      <c r="E28" s="76">
        <f>IF(E$9="",0,IF(samenstelling!$C56=0,0,IF(samenstelling!AL56="",100,samenstelling!AL56)))</f>
        <v>100</v>
      </c>
      <c r="F28" s="76">
        <f>IF(F$9="",0,IF(samenstelling!$C56=0,0,IF(samenstelling!AM56="",100,samenstelling!AM56)))</f>
        <v>100</v>
      </c>
      <c r="G28" s="76">
        <f>IF(G$9="",0,IF(samenstelling!$C56=0,0,IF(samenstelling!AN56="",100,samenstelling!AN56)))</f>
        <v>100</v>
      </c>
      <c r="H28" s="76">
        <f>IF(H$9="",0,IF(samenstelling!$C56=0,0,IF(samenstelling!AO56="",100,samenstelling!AO56)))</f>
        <v>100</v>
      </c>
      <c r="I28" s="76">
        <f>IF(I$9="",0,IF(samenstelling!$C56=0,0,IF(samenstelling!AP56="",100,samenstelling!AP56)))</f>
        <v>100</v>
      </c>
      <c r="J28" s="76">
        <f>IF(J$9="",0,IF(samenstelling!$C56=0,0,IF(samenstelling!AQ56="",100,samenstelling!AQ56)))</f>
        <v>100</v>
      </c>
      <c r="K28" s="76">
        <f>IF(K$9="",0,IF(samenstelling!$C56=0,0,IF(samenstelling!AR56="",100,samenstelling!AR56)))</f>
        <v>90</v>
      </c>
      <c r="L28" s="76">
        <f>IF(L$9="",0,IF(samenstelling!$C56=0,0,IF(samenstelling!AS56="",100,samenstelling!AS56)))</f>
        <v>80</v>
      </c>
      <c r="M28" s="76">
        <f>IF(M$9="",0,IF(samenstelling!$C56=0,0,IF(samenstelling!AT56="",100,samenstelling!AT56)))</f>
        <v>70</v>
      </c>
      <c r="N28" s="76">
        <f>IF(N$9="",0,IF(samenstelling!$C56=0,0,IF(samenstelling!AU56="",100,samenstelling!AU56)))</f>
        <v>60</v>
      </c>
      <c r="O28" s="76">
        <f>IF(O$9="",0,IF(samenstelling!$C56=0,0,IF(samenstelling!AV56="",100,samenstelling!AV56)))</f>
        <v>50</v>
      </c>
      <c r="P28" s="76">
        <f>IF(P$9="",0,IF(samenstelling!$C56=0,0,IF(samenstelling!AW56="",100,samenstelling!AW56)))</f>
        <v>40</v>
      </c>
      <c r="Q28" s="76">
        <f>IF(Q$9="",0,IF(samenstelling!$C56=0,0,IF(samenstelling!AX56="",100,samenstelling!AX56)))</f>
        <v>30</v>
      </c>
      <c r="R28" s="76">
        <f>IF(R$9="",0,IF(samenstelling!$C56=0,0,IF(samenstelling!AY56="",100,samenstelling!AY56)))</f>
        <v>20</v>
      </c>
      <c r="S28" s="76">
        <f>IF(S$9="",0,IF(samenstelling!$C56=0,0,IF(samenstelling!AZ56="",100,samenstelling!AZ56)))</f>
        <v>10</v>
      </c>
      <c r="W28" s="1342">
        <f>IF(OR(samenstelling!Y56=0,samenstelling!Y56=""),0.000001,samenstelling!Z101/samenstelling!Y56)</f>
        <v>1.122057959393866</v>
      </c>
      <c r="AA28" s="77">
        <f>HLOOKUP(2,samenstelling!K$87:Z$109,15,FALSE)</f>
        <v>17.784711388455538</v>
      </c>
      <c r="AE28" s="77">
        <f>samenstelling!C101-AA28</f>
        <v>11.856474258970358</v>
      </c>
      <c r="AF28" s="1342">
        <f>IF(OR(samenstelling!Y56=0,samenstelling!Y56=""),0.000001,AE28/samenstelling!Y56)</f>
        <v>4.488231837575464</v>
      </c>
      <c r="AJ28" s="77">
        <f>AA28-samenstelling!Z101</f>
        <v>14.820592823712948</v>
      </c>
      <c r="AK28" s="1342">
        <f>IF(OR(samenstelling!Y56=0,samenstelling!Y56=""),0.000001,AJ28/samenstelling!Y56)</f>
        <v>5.6102897969693304</v>
      </c>
      <c r="AO28" s="14">
        <v>33</v>
      </c>
      <c r="AP28" s="76">
        <f t="shared" si="5"/>
        <v>4.8907956318252728</v>
      </c>
    </row>
    <row r="29" spans="3:42" ht="14.5" x14ac:dyDescent="0.35">
      <c r="C29" s="130">
        <f>samenstelling!B102</f>
        <v>0</v>
      </c>
      <c r="D29" s="76">
        <f>IF(D$9="",0,IF(samenstelling!$C57=0,0,IF(samenstelling!AK57="",100,samenstelling!AK57)))</f>
        <v>0</v>
      </c>
      <c r="E29" s="76">
        <f>IF(E$9="",0,IF(samenstelling!$C57=0,0,IF(samenstelling!AL57="",100,samenstelling!AL57)))</f>
        <v>0</v>
      </c>
      <c r="F29" s="76">
        <f>IF(F$9="",0,IF(samenstelling!$C57=0,0,IF(samenstelling!AM57="",100,samenstelling!AM57)))</f>
        <v>0</v>
      </c>
      <c r="G29" s="76">
        <f>IF(G$9="",0,IF(samenstelling!$C57=0,0,IF(samenstelling!AN57="",100,samenstelling!AN57)))</f>
        <v>0</v>
      </c>
      <c r="H29" s="76">
        <f>IF(H$9="",0,IF(samenstelling!$C57=0,0,IF(samenstelling!AO57="",100,samenstelling!AO57)))</f>
        <v>0</v>
      </c>
      <c r="I29" s="76">
        <f>IF(I$9="",0,IF(samenstelling!$C57=0,0,IF(samenstelling!AP57="",100,samenstelling!AP57)))</f>
        <v>0</v>
      </c>
      <c r="J29" s="76">
        <f>IF(J$9="",0,IF(samenstelling!$C57=0,0,IF(samenstelling!AQ57="",100,samenstelling!AQ57)))</f>
        <v>0</v>
      </c>
      <c r="K29" s="76">
        <f>IF(K$9="",0,IF(samenstelling!$C57=0,0,IF(samenstelling!AR57="",100,samenstelling!AR57)))</f>
        <v>0</v>
      </c>
      <c r="L29" s="76">
        <f>IF(L$9="",0,IF(samenstelling!$C57=0,0,IF(samenstelling!AS57="",100,samenstelling!AS57)))</f>
        <v>0</v>
      </c>
      <c r="M29" s="76">
        <f>IF(M$9="",0,IF(samenstelling!$C57=0,0,IF(samenstelling!AT57="",100,samenstelling!AT57)))</f>
        <v>0</v>
      </c>
      <c r="N29" s="76">
        <f>IF(N$9="",0,IF(samenstelling!$C57=0,0,IF(samenstelling!AU57="",100,samenstelling!AU57)))</f>
        <v>0</v>
      </c>
      <c r="O29" s="76">
        <f>IF(O$9="",0,IF(samenstelling!$C57=0,0,IF(samenstelling!AV57="",100,samenstelling!AV57)))</f>
        <v>0</v>
      </c>
      <c r="P29" s="76">
        <f>IF(P$9="",0,IF(samenstelling!$C57=0,0,IF(samenstelling!AW57="",100,samenstelling!AW57)))</f>
        <v>0</v>
      </c>
      <c r="Q29" s="76">
        <f>IF(Q$9="",0,IF(samenstelling!$C57=0,0,IF(samenstelling!AX57="",100,samenstelling!AX57)))</f>
        <v>0</v>
      </c>
      <c r="R29" s="76">
        <f>IF(R$9="",0,IF(samenstelling!$C57=0,0,IF(samenstelling!AY57="",100,samenstelling!AY57)))</f>
        <v>0</v>
      </c>
      <c r="S29" s="76">
        <f>IF(S$9="",0,IF(samenstelling!$C57=0,0,IF(samenstelling!AZ57="",100,samenstelling!AZ57)))</f>
        <v>0</v>
      </c>
      <c r="W29" s="1342">
        <f>IF(OR(samenstelling!Y57=0,samenstelling!Y57=""),0.000001,samenstelling!Z102/samenstelling!Y57)</f>
        <v>9.9999999999999995E-7</v>
      </c>
      <c r="AA29" s="77">
        <f>HLOOKUP(2,samenstelling!K$87:Z$109,16,FALSE)</f>
        <v>0</v>
      </c>
      <c r="AE29" s="77">
        <f>samenstelling!C102-AA29</f>
        <v>0</v>
      </c>
      <c r="AF29" s="1342">
        <f>IF(OR(samenstelling!Y57=0,samenstelling!Y57=""),0.000001,AE29/samenstelling!Y57)</f>
        <v>9.9999999999999995E-7</v>
      </c>
      <c r="AJ29" s="77">
        <f>AA29-samenstelling!Z102</f>
        <v>0</v>
      </c>
      <c r="AK29" s="1342">
        <f>IF(OR(samenstelling!Y57=0,samenstelling!Y57=""),0.000001,AJ29/samenstelling!Y57)</f>
        <v>9.9999999999999995E-7</v>
      </c>
      <c r="AO29" s="14">
        <v>33</v>
      </c>
      <c r="AP29" s="76">
        <f t="shared" si="5"/>
        <v>0</v>
      </c>
    </row>
    <row r="30" spans="3:42" ht="14.5" x14ac:dyDescent="0.35">
      <c r="C30" s="130">
        <f>samenstelling!B103</f>
        <v>0</v>
      </c>
      <c r="D30" s="76">
        <f>IF(D$9="",0,IF(samenstelling!$C58=0,0,IF(samenstelling!AK58="",100,samenstelling!AK58)))</f>
        <v>0</v>
      </c>
      <c r="E30" s="76">
        <f>IF(E$9="",0,IF(samenstelling!$C58=0,0,IF(samenstelling!AL58="",100,samenstelling!AL58)))</f>
        <v>0</v>
      </c>
      <c r="F30" s="76">
        <f>IF(F$9="",0,IF(samenstelling!$C58=0,0,IF(samenstelling!AM58="",100,samenstelling!AM58)))</f>
        <v>0</v>
      </c>
      <c r="G30" s="76">
        <f>IF(G$9="",0,IF(samenstelling!$C58=0,0,IF(samenstelling!AN58="",100,samenstelling!AN58)))</f>
        <v>0</v>
      </c>
      <c r="H30" s="76">
        <f>IF(H$9="",0,IF(samenstelling!$C58=0,0,IF(samenstelling!AO58="",100,samenstelling!AO58)))</f>
        <v>0</v>
      </c>
      <c r="I30" s="76">
        <f>IF(I$9="",0,IF(samenstelling!$C58=0,0,IF(samenstelling!AP58="",100,samenstelling!AP58)))</f>
        <v>0</v>
      </c>
      <c r="J30" s="76">
        <f>IF(J$9="",0,IF(samenstelling!$C58=0,0,IF(samenstelling!AQ58="",100,samenstelling!AQ58)))</f>
        <v>0</v>
      </c>
      <c r="K30" s="76">
        <f>IF(K$9="",0,IF(samenstelling!$C58=0,0,IF(samenstelling!AR58="",100,samenstelling!AR58)))</f>
        <v>0</v>
      </c>
      <c r="L30" s="76">
        <f>IF(L$9="",0,IF(samenstelling!$C58=0,0,IF(samenstelling!AS58="",100,samenstelling!AS58)))</f>
        <v>0</v>
      </c>
      <c r="M30" s="76">
        <f>IF(M$9="",0,IF(samenstelling!$C58=0,0,IF(samenstelling!AT58="",100,samenstelling!AT58)))</f>
        <v>0</v>
      </c>
      <c r="N30" s="76">
        <f>IF(N$9="",0,IF(samenstelling!$C58=0,0,IF(samenstelling!AU58="",100,samenstelling!AU58)))</f>
        <v>0</v>
      </c>
      <c r="O30" s="76">
        <f>IF(O$9="",0,IF(samenstelling!$C58=0,0,IF(samenstelling!AV58="",100,samenstelling!AV58)))</f>
        <v>0</v>
      </c>
      <c r="P30" s="76">
        <f>IF(P$9="",0,IF(samenstelling!$C58=0,0,IF(samenstelling!AW58="",100,samenstelling!AW58)))</f>
        <v>0</v>
      </c>
      <c r="Q30" s="76">
        <f>IF(Q$9="",0,IF(samenstelling!$C58=0,0,IF(samenstelling!AX58="",100,samenstelling!AX58)))</f>
        <v>0</v>
      </c>
      <c r="R30" s="76">
        <f>IF(R$9="",0,IF(samenstelling!$C58=0,0,IF(samenstelling!AY58="",100,samenstelling!AY58)))</f>
        <v>0</v>
      </c>
      <c r="S30" s="76">
        <f>IF(S$9="",0,IF(samenstelling!$C58=0,0,IF(samenstelling!AZ58="",100,samenstelling!AZ58)))</f>
        <v>0</v>
      </c>
      <c r="W30" s="1342">
        <f>IF(OR(samenstelling!Y58=0,samenstelling!Y58=""),0.000001,samenstelling!Z103/samenstelling!Y58)</f>
        <v>9.9999999999999995E-7</v>
      </c>
      <c r="AA30" s="77">
        <f>HLOOKUP(2,samenstelling!K$87:Z$109,17,FALSE)</f>
        <v>0</v>
      </c>
      <c r="AE30" s="77">
        <f>samenstelling!C103-AA30</f>
        <v>0</v>
      </c>
      <c r="AF30" s="1342">
        <f>IF(OR(samenstelling!Y58=0,samenstelling!Y58=""),0.000001,AE30/samenstelling!Y58)</f>
        <v>9.9999999999999995E-7</v>
      </c>
      <c r="AJ30" s="77">
        <f>AA30-samenstelling!Z103</f>
        <v>0</v>
      </c>
      <c r="AK30" s="1342">
        <f>IF(OR(samenstelling!Y58=0,samenstelling!Y58=""),0.000001,AJ30/samenstelling!Y58)</f>
        <v>9.9999999999999995E-7</v>
      </c>
      <c r="AO30" s="14">
        <v>33</v>
      </c>
      <c r="AP30" s="76">
        <f t="shared" si="5"/>
        <v>0</v>
      </c>
    </row>
    <row r="31" spans="3:42" ht="14.5" x14ac:dyDescent="0.35">
      <c r="C31" s="130">
        <f>samenstelling!B104</f>
        <v>83</v>
      </c>
      <c r="D31" s="76">
        <f>IF(D$9="",0,IF(samenstelling!$C70=0,0,IF(samenstelling!W70="",100,samenstelling!W70)))</f>
        <v>100</v>
      </c>
      <c r="E31" s="76">
        <f>IF(E$9="",0,IF(samenstelling!$C70=0,0,IF(samenstelling!X70="",100,samenstelling!X70)))</f>
        <v>100</v>
      </c>
      <c r="F31" s="76">
        <f>IF(F$9="",0,IF(samenstelling!$C70=0,0,IF(samenstelling!Y70="",100,samenstelling!Y70)))</f>
        <v>100</v>
      </c>
      <c r="G31" s="76">
        <f>IF(G$9="",0,IF(samenstelling!$C70=0,0,IF(samenstelling!Z70="",100,samenstelling!Z70)))</f>
        <v>100</v>
      </c>
      <c r="H31" s="76">
        <f>IF(H$9="",0,IF(samenstelling!$C70=0,0,IF(samenstelling!AA70="",100,samenstelling!AA70)))</f>
        <v>100</v>
      </c>
      <c r="I31" s="76">
        <f>IF(I$9="",0,IF(samenstelling!$C70=0,0,IF(samenstelling!AB70="",100,samenstelling!AB70)))</f>
        <v>100</v>
      </c>
      <c r="J31" s="76">
        <f>IF(J$9="",0,IF(samenstelling!$C70=0,0,IF(samenstelling!AC70="",100,samenstelling!AC70)))</f>
        <v>100</v>
      </c>
      <c r="K31" s="76">
        <f>IF(K$9="",0,IF(samenstelling!$C70=0,0,IF(samenstelling!AD70="",100,samenstelling!AD70)))</f>
        <v>100</v>
      </c>
      <c r="L31" s="76">
        <f>IF(L$9="",0,IF(samenstelling!$C70=0,0,IF(samenstelling!AE70="",100,samenstelling!AE70)))</f>
        <v>100</v>
      </c>
      <c r="M31" s="76">
        <f>IF(M$9="",0,IF(samenstelling!$C70=0,0,IF(samenstelling!AF70="",100,samenstelling!AF70)))</f>
        <v>100</v>
      </c>
      <c r="N31" s="76">
        <f>IF(N$9="",0,IF(samenstelling!$C70=0,0,IF(samenstelling!AG70="",100,samenstelling!AG70)))</f>
        <v>100</v>
      </c>
      <c r="O31" s="76">
        <f>IF(O$9="",0,IF(samenstelling!$C70=0,0,IF(samenstelling!AH70="",100,samenstelling!AH70)))</f>
        <v>100</v>
      </c>
      <c r="P31" s="76">
        <f>IF(P$9="",0,IF(samenstelling!$C70=0,0,IF(samenstelling!AI70="",100,samenstelling!AI70)))</f>
        <v>100</v>
      </c>
      <c r="Q31" s="76">
        <f>IF(Q$9="",0,IF(samenstelling!$C70=0,0,IF(samenstelling!AJ70="",100,samenstelling!AJ70)))</f>
        <v>100</v>
      </c>
      <c r="R31" s="76">
        <f>IF(R$9="",0,IF(samenstelling!$C70=0,0,IF(samenstelling!AK70="",100,samenstelling!AK70)))</f>
        <v>100</v>
      </c>
      <c r="S31" s="77">
        <f>IF(S$9="",0,IF(samenstelling!$C70=0,0,IF(samenstelling!AL70="",100,samenstelling!AL70)))</f>
        <v>100</v>
      </c>
      <c r="W31" s="1342">
        <f>IF(OR(samenstelling!S70=0,samenstelling!S70=""),0.000001,samenstelling!Z104/samenstelling!S70)</f>
        <v>0.56399999999999995</v>
      </c>
      <c r="AA31" s="77">
        <f>HLOOKUP(2,samenstelling!K$87:Z$109,18,FALSE)</f>
        <v>2.82</v>
      </c>
      <c r="AE31" s="77">
        <f>samenstelling!C104-AA31</f>
        <v>0</v>
      </c>
      <c r="AF31" s="1342">
        <f>IF(OR(samenstelling!S70=0,samenstelling!S70=""),0.000001,AE31/samenstelling!S70)</f>
        <v>0</v>
      </c>
      <c r="AJ31" s="77">
        <f>AA31-samenstelling!Z104</f>
        <v>0</v>
      </c>
      <c r="AK31" s="1342">
        <f>IF(OR(samenstelling!S70=0,samenstelling!S70=""),0.000001,AJ31/samenstelling!S70)</f>
        <v>0</v>
      </c>
      <c r="AO31" s="14"/>
      <c r="AP31" s="76"/>
    </row>
    <row r="32" spans="3:42" ht="14.5" x14ac:dyDescent="0.35">
      <c r="C32" s="130">
        <f>samenstelling!B105</f>
        <v>0</v>
      </c>
      <c r="D32" s="76">
        <f>IF(D$9="",0,IF(samenstelling!$C71=0,0,IF(samenstelling!W71="",100,samenstelling!W71)))</f>
        <v>0</v>
      </c>
      <c r="E32" s="76">
        <f>IF(E$9="",0,IF(samenstelling!$C71=0,0,IF(samenstelling!X71="",100,samenstelling!X71)))</f>
        <v>0</v>
      </c>
      <c r="F32" s="76">
        <f>IF(F$9="",0,IF(samenstelling!$C71=0,0,IF(samenstelling!Y71="",100,samenstelling!Y71)))</f>
        <v>0</v>
      </c>
      <c r="G32" s="76">
        <f>IF(G$9="",0,IF(samenstelling!$C71=0,0,IF(samenstelling!Z71="",100,samenstelling!Z71)))</f>
        <v>0</v>
      </c>
      <c r="H32" s="76">
        <f>IF(H$9="",0,IF(samenstelling!$C71=0,0,IF(samenstelling!AA71="",100,samenstelling!AA71)))</f>
        <v>0</v>
      </c>
      <c r="I32" s="76">
        <f>IF(I$9="",0,IF(samenstelling!$C71=0,0,IF(samenstelling!AB71="",100,samenstelling!AB71)))</f>
        <v>0</v>
      </c>
      <c r="J32" s="76">
        <f>IF(J$9="",0,IF(samenstelling!$C71=0,0,IF(samenstelling!AC71="",100,samenstelling!AC71)))</f>
        <v>0</v>
      </c>
      <c r="K32" s="76">
        <f>IF(K$9="",0,IF(samenstelling!$C71=0,0,IF(samenstelling!AD71="",100,samenstelling!AD71)))</f>
        <v>0</v>
      </c>
      <c r="L32" s="76">
        <f>IF(L$9="",0,IF(samenstelling!$C71=0,0,IF(samenstelling!AE71="",100,samenstelling!AE71)))</f>
        <v>0</v>
      </c>
      <c r="M32" s="76">
        <f>IF(M$9="",0,IF(samenstelling!$C71=0,0,IF(samenstelling!AF71="",100,samenstelling!AF71)))</f>
        <v>0</v>
      </c>
      <c r="N32" s="76">
        <f>IF(N$9="",0,IF(samenstelling!$C71=0,0,IF(samenstelling!AG71="",100,samenstelling!AG71)))</f>
        <v>0</v>
      </c>
      <c r="O32" s="76">
        <f>IF(O$9="",0,IF(samenstelling!$C71=0,0,IF(samenstelling!AH71="",100,samenstelling!AH71)))</f>
        <v>0</v>
      </c>
      <c r="P32" s="76">
        <f>IF(P$9="",0,IF(samenstelling!$C71=0,0,IF(samenstelling!AI71="",100,samenstelling!AI71)))</f>
        <v>0</v>
      </c>
      <c r="Q32" s="76">
        <f>IF(Q$9="",0,IF(samenstelling!$C71=0,0,IF(samenstelling!AJ71="",100,samenstelling!AJ71)))</f>
        <v>0</v>
      </c>
      <c r="R32" s="76">
        <f>IF(R$9="",0,IF(samenstelling!$C71=0,0,IF(samenstelling!AK71="",100,samenstelling!AK71)))</f>
        <v>0</v>
      </c>
      <c r="S32" s="77">
        <f>IF(S$9="",0,IF(samenstelling!$C71=0,0,IF(samenstelling!AL71="",100,samenstelling!AL71)))</f>
        <v>0</v>
      </c>
      <c r="W32" s="1342">
        <f>IF(OR(samenstelling!S71=0,samenstelling!S71=""),0.000001,samenstelling!Z105/samenstelling!S71)</f>
        <v>9.9999999999999995E-7</v>
      </c>
      <c r="AA32" s="77">
        <f>HLOOKUP(2,samenstelling!K$87:Z$109,19,FALSE)</f>
        <v>0</v>
      </c>
      <c r="AE32" s="77">
        <f>samenstelling!C105-AA32</f>
        <v>0</v>
      </c>
      <c r="AF32" s="1342">
        <f>IF(OR(samenstelling!S71=0,samenstelling!S71=""),0.000001,AE32/samenstelling!S71)</f>
        <v>9.9999999999999995E-7</v>
      </c>
      <c r="AJ32" s="77">
        <f>AA32-samenstelling!Z105</f>
        <v>0</v>
      </c>
      <c r="AK32" s="1342">
        <f>IF(OR(samenstelling!S71=0,samenstelling!S71=""),0.000001,AJ32/samenstelling!S71)</f>
        <v>9.9999999999999995E-7</v>
      </c>
      <c r="AO32" s="14"/>
      <c r="AP32" s="76"/>
    </row>
    <row r="33" spans="1:42" ht="14.5" x14ac:dyDescent="0.35">
      <c r="C33" s="130">
        <f>samenstelling!B106</f>
        <v>0</v>
      </c>
      <c r="D33" s="76">
        <f>IF(D$9="",0,IF(samenstelling!$C72=0,0,IF(samenstelling!W72="",100,samenstelling!W72)))</f>
        <v>0</v>
      </c>
      <c r="E33" s="76">
        <f>IF(E$9="",0,IF(samenstelling!$C72=0,0,IF(samenstelling!X72="",100,samenstelling!X72)))</f>
        <v>0</v>
      </c>
      <c r="F33" s="76">
        <f>IF(F$9="",0,IF(samenstelling!$C72=0,0,IF(samenstelling!Y72="",100,samenstelling!Y72)))</f>
        <v>0</v>
      </c>
      <c r="G33" s="76">
        <f>IF(G$9="",0,IF(samenstelling!$C72=0,0,IF(samenstelling!Z72="",100,samenstelling!Z72)))</f>
        <v>0</v>
      </c>
      <c r="H33" s="76">
        <f>IF(H$9="",0,IF(samenstelling!$C72=0,0,IF(samenstelling!AA72="",100,samenstelling!AA72)))</f>
        <v>0</v>
      </c>
      <c r="I33" s="76">
        <f>IF(I$9="",0,IF(samenstelling!$C72=0,0,IF(samenstelling!AB72="",100,samenstelling!AB72)))</f>
        <v>0</v>
      </c>
      <c r="J33" s="76">
        <f>IF(J$9="",0,IF(samenstelling!$C72=0,0,IF(samenstelling!AC72="",100,samenstelling!AC72)))</f>
        <v>0</v>
      </c>
      <c r="K33" s="76">
        <f>IF(K$9="",0,IF(samenstelling!$C72=0,0,IF(samenstelling!AD72="",100,samenstelling!AD72)))</f>
        <v>0</v>
      </c>
      <c r="L33" s="76">
        <f>IF(L$9="",0,IF(samenstelling!$C72=0,0,IF(samenstelling!AE72="",100,samenstelling!AE72)))</f>
        <v>0</v>
      </c>
      <c r="M33" s="76">
        <f>IF(M$9="",0,IF(samenstelling!$C72=0,0,IF(samenstelling!AF72="",100,samenstelling!AF72)))</f>
        <v>0</v>
      </c>
      <c r="N33" s="76">
        <f>IF(N$9="",0,IF(samenstelling!$C72=0,0,IF(samenstelling!AG72="",100,samenstelling!AG72)))</f>
        <v>0</v>
      </c>
      <c r="O33" s="76">
        <f>IF(O$9="",0,IF(samenstelling!$C72=0,0,IF(samenstelling!AH72="",100,samenstelling!AH72)))</f>
        <v>0</v>
      </c>
      <c r="P33" s="76">
        <f>IF(P$9="",0,IF(samenstelling!$C72=0,0,IF(samenstelling!AI72="",100,samenstelling!AI72)))</f>
        <v>0</v>
      </c>
      <c r="Q33" s="76">
        <f>IF(Q$9="",0,IF(samenstelling!$C72=0,0,IF(samenstelling!AJ72="",100,samenstelling!AJ72)))</f>
        <v>0</v>
      </c>
      <c r="R33" s="76">
        <f>IF(R$9="",0,IF(samenstelling!$C72=0,0,IF(samenstelling!AK72="",100,samenstelling!AK72)))</f>
        <v>0</v>
      </c>
      <c r="S33" s="77">
        <f>IF(S$9="",0,IF(samenstelling!$C72=0,0,IF(samenstelling!AL72="",100,samenstelling!AL72)))</f>
        <v>0</v>
      </c>
      <c r="W33" s="1342">
        <f>IF(OR(samenstelling!S72=0,samenstelling!S72=""),0.000001,samenstelling!Z106/samenstelling!S72)</f>
        <v>9.9999999999999995E-7</v>
      </c>
      <c r="AA33" s="77">
        <f>HLOOKUP(2,samenstelling!K$87:Z$109,20,FALSE)</f>
        <v>0</v>
      </c>
      <c r="AE33" s="77">
        <f>samenstelling!C106-AA33</f>
        <v>0</v>
      </c>
      <c r="AF33" s="1342">
        <f>IF(OR(samenstelling!S72=0,samenstelling!S72=""),0.000001,AE33/samenstelling!S72)</f>
        <v>9.9999999999999995E-7</v>
      </c>
      <c r="AJ33" s="77">
        <f>AA33-samenstelling!Z106</f>
        <v>0</v>
      </c>
      <c r="AK33" s="1342">
        <f>IF(OR(samenstelling!S72=0,samenstelling!S72=""),0.000001,AJ33/samenstelling!S72)</f>
        <v>9.9999999999999995E-7</v>
      </c>
      <c r="AO33" s="14"/>
      <c r="AP33" s="76"/>
    </row>
    <row r="34" spans="1:42" ht="14.5" x14ac:dyDescent="0.35">
      <c r="C34" s="130">
        <f>samenstelling!B107</f>
        <v>96</v>
      </c>
      <c r="D34" s="76">
        <f>IF(D$9="",0,IF(samenstelling!$C107=0,0,IF(samenstelling!W73="",100,samenstelling!W73)))</f>
        <v>100</v>
      </c>
      <c r="E34" s="76">
        <f>IF(E$9="",0,IF(samenstelling!$C107=0,0,IF(samenstelling!X73="",100,samenstelling!X73)))</f>
        <v>100</v>
      </c>
      <c r="F34" s="76">
        <f>IF(F$9="",0,IF(samenstelling!$C107=0,0,IF(samenstelling!Y73="",100,samenstelling!Y73)))</f>
        <v>100</v>
      </c>
      <c r="G34" s="76">
        <f>IF(G$9="",0,IF(samenstelling!$C107=0,0,IF(samenstelling!Z73="",100,samenstelling!Z73)))</f>
        <v>100</v>
      </c>
      <c r="H34" s="76">
        <f>IF(H$9="",0,IF(samenstelling!$C107=0,0,IF(samenstelling!AA73="",100,samenstelling!AA73)))</f>
        <v>100</v>
      </c>
      <c r="I34" s="76">
        <f>IF(I$9="",0,IF(samenstelling!$C107=0,0,IF(samenstelling!AB73="",100,samenstelling!AB73)))</f>
        <v>100</v>
      </c>
      <c r="J34" s="76">
        <f>IF(J$9="",0,IF(samenstelling!$C107=0,0,IF(samenstelling!AC73="",100,samenstelling!AC73)))</f>
        <v>100</v>
      </c>
      <c r="K34" s="76">
        <f>IF(K$9="",0,IF(samenstelling!$C107=0,0,IF(samenstelling!AD73="",100,samenstelling!AD73)))</f>
        <v>100</v>
      </c>
      <c r="L34" s="76">
        <f>IF(L$9="",0,IF(samenstelling!$C107=0,0,IF(samenstelling!AE73="",100,samenstelling!AE73)))</f>
        <v>100</v>
      </c>
      <c r="M34" s="76">
        <f>IF(M$9="",0,IF(samenstelling!$C107=0,0,IF(samenstelling!AF73="",100,samenstelling!AF73)))</f>
        <v>100</v>
      </c>
      <c r="N34" s="76">
        <f>IF(N$9="",0,IF(samenstelling!$C107=0,0,IF(samenstelling!AG73="",100,samenstelling!AG73)))</f>
        <v>100</v>
      </c>
      <c r="O34" s="76">
        <f>IF(O$9="",0,IF(samenstelling!$C107=0,0,IF(samenstelling!AH73="",100,samenstelling!AH73)))</f>
        <v>100</v>
      </c>
      <c r="P34" s="76">
        <f>IF(P$9="",0,IF(samenstelling!$C107=0,0,IF(samenstelling!AI73="",100,samenstelling!AI73)))</f>
        <v>100</v>
      </c>
      <c r="Q34" s="76">
        <f>IF(Q$9="",0,IF(samenstelling!$C107=0,0,IF(samenstelling!AJ73="",100,samenstelling!AJ73)))</f>
        <v>100</v>
      </c>
      <c r="R34" s="76">
        <f>IF(R$9="",0,IF(samenstelling!$C107=0,0,IF(samenstelling!AK73="",100,samenstelling!AK73)))</f>
        <v>95</v>
      </c>
      <c r="S34" s="76">
        <f>IF(S$9="",0,IF(samenstelling!$C107=0,0,IF(samenstelling!AL73="",100,samenstelling!AL73)))</f>
        <v>90</v>
      </c>
      <c r="W34" s="1342">
        <f>IF(OR(samenstelling!S73=0,samenstelling!S73=""),0.000001,samenstelling!Z107/samenstelling!S73)</f>
        <v>4.4054726368159207E-2</v>
      </c>
      <c r="AA34" s="77">
        <f>HLOOKUP(2,samenstelling!K$87:Z$109,21,FALSE)</f>
        <v>8.8550000000000004E-2</v>
      </c>
      <c r="AE34" s="77">
        <f>samenstelling!C107-AA34</f>
        <v>0</v>
      </c>
      <c r="AF34" s="1342">
        <f>IF(OR(samenstelling!S73=0,samenstelling!S73=""),0.000001,AE34/samenstelling!S73)</f>
        <v>0</v>
      </c>
      <c r="AJ34" s="77">
        <f>AA34-samenstelling!Z107</f>
        <v>8.8550000000000018E-3</v>
      </c>
      <c r="AK34" s="1342">
        <f>IF(OR(samenstelling!S73=0,samenstelling!S73=""),0.000001,AJ34/samenstelling!S73)</f>
        <v>4.8949695964621348E-3</v>
      </c>
      <c r="AO34" s="14"/>
      <c r="AP34" s="76"/>
    </row>
    <row r="35" spans="1:42" ht="14.5" x14ac:dyDescent="0.35">
      <c r="C35" s="130">
        <f>samenstelling!B108</f>
        <v>0</v>
      </c>
      <c r="D35" s="76">
        <f>IF(D$9="",0,IF(samenstelling!$C108=0,0,IF(samenstelling!W74="",100,samenstelling!W74)))</f>
        <v>0</v>
      </c>
      <c r="E35" s="76">
        <f>IF(E$9="",0,IF(samenstelling!$C108=0,0,IF(samenstelling!X74="",100,samenstelling!X74)))</f>
        <v>0</v>
      </c>
      <c r="F35" s="76">
        <f>IF(F$9="",0,IF(samenstelling!$C108=0,0,IF(samenstelling!Y74="",100,samenstelling!Y74)))</f>
        <v>0</v>
      </c>
      <c r="G35" s="76">
        <f>IF(G$9="",0,IF(samenstelling!$C108=0,0,IF(samenstelling!Z74="",100,samenstelling!Z74)))</f>
        <v>0</v>
      </c>
      <c r="H35" s="76">
        <f>IF(H$9="",0,IF(samenstelling!$C108=0,0,IF(samenstelling!AA74="",100,samenstelling!AA74)))</f>
        <v>0</v>
      </c>
      <c r="I35" s="76">
        <f>IF(I$9="",0,IF(samenstelling!$C108=0,0,IF(samenstelling!AB74="",100,samenstelling!AB74)))</f>
        <v>0</v>
      </c>
      <c r="J35" s="76">
        <f>IF(J$9="",0,IF(samenstelling!$C108=0,0,IF(samenstelling!AC74="",100,samenstelling!AC74)))</f>
        <v>0</v>
      </c>
      <c r="K35" s="76">
        <f>IF(K$9="",0,IF(samenstelling!$C108=0,0,IF(samenstelling!AD74="",100,samenstelling!AD74)))</f>
        <v>0</v>
      </c>
      <c r="L35" s="76">
        <f>IF(L$9="",0,IF(samenstelling!$C108=0,0,IF(samenstelling!AE74="",100,samenstelling!AE74)))</f>
        <v>0</v>
      </c>
      <c r="M35" s="76">
        <f>IF(M$9="",0,IF(samenstelling!$C108=0,0,IF(samenstelling!AF74="",100,samenstelling!AF74)))</f>
        <v>0</v>
      </c>
      <c r="N35" s="76">
        <f>IF(N$9="",0,IF(samenstelling!$C108=0,0,IF(samenstelling!AG74="",100,samenstelling!AG74)))</f>
        <v>0</v>
      </c>
      <c r="O35" s="76">
        <f>IF(O$9="",0,IF(samenstelling!$C108=0,0,IF(samenstelling!AH74="",100,samenstelling!AH74)))</f>
        <v>0</v>
      </c>
      <c r="P35" s="76">
        <f>IF(P$9="",0,IF(samenstelling!$C108=0,0,IF(samenstelling!AI74="",100,samenstelling!AI74)))</f>
        <v>0</v>
      </c>
      <c r="Q35" s="76">
        <f>IF(Q$9="",0,IF(samenstelling!$C108=0,0,IF(samenstelling!AJ74="",100,samenstelling!AJ74)))</f>
        <v>0</v>
      </c>
      <c r="R35" s="76">
        <f>IF(R$9="",0,IF(samenstelling!$C108=0,0,IF(samenstelling!AK74="",100,samenstelling!AK74)))</f>
        <v>0</v>
      </c>
      <c r="S35" s="76">
        <f>IF(S$9="",0,IF(samenstelling!$C108=0,0,IF(samenstelling!AL74="",100,samenstelling!AL74)))</f>
        <v>0</v>
      </c>
      <c r="W35" s="1342">
        <f>IF(OR(samenstelling!S74=0,samenstelling!S74=""),0.000001,samenstelling!Z108/samenstelling!S74)</f>
        <v>9.9999999999999995E-7</v>
      </c>
      <c r="AA35" s="77">
        <f>HLOOKUP(2,samenstelling!K$87:Z$109,22,FALSE)</f>
        <v>0</v>
      </c>
      <c r="AE35" s="77">
        <f>samenstelling!C108-AA35</f>
        <v>0</v>
      </c>
      <c r="AF35" s="1342">
        <f>IF(OR(samenstelling!S74=0,samenstelling!S74=""),0.000001,AE35/samenstelling!S74)</f>
        <v>9.9999999999999995E-7</v>
      </c>
      <c r="AJ35" s="77">
        <f>AA35-samenstelling!Z108</f>
        <v>0</v>
      </c>
      <c r="AK35" s="1342">
        <f>IF(OR(samenstelling!S74=0,samenstelling!S74=""),0.000001,AJ35/samenstelling!S74)</f>
        <v>9.9999999999999995E-7</v>
      </c>
      <c r="AO35" s="14"/>
      <c r="AP35" s="76"/>
    </row>
    <row r="36" spans="1:42" x14ac:dyDescent="0.3">
      <c r="C36" s="75"/>
      <c r="D36" s="121"/>
      <c r="E36" s="121"/>
      <c r="F36" s="121"/>
      <c r="G36" s="121"/>
      <c r="H36" s="121"/>
      <c r="I36" s="121"/>
      <c r="J36" s="121"/>
      <c r="K36" s="121"/>
      <c r="L36" s="121"/>
      <c r="M36" s="121"/>
      <c r="N36" s="121"/>
      <c r="O36" s="121"/>
      <c r="P36" s="121"/>
      <c r="Q36" s="121"/>
      <c r="R36" s="121"/>
    </row>
    <row r="37" spans="1:42" x14ac:dyDescent="0.3">
      <c r="H37" s="1" t="s">
        <v>315</v>
      </c>
      <c r="J37" s="1" t="s">
        <v>270</v>
      </c>
      <c r="V37" s="82" t="s">
        <v>1332</v>
      </c>
      <c r="W37" s="1342">
        <f>SUM(W15:W24)</f>
        <v>0.17586358969919766</v>
      </c>
      <c r="AO37" s="82" t="s">
        <v>293</v>
      </c>
      <c r="AP37" s="76">
        <f>SUM(AP15:AP35)</f>
        <v>8.2567956318252733</v>
      </c>
    </row>
    <row r="38" spans="1:42" x14ac:dyDescent="0.3">
      <c r="A38" s="1" t="s">
        <v>313</v>
      </c>
      <c r="E38" s="82" t="s">
        <v>296</v>
      </c>
      <c r="F38" s="14" t="str">
        <f>IF(samenstelling!T167&lt;&gt;samenstelling!X167,"J","N")</f>
        <v>J</v>
      </c>
      <c r="H38" s="14">
        <f>D44/AF43</f>
        <v>24.38340041693607</v>
      </c>
      <c r="J38" s="83">
        <f>D44*AF43</f>
        <v>210.71804228056993</v>
      </c>
      <c r="V38" s="82" t="s">
        <v>271</v>
      </c>
      <c r="W38" s="1342">
        <f>SUM(samenstelling!Z88:'samenstelling'!Z97)</f>
        <v>0.53659999999999997</v>
      </c>
    </row>
    <row r="39" spans="1:42" x14ac:dyDescent="0.3">
      <c r="E39" s="82" t="s">
        <v>297</v>
      </c>
      <c r="F39" s="14" t="str">
        <f>IF(samenstelling!T168&lt;&gt;samenstelling!X168,"J","N")</f>
        <v>J</v>
      </c>
      <c r="H39" s="14">
        <f>D45/AK43</f>
        <v>7.5504823254571525</v>
      </c>
      <c r="J39" s="83">
        <f>D45*AK43</f>
        <v>55.398823747317891</v>
      </c>
      <c r="V39" s="82" t="s">
        <v>272</v>
      </c>
      <c r="W39" s="1342">
        <f>W38/W37</f>
        <v>3.05122851704447</v>
      </c>
    </row>
    <row r="40" spans="1:42" x14ac:dyDescent="0.3">
      <c r="E40" s="82" t="s">
        <v>298</v>
      </c>
      <c r="F40" s="14" t="str">
        <f>IF(samenstelling!T169&lt;&gt;samenstelling!X169,"J","N")</f>
        <v>J</v>
      </c>
      <c r="H40" s="14">
        <f>D46/samenstelling!T169</f>
        <v>2.3209184556762801</v>
      </c>
      <c r="J40" s="83">
        <f>D46*samenstelling!T169</f>
        <v>26.67222698447738</v>
      </c>
    </row>
    <row r="41" spans="1:42" x14ac:dyDescent="0.3">
      <c r="E41" s="82" t="s">
        <v>314</v>
      </c>
      <c r="F41" s="14" t="str">
        <f>IF(OR(F38="J",F39="J",F40="J"),"J","N")</f>
        <v>J</v>
      </c>
      <c r="J41" s="1343"/>
      <c r="V41" s="82" t="s">
        <v>1333</v>
      </c>
      <c r="W41" s="1342">
        <f>SUM(W15:W35)</f>
        <v>2.4068672661348978</v>
      </c>
      <c r="AD41" s="82" t="s">
        <v>293</v>
      </c>
      <c r="AE41" s="1342">
        <f>SUM(AE15:AE35)</f>
        <v>71.675774258970364</v>
      </c>
      <c r="AF41" s="1342">
        <f>SUM(AF15:AF35)</f>
        <v>24.381962945736515</v>
      </c>
      <c r="AI41" s="82" t="s">
        <v>293</v>
      </c>
      <c r="AJ41" s="1342">
        <f>SUM(AJ15:AJ35)</f>
        <v>20.456047823712947</v>
      </c>
      <c r="AK41" s="1342">
        <f>SUM(AK15:AK35)</f>
        <v>7.5519447871777485</v>
      </c>
    </row>
    <row r="42" spans="1:42" x14ac:dyDescent="0.3">
      <c r="E42" s="82" t="s">
        <v>302</v>
      </c>
      <c r="F42" s="14" t="str">
        <f>IF(OR(samenstelling!T171&lt;samenstelling!V171,samenstelling!T171&gt;samenstelling!W171),"J","N")</f>
        <v>N</v>
      </c>
      <c r="G42" s="82" t="s">
        <v>293</v>
      </c>
      <c r="H42" s="14">
        <f>SUM(H38:H40)</f>
        <v>34.254801198069501</v>
      </c>
      <c r="I42" s="82" t="s">
        <v>318</v>
      </c>
      <c r="J42" s="1342">
        <f>100/H42</f>
        <v>2.9192987990727475</v>
      </c>
      <c r="V42" s="82" t="s">
        <v>273</v>
      </c>
      <c r="W42" s="1342">
        <f>D46</f>
        <v>7.8679135647425893</v>
      </c>
    </row>
    <row r="43" spans="1:42" x14ac:dyDescent="0.3">
      <c r="V43" s="82" t="s">
        <v>274</v>
      </c>
      <c r="W43" s="1342">
        <f>W42/W41</f>
        <v>3.2689436910151639</v>
      </c>
      <c r="AD43" s="82" t="s">
        <v>311</v>
      </c>
      <c r="AF43" s="1342">
        <f>IF(AE41/AF41=0,0.000001,AE41/AF41)</f>
        <v>2.9397048309231293</v>
      </c>
      <c r="AI43" s="82" t="s">
        <v>312</v>
      </c>
      <c r="AK43" s="1342">
        <f>AJ41/AK41</f>
        <v>2.7087125767186144</v>
      </c>
    </row>
    <row r="44" spans="1:42" x14ac:dyDescent="0.3">
      <c r="A44" s="1" t="s">
        <v>261</v>
      </c>
      <c r="C44" s="82" t="s">
        <v>262</v>
      </c>
      <c r="D44" s="77">
        <f>ROUND(100-HLOOKUP(2,samenstelling!K87:Z109,23,FALSE),2)</f>
        <v>71.680000000000007</v>
      </c>
    </row>
    <row r="45" spans="1:42" x14ac:dyDescent="0.3">
      <c r="C45" s="82" t="s">
        <v>263</v>
      </c>
      <c r="D45" s="77">
        <f>100-D46-D44</f>
        <v>20.452086435257399</v>
      </c>
      <c r="V45" s="82" t="s">
        <v>1334</v>
      </c>
      <c r="W45" s="1342">
        <f>SUM(W25:W26)</f>
        <v>0.17314914814814816</v>
      </c>
      <c r="X45" s="1858">
        <f>SUM(X25:X26)</f>
        <v>2.6715285714285719E-2</v>
      </c>
    </row>
    <row r="46" spans="1:42" x14ac:dyDescent="0.3">
      <c r="C46" s="82" t="s">
        <v>264</v>
      </c>
      <c r="D46" s="77">
        <f>samenstelling!Z109</f>
        <v>7.8679135647425893</v>
      </c>
      <c r="V46" s="82" t="s">
        <v>1219</v>
      </c>
      <c r="W46" s="1342">
        <f>SUM(samenstelling!Z98:'samenstelling'!Z99)</f>
        <v>0.46750000000000008</v>
      </c>
      <c r="X46" s="1342">
        <f>SUM(samenstelling!Z98:'samenstelling'!Z99)</f>
        <v>0.46750000000000008</v>
      </c>
    </row>
    <row r="47" spans="1:42" x14ac:dyDescent="0.3">
      <c r="D47" s="184"/>
      <c r="V47" s="82" t="s">
        <v>1220</v>
      </c>
      <c r="W47" s="1342">
        <f>W46/W45</f>
        <v>2.6999844065071712</v>
      </c>
      <c r="X47" s="1342">
        <f>X46/X45</f>
        <v>17.499344944306898</v>
      </c>
    </row>
    <row r="48" spans="1:42" x14ac:dyDescent="0.3">
      <c r="B48" s="1" t="s">
        <v>589</v>
      </c>
      <c r="C48" s="82" t="s">
        <v>262</v>
      </c>
      <c r="D48" s="77">
        <f>D44*100/(100+samenstelling!G171)</f>
        <v>68.920320000000018</v>
      </c>
      <c r="E48" s="77"/>
      <c r="G48" s="1" t="s">
        <v>1268</v>
      </c>
      <c r="I48" s="1342">
        <f>D49/AK43+D50/W43+D51/samenstelling!K158</f>
        <v>13.317489227815257</v>
      </c>
    </row>
    <row r="49" spans="1:31" x14ac:dyDescent="0.3">
      <c r="C49" s="82" t="s">
        <v>263</v>
      </c>
      <c r="D49" s="77">
        <f>D45*100/(100+samenstelling!G171)</f>
        <v>19.664681107499991</v>
      </c>
      <c r="E49" s="77">
        <f>ROUND(D49*100/(100-$D$48),2)</f>
        <v>63.27</v>
      </c>
      <c r="I49" s="1343"/>
      <c r="T49" s="1" t="s">
        <v>1636</v>
      </c>
      <c r="W49" s="14">
        <f>(100-grondstoffen!AC121)/((100/grondstoffen!W121)-(grondstoffen!AC121/grondstoffen!AA121))</f>
        <v>2.6416804407713501</v>
      </c>
      <c r="AD49" s="1" t="s">
        <v>1650</v>
      </c>
      <c r="AE49" s="1">
        <f>(100+samenstelling!G171)/((samenstelling!G167/samenstelling!T167)+(samenstelling!G168/samenstelling!T168)+(samenstelling!G169/samenstelling!T169)+(samenstelling!G171/samenstelling!T171))</f>
        <v>2.7263193373082779</v>
      </c>
    </row>
    <row r="50" spans="1:31" x14ac:dyDescent="0.3">
      <c r="C50" s="82" t="s">
        <v>264</v>
      </c>
      <c r="D50" s="77">
        <f>D46*100/(100+samenstelling!G171)</f>
        <v>7.5649988925000002</v>
      </c>
      <c r="E50" s="77">
        <f>ROUND(D50*100/(100-$D$48),2)</f>
        <v>24.34</v>
      </c>
      <c r="W50" s="1858">
        <f>IF(grondstoffen!W122="","",(100-grondstoffen!AC122)/((100/grondstoffen!W122)-(grondstoffen!AC122/grondstoffen!AA122)))</f>
        <v>2.6416804407713501</v>
      </c>
    </row>
    <row r="51" spans="1:31" x14ac:dyDescent="0.3">
      <c r="C51" s="82" t="s">
        <v>103</v>
      </c>
      <c r="D51" s="77">
        <f>samenstelling!C158</f>
        <v>3.85</v>
      </c>
      <c r="E51" s="77">
        <f>100-E49-E50</f>
        <v>12.389999999999997</v>
      </c>
      <c r="W51" s="1858" t="str">
        <f>IF(grondstoffen!W123="","",(100-grondstoffen!AC123)/((100/grondstoffen!W123)-(grondstoffen!AC123/grondstoffen!AA123)))</f>
        <v/>
      </c>
    </row>
    <row r="52" spans="1:31" x14ac:dyDescent="0.3">
      <c r="D52" s="184"/>
      <c r="W52" s="1858" t="str">
        <f>IF(grondstoffen!W124="","",(100-grondstoffen!AC124)/((100/grondstoffen!W124)-(grondstoffen!AC124/grondstoffen!AA124)))</f>
        <v/>
      </c>
    </row>
    <row r="53" spans="1:31" x14ac:dyDescent="0.3">
      <c r="A53" s="1" t="s">
        <v>279</v>
      </c>
      <c r="E53" s="1" t="s">
        <v>406</v>
      </c>
      <c r="F53" s="1" t="s">
        <v>407</v>
      </c>
      <c r="G53" s="1" t="s">
        <v>408</v>
      </c>
      <c r="W53" s="1858" t="str">
        <f>IF(grondstoffen!W125="","",(100-grondstoffen!AC125)/((100/grondstoffen!W125)-(grondstoffen!AC125/grondstoffen!AA125)))</f>
        <v/>
      </c>
    </row>
    <row r="54" spans="1:31" x14ac:dyDescent="0.3">
      <c r="D54" s="89" t="str">
        <f>samenstelling!E73</f>
        <v>Trinidad</v>
      </c>
      <c r="E54" s="14">
        <f>IF(samenstelling!C73="",samenstelling!D73*samenstelling!C$158/100,samenstelling!C73)</f>
        <v>0.1925</v>
      </c>
      <c r="F54" s="14">
        <f>IF(E54=0,0,E54*samenstelling!AM73/100)</f>
        <v>0.10395</v>
      </c>
      <c r="G54" s="14">
        <f>E54-F54</f>
        <v>8.8550000000000004E-2</v>
      </c>
      <c r="W54" s="1858" t="str">
        <f>IF(grondstoffen!W126="","",(100-grondstoffen!AC126)/((100/grondstoffen!W126)-(grondstoffen!AC126/grondstoffen!AA126)))</f>
        <v/>
      </c>
    </row>
    <row r="55" spans="1:31" x14ac:dyDescent="0.3">
      <c r="D55" s="89" t="str">
        <f>samenstelling!E74</f>
        <v/>
      </c>
      <c r="E55" s="14">
        <f>IF(samenstelling!C74="",samenstelling!D74*samenstelling!C$158/100,samenstelling!C74)</f>
        <v>0</v>
      </c>
      <c r="F55" s="14">
        <f>IF(E55=0,0,E55*samenstelling!AM74/100)</f>
        <v>0</v>
      </c>
      <c r="G55" s="14">
        <f t="shared" ref="G55:G58" si="6">E55-F55</f>
        <v>0</v>
      </c>
      <c r="W55" s="1858" t="str">
        <f>IF(grondstoffen!W127="","",(100-grondstoffen!AC127)/((100/grondstoffen!W127)-(grondstoffen!AC127/grondstoffen!AA127)))</f>
        <v/>
      </c>
    </row>
    <row r="56" spans="1:31" x14ac:dyDescent="0.3">
      <c r="D56" s="89" t="str">
        <f>samenstelling!E75</f>
        <v>Uintah</v>
      </c>
      <c r="E56" s="14">
        <f>IF(samenstelling!C75="",samenstelling!D75*samenstelling!C$158/100,samenstelling!C75)</f>
        <v>0.03</v>
      </c>
      <c r="F56" s="14">
        <f>IF(E56=0,0,E56*samenstelling!AM75/100)</f>
        <v>0.03</v>
      </c>
      <c r="G56" s="14">
        <f t="shared" si="6"/>
        <v>0</v>
      </c>
      <c r="W56" s="1858" t="str">
        <f>IF(grondstoffen!W128="","",(100-grondstoffen!AC128)/((100/grondstoffen!W128)-(grondstoffen!AC128/grondstoffen!AA128)))</f>
        <v/>
      </c>
    </row>
    <row r="57" spans="1:31" x14ac:dyDescent="0.3">
      <c r="D57" s="89" t="str">
        <f>samenstelling!E76</f>
        <v/>
      </c>
      <c r="E57" s="14">
        <f>IF(samenstelling!C76="",samenstelling!D76*samenstelling!C$158/100,samenstelling!C76)</f>
        <v>0</v>
      </c>
      <c r="F57" s="14">
        <f>IF(E57=0,0,E57*samenstelling!AM76/100)</f>
        <v>0</v>
      </c>
      <c r="G57" s="14">
        <f t="shared" si="6"/>
        <v>0</v>
      </c>
      <c r="W57" s="1858" t="str">
        <f>IF(grondstoffen!W129="","",(100-grondstoffen!AC129)/((100/grondstoffen!W129)-(grondstoffen!AC129/grondstoffen!AA129)))</f>
        <v/>
      </c>
    </row>
    <row r="58" spans="1:31" x14ac:dyDescent="0.3">
      <c r="D58" s="89" t="str">
        <f>samenstelling!E77</f>
        <v/>
      </c>
      <c r="E58" s="14">
        <f>IF(samenstelling!C77="",samenstelling!D77*samenstelling!C$158/100,samenstelling!C77)</f>
        <v>0</v>
      </c>
      <c r="F58" s="14">
        <f>IF(E58=0,0,E58*samenstelling!AM77/100)</f>
        <v>0</v>
      </c>
      <c r="G58" s="14">
        <f t="shared" si="6"/>
        <v>0</v>
      </c>
      <c r="W58" s="1858" t="str">
        <f>IF(grondstoffen!W130="","",(100-grondstoffen!AC130)/((100/grondstoffen!W130)-(grondstoffen!AC130/grondstoffen!AA130)))</f>
        <v/>
      </c>
    </row>
    <row r="60" spans="1:31" x14ac:dyDescent="0.3">
      <c r="A60" s="1" t="s">
        <v>280</v>
      </c>
      <c r="E60" s="89" t="str">
        <f>samenstelling!E145</f>
        <v>synthetisch pigmenteerbaar bindmiddel</v>
      </c>
      <c r="F60" s="14"/>
      <c r="G60" s="14">
        <f>IF(samenstelling!M145=0,0.01,samenstelling!M145)</f>
        <v>60</v>
      </c>
      <c r="H60" s="14">
        <f>samenstelling!C145</f>
        <v>2.2160500000000001</v>
      </c>
      <c r="J60" s="1" t="s">
        <v>281</v>
      </c>
      <c r="M60" s="76">
        <f>POWER(10,(IF(G60=0.01,0,LOG10(G60)*H60)+IF(G61=0.01,0,LOG10(G61)*H61)+IF(G62=0.01,0,LOG10(G62)*H62)+IF(G63=0.01,0,LOG10(G63)*H63)+IF(G64=0.01,0,LOG10(G64)*H64)+IF(G65=0.01,0,LOG10(G65)*H65))/SUM(H60:H65))</f>
        <v>42.138328347548097</v>
      </c>
      <c r="N60" s="1" t="s">
        <v>282</v>
      </c>
    </row>
    <row r="61" spans="1:31" x14ac:dyDescent="0.3">
      <c r="E61" s="89" t="str">
        <f>samenstelling!E146</f>
        <v/>
      </c>
      <c r="F61" s="14"/>
      <c r="G61" s="14">
        <f>IF(samenstelling!M146=0,0.01,samenstelling!M146)</f>
        <v>0.01</v>
      </c>
      <c r="H61" s="14">
        <f>samenstelling!C146</f>
        <v>0</v>
      </c>
      <c r="M61" s="76">
        <f>POWER(10,(LOG10(M60)*SUM(H60:H65)+IF(G66=0.01,0,LOG10(G66)*H66)+IF(G67=0.01,0,LOG10(G67)*H67)+IF(G67=0.01,0,LOG10(G68)*H68)+IF(G68=0.01,0,LOG10(G69)*H69)+IF(G70=0.01,0,LOG10(G70)*H70))/SUM(H60:H70))</f>
        <v>39.064102128410042</v>
      </c>
      <c r="N61" s="1" t="s">
        <v>283</v>
      </c>
    </row>
    <row r="62" spans="1:31" x14ac:dyDescent="0.3">
      <c r="E62" s="89" t="str">
        <f>samenstelling!E147</f>
        <v/>
      </c>
      <c r="F62" s="14"/>
      <c r="G62" s="14">
        <f>IF(samenstelling!M147=0,0.01,samenstelling!M147)</f>
        <v>0.01</v>
      </c>
      <c r="H62" s="14">
        <f>samenstelling!C147</f>
        <v>0</v>
      </c>
    </row>
    <row r="63" spans="1:31" x14ac:dyDescent="0.3">
      <c r="E63" s="89" t="str">
        <f>samenstelling!E148</f>
        <v>Asfaltgranulaat</v>
      </c>
      <c r="F63" s="14"/>
      <c r="G63" s="14">
        <f>IF(samenstelling!M148=0,0.01,samenstelling!M148)</f>
        <v>25</v>
      </c>
      <c r="H63" s="14">
        <f>samenstelling!C148</f>
        <v>1.5</v>
      </c>
    </row>
    <row r="64" spans="1:31" x14ac:dyDescent="0.3">
      <c r="E64" s="89" t="str">
        <f>samenstelling!E149</f>
        <v/>
      </c>
      <c r="F64" s="14"/>
      <c r="G64" s="14">
        <f>IF(samenstelling!M149=0,0.01,samenstelling!M149)</f>
        <v>0.01</v>
      </c>
      <c r="H64" s="14">
        <f>samenstelling!C149</f>
        <v>0</v>
      </c>
    </row>
    <row r="65" spans="1:11" x14ac:dyDescent="0.3">
      <c r="E65" s="89" t="str">
        <f>samenstelling!E150</f>
        <v/>
      </c>
      <c r="F65" s="14"/>
      <c r="G65" s="14">
        <f>IF(samenstelling!M150=0,0.01,samenstelling!M150)</f>
        <v>0.01</v>
      </c>
      <c r="H65" s="14">
        <f>samenstelling!C150</f>
        <v>0</v>
      </c>
    </row>
    <row r="66" spans="1:11" x14ac:dyDescent="0.3">
      <c r="E66" s="89" t="str">
        <f>samenstelling!E153</f>
        <v>Trinidad</v>
      </c>
      <c r="F66" s="14"/>
      <c r="G66" s="14">
        <f>IF(samenstelling!M153=0,0.01,samenstelling!M153)</f>
        <v>7.5</v>
      </c>
      <c r="H66" s="14">
        <f>samenstelling!C153</f>
        <v>0.10395</v>
      </c>
    </row>
    <row r="67" spans="1:11" x14ac:dyDescent="0.3">
      <c r="E67" s="89" t="str">
        <f>samenstelling!E154</f>
        <v/>
      </c>
      <c r="F67" s="14"/>
      <c r="G67" s="14">
        <f>IF(samenstelling!M154=0,0.01,samenstelling!M154)</f>
        <v>0.01</v>
      </c>
      <c r="H67" s="14">
        <f>samenstelling!C154</f>
        <v>0</v>
      </c>
    </row>
    <row r="68" spans="1:11" x14ac:dyDescent="0.3">
      <c r="E68" s="89" t="str">
        <f>samenstelling!E155</f>
        <v>Uintah</v>
      </c>
      <c r="F68" s="14"/>
      <c r="G68" s="14">
        <f>IF(samenstelling!M155=0,0.01,samenstelling!M155)</f>
        <v>0.01</v>
      </c>
      <c r="H68" s="14">
        <f>samenstelling!C155</f>
        <v>0.03</v>
      </c>
    </row>
    <row r="69" spans="1:11" x14ac:dyDescent="0.3">
      <c r="E69" s="89" t="str">
        <f>samenstelling!E156</f>
        <v/>
      </c>
      <c r="F69" s="14"/>
      <c r="G69" s="14">
        <f>IF(samenstelling!M156=0,0.01,samenstelling!M156)</f>
        <v>0.01</v>
      </c>
      <c r="H69" s="14">
        <f>samenstelling!C156</f>
        <v>0</v>
      </c>
    </row>
    <row r="70" spans="1:11" x14ac:dyDescent="0.3">
      <c r="E70" s="89" t="str">
        <f>samenstelling!E157</f>
        <v/>
      </c>
      <c r="F70" s="14"/>
      <c r="G70" s="14">
        <f>IF(samenstelling!M157=0,0.01,samenstelling!M157)</f>
        <v>0.01</v>
      </c>
      <c r="H70" s="14">
        <f>samenstelling!C157</f>
        <v>0</v>
      </c>
    </row>
    <row r="71" spans="1:11" ht="14.25" customHeight="1" x14ac:dyDescent="0.3"/>
    <row r="72" spans="1:11" ht="14.25" customHeight="1" x14ac:dyDescent="0.3">
      <c r="A72" s="1" t="s">
        <v>1224</v>
      </c>
      <c r="C72" s="93"/>
      <c r="D72" s="94"/>
    </row>
    <row r="73" spans="1:11" x14ac:dyDescent="0.3">
      <c r="C73" s="95"/>
      <c r="D73" s="96"/>
    </row>
    <row r="74" spans="1:11" x14ac:dyDescent="0.3">
      <c r="B74" s="1230" t="s">
        <v>1225</v>
      </c>
      <c r="C74" s="1231">
        <f>D50*samenstelling!K158/(D51*samenstelling!M138)</f>
        <v>0.6181926974311085</v>
      </c>
      <c r="D74" s="98"/>
    </row>
    <row r="75" spans="1:11" x14ac:dyDescent="0.3">
      <c r="B75" s="82" t="s">
        <v>1226</v>
      </c>
      <c r="C75" s="1233">
        <f>1021*1.053*C$74/(100-samenstelling!O$139*(1+1.053*C$74))</f>
        <v>20.569830862355918</v>
      </c>
      <c r="D75" s="1232" t="s">
        <v>1227</v>
      </c>
    </row>
    <row r="76" spans="1:11" x14ac:dyDescent="0.3">
      <c r="C76" s="1233">
        <f>1021*1.286*C$74/(100-samenstelling!O$139*(1+1.286*C$74))</f>
        <v>30.739838617513996</v>
      </c>
      <c r="D76" s="1232" t="s">
        <v>1228</v>
      </c>
    </row>
    <row r="77" spans="1:11" x14ac:dyDescent="0.3">
      <c r="C77" s="1233">
        <f>IF(samenstelling!O139&lt;38,C75,C76)</f>
        <v>30.739838617513996</v>
      </c>
      <c r="D77" s="97" t="s">
        <v>1229</v>
      </c>
    </row>
    <row r="78" spans="1:11" x14ac:dyDescent="0.3">
      <c r="C78" s="97"/>
      <c r="D78" s="97"/>
    </row>
    <row r="79" spans="1:11" x14ac:dyDescent="0.3">
      <c r="A79" s="1" t="s">
        <v>1269</v>
      </c>
      <c r="C79" s="97"/>
      <c r="D79" s="97"/>
      <c r="F79" s="1" t="s">
        <v>1272</v>
      </c>
      <c r="G79" s="184"/>
      <c r="H79" s="77">
        <f>IF(algemeen!E55=1,ROUND(100-HLOOKUP(5.6,samenstelling!$K$87:$Z$109,23,FALSE),2),ROUND(100-HLOOKUP(6.3,samenstelling!$K$87:$Z$109,23,FALSE),2))</f>
        <v>52.4</v>
      </c>
      <c r="J79" s="1" t="s">
        <v>1276</v>
      </c>
      <c r="K79" s="1345">
        <f>-samenstelling!$C$158/0.4-$D$46/1.6+$H$79/12+H81/2-$AF$43-$AK$43/0.32+samenstelling!$O$128/16+$W$43/0.8+samenstelling!$M$118/10000</f>
        <v>20.726931528320556</v>
      </c>
    </row>
    <row r="80" spans="1:11" x14ac:dyDescent="0.3">
      <c r="C80" s="97"/>
      <c r="D80" s="97"/>
      <c r="F80" s="1" t="s">
        <v>1273</v>
      </c>
      <c r="G80" s="184"/>
      <c r="H80" s="77">
        <f>ROUND(100-HLOOKUP(4,samenstelling!$K$87:$Z$109,23,FALSE),2)</f>
        <v>61.47</v>
      </c>
      <c r="J80" s="1" t="s">
        <v>1277</v>
      </c>
      <c r="K80" s="1345">
        <f>-samenstelling!$C$158/0.4-$D$46/1.6+$H$80/12+H81/2-$AF$43-$AK$43/0.32+samenstelling!$O$128/16+$W$43/0.8+samenstelling!$M$118/10000</f>
        <v>21.482764861653891</v>
      </c>
    </row>
    <row r="81" spans="1:13" x14ac:dyDescent="0.3">
      <c r="C81" s="97"/>
      <c r="D81" s="97"/>
      <c r="F81" s="1" t="s">
        <v>1274</v>
      </c>
      <c r="H81" s="77">
        <f>ROUND(100-HLOOKUP(2,samenstelling!$K$87:$Z$109,23,FALSE),2)</f>
        <v>71.680000000000007</v>
      </c>
      <c r="J81" s="1" t="s">
        <v>1270</v>
      </c>
      <c r="K81" s="1345">
        <f>-samenstelling!C158/0.2-D46/0.6-AF43/0.08+samenstelling!O128/6+AK43/0.2+W43/0.12+H81/0.4+H82/8</f>
        <v>167.38859398094269</v>
      </c>
    </row>
    <row r="82" spans="1:13" x14ac:dyDescent="0.3">
      <c r="C82" s="97"/>
      <c r="D82" s="97"/>
      <c r="F82" s="1" t="s">
        <v>1275</v>
      </c>
      <c r="H82" s="77">
        <f>ROUND(100-HLOOKUP(0.5,samenstelling!$K$87:$Z$109,23,FALSE),2)</f>
        <v>81.44</v>
      </c>
      <c r="J82" s="1" t="s">
        <v>1271</v>
      </c>
      <c r="K82" s="1345">
        <f>-samenstelling!C158/0.14-D46/0.4+H82/0.35-AF43/0.03+samenstelling!O128/8+AK43/0.1+W43/0.1</f>
        <v>152.05233202042464</v>
      </c>
    </row>
    <row r="84" spans="1:13" x14ac:dyDescent="0.3">
      <c r="A84" s="1" t="s">
        <v>468</v>
      </c>
      <c r="F84" s="1" t="s">
        <v>496</v>
      </c>
      <c r="G84" s="186" t="s">
        <v>1263</v>
      </c>
      <c r="H84" s="186" t="s">
        <v>492</v>
      </c>
      <c r="J84" s="1" t="s">
        <v>496</v>
      </c>
      <c r="K84" s="186" t="s">
        <v>1263</v>
      </c>
      <c r="L84" s="186" t="s">
        <v>492</v>
      </c>
    </row>
    <row r="85" spans="1:13" x14ac:dyDescent="0.3">
      <c r="C85" s="77">
        <f>studie!D38</f>
        <v>3.5500000000000003</v>
      </c>
      <c r="D85" s="14" t="str">
        <f>IF(studie!Y297="","",IF(studie!Y297&gt;studie!L286,1,0))</f>
        <v/>
      </c>
      <c r="F85" s="77">
        <f>studie!D38</f>
        <v>3.5500000000000003</v>
      </c>
      <c r="G85" s="14">
        <f>IF(OR(studie!N362="",studie!N363=""),"",IF(ABS(studie!N362-studie!N363)&gt;0.5,1,0))</f>
        <v>1</v>
      </c>
      <c r="H85" s="14">
        <f>IF(OR(studie!V362="",studie!V363=""),"",IF(ABS(studie!V362-studie!V363)&gt;0.5,1,0))</f>
        <v>1</v>
      </c>
      <c r="I85" s="184"/>
      <c r="J85" s="77">
        <f>studie!D38</f>
        <v>3.5500000000000003</v>
      </c>
      <c r="K85" s="14">
        <f>IF(OR(studie!N391="",studie!N392=""),"",IF(ABS(studie!N391-studie!N392)&gt;0.5,1,0))</f>
        <v>1</v>
      </c>
      <c r="L85" s="14">
        <f>IF(OR(studie!V391="",studie!V392=""),"",IF(ABS(studie!V391-studie!V392)&gt;0.5,1,0))</f>
        <v>1</v>
      </c>
    </row>
    <row r="86" spans="1:13" x14ac:dyDescent="0.3">
      <c r="C86" s="77">
        <f>studie!D68</f>
        <v>3.85</v>
      </c>
      <c r="D86" s="14">
        <f>IF(studie!Y303="","",IF(studie!Y303&gt;studie!L286,1,0))</f>
        <v>0</v>
      </c>
      <c r="F86" s="77">
        <f>studie!D68</f>
        <v>3.85</v>
      </c>
      <c r="G86" s="14" t="str">
        <f>IF(OR(studie!N368="",studie!N369=""),"",IF(ABS(studie!N368-studie!N369)&gt;0.5,1,0))</f>
        <v/>
      </c>
      <c r="H86" s="14" t="str">
        <f>IF(OR(studie!V368="",studie!V369=""),"",IF(ABS(studie!V368-studie!V369)&gt;0.5,1,0))</f>
        <v/>
      </c>
      <c r="I86" s="184"/>
      <c r="J86" s="77">
        <f>studie!D68</f>
        <v>3.85</v>
      </c>
      <c r="K86" s="14" t="str">
        <f>IF(OR(studie!N397="",studie!N398=""),"",IF(ABS(studie!N397-studie!N398)&gt;0.5,1,0))</f>
        <v/>
      </c>
      <c r="L86" s="14" t="str">
        <f>IF(OR(studie!V397="",studie!V398=""),"",IF(ABS(studie!V397-studie!V398)&gt;0.5,1,0))</f>
        <v/>
      </c>
    </row>
    <row r="87" spans="1:13" x14ac:dyDescent="0.3">
      <c r="C87" s="77">
        <f>studie!D98</f>
        <v>4.1500000000000004</v>
      </c>
      <c r="D87" s="14">
        <f>IF(studie!Y309="","",IF(studie!Y309&gt;studie!L286,1,0))</f>
        <v>0</v>
      </c>
      <c r="F87" s="77">
        <f>studie!D98</f>
        <v>4.1500000000000004</v>
      </c>
      <c r="G87" s="14">
        <f>IF(OR(studie!N374="",studie!N375=""),"",IF(ABS(studie!N374-studie!N375)&gt;0.5,1,0))</f>
        <v>1</v>
      </c>
      <c r="H87" s="14">
        <f>IF(OR(studie!V374="",studie!V375=""),"",IF(ABS(studie!V374-studie!V375)&gt;0.5,1,0))</f>
        <v>1</v>
      </c>
      <c r="I87" s="184"/>
      <c r="J87" s="77">
        <f>studie!D98</f>
        <v>4.1500000000000004</v>
      </c>
      <c r="K87" s="14">
        <f>IF(OR(studie!N403="",studie!N404=""),"",IF(ABS(studie!N403-studie!N404)&gt;0.5,1,0))</f>
        <v>1</v>
      </c>
      <c r="L87" s="14">
        <f>IF(OR(studie!V403="",studie!V404=""),"",IF(ABS(studie!V403-studie!V404)&gt;0.5,1,0))</f>
        <v>1</v>
      </c>
    </row>
    <row r="88" spans="1:13" x14ac:dyDescent="0.3">
      <c r="C88" s="1" t="s">
        <v>469</v>
      </c>
      <c r="D88" s="14">
        <f>SUM(D85:D87)</f>
        <v>0</v>
      </c>
      <c r="F88" s="1" t="s">
        <v>469</v>
      </c>
      <c r="G88" s="14">
        <f>SUM(G85:G87)</f>
        <v>2</v>
      </c>
      <c r="H88" s="14">
        <f>SUM(H85:H87)</f>
        <v>2</v>
      </c>
      <c r="J88" s="1" t="s">
        <v>469</v>
      </c>
      <c r="K88" s="14">
        <f>SUM(K85:K87)</f>
        <v>2</v>
      </c>
      <c r="L88" s="14">
        <f>SUM(L85:L87)</f>
        <v>2</v>
      </c>
    </row>
    <row r="90" spans="1:13" x14ac:dyDescent="0.3">
      <c r="A90" s="1" t="s">
        <v>726</v>
      </c>
      <c r="J90" s="1" t="s">
        <v>1019</v>
      </c>
    </row>
    <row r="91" spans="1:13" x14ac:dyDescent="0.3">
      <c r="C91" s="14">
        <f>MAX(studie!P$666:P$683)</f>
        <v>20.985706340858187</v>
      </c>
      <c r="D91" s="14">
        <f>IF(C91&gt;15,1,0)</f>
        <v>1</v>
      </c>
      <c r="F91" s="14">
        <f>MAX(studie!U$666:U$683)</f>
        <v>81.818181818181813</v>
      </c>
      <c r="G91" s="14">
        <f>IF(F91&gt;20,1,0)</f>
        <v>1</v>
      </c>
      <c r="L91" s="77">
        <f>studie!D38</f>
        <v>3.5500000000000003</v>
      </c>
      <c r="M91" s="14">
        <f>IF(studie!V297="","",IF(studie!V297&gt;5,1,0))</f>
        <v>0</v>
      </c>
    </row>
    <row r="92" spans="1:13" x14ac:dyDescent="0.3">
      <c r="C92" s="14">
        <f>MIN(studie!P$666:P$683)</f>
        <v>-25.541637254532489</v>
      </c>
      <c r="D92" s="14">
        <f>IF(C92&lt;-15,1,0)</f>
        <v>1</v>
      </c>
      <c r="F92" s="14">
        <f>MIN(studie!U$666:U$683)</f>
        <v>-81.818181818181813</v>
      </c>
      <c r="G92" s="14">
        <f>IF(F92&lt;-20,1,0)</f>
        <v>1</v>
      </c>
      <c r="L92" s="77">
        <f>studie!D68</f>
        <v>3.85</v>
      </c>
      <c r="M92" s="14">
        <f>IF(studie!V303="","",IF(studie!V303&gt;5,1,0))</f>
        <v>0</v>
      </c>
    </row>
    <row r="93" spans="1:13" x14ac:dyDescent="0.3">
      <c r="D93" s="14">
        <f>IF(D91+D92&gt;0,1,0)</f>
        <v>1</v>
      </c>
      <c r="G93" s="14">
        <f>IF(G91+G92&gt;0,1,0)</f>
        <v>1</v>
      </c>
      <c r="L93" s="77">
        <f>studie!D98</f>
        <v>4.1500000000000004</v>
      </c>
      <c r="M93" s="14">
        <f>IF(studie!V309="","",IF(studie!V309&gt;5,1,0))</f>
        <v>0</v>
      </c>
    </row>
    <row r="94" spans="1:13" x14ac:dyDescent="0.3">
      <c r="L94" s="1" t="s">
        <v>469</v>
      </c>
      <c r="M94" s="14">
        <f>SUM(M91:M93)</f>
        <v>0</v>
      </c>
    </row>
    <row r="96" spans="1:13" x14ac:dyDescent="0.3">
      <c r="A96" s="1" t="s">
        <v>936</v>
      </c>
    </row>
    <row r="98" spans="2:9" x14ac:dyDescent="0.3">
      <c r="B98" s="944" t="s">
        <v>941</v>
      </c>
      <c r="C98" s="944"/>
      <c r="D98" s="945" t="s">
        <v>326</v>
      </c>
      <c r="E98" s="945"/>
      <c r="F98" s="944" t="s">
        <v>333</v>
      </c>
      <c r="G98" s="945" t="s">
        <v>430</v>
      </c>
      <c r="H98" s="944" t="s">
        <v>1450</v>
      </c>
    </row>
    <row r="99" spans="2:9" x14ac:dyDescent="0.3">
      <c r="B99" s="944" t="s">
        <v>942</v>
      </c>
      <c r="C99" s="944"/>
      <c r="D99" s="945" t="s">
        <v>327</v>
      </c>
      <c r="E99" s="945"/>
      <c r="F99" s="944"/>
      <c r="G99" s="945" t="s">
        <v>429</v>
      </c>
      <c r="H99" s="944" t="s">
        <v>1451</v>
      </c>
    </row>
    <row r="100" spans="2:9" x14ac:dyDescent="0.3">
      <c r="B100" s="944"/>
      <c r="C100" s="944"/>
      <c r="D100" s="945"/>
      <c r="E100" s="945"/>
      <c r="F100" s="944"/>
      <c r="G100" s="945"/>
      <c r="H100" s="944"/>
    </row>
    <row r="101" spans="2:9" x14ac:dyDescent="0.3">
      <c r="B101" s="944"/>
      <c r="C101" s="944"/>
      <c r="D101" s="945"/>
      <c r="E101" s="945"/>
      <c r="F101" s="944"/>
      <c r="G101" s="945"/>
      <c r="H101" s="944"/>
    </row>
    <row r="102" spans="2:9" x14ac:dyDescent="0.3">
      <c r="B102" s="944"/>
      <c r="C102" s="944"/>
      <c r="D102" s="945"/>
      <c r="E102" s="945"/>
      <c r="F102" s="944"/>
      <c r="G102" s="945"/>
      <c r="H102" s="944"/>
    </row>
    <row r="103" spans="2:9" x14ac:dyDescent="0.3">
      <c r="B103" s="944"/>
      <c r="C103" s="944"/>
      <c r="D103" s="945"/>
      <c r="E103" s="945"/>
      <c r="F103" s="944"/>
      <c r="G103" s="945"/>
      <c r="H103" s="944"/>
    </row>
    <row r="104" spans="2:9" x14ac:dyDescent="0.3">
      <c r="B104" s="944"/>
      <c r="C104" s="944"/>
      <c r="D104" s="945"/>
      <c r="E104" s="945"/>
      <c r="F104" s="944"/>
      <c r="G104" s="945"/>
      <c r="H104" s="944"/>
    </row>
    <row r="105" spans="2:9" x14ac:dyDescent="0.3">
      <c r="B105" s="944"/>
      <c r="C105" s="944"/>
      <c r="D105" s="945"/>
      <c r="E105" s="945"/>
      <c r="F105" s="944"/>
      <c r="G105" s="945"/>
      <c r="H105" s="944"/>
    </row>
    <row r="107" spans="2:9" x14ac:dyDescent="0.3">
      <c r="G107" s="1" t="s">
        <v>1008</v>
      </c>
    </row>
    <row r="108" spans="2:9" x14ac:dyDescent="0.3">
      <c r="G108" s="1341" t="str">
        <f>IF(studie!K228="EN 12697-31","J","N")</f>
        <v>J</v>
      </c>
    </row>
    <row r="110" spans="2:9" x14ac:dyDescent="0.3">
      <c r="B110" s="944" t="s">
        <v>1302</v>
      </c>
      <c r="C110" s="944" t="s">
        <v>904</v>
      </c>
      <c r="D110" s="944"/>
      <c r="E110" s="944"/>
      <c r="F110" s="944"/>
      <c r="G110" s="945" t="s">
        <v>937</v>
      </c>
      <c r="H110" s="944" t="s">
        <v>1095</v>
      </c>
      <c r="I110" s="945" t="s">
        <v>782</v>
      </c>
    </row>
    <row r="111" spans="2:9" x14ac:dyDescent="0.3">
      <c r="B111" s="944" t="s">
        <v>1303</v>
      </c>
      <c r="C111" s="944" t="s">
        <v>975</v>
      </c>
      <c r="D111" s="944"/>
      <c r="E111" s="944"/>
      <c r="F111" s="944"/>
      <c r="G111" s="945" t="s">
        <v>940</v>
      </c>
      <c r="H111" s="944" t="s">
        <v>1096</v>
      </c>
      <c r="I111" s="945" t="s">
        <v>1144</v>
      </c>
    </row>
    <row r="112" spans="2:9" x14ac:dyDescent="0.3">
      <c r="B112" s="944" t="s">
        <v>1304</v>
      </c>
      <c r="C112" s="944" t="s">
        <v>1308</v>
      </c>
      <c r="D112" s="944"/>
      <c r="E112" s="944"/>
      <c r="F112" s="944"/>
      <c r="H112" s="944" t="s">
        <v>1097</v>
      </c>
      <c r="I112" s="945" t="s">
        <v>1145</v>
      </c>
    </row>
    <row r="113" spans="1:9" x14ac:dyDescent="0.3">
      <c r="B113" s="944" t="s">
        <v>1305</v>
      </c>
      <c r="C113" s="944" t="s">
        <v>978</v>
      </c>
      <c r="D113" s="944"/>
      <c r="E113" s="944"/>
      <c r="F113" s="944"/>
      <c r="H113" s="944" t="s">
        <v>1098</v>
      </c>
      <c r="I113" s="945"/>
    </row>
    <row r="114" spans="1:9" x14ac:dyDescent="0.3">
      <c r="B114" s="944" t="s">
        <v>1306</v>
      </c>
      <c r="C114" s="944" t="s">
        <v>980</v>
      </c>
      <c r="D114" s="944"/>
      <c r="E114" s="944"/>
      <c r="F114" s="944"/>
      <c r="H114" s="944"/>
      <c r="I114" s="945"/>
    </row>
    <row r="115" spans="1:9" x14ac:dyDescent="0.3">
      <c r="B115" s="944" t="s">
        <v>1307</v>
      </c>
      <c r="C115" s="944" t="s">
        <v>979</v>
      </c>
      <c r="D115" s="944"/>
      <c r="E115" s="944"/>
      <c r="F115" s="944"/>
      <c r="H115" s="944"/>
      <c r="I115" s="945"/>
    </row>
    <row r="116" spans="1:9" x14ac:dyDescent="0.3">
      <c r="B116" s="944" t="s">
        <v>1309</v>
      </c>
      <c r="C116" s="944" t="s">
        <v>976</v>
      </c>
      <c r="D116" s="944"/>
      <c r="E116" s="944"/>
      <c r="F116" s="944"/>
      <c r="H116" s="944"/>
      <c r="I116" s="945"/>
    </row>
    <row r="117" spans="1:9" x14ac:dyDescent="0.3">
      <c r="B117" s="944" t="s">
        <v>1310</v>
      </c>
      <c r="C117" s="944" t="s">
        <v>977</v>
      </c>
      <c r="D117" s="944"/>
      <c r="E117" s="944"/>
      <c r="F117" s="944"/>
      <c r="H117" s="944"/>
      <c r="I117" s="945"/>
    </row>
    <row r="118" spans="1:9" x14ac:dyDescent="0.3">
      <c r="B118" s="944" t="s">
        <v>1311</v>
      </c>
      <c r="C118" s="944" t="s">
        <v>981</v>
      </c>
      <c r="D118" s="944"/>
      <c r="E118" s="944"/>
      <c r="F118" s="944"/>
      <c r="H118" s="944"/>
      <c r="I118" s="945"/>
    </row>
    <row r="119" spans="1:9" x14ac:dyDescent="0.3">
      <c r="B119" s="944"/>
      <c r="C119" s="944"/>
      <c r="D119" s="944"/>
      <c r="E119" s="944"/>
      <c r="F119" s="944"/>
      <c r="H119" s="944"/>
      <c r="I119" s="945"/>
    </row>
    <row r="120" spans="1:9" x14ac:dyDescent="0.3">
      <c r="B120" s="944"/>
      <c r="C120" s="944"/>
      <c r="D120" s="944"/>
      <c r="E120" s="944"/>
      <c r="F120" s="944"/>
      <c r="H120" s="944"/>
      <c r="I120" s="945"/>
    </row>
    <row r="121" spans="1:9" x14ac:dyDescent="0.3">
      <c r="B121" s="944"/>
      <c r="C121" s="944"/>
      <c r="D121" s="944"/>
      <c r="E121" s="944"/>
      <c r="F121" s="944"/>
      <c r="H121" s="944"/>
      <c r="I121" s="945"/>
    </row>
    <row r="122" spans="1:9" x14ac:dyDescent="0.3">
      <c r="B122" s="944"/>
      <c r="C122" s="944"/>
      <c r="D122" s="944"/>
      <c r="E122" s="944"/>
      <c r="F122" s="944"/>
      <c r="H122" s="944"/>
      <c r="I122" s="945"/>
    </row>
    <row r="123" spans="1:9" x14ac:dyDescent="0.3">
      <c r="B123" s="944"/>
      <c r="C123" s="944"/>
      <c r="D123" s="944"/>
      <c r="E123" s="944"/>
      <c r="F123" s="944"/>
      <c r="H123" s="944"/>
      <c r="I123" s="945"/>
    </row>
    <row r="125" spans="1:9" x14ac:dyDescent="0.3">
      <c r="A125" s="1" t="s">
        <v>1260</v>
      </c>
    </row>
    <row r="126" spans="1:9" ht="16.5" x14ac:dyDescent="0.3">
      <c r="B126" s="1" t="s">
        <v>1182</v>
      </c>
      <c r="C126" s="1" t="s">
        <v>1261</v>
      </c>
      <c r="D126" s="1" t="s">
        <v>1264</v>
      </c>
      <c r="E126" s="1" t="s">
        <v>1265</v>
      </c>
      <c r="F126" s="1" t="s">
        <v>1266</v>
      </c>
      <c r="G126" s="1" t="s">
        <v>1267</v>
      </c>
    </row>
    <row r="127" spans="1:9" x14ac:dyDescent="0.3">
      <c r="B127" s="76">
        <f>VLOOKUP(algemeen!$E$55,algemeen!$B$52:$T$54,4,FALSE)</f>
        <v>40</v>
      </c>
      <c r="C127" s="77">
        <f>100-samenstelling!K109</f>
        <v>2.6435257410639679E-4</v>
      </c>
      <c r="E127" s="77">
        <f>6000/AF43</f>
        <v>2041.0212402569252</v>
      </c>
      <c r="G127" s="77">
        <f>IF(F138=0,"?",I48/F138*10)</f>
        <v>0.56352961960663328</v>
      </c>
    </row>
    <row r="128" spans="1:9" x14ac:dyDescent="0.3">
      <c r="B128" s="76">
        <f>VLOOKUP(algemeen!$E$55,algemeen!$B$52:$T$54,5,FALSE)</f>
        <v>31.5</v>
      </c>
      <c r="C128" s="77">
        <f>samenstelling!K$109-samenstelling!L$109</f>
        <v>0</v>
      </c>
      <c r="D128" s="77">
        <f>-4.343*((1/B128)-(1/B127))*1/(LOG10(B128)-LOG10(B127))</f>
        <v>0.28239204537550167</v>
      </c>
      <c r="F128" s="77">
        <f>C128*D128*$E$127/1000</f>
        <v>0</v>
      </c>
    </row>
    <row r="129" spans="2:6" x14ac:dyDescent="0.3">
      <c r="B129" s="76">
        <f>VLOOKUP(algemeen!$E$55,algemeen!$B$52:$T$54,6,FALSE)</f>
        <v>20</v>
      </c>
      <c r="C129" s="77">
        <f>samenstelling!L$109-samenstelling!M$109</f>
        <v>5.1000000000016144E-2</v>
      </c>
      <c r="D129" s="77">
        <f t="shared" ref="D129:D137" si="7">-4.343*((1/B129)-(1/B128))*1/(LOG10(B129)-LOG10(B128))</f>
        <v>0.40184894487425471</v>
      </c>
      <c r="F129" s="77">
        <f t="shared" ref="F129:F137" si="8">C129*D129*$E$127/1000</f>
        <v>4.1829293825035835E-2</v>
      </c>
    </row>
    <row r="130" spans="2:6" x14ac:dyDescent="0.3">
      <c r="B130" s="76">
        <f>VLOOKUP(algemeen!$E$55,algemeen!$B$52:$T$54,7,FALSE)</f>
        <v>16</v>
      </c>
      <c r="C130" s="77">
        <f>samenstelling!M$109-samenstelling!N$109</f>
        <v>2.4479999999999933</v>
      </c>
      <c r="D130" s="77">
        <f t="shared" si="7"/>
        <v>0.56018463226794613</v>
      </c>
      <c r="F130" s="77">
        <f t="shared" si="8"/>
        <v>2.7989176981989061</v>
      </c>
    </row>
    <row r="131" spans="2:6" x14ac:dyDescent="0.3">
      <c r="B131" s="76">
        <f>VLOOKUP(algemeen!$E$55,algemeen!$B$52:$T$54,8,FALSE)</f>
        <v>14</v>
      </c>
      <c r="C131" s="77">
        <f>samenstelling!N$109-samenstelling!O$109</f>
        <v>1.632000000000005</v>
      </c>
      <c r="D131" s="77">
        <f t="shared" si="7"/>
        <v>0.66865811091332339</v>
      </c>
      <c r="F131" s="77">
        <f t="shared" si="8"/>
        <v>2.2272645039696828</v>
      </c>
    </row>
    <row r="132" spans="2:6" x14ac:dyDescent="0.3">
      <c r="B132" s="76">
        <f>VLOOKUP(algemeen!$E$55,algemeen!$B$52:$T$54,9,FALSE)</f>
        <v>12.5</v>
      </c>
      <c r="C132" s="77">
        <f>samenstelling!O$109-samenstelling!P$109</f>
        <v>3.3149999999999977</v>
      </c>
      <c r="D132" s="77">
        <f t="shared" si="7"/>
        <v>0.75634314964602056</v>
      </c>
      <c r="F132" s="77">
        <f t="shared" si="8"/>
        <v>5.1174067165564079</v>
      </c>
    </row>
    <row r="133" spans="2:6" x14ac:dyDescent="0.3">
      <c r="B133" s="76">
        <f>VLOOKUP(algemeen!$E$55,algemeen!$B$52:$T$54,10,FALSE)</f>
        <v>10</v>
      </c>
      <c r="C133" s="77">
        <f>samenstelling!P$109-samenstelling!Q$109</f>
        <v>2.8870000000000005</v>
      </c>
      <c r="D133" s="77">
        <f t="shared" si="7"/>
        <v>0.89629541162871429</v>
      </c>
      <c r="F133" s="77">
        <f t="shared" si="8"/>
        <v>5.2813564671243594</v>
      </c>
    </row>
    <row r="134" spans="2:6" x14ac:dyDescent="0.3">
      <c r="B134" s="76">
        <f>VLOOKUP(algemeen!$E$55,algemeen!$B$52:$T$54,11,FALSE)</f>
        <v>8</v>
      </c>
      <c r="C134" s="77">
        <f>samenstelling!Q$109-samenstelling!R$109</f>
        <v>21.348118564742592</v>
      </c>
      <c r="D134" s="77">
        <f t="shared" si="7"/>
        <v>1.1203692645358923</v>
      </c>
      <c r="F134" s="77">
        <f t="shared" si="8"/>
        <v>48.816688622636306</v>
      </c>
    </row>
    <row r="135" spans="2:6" x14ac:dyDescent="0.3">
      <c r="B135" s="76">
        <f>VLOOKUP(algemeen!$E$55,algemeen!$B$52:$T$54,12,FALSE)</f>
        <v>6.3</v>
      </c>
      <c r="C135" s="77">
        <f>samenstelling!R$109-samenstelling!S$109</f>
        <v>20.718218564742571</v>
      </c>
      <c r="D135" s="77">
        <f t="shared" si="7"/>
        <v>1.4119602268775087</v>
      </c>
      <c r="F135" s="77">
        <f t="shared" si="8"/>
        <v>59.706607841955844</v>
      </c>
    </row>
    <row r="136" spans="2:6" x14ac:dyDescent="0.3">
      <c r="B136" s="76">
        <f>VLOOKUP(algemeen!$E$55,algemeen!$B$52:$T$54,13,FALSE)</f>
        <v>4</v>
      </c>
      <c r="C136" s="77">
        <f>samenstelling!S$109-samenstelling!T$109</f>
        <v>9.0692185647425916</v>
      </c>
      <c r="D136" s="77">
        <f t="shared" si="7"/>
        <v>2.0092447243712721</v>
      </c>
      <c r="F136" s="77">
        <f t="shared" si="8"/>
        <v>37.192059618428168</v>
      </c>
    </row>
    <row r="137" spans="2:6" x14ac:dyDescent="0.3">
      <c r="B137" s="76">
        <f>VLOOKUP(algemeen!$E$55,algemeen!$B$52:$T$54,14,FALSE)</f>
        <v>2</v>
      </c>
      <c r="C137" s="77">
        <f>samenstelling!T$109-samenstelling!U$109</f>
        <v>10.207218564742586</v>
      </c>
      <c r="D137" s="77">
        <f t="shared" si="7"/>
        <v>3.6067834290239538</v>
      </c>
      <c r="F137" s="77">
        <f t="shared" si="8"/>
        <v>75.140659814159235</v>
      </c>
    </row>
    <row r="138" spans="2:6" x14ac:dyDescent="0.3">
      <c r="B138" s="1" t="s">
        <v>1262</v>
      </c>
      <c r="C138" s="77">
        <f>SUM(C127:C137)</f>
        <v>71.676038611544456</v>
      </c>
      <c r="F138" s="77">
        <f>SUM(F128:F137)</f>
        <v>236.32279057685395</v>
      </c>
    </row>
  </sheetData>
  <sheetProtection algorithmName="SHA-512" hashValue="HMgwWniczwEUXuW888nU1QgdHdwFQjPjYr5IG1GRIW+fou3IYnuQjD8tKiCRQ5KSFhaCAjsBw8ieLxpDUWYw+w==" saltValue="O9RNbu0p/PrkPiGAA99+0A==" spinCount="100000" sheet="1" objects="1" scenarios="1"/>
  <conditionalFormatting sqref="C15:C35">
    <cfRule type="cellIs" dxfId="0" priority="1" operator="equal">
      <formula>0</formula>
    </cfRule>
  </conditionalFormatting>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6"/>
  <sheetViews>
    <sheetView topLeftCell="A4" workbookViewId="0">
      <selection activeCell="B26" sqref="B26"/>
    </sheetView>
  </sheetViews>
  <sheetFormatPr defaultRowHeight="14.5" x14ac:dyDescent="0.35"/>
  <cols>
    <col min="1" max="1" width="15.1796875" style="1709" customWidth="1"/>
    <col min="2" max="2" width="255.7265625" style="1710" bestFit="1" customWidth="1"/>
  </cols>
  <sheetData>
    <row r="1" spans="1:2" x14ac:dyDescent="0.35">
      <c r="A1" s="1711" t="s">
        <v>1479</v>
      </c>
      <c r="B1" s="1123" t="s">
        <v>1480</v>
      </c>
    </row>
    <row r="2" spans="1:2" x14ac:dyDescent="0.35">
      <c r="A2" s="1709">
        <v>43419</v>
      </c>
    </row>
    <row r="3" spans="1:2" x14ac:dyDescent="0.35">
      <c r="A3" s="1709">
        <v>43433</v>
      </c>
      <c r="B3" s="1710" t="s">
        <v>1481</v>
      </c>
    </row>
    <row r="4" spans="1:2" x14ac:dyDescent="0.35">
      <c r="A4" s="1709">
        <v>43452</v>
      </c>
      <c r="B4" s="1710" t="s">
        <v>1482</v>
      </c>
    </row>
    <row r="5" spans="1:2" x14ac:dyDescent="0.35">
      <c r="A5" s="1709">
        <v>43454</v>
      </c>
      <c r="B5" s="1710" t="s">
        <v>1602</v>
      </c>
    </row>
    <row r="6" spans="1:2" x14ac:dyDescent="0.35">
      <c r="A6" s="1709">
        <v>43482</v>
      </c>
      <c r="B6" s="1710" t="s">
        <v>1603</v>
      </c>
    </row>
    <row r="7" spans="1:2" x14ac:dyDescent="0.35">
      <c r="A7" s="1709">
        <v>43487</v>
      </c>
      <c r="B7" s="1710" t="s">
        <v>1604</v>
      </c>
    </row>
    <row r="8" spans="1:2" x14ac:dyDescent="0.35">
      <c r="A8" s="1709">
        <v>43502</v>
      </c>
      <c r="B8" s="1710" t="s">
        <v>1609</v>
      </c>
    </row>
    <row r="9" spans="1:2" x14ac:dyDescent="0.35">
      <c r="A9" s="1709">
        <v>43529</v>
      </c>
      <c r="B9" s="1710" t="s">
        <v>1625</v>
      </c>
    </row>
    <row r="10" spans="1:2" x14ac:dyDescent="0.35">
      <c r="A10" s="1709">
        <v>43531</v>
      </c>
      <c r="B10" s="1710" t="s">
        <v>1626</v>
      </c>
    </row>
    <row r="11" spans="1:2" x14ac:dyDescent="0.35">
      <c r="A11" s="1709">
        <v>43602</v>
      </c>
      <c r="B11" s="1710" t="s">
        <v>1638</v>
      </c>
    </row>
    <row r="12" spans="1:2" x14ac:dyDescent="0.35">
      <c r="A12" s="1709">
        <v>44183</v>
      </c>
      <c r="B12" s="1710" t="s">
        <v>1649</v>
      </c>
    </row>
    <row r="13" spans="1:2" x14ac:dyDescent="0.35">
      <c r="A13" s="1709">
        <v>44270</v>
      </c>
      <c r="B13" s="1710" t="s">
        <v>1651</v>
      </c>
    </row>
    <row r="14" spans="1:2" x14ac:dyDescent="0.35">
      <c r="A14" s="1709">
        <v>44973</v>
      </c>
      <c r="B14" s="1710" t="s">
        <v>1655</v>
      </c>
    </row>
    <row r="15" spans="1:2" x14ac:dyDescent="0.35">
      <c r="A15" s="1709">
        <v>45300</v>
      </c>
      <c r="B15" s="1710" t="s">
        <v>1659</v>
      </c>
    </row>
    <row r="16" spans="1:2" x14ac:dyDescent="0.35">
      <c r="A16" s="1709">
        <v>45666</v>
      </c>
      <c r="B16" s="1710" t="s">
        <v>1661</v>
      </c>
    </row>
  </sheetData>
  <sheetProtection algorithmName="SHA-512" hashValue="lyHgSq/nrEpvgrUI3BnQIGepEXTmlY4ddR1ENJxpytmO1FvXUnNJrtJtNNjKne5Na5oJV0KCKm+Mf2Mk28zNew==" saltValue="83wUYqF7i3Iwzof6Yw6eu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21</vt:i4>
      </vt:variant>
    </vt:vector>
  </HeadingPairs>
  <TitlesOfParts>
    <vt:vector size="50" baseType="lpstr">
      <vt:lpstr>algemeen</vt:lpstr>
      <vt:lpstr>Info voor GPP</vt:lpstr>
      <vt:lpstr>grondstoffen</vt:lpstr>
      <vt:lpstr>samenstelling</vt:lpstr>
      <vt:lpstr>studie</vt:lpstr>
      <vt:lpstr>VN1</vt:lpstr>
      <vt:lpstr>VN2</vt:lpstr>
      <vt:lpstr>VN3</vt:lpstr>
      <vt:lpstr>kv_bit</vt:lpstr>
      <vt:lpstr>VM_HR</vt:lpstr>
      <vt:lpstr>ITSR</vt:lpstr>
      <vt:lpstr>spoorv_stijfh_verm</vt:lpstr>
      <vt:lpstr>afdruip_film</vt:lpstr>
      <vt:lpstr>cantabro</vt:lpstr>
      <vt:lpstr>indrukking</vt:lpstr>
      <vt:lpstr>affiniteit</vt:lpstr>
      <vt:lpstr>marshall</vt:lpstr>
      <vt:lpstr>CE-etiket</vt:lpstr>
      <vt:lpstr>DoP</vt:lpstr>
      <vt:lpstr>productiefiche 1</vt:lpstr>
      <vt:lpstr>productiefiche 2</vt:lpstr>
      <vt:lpstr>productiefiche 3</vt:lpstr>
      <vt:lpstr>productiefiche H1</vt:lpstr>
      <vt:lpstr>productiefiche H2</vt:lpstr>
      <vt:lpstr>productiefiche H3</vt:lpstr>
      <vt:lpstr>output wijziging grondstoffen</vt:lpstr>
      <vt:lpstr>output AWK</vt:lpstr>
      <vt:lpstr>berekeningen</vt:lpstr>
      <vt:lpstr>versies</vt:lpstr>
      <vt:lpstr>afdruip_film!Print_Area</vt:lpstr>
      <vt:lpstr>affiniteit!Print_Area</vt:lpstr>
      <vt:lpstr>cantabro!Print_Area</vt:lpstr>
      <vt:lpstr>DoP!Print_Area</vt:lpstr>
      <vt:lpstr>indrukking!Print_Area</vt:lpstr>
      <vt:lpstr>ITSR!Print_Area</vt:lpstr>
      <vt:lpstr>kv_bit!Print_Area</vt:lpstr>
      <vt:lpstr>marshall!Print_Area</vt:lpstr>
      <vt:lpstr>'output AWK'!Print_Area</vt:lpstr>
      <vt:lpstr>'output wijziging grondstoffen'!Print_Area</vt:lpstr>
      <vt:lpstr>'productiefiche 1'!Print_Area</vt:lpstr>
      <vt:lpstr>'productiefiche 2'!Print_Area</vt:lpstr>
      <vt:lpstr>'productiefiche 3'!Print_Area</vt:lpstr>
      <vt:lpstr>'productiefiche H1'!Print_Area</vt:lpstr>
      <vt:lpstr>'productiefiche H2'!Print_Area</vt:lpstr>
      <vt:lpstr>'productiefiche H3'!Print_Area</vt:lpstr>
      <vt:lpstr>spoorv_stijfh_verm!Print_Area</vt:lpstr>
      <vt:lpstr>VM_HR!Print_Area</vt:lpstr>
      <vt:lpstr>'VN1'!Print_Area</vt:lpstr>
      <vt:lpstr>'VN2'!Print_Area</vt:lpstr>
      <vt:lpstr>'VN3'!Print_Area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Lacaeyse Dirk</dc:creator>
  <cp:lastModifiedBy>Shaffie Juma</cp:lastModifiedBy>
  <cp:lastPrinted>2025-01-07T14:38:11Z</cp:lastPrinted>
  <dcterms:created xsi:type="dcterms:W3CDTF">2010-08-19T08:20:06Z</dcterms:created>
  <dcterms:modified xsi:type="dcterms:W3CDTF">2026-04-29T09:04:54Z</dcterms:modified>
</cp:coreProperties>
</file>