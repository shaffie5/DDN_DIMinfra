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8125C428-692B-47B2-B9A7-FD9332C67EDB}" xr6:coauthVersionLast="47" xr6:coauthVersionMax="47" xr10:uidLastSave="{00000000-0000-0000-0000-000000000000}"/>
  <bookViews>
    <workbookView xWindow="-110" yWindow="-110" windowWidth="23260" windowHeight="14860" tabRatio="653" activeTab="2"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D30" i="31"/>
  <c r="D31" i="31"/>
  <c r="D32" i="31"/>
  <c r="D33" i="31"/>
  <c r="D34" i="31"/>
  <c r="D35" i="31"/>
  <c r="D36" i="31"/>
  <c r="D37" i="31"/>
  <c r="D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10" i="1"/>
  <c r="N11" i="1"/>
  <c r="N12" i="1"/>
  <c r="N13" i="1"/>
  <c r="N14" i="1"/>
  <c r="N15" i="1"/>
  <c r="N16" i="1"/>
  <c r="N17" i="1"/>
  <c r="N8" i="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C37" i="31" l="1"/>
  <c r="C36" i="31"/>
  <c r="N4" i="10"/>
  <c r="E29" i="31"/>
  <c r="I29" i="31"/>
  <c r="G29" i="31"/>
  <c r="C34" i="31"/>
  <c r="C31" i="31"/>
  <c r="N9" i="10"/>
  <c r="I34" i="31"/>
  <c r="E34" i="31"/>
  <c r="G34" i="31"/>
  <c r="C29" i="31"/>
  <c r="N5" i="10"/>
  <c r="I30" i="31"/>
  <c r="E30" i="31"/>
  <c r="G30" i="31"/>
  <c r="C33" i="31"/>
  <c r="N11" i="10"/>
  <c r="G36" i="31"/>
  <c r="I36" i="31"/>
  <c r="E36" i="31"/>
  <c r="C30" i="31"/>
  <c r="E33" i="31"/>
  <c r="G33" i="31"/>
  <c r="I33" i="31"/>
  <c r="N6" i="10"/>
  <c r="G31" i="31"/>
  <c r="I31" i="31"/>
  <c r="E31" i="31"/>
  <c r="C35" i="31"/>
  <c r="N12" i="10"/>
  <c r="E37" i="31"/>
  <c r="G37" i="31"/>
  <c r="I37" i="31"/>
  <c r="C32" i="31"/>
  <c r="N10" i="10"/>
  <c r="G35" i="31"/>
  <c r="I35" i="31"/>
  <c r="E35" i="31"/>
  <c r="G32" i="31"/>
  <c r="I32" i="31"/>
  <c r="E32" i="31"/>
  <c r="E21" i="25"/>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<sst xmlns="http://schemas.openxmlformats.org/spreadsheetml/2006/main" count="4708" uniqueCount="1724">
  <si>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</si>
  <si>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</si>
  <si>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</si>
  <si>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</si>
  <si>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</si>
  <si>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</si>
  <si>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</si>
  <si>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</si>
  <si>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</si>
  <si>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</si>
  <si>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</si>
  <si>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</si>
  <si>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</si>
  <si>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</si>
  <si>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</si>
  <si>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</si>
  <si>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</si>
  <si>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</si>
  <si>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</si>
  <si>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</si>
  <si>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</si>
  <si>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</si>
  <si>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</si>
  <si>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</si>
  <si>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</si>
  <si>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</si>
  <si>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</si>
  <si>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</si>
  <si>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</si>
  <si>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</si>
  <si>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</si>
  <si>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</si>
  <si>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</si>
  <si>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</si>
  <si>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</si>
  <si>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</si>
  <si>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</si>
  <si>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</si>
  <si>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</si>
  <si>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</si>
  <si>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</si>
  <si>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</si>
  <si>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</si>
  <si>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</si>
  <si>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</si>
  <si>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</si>
  <si>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</si>
  <si>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</si>
  <si>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</si>
  <si>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</si>
  <si>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</si>
  <si>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</si>
  <si>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</si>
  <si>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</si>
  <si>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</si>
  <si>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</si>
  <si>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</si>
  <si>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</si>
  <si>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</si>
  <si>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</si>
  <si>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</si>
  <si>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</si>
  <si>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</si>
  <si>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</si>
  <si>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</si>
  <si>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</si>
  <si>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</si>
  <si>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</si>
  <si>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</si>
  <si>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</si>
  <si>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</si>
  <si>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</si>
  <si>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</si>
  <si>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</si>
  <si>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</si>
  <si>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</si>
  <si>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</si>
  <si>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</si>
  <si>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</si>
  <si>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</si>
  <si>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</si>
  <si>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</si>
  <si>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</si>
  <si>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</si>
  <si>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</si>
  <si>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</si>
  <si>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</si>
  <si>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</si>
  <si>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</si>
  <si>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</si>
  <si>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</si>
  <si>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</si>
  <si>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</si>
  <si>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</si>
  <si>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</si>
  <si>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</si>
  <si>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</si>
  <si>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</si>
  <si>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</si>
  <si>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</si>
  <si>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</si>
  <si>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</si>
  <si>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</si>
  <si>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</si>
  <si>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</si>
  <si>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</si>
  <si>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</si>
  <si>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</si>
  <si>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</si>
  <si>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</si>
  <si>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</si>
  <si>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</si>
  <si>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</si>
  <si>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</si>
  <si>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</si>
  <si>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</si>
  <si>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</si>
  <si>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</si>
  <si>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</si>
  <si>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</si>
  <si>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</si>
  <si>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</si>
  <si>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</si>
  <si>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</si>
  <si>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</si>
  <si>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</si>
  <si>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</si>
  <si>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</si>
  <si>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</si>
  <si>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</si>
  <si>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</si>
  <si>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</si>
  <si>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</si>
  <si>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</si>
  <si>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</si>
  <si>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</si>
  <si>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</si>
  <si>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</si>
  <si>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</si>
  <si>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</si>
  <si>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</si>
  <si>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</si>
  <si>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</si>
  <si>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</si>
  <si>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</si>
  <si>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</si>
  <si>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</si>
  <si>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</si>
  <si>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</si>
  <si>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</si>
  <si>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</si>
  <si>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</si>
  <si>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</si>
  <si>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</si>
  <si>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</si>
  <si>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</si>
  <si>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</si>
  <si>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</si>
  <si>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</si>
  <si>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</si>
  <si>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</si>
  <si>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</si>
  <si>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</si>
  <si>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</si>
  <si>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</si>
  <si>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</si>
  <si>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</si>
  <si>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</si>
  <si>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</si>
  <si>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</si>
  <si>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</si>
  <si>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</si>
  <si>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</si>
  <si>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</si>
  <si>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</si>
  <si>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</si>
  <si>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</si>
  <si>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</si>
  <si>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</si>
  <si>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</si>
  <si>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</si>
  <si>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</si>
  <si>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</si>
  <si>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</si>
  <si>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</si>
  <si>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</si>
  <si>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</si>
  <si>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</si>
  <si>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</si>
  <si>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</si>
  <si>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</si>
  <si>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</si>
  <si>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</si>
  <si>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</si>
  <si>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</si>
  <si>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</si>
  <si>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</si>
  <si>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</si>
  <si>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</si>
  <si>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</si>
  <si>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</si>
  <si>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</si>
  <si>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</si>
  <si>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</si>
  <si>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</si>
  <si>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</si>
  <si>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</si>
  <si>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</si>
  <si>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</si>
  <si>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</si>
  <si>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</si>
  <si>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</si>
  <si>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</si>
  <si>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</si>
  <si>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</si>
  <si>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</si>
  <si>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</si>
  <si>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</si>
  <si>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</si>
  <si>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</si>
  <si>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</si>
  <si>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</si>
  <si>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</si>
  <si>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</si>
  <si>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</si>
  <si>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</si>
  <si>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</si>
  <si>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</si>
  <si>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</si>
  <si>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</si>
  <si>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</si>
  <si>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</si>
  <si>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</si>
  <si>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</si>
  <si>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</si>
  <si>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</si>
  <si>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</si>
  <si>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</si>
  <si>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</si>
  <si>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</si>
  <si>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</si>
  <si>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</si>
  <si>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</si>
  <si>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</si>
  <si>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</si>
  <si>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</si>
  <si>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</si>
  <si>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</si>
  <si>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</si>
  <si>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</si>
  <si>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</si>
  <si>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</si>
  <si>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</si>
  <si>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</si>
  <si>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</si>
  <si>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</si>
  <si>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</si>
  <si>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</si>
  <si>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</si>
  <si>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</si>
  <si>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</si>
  <si>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</si>
  <si>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</si>
  <si>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</si>
  <si>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</si>
  <si>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</si>
  <si>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</si>
  <si>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</si>
  <si>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</si>
  <si>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</si>
  <si>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</si>
  <si>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</si>
  <si>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</si>
  <si>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</si>
  <si>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</si>
  <si>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</si>
  <si>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</si>
  <si>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</si>
  <si>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</si>
  <si>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</si>
  <si>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</si>
  <si>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</si>
  <si>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</si>
  <si>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</si>
  <si>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</si>
  <si>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</si>
  <si>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</si>
  <si>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</si>
  <si>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</si>
  <si>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</si>
  <si>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</si>
  <si>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</si>
  <si>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</si>
  <si>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</si>
  <si>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</si>
  <si>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</si>
  <si>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</si>
  <si>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</si>
  <si>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</si>
  <si>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</si>
  <si>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</si>
  <si>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</si>
  <si>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</si>
  <si>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</si>
  <si>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</si>
  <si>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</si>
  <si>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</si>
  <si>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</si>
  <si>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</si>
  <si>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</si>
  <si>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</si>
  <si>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</si>
  <si>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</si>
  <si>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</si>
  <si>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</si>
  <si>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</si>
  <si>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</si>
  <si>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</si>
  <si>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</si>
  <si>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</si>
  <si>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</si>
  <si>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</si>
  <si>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</si>
  <si>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</si>
  <si>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</si>
  <si>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</si>
  <si>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</si>
  <si>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</si>
  <si>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</si>
  <si>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</si>
  <si>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</si>
  <si>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</si>
  <si>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</si>
  <si>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</si>
  <si>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</si>
  <si>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</si>
  <si>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</si>
  <si>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</si>
  <si>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</si>
  <si>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</si>
  <si>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</si>
  <si>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</si>
  <si>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</si>
  <si>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</si>
  <si>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</si>
  <si>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</si>
  <si>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</si>
  <si>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</si>
  <si>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</si>
  <si>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</si>
  <si>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</si>
  <si>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</si>
  <si>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</si>
  <si>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</si>
  <si>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</si>
  <si>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</si>
  <si>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</si>
  <si>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</si>
  <si>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</si>
  <si>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</si>
  <si>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</si>
  <si>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</si>
  <si>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</si>
  <si>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</si>
  <si>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</si>
  <si>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</si>
  <si>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</si>
  <si>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</si>
  <si>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</si>
  <si>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</si>
  <si>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</si>
  <si>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</si>
  <si>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</si>
  <si>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</si>
  <si>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</si>
  <si>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</si>
  <si>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</si>
  <si>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</si>
  <si>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</si>
  <si>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</si>
  <si>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</si>
  <si>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</si>
  <si>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</si>
  <si>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</si>
  <si>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</si>
  <si>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</si>
  <si>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</si>
  <si>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</si>
  <si>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</si>
  <si>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</si>
  <si>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</si>
  <si>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</si>
  <si>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</si>
  <si>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</si>
  <si>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</si>
  <si>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</si>
  <si>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</si>
  <si>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</si>
  <si>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</si>
  <si>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</si>
  <si>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</si>
  <si>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</si>
  <si>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</si>
  <si>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</si>
  <si>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</si>
  <si>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</si>
  <si>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</si>
  <si>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</si>
  <si>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</si>
  <si>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</si>
  <si>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</si>
  <si>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</si>
  <si>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</si>
  <si>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</si>
  <si>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</si>
  <si>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</si>
  <si>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</si>
  <si>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</si>
  <si>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</si>
  <si>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</si>
  <si>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</si>
  <si>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</si>
  <si>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</si>
  <si>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</si>
  <si>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</si>
  <si>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</si>
  <si>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</si>
  <si>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</si>
  <si>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</si>
  <si>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</si>
  <si>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</si>
  <si>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</si>
  <si>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</si>
  <si>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</si>
  <si>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</si>
  <si>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</si>
  <si>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</si>
  <si>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</si>
  <si>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</si>
  <si>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</si>
  <si>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</si>
  <si>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</si>
  <si>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</si>
  <si>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</si>
  <si>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</si>
  <si>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</si>
  <si>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</si>
  <si>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</si>
  <si>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</si>
  <si>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</si>
  <si>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</si>
  <si>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</si>
  <si>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</si>
  <si>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</si>
  <si>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</si>
  <si>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</si>
  <si>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</si>
  <si>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</si>
  <si>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</si>
  <si>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</si>
  <si>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</si>
  <si>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</si>
  <si>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</si>
  <si>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</si>
  <si>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</si>
  <si>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</si>
  <si>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</si>
  <si>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</si>
  <si>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</si>
  <si>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</si>
  <si>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</si>
  <si>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</si>
  <si>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</si>
  <si>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</si>
  <si>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</si>
  <si>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</si>
  <si>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</si>
  <si>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</si>
  <si>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</si>
  <si>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</si>
  <si>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</si>
  <si>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</si>
  <si>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</si>
  <si>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</si>
  <si>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</si>
  <si>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</si>
  <si>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</si>
  <si>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</si>
  <si>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</si>
  <si>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</si>
  <si>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</si>
  <si>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</si>
  <si>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</si>
  <si>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</si>
  <si>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</si>
  <si>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</si>
  <si>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</si>
  <si>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</si>
  <si>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</si>
  <si>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</si>
  <si>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</si>
  <si>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</si>
  <si>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</si>
  <si>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</si>
  <si>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</si>
  <si>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</si>
  <si>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</si>
  <si>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</si>
  <si>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</si>
  <si>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</si>
  <si>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</si>
  <si>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</si>
  <si>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</si>
  <si>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</si>
  <si>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</si>
  <si>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</si>
  <si>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</si>
  <si>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</si>
  <si>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</si>
  <si>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</si>
  <si>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</si>
  <si>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</si>
  <si>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</si>
  <si>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</si>
  <si>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</si>
  <si>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</si>
  <si>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</si>
  <si>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</si>
  <si>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</si>
  <si>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</si>
  <si>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</si>
  <si>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</si>
  <si>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</si>
  <si>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</si>
  <si>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</si>
  <si>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</si>
  <si>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</si>
  <si>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</si>
  <si>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</si>
  <si>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</si>
  <si>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</si>
  <si>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</si>
  <si>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</si>
  <si>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</si>
  <si>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</si>
  <si>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</si>
  <si>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</si>
  <si>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</si>
  <si>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</si>
  <si>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</si>
  <si>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</si>
  <si>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</si>
  <si>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</si>
  <si>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</si>
  <si>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</si>
  <si>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</si>
  <si>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</si>
  <si>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</si>
  <si>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</si>
  <si>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</si>
  <si>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</si>
  <si>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</si>
  <si>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</si>
  <si>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</si>
  <si>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</si>
  <si>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</si>
  <si>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</si>
  <si>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</si>
  <si>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</si>
  <si>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</si>
  <si>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</si>
  <si>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</si>
  <si>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</si>
  <si>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</si>
  <si>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</si>
  <si>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</si>
  <si>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</si>
  <si>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</si>
  <si>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</si>
  <si>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</si>
  <si>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</si>
  <si>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</si>
  <si>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</si>
  <si>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</si>
  <si>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</si>
  <si>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</si>
  <si>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</si>
  <si>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</si>
  <si>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</si>
  <si>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</si>
  <si>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</si>
  <si>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</si>
  <si>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</si>
  <si>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</si>
  <si>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</si>
  <si>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</si>
  <si>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</si>
  <si>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</si>
  <si>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</si>
  <si>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</si>
  <si>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</si>
  <si>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</si>
  <si>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</si>
  <si>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</si>
  <si>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</si>
  <si>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</si>
  <si>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</si>
  <si>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</si>
  <si>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</si>
  <si>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</si>
  <si>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</si>
  <si>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</si>
  <si>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</si>
  <si>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</si>
  <si>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</si>
  <si>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</si>
  <si>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</si>
  <si>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</si>
  <si>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</si>
  <si>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</si>
  <si>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</si>
  <si>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</si>
  <si>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</si>
  <si>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</si>
  <si>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</si>
  <si>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</si>
  <si>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</si>
  <si>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</si>
  <si>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</si>
  <si>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</si>
  <si>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</si>
  <si>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</si>
  <si>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</si>
  <si>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</si>
  <si>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</si>
  <si>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</si>
  <si>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</si>
  <si>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</si>
  <si>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</si>
  <si>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</si>
  <si>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</si>
  <si>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</si>
  <si>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</si>
  <si>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</si>
  <si>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</si>
  <si>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</si>
  <si>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</si>
  <si>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</si>
  <si>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</si>
  <si>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</si>
  <si>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</si>
  <si>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</si>
  <si>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</si>
  <si>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</si>
  <si>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</si>
  <si>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</si>
  <si>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</si>
  <si>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</si>
  <si>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</si>
  <si>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</si>
  <si>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</si>
  <si>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</si>
  <si>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</si>
  <si>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</si>
  <si>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</si>
  <si>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</si>
  <si>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</si>
  <si>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</si>
  <si>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</si>
  <si>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</si>
  <si>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</si>
  <si>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</si>
  <si>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</si>
  <si>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</si>
  <si>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</si>
  <si>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</si>
  <si>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</si>
  <si>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</si>
  <si>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</si>
  <si>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</si>
  <si>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</si>
  <si>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</si>
  <si>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</si>
  <si>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</si>
  <si>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</si>
  <si>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</si>
  <si>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</si>
  <si>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</si>
  <si>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</si>
  <si>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</si>
  <si>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</si>
  <si>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</si>
  <si>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</si>
  <si>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</si>
  <si>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</si>
  <si>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</si>
  <si>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</si>
  <si>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</si>
  <si>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</si>
  <si>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</si>
  <si>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</si>
  <si>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</si>
  <si>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</si>
  <si>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</si>
  <si>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</si>
  <si>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</si>
  <si>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</si>
  <si>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</si>
  <si>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</si>
  <si>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</si>
  <si>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</si>
  <si>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</si>
  <si>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</si>
  <si>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</si>
  <si>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</si>
  <si>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</si>
  <si>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</si>
  <si>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</si>
  <si>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</si>
  <si>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</si>
  <si>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</si>
  <si>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</si>
  <si>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</si>
  <si>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</si>
  <si>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</si>
  <si>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</si>
  <si>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</si>
  <si>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</si>
  <si>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</si>
  <si>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</si>
  <si>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</si>
  <si>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</si>
  <si>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</si>
  <si>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</si>
  <si>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</si>
  <si>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</si>
  <si>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</si>
  <si>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</si>
  <si>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</si>
  <si>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</si>
  <si>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</si>
  <si>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</si>
  <si>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</si>
  <si>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</si>
  <si>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</si>
  <si>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</si>
  <si>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</si>
  <si>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</si>
  <si>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</si>
  <si>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</si>
  <si>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</si>
  <si>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</si>
  <si>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</si>
  <si>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</si>
  <si>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</si>
  <si>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</si>
  <si>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</si>
  <si>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</si>
  <si>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</si>
  <si>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</si>
  <si>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</si>
  <si>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</si>
  <si>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</si>
  <si>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</si>
  <si>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</si>
  <si>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</si>
  <si>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</si>
  <si>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</si>
  <si>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</si>
  <si>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</si>
  <si>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</si>
  <si>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</si>
  <si>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</si>
  <si>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</si>
  <si>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</si>
  <si>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</si>
  <si>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</si>
  <si>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</si>
  <si>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</si>
  <si>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</si>
  <si>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</si>
  <si>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</si>
  <si>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</si>
  <si>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</si>
  <si>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</si>
  <si>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</si>
  <si>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</si>
  <si>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</si>
  <si>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</si>
  <si>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</si>
  <si>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</si>
  <si>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</si>
  <si>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</si>
  <si>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</si>
  <si>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</si>
  <si>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</si>
  <si>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</si>
  <si>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</si>
  <si>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</si>
  <si>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</si>
  <si>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</si>
  <si>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</si>
  <si>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</si>
  <si>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</si>
  <si>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</si>
  <si>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</si>
  <si>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</si>
  <si>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</si>
  <si>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</si>
  <si>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</si>
  <si>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</si>
  <si>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</si>
  <si>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</si>
  <si>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</si>
  <si>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</si>
  <si>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</si>
  <si>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</si>
  <si>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</si>
  <si>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</si>
  <si>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</si>
  <si>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</si>
  <si>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</si>
  <si>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</si>
  <si>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</si>
  <si>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</si>
  <si>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</si>
  <si>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</si>
  <si>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</si>
  <si>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</si>
  <si>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</si>
  <si>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</si>
  <si>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</si>
  <si>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</si>
  <si>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</si>
  <si>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</si>
  <si>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</si>
  <si>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</si>
  <si>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</si>
  <si>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</si>
  <si>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</si>
  <si>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</si>
  <si>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</si>
  <si>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</si>
  <si>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</si>
  <si>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</si>
  <si>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</si>
  <si>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</si>
  <si>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</si>
  <si>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</si>
  <si>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</si>
  <si>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</si>
  <si>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</si>
  <si>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</si>
  <si>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</si>
  <si>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</si>
  <si>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</si>
  <si>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</si>
  <si>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</si>
  <si>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</si>
  <si>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</si>
  <si>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</si>
  <si>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</si>
  <si>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</si>
  <si>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</si>
  <si>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</si>
  <si>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</si>
  <si>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</si>
  <si>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</si>
  <si>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</si>
  <si>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</si>
  <si>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</si>
  <si>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</si>
  <si>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</si>
  <si>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</si>
  <si>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</si>
  <si>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</si>
  <si>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</si>
  <si>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</si>
  <si>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</si>
  <si>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</si>
  <si>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</si>
  <si>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</si>
  <si>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</si>
  <si>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</si>
  <si>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</si>
  <si>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</si>
  <si>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</si>
  <si>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</si>
  <si>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</si>
  <si>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</si>
  <si>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</si>
  <si>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</si>
  <si>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</si>
  <si>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</si>
  <si>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</si>
  <si>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</si>
  <si>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</si>
  <si>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</si>
  <si>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</si>
  <si>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</si>
  <si>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</si>
  <si>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</si>
  <si>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</si>
  <si>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</si>
  <si>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</si>
  <si>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</si>
  <si>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</si>
  <si>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</si>
  <si>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</si>
  <si>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</si>
  <si>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</si>
  <si>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</si>
  <si>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</si>
  <si>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</si>
  <si>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</si>
  <si>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</si>
  <si>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</si>
  <si>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</si>
  <si>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</si>
  <si>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</si>
  <si>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</si>
  <si>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</si>
  <si>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</si>
  <si>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</si>
  <si>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</si>
  <si>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</si>
  <si>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</si>
  <si>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</si>
  <si>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</si>
  <si>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</si>
  <si>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</si>
  <si>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</si>
  <si>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</si>
  <si>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</si>
  <si>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</si>
  <si>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</si>
  <si>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</si>
  <si>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</si>
  <si>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</si>
  <si>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</si>
  <si>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</si>
  <si>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</si>
  <si>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</si>
  <si>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</si>
  <si>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</si>
  <si>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</si>
  <si>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</si>
  <si>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</si>
  <si>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</si>
  <si>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</si>
  <si>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</si>
  <si>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</si>
  <si>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</si>
  <si>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</si>
  <si>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</si>
  <si>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</si>
  <si>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</si>
  <si>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</si>
  <si>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</si>
  <si>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</si>
  <si>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</si>
  <si>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</si>
  <si>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</si>
  <si>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</si>
  <si>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</si>
  <si>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</si>
  <si>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</si>
  <si>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</si>
  <si>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</si>
  <si>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</si>
  <si>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</si>
  <si>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</si>
  <si>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</si>
  <si>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</si>
  <si>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</si>
  <si>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</si>
  <si>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</si>
  <si>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</si>
  <si>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</si>
  <si>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</si>
  <si>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</si>
  <si>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</si>
  <si>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</si>
  <si>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</si>
  <si>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</si>
  <si>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</si>
  <si>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</si>
  <si>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</si>
  <si>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</si>
  <si>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</si>
  <si>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</si>
  <si>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</si>
  <si>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</si>
  <si>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</si>
  <si>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</si>
  <si>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</si>
  <si>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</si>
  <si>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</si>
  <si>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</si>
  <si>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</si>
  <si>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</si>
  <si>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</si>
  <si>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</si>
  <si>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</si>
  <si>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</si>
  <si>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</si>
  <si>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</si>
  <si>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</si>
  <si>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</si>
  <si>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</si>
  <si>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</si>
  <si>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</si>
  <si>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</si>
  <si>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</si>
  <si>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</si>
  <si>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</si>
  <si>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</si>
  <si>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</si>
  <si>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</si>
  <si>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</si>
  <si>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</si>
  <si>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</si>
  <si>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</si>
  <si>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</si>
  <si>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</si>
  <si>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</si>
  <si>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</si>
  <si>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</si>
  <si>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</si>
  <si>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</si>
  <si>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</si>
  <si>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</si>
  <si>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</si>
  <si>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</si>
  <si>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</si>
  <si>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</si>
  <si>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</si>
  <si>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</si>
  <si>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</si>
  <si>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</si>
  <si>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</si>
  <si>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</si>
  <si>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</si>
  <si>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</si>
  <si>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</si>
  <si>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</si>
  <si>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</si>
  <si>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</si>
  <si>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</si>
  <si>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</si>
  <si>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</si>
  <si>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</si>
  <si>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</si>
  <si>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</si>
  <si>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</si>
  <si>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</si>
  <si>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</si>
  <si>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</si>
  <si>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</si>
  <si>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</si>
  <si>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</si>
  <si>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</si>
  <si>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</si>
  <si>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</si>
  <si>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</si>
  <si>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</si>
  <si>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</si>
  <si>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</si>
  <si>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</si>
  <si>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</si>
  <si>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</si>
  <si>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</si>
  <si>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</si>
  <si>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</si>
  <si>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</si>
  <si>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</si>
  <si>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</si>
  <si>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</si>
  <si>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</si>
  <si>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</si>
  <si>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</si>
  <si>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</si>
  <si>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</si>
  <si>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</si>
  <si>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</si>
  <si>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</si>
  <si>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</si>
  <si>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</si>
  <si>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</si>
  <si>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</si>
  <si>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</si>
  <si>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</si>
  <si>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</si>
  <si>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</si>
  <si>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</si>
  <si>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</si>
  <si>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</si>
  <si>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</si>
  <si>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</si>
  <si>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</si>
  <si>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</si>
  <si>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</si>
  <si>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</si>
  <si>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</si>
  <si>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</si>
  <si>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</si>
  <si>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</si>
  <si>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</si>
  <si>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</si>
  <si>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</si>
  <si>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</si>
  <si>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</si>
  <si>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</si>
  <si>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</si>
  <si>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</si>
  <si>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</si>
  <si>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</si>
  <si>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</si>
  <si>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</si>
  <si>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</si>
  <si>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</si>
  <si>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</si>
  <si>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</si>
  <si>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</si>
  <si>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</si>
  <si>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</si>
  <si>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</si>
  <si>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</si>
  <si>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</si>
  <si>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</si>
  <si>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</si>
  <si>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</si>
  <si>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</si>
  <si>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</si>
  <si>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</si>
  <si>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</si>
  <si>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</si>
  <si>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</si>
  <si>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</si>
  <si>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</si>
  <si>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</si>
  <si>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</si>
  <si>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</si>
  <si>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</si>
  <si>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</si>
  <si>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</si>
  <si>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</si>
  <si>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</si>
  <si>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</si>
  <si>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</si>
  <si>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</si>
  <si>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</si>
  <si>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</si>
  <si>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</si>
  <si>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</si>
  <si>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</si>
  <si>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</si>
  <si>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</si>
  <si>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</si>
  <si>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</si>
  <si>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</si>
  <si>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</si>
  <si>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</si>
  <si>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</si>
  <si>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</si>
  <si>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</si>
  <si>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</si>
  <si>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</si>
  <si>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</si>
  <si>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</si>
  <si>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</si>
  <si>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</si>
  <si>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</si>
  <si>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</si>
  <si>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</si>
  <si>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</si>
  <si>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</si>
  <si>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</si>
  <si>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</si>
  <si>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</si>
  <si>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</si>
  <si>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</si>
  <si>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</si>
  <si>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</si>
  <si>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</si>
  <si>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</si>
  <si>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</si>
  <si>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</si>
  <si>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</si>
  <si>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</si>
  <si>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</si>
  <si>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</si>
  <si>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</si>
  <si>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</si>
  <si>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</si>
  <si>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</si>
  <si>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</si>
  <si>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</si>
  <si>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</si>
  <si>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</si>
  <si>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</si>
  <si>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</si>
  <si>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</si>
  <si>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</si>
  <si>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</si>
  <si>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</si>
  <si>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</si>
  <si>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</si>
  <si>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</si>
  <si>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</si>
  <si>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</si>
  <si>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</si>
  <si>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</si>
  <si>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</si>
  <si>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</si>
  <si>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</si>
  <si>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</si>
  <si>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</si>
  <si>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</si>
  <si>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</si>
  <si>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</si>
  <si>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</si>
  <si>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</si>
  <si>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</si>
  <si>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</si>
  <si>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</si>
  <si>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</si>
  <si>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</si>
  <si>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</si>
  <si>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</si>
  <si>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</si>
  <si>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</si>
  <si>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</si>
  <si>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</si>
  <si>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</si>
  <si>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</si>
  <si>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</si>
  <si>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</si>
  <si>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</si>
  <si>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</si>
  <si>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</si>
  <si>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</si>
  <si>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</si>
  <si>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</si>
  <si>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</si>
  <si>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</si>
  <si>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</si>
  <si>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</si>
  <si>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</si>
  <si>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</si>
  <si>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</si>
  <si>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</si>
  <si>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</si>
  <si>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</si>
  <si>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</si>
  <si>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</si>
  <si>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</si>
  <si>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</si>
  <si>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</si>
  <si>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</si>
  <si>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</si>
  <si>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</si>
  <si>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</si>
  <si>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</si>
  <si>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</si>
  <si>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</si>
  <si>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</si>
  <si>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</si>
  <si>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</si>
  <si>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</si>
  <si>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</si>
  <si>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</si>
  <si>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</si>
  <si>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</si>
  <si>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</si>
  <si>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</si>
  <si>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</si>
  <si>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</si>
  <si>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</si>
  <si>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</si>
  <si>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</si>
  <si>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</si>
  <si>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</si>
  <si>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</si>
  <si>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</si>
  <si>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</si>
  <si>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</si>
  <si>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</si>
  <si>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</si>
  <si>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</si>
  <si>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</si>
  <si>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</si>
  <si>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</si>
  <si>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</si>
  <si>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</si>
  <si>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</si>
  <si>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</si>
  <si>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</si>
  <si>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</si>
  <si>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</si>
  <si>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</si>
  <si>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</si>
  <si>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</si>
  <si>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</si>
  <si>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</si>
  <si>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</si>
  <si>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</si>
  <si>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</si>
  <si>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</si>
  <si>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</si>
  <si>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</si>
  <si>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</si>
  <si>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</si>
  <si>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</si>
  <si>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</si>
  <si>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</si>
  <si>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</si>
  <si>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</si>
  <si>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</si>
  <si>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</si>
  <si>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</si>
  <si>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</si>
  <si>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</si>
  <si>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</si>
  <si>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</si>
  <si>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</si>
  <si>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</si>
  <si>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</si>
  <si>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</si>
  <si>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</si>
  <si>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</si>
  <si>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</si>
  <si>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</si>
  <si>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</si>
  <si>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</si>
  <si>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</si>
  <si>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</si>
  <si>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</si>
  <si>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</si>
  <si>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</si>
  <si>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</si>
  <si>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</si>
  <si>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</si>
  <si>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</si>
  <si>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</si>
  <si>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</si>
  <si>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</si>
  <si>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</si>
  <si>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</si>
  <si>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</si>
  <si>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</si>
  <si>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</si>
  <si>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</si>
  <si>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</si>
  <si>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</si>
  <si>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</si>
  <si>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</si>
  <si>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</si>
  <si>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</si>
  <si>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</si>
  <si>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</si>
  <si>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</si>
  <si>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</si>
  <si>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</si>
  <si>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</si>
  <si>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</si>
  <si>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</si>
  <si>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</si>
  <si>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</si>
  <si>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</si>
  <si>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</si>
  <si>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</si>
  <si>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</si>
  <si>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</si>
  <si>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</si>
  <si>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</si>
  <si>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</si>
  <si>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</si>
  <si>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</si>
  <si>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</si>
  <si>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</si>
  <si>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</si>
  <si>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</si>
  <si>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</si>
  <si>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</si>
  <si>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</si>
  <si>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</si>
  <si>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</si>
  <si>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</si>
  <si>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</si>
  <si>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</si>
  <si>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</si>
  <si>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</si>
  <si>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</si>
  <si>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</si>
  <si>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</si>
  <si>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</si>
  <si>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</si>
  <si>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</si>
  <si>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</si>
  <si>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</si>
  <si>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</si>
  <si>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</si>
  <si>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</si>
  <si>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</si>
  <si>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</si>
  <si>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</si>
  <si>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</si>
  <si>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</si>
  <si>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</si>
  <si>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</si>
  <si>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</si>
  <si>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</si>
  <si>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</si>
  <si>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</si>
  <si>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</si>
  <si>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</si>
  <si>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</si>
  <si>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</si>
  <si>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</si>
  <si>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</si>
  <si>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</si>
  <si>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</si>
  <si>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</si>
  <si>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</si>
  <si>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</si>
  <si>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</si>
  <si>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</si>
  <si>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</si>
  <si>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</si>
  <si>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</si>
  <si>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</si>
  <si>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</si>
  <si>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</si>
  <si>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</si>
  <si>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</si>
  <si>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</si>
  <si>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</si>
  <si>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</si>
  <si>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</si>
  <si>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</si>
  <si>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</si>
  <si>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</si>
  <si>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</si>
  <si>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</si>
  <si>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</si>
  <si>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</si>
  <si>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</si>
  <si>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</si>
  <si>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</si>
  <si>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</si>
  <si>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</si>
  <si>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</si>
  <si>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</si>
  <si>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</si>
  <si>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</si>
  <si>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</si>
  <si>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</si>
  <si>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</si>
  <si>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</si>
  <si>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</si>
  <si>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</si>
  <si>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</si>
  <si>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</si>
  <si>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</si>
  <si>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</si>
  <si>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</si>
  <si>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</si>
  <si>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</si>
  <si>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</si>
  <si>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</si>
  <si>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</si>
  <si>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</si>
  <si>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</si>
  <si>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</si>
  <si>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</si>
  <si>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</si>
  <si>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</si>
  <si>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</si>
  <si>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</si>
  <si>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</si>
  <si>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</si>
  <si>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</si>
  <si>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</si>
  <si>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</si>
  <si>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</si>
  <si>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</si>
  <si>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</si>
  <si>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</si>
  <si>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</si>
  <si>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</si>
  <si>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</si>
  <si>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</si>
  <si>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</si>
  <si>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</si>
  <si>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</si>
  <si>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</si>
  <si>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</si>
  <si>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</si>
  <si>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</si>
  <si>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</si>
  <si>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</si>
  <si>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</si>
  <si>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</si>
  <si>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</si>
  <si>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</si>
  <si>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</si>
  <si>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</si>
  <si>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</si>
  <si>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</si>
  <si>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</si>
  <si>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</si>
  <si>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</si>
  <si>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</si>
  <si>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</si>
  <si>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</si>
  <si>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</si>
  <si>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</si>
  <si>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</si>
  <si>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</si>
  <si>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</si>
  <si>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</si>
  <si>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</si>
  <si>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</si>
  <si>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</si>
  <si>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</si>
  <si>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</si>
  <si>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</si>
  <si>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</si>
  <si>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</si>
  <si>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</si>
  <si>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</si>
  <si>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</si>
  <si>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</si>
  <si>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</si>
  <si>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</si>
  <si>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</si>
  <si>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</si>
  <si>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</si>
  <si>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</si>
  <si>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</si>
  <si>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</si>
  <si>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</si>
  <si>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</si>
  <si>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</si>
  <si>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</si>
  <si>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</si>
  <si>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</si>
  <si>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</si>
  <si>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</si>
  <si>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</si>
  <si>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</si>
  <si>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</si>
  <si>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</si>
  <si>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</si>
  <si>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</si>
  <si>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</si>
  <si>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</si>
  <si>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</si>
  <si>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</si>
  <si>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</si>
  <si>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</si>
  <si>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</si>
  <si>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</si>
  <si>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</si>
  <si>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</si>
  <si>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</si>
  <si>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</si>
  <si>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</si>
  <si>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</si>
  <si>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</si>
  <si>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</si>
  <si>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</si>
  <si>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</si>
  <si>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</si>
  <si>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</si>
  <si>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</si>
  <si>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</si>
  <si>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</si>
  <si>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</si>
  <si>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</si>
  <si>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</si>
  <si>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</si>
  <si>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</si>
  <si>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</si>
  <si>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</si>
  <si>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</si>
  <si>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</si>
  <si>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</si>
  <si>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</si>
  <si>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</si>
  <si>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</si>
  <si>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</si>
  <si>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</si>
  <si>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</si>
  <si>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</si>
  <si>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</si>
  <si>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</si>
  <si>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</si>
  <si>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</si>
  <si>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</si>
  <si>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</si>
  <si>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</si>
  <si>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</si>
  <si>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</si>
  <si>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</si>
  <si>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</si>
  <si>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</si>
  <si>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</si>
  <si>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</si>
  <si>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</si>
  <si>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</si>
  <si>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</si>
  <si>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</si>
  <si>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</si>
  <si>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</si>
  <si>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</si>
  <si>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</si>
  <si>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</si>
  <si>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</si>
  <si>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</si>
  <si>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</si>
  <si>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</si>
  <si>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</si>
  <si>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</si>
  <si>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</si>
  <si>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</si>
  <si>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</si>
  <si>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</si>
  <si>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</si>
  <si>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</si>
  <si>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</si>
  <si>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</si>
  <si>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</si>
  <si>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</si>
  <si>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</si>
  <si>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</si>
  <si>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</si>
  <si>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</si>
  <si>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</si>
  <si>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</si>
  <si>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</si>
  <si>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</si>
  <si>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</si>
  <si>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</si>
  <si>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</si>
  <si>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</si>
  <si>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</si>
  <si>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</si>
  <si>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</si>
  <si>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</si>
  <si>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</si>
  <si>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</si>
  <si>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</si>
  <si>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</si>
  <si>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</si>
  <si>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</si>
  <si>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</si>
  <si>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</si>
  <si>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</si>
  <si>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</si>
  <si>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</si>
  <si>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</si>
  <si>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</si>
  <si>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</si>
  <si>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</si>
  <si>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</si>
  <si>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</si>
  <si>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</si>
  <si>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</si>
  <si>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</si>
  <si>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</si>
  <si>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</si>
  <si>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</si>
  <si>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</si>
  <si>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</si>
  <si>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</si>
  <si>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</si>
  <si>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</si>
  <si>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</si>
  <si>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</si>
  <si>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</si>
  <si>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</si>
  <si>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</si>
  <si>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</si>
  <si>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</si>
  <si>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</si>
  <si>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</si>
  <si>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</si>
  <si>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</si>
  <si>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</si>
  <si>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</si>
  <si>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</si>
  <si>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</si>
  <si>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</si>
  <si>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</si>
  <si>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</si>
  <si>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</si>
  <si>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</si>
  <si>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</si>
  <si>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</si>
  <si>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</si>
  <si>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</si>
  <si>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</si>
  <si>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</si>
  <si>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</si>
  <si>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</si>
  <si>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</si>
  <si>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</si>
  <si>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</si>
  <si>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</si>
  <si>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</si>
  <si>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</si>
  <si>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</si>
  <si>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</si>
  <si>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</si>
  <si>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</si>
  <si>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</si>
  <si>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</si>
  <si>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</si>
  <si>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</si>
  <si>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</si>
  <si>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</si>
  <si>
    <t>Carrières du Hainaut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</si>
</sst>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9">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2" fontId="6" fillId="4" borderId="405" xfId="0" applyNumberFormat="1" applyFont="1" applyFill="1" applyBorder="1"/>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0" fontId="6" fillId="4" borderId="48" xfId="0" applyFont="1" applyFill="1" applyBorder="1" applyAlignment="1" applyProtection="1">
      <alignment horizontal="left" wrapText="1"/>
      <protection locked="0"/>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8"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4" t="s">
        <v>8</v>
      </c>
      <c r="F4" s="2024"/>
      <c r="G4" s="2024"/>
      <c r="H4" s="2024"/>
      <c r="I4" s="2024"/>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5" t="s">
        <v>9</v>
      </c>
      <c r="F5" s="2025"/>
      <c r="G5" s="2025"/>
      <c r="H5" s="2025"/>
      <c r="I5" s="2025"/>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5" t="s">
        <v>10</v>
      </c>
      <c r="F6" s="2025"/>
      <c r="G6" s="2025"/>
      <c r="H6" s="2025"/>
      <c r="I6" s="2025"/>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5" t="s">
        <v>651</v>
      </c>
      <c r="F7" s="2025"/>
      <c r="G7" s="2025"/>
      <c r="H7" s="2025"/>
      <c r="I7" s="2025"/>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5" t="s">
        <v>11</v>
      </c>
      <c r="F8" s="2025"/>
      <c r="G8" s="2025"/>
      <c r="H8" s="2025"/>
      <c r="I8" s="2025"/>
      <c r="J8" s="4"/>
      <c r="K8" s="4"/>
      <c r="L8" s="4"/>
      <c r="M8" s="4"/>
      <c r="N8" s="4"/>
      <c r="O8" s="4"/>
      <c r="P8" s="4"/>
      <c r="Q8" s="4"/>
      <c r="R8" s="4"/>
      <c r="S8" s="4"/>
      <c r="T8" s="4"/>
      <c r="U8" s="4"/>
      <c r="V8" s="4"/>
      <c r="W8" s="4"/>
      <c r="X8" s="4"/>
      <c r="Y8" s="4"/>
      <c r="Z8" s="4"/>
      <c r="AA8" s="4"/>
      <c r="AB8" s="4"/>
      <c r="AC8" s="4"/>
    </row>
    <row r="9" spans="1:29" x14ac:dyDescent="0.3">
      <c r="A9" s="4"/>
      <c r="B9" s="2"/>
      <c r="C9" s="2"/>
      <c r="D9" s="3" t="s">
        <v>4</v>
      </c>
      <c r="E9" s="2026" t="s">
        <v>12</v>
      </c>
      <c r="F9" s="2026"/>
      <c r="G9" s="2026"/>
      <c r="H9" s="2026"/>
      <c r="I9" s="2026"/>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7" t="s">
        <v>1118</v>
      </c>
      <c r="F10" s="2027"/>
      <c r="G10" s="2027"/>
      <c r="H10" s="2027"/>
      <c r="I10" s="2027"/>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7" t="s">
        <v>1135</v>
      </c>
      <c r="F11" s="2027"/>
      <c r="G11" s="2027"/>
      <c r="H11" s="2027"/>
      <c r="I11" s="2027"/>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8" t="s">
        <v>1114</v>
      </c>
      <c r="F15" s="1958"/>
      <c r="G15" s="1958"/>
      <c r="H15" s="1958"/>
      <c r="I15" s="1958"/>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9" t="s">
        <v>1116</v>
      </c>
      <c r="F16" s="1959"/>
      <c r="G16" s="1959"/>
      <c r="H16" s="1959"/>
      <c r="I16" s="1959"/>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60" t="s">
        <v>1115</v>
      </c>
      <c r="F17" s="1960"/>
      <c r="G17" s="1960"/>
      <c r="H17" s="1960"/>
      <c r="I17" s="1960"/>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1" t="s">
        <v>20</v>
      </c>
      <c r="F21" s="1961"/>
      <c r="G21" s="1967"/>
      <c r="H21" s="1963" t="s">
        <v>21</v>
      </c>
      <c r="I21" s="1961"/>
      <c r="J21" s="1967"/>
      <c r="K21" s="1963" t="s">
        <v>22</v>
      </c>
      <c r="L21" s="1961"/>
      <c r="M21" s="1961"/>
      <c r="N21" s="4"/>
      <c r="O21" s="4"/>
      <c r="P21" s="4"/>
      <c r="Q21" s="4"/>
      <c r="R21" s="4"/>
      <c r="S21" s="4"/>
      <c r="T21" s="4"/>
      <c r="U21" s="4"/>
      <c r="V21" s="4"/>
      <c r="W21" s="4"/>
      <c r="X21" s="4"/>
      <c r="Y21" s="4"/>
      <c r="Z21" s="4"/>
      <c r="AA21" s="4"/>
      <c r="AB21" s="4"/>
      <c r="AC21" s="4"/>
    </row>
    <row r="22" spans="1:29" x14ac:dyDescent="0.3">
      <c r="A22" s="4"/>
      <c r="B22" s="2" t="s">
        <v>5</v>
      </c>
      <c r="C22" s="2"/>
      <c r="D22" s="3" t="s">
        <v>7</v>
      </c>
      <c r="E22" s="1965" t="s">
        <v>23</v>
      </c>
      <c r="F22" s="1965"/>
      <c r="G22" s="1968"/>
      <c r="H22" s="1964" t="s">
        <v>24</v>
      </c>
      <c r="I22" s="1965"/>
      <c r="J22" s="1968"/>
      <c r="K22" s="1964" t="s">
        <v>25</v>
      </c>
      <c r="L22" s="1965"/>
      <c r="M22" s="1965"/>
      <c r="N22" s="4"/>
      <c r="O22" s="4"/>
      <c r="P22" s="4"/>
      <c r="Q22" s="4"/>
      <c r="R22" s="4"/>
      <c r="S22" s="4"/>
      <c r="T22" s="4"/>
      <c r="U22" s="4"/>
      <c r="V22" s="4"/>
      <c r="W22" s="4"/>
      <c r="X22" s="4"/>
      <c r="Y22" s="4"/>
      <c r="Z22" s="4"/>
      <c r="AA22" s="4"/>
      <c r="AB22" s="4"/>
      <c r="AC22" s="4"/>
    </row>
    <row r="23" spans="1:29" x14ac:dyDescent="0.3">
      <c r="A23" s="4"/>
      <c r="B23" s="2"/>
      <c r="C23" s="2"/>
      <c r="D23" s="3" t="s">
        <v>602</v>
      </c>
      <c r="E23" s="1965">
        <v>1000</v>
      </c>
      <c r="F23" s="1965"/>
      <c r="G23" s="1968"/>
      <c r="H23" s="1964">
        <v>2000</v>
      </c>
      <c r="I23" s="1965"/>
      <c r="J23" s="1968"/>
      <c r="K23" s="1964">
        <v>3000</v>
      </c>
      <c r="L23" s="1965"/>
      <c r="M23" s="1965"/>
      <c r="N23" s="4"/>
      <c r="O23" s="4"/>
      <c r="P23" s="4"/>
      <c r="Q23" s="4"/>
      <c r="R23" s="4"/>
      <c r="S23" s="4"/>
      <c r="T23" s="4"/>
      <c r="U23" s="4"/>
      <c r="V23" s="4"/>
      <c r="W23" s="4"/>
      <c r="X23" s="4"/>
      <c r="Y23" s="4"/>
      <c r="Z23" s="4"/>
      <c r="AA23" s="4"/>
      <c r="AB23" s="4"/>
      <c r="AC23" s="4"/>
    </row>
    <row r="24" spans="1:29" ht="14.5" x14ac:dyDescent="0.35">
      <c r="A24" s="4"/>
      <c r="B24" s="2"/>
      <c r="C24" s="2"/>
      <c r="D24" s="3" t="s">
        <v>603</v>
      </c>
      <c r="E24" s="1965" t="s">
        <v>608</v>
      </c>
      <c r="F24" s="1965"/>
      <c r="G24" s="1968"/>
      <c r="H24" s="1964" t="s">
        <v>248</v>
      </c>
      <c r="I24" s="1965"/>
      <c r="J24" s="1968"/>
      <c r="K24" s="1964" t="s">
        <v>604</v>
      </c>
      <c r="L24" s="1965"/>
      <c r="M24" s="1965"/>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5" t="s">
        <v>26</v>
      </c>
      <c r="F25" s="1965"/>
      <c r="G25" s="1968"/>
      <c r="H25" s="1964" t="s">
        <v>27</v>
      </c>
      <c r="I25" s="1965"/>
      <c r="J25" s="1968"/>
      <c r="K25" s="1964" t="s">
        <v>28</v>
      </c>
      <c r="L25" s="1965"/>
      <c r="M25" s="1965"/>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3" t="s">
        <v>29</v>
      </c>
      <c r="F26" s="1993"/>
      <c r="G26" s="1994"/>
      <c r="H26" s="2022" t="s">
        <v>30</v>
      </c>
      <c r="I26" s="1993"/>
      <c r="J26" s="1994"/>
      <c r="K26" s="2022" t="s">
        <v>31</v>
      </c>
      <c r="L26" s="1993"/>
      <c r="M26" s="1993"/>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2">
        <v>801</v>
      </c>
      <c r="F28" s="1992"/>
      <c r="G28" s="2028"/>
      <c r="H28" s="1991">
        <v>802</v>
      </c>
      <c r="I28" s="1992"/>
      <c r="J28" s="2028"/>
      <c r="K28" s="1991">
        <v>8031</v>
      </c>
      <c r="L28" s="1992"/>
      <c r="M28" s="1992"/>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6" t="s">
        <v>901</v>
      </c>
      <c r="F29" s="2016"/>
      <c r="G29" s="2017"/>
      <c r="H29" s="2018" t="s">
        <v>973</v>
      </c>
      <c r="I29" s="2016"/>
      <c r="J29" s="2017"/>
      <c r="K29" s="2018" t="s">
        <v>974</v>
      </c>
      <c r="L29" s="2016"/>
      <c r="M29" s="2016"/>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9" t="s">
        <v>1123</v>
      </c>
      <c r="F30" s="2019"/>
      <c r="G30" s="2020"/>
      <c r="H30" s="2021" t="s">
        <v>1124</v>
      </c>
      <c r="I30" s="2019"/>
      <c r="J30" s="2020"/>
      <c r="K30" s="2021" t="s">
        <v>1124</v>
      </c>
      <c r="L30" s="2019"/>
      <c r="M30" s="2019"/>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5" t="s">
        <v>32</v>
      </c>
      <c r="F32" s="1965"/>
      <c r="G32" s="1968"/>
      <c r="H32" s="1964" t="s">
        <v>33</v>
      </c>
      <c r="I32" s="1965"/>
      <c r="J32" s="1968"/>
      <c r="K32" s="1964" t="s">
        <v>34</v>
      </c>
      <c r="L32" s="1965"/>
      <c r="M32" s="1965"/>
      <c r="N32" s="4"/>
      <c r="O32" s="4"/>
      <c r="P32" s="4"/>
      <c r="Q32" s="4"/>
      <c r="R32" s="4"/>
      <c r="S32" s="4"/>
      <c r="T32" s="4"/>
      <c r="U32" s="4"/>
      <c r="V32" s="4"/>
      <c r="W32" s="4"/>
      <c r="X32" s="4"/>
      <c r="Y32" s="4"/>
      <c r="Z32" s="4"/>
      <c r="AA32" s="4"/>
      <c r="AB32" s="4"/>
      <c r="AC32" s="4"/>
    </row>
    <row r="33" spans="1:29" x14ac:dyDescent="0.3">
      <c r="A33" s="4"/>
      <c r="B33" s="2"/>
      <c r="C33" s="2"/>
      <c r="D33" s="3" t="s">
        <v>19</v>
      </c>
      <c r="E33" s="1965">
        <v>350</v>
      </c>
      <c r="F33" s="1965"/>
      <c r="G33" s="1968"/>
      <c r="H33" s="1964">
        <v>350</v>
      </c>
      <c r="I33" s="1965"/>
      <c r="J33" s="1968"/>
      <c r="K33" s="1964">
        <v>300</v>
      </c>
      <c r="L33" s="1965"/>
      <c r="M33" s="1965"/>
      <c r="N33" s="4"/>
      <c r="O33" s="4"/>
      <c r="P33" s="4"/>
      <c r="Q33" s="4"/>
      <c r="R33" s="4"/>
      <c r="S33" s="4"/>
      <c r="T33" s="4"/>
      <c r="U33" s="4"/>
      <c r="V33" s="4"/>
      <c r="W33" s="4"/>
      <c r="X33" s="4"/>
      <c r="Y33" s="4"/>
      <c r="Z33" s="4"/>
      <c r="AA33" s="4"/>
      <c r="AB33" s="4"/>
      <c r="AC33" s="4"/>
    </row>
    <row r="34" spans="1:29" ht="14.5" x14ac:dyDescent="0.35">
      <c r="A34" s="4"/>
      <c r="B34" s="2"/>
      <c r="C34" s="2"/>
      <c r="D34" s="3" t="s">
        <v>87</v>
      </c>
      <c r="E34" s="1965" t="s">
        <v>1630</v>
      </c>
      <c r="F34" s="1965"/>
      <c r="G34" s="1968"/>
      <c r="H34" s="1964" t="s">
        <v>1630</v>
      </c>
      <c r="I34" s="1965"/>
      <c r="J34" s="1968"/>
      <c r="K34" s="1964" t="s">
        <v>1630</v>
      </c>
      <c r="L34" s="1965"/>
      <c r="M34" s="1965"/>
      <c r="N34" s="6" t="s">
        <v>88</v>
      </c>
      <c r="O34" s="4"/>
      <c r="P34" s="4"/>
      <c r="Q34" s="4"/>
      <c r="R34" s="4"/>
      <c r="S34" s="4"/>
      <c r="T34" s="4"/>
      <c r="U34" s="4"/>
      <c r="V34" s="4"/>
      <c r="W34" s="4"/>
      <c r="X34" s="4"/>
      <c r="Y34" s="4"/>
      <c r="Z34" s="4"/>
      <c r="AA34" s="4"/>
      <c r="AB34" s="4"/>
      <c r="AC34" s="4"/>
    </row>
    <row r="35" spans="1:29" x14ac:dyDescent="0.3">
      <c r="A35" s="4"/>
      <c r="B35" s="2"/>
      <c r="C35" s="2"/>
      <c r="D35" s="3" t="s">
        <v>1672</v>
      </c>
      <c r="E35" s="1965" t="s">
        <v>1695</v>
      </c>
      <c r="F35" s="1965"/>
      <c r="G35" s="1968"/>
      <c r="H35" s="1964" t="s">
        <v>1696</v>
      </c>
      <c r="I35" s="1965"/>
      <c r="J35" s="1968"/>
      <c r="K35" s="1964" t="s">
        <v>1697</v>
      </c>
      <c r="L35" s="1965"/>
      <c r="M35" s="1965"/>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8" t="s">
        <v>605</v>
      </c>
      <c r="G40" s="1958"/>
      <c r="H40" s="1958"/>
      <c r="I40" s="1958"/>
      <c r="J40" s="1958"/>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9" t="s">
        <v>1628</v>
      </c>
      <c r="G41" s="1959"/>
      <c r="H41" s="1959"/>
      <c r="I41" s="1959"/>
      <c r="J41" s="1959"/>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9" t="s">
        <v>1627</v>
      </c>
      <c r="G42" s="1959"/>
      <c r="H42" s="1959"/>
      <c r="I42" s="1959"/>
      <c r="J42" s="1959"/>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9" t="s">
        <v>1302</v>
      </c>
      <c r="G43" s="1959"/>
      <c r="H43" s="1959"/>
      <c r="I43" s="1959"/>
      <c r="J43" s="1959"/>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60" t="s">
        <v>606</v>
      </c>
      <c r="G44" s="1960"/>
      <c r="H44" s="1960"/>
      <c r="I44" s="1960"/>
      <c r="J44" s="1960"/>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8" t="s">
        <v>1668</v>
      </c>
      <c r="E47" s="1958"/>
      <c r="F47" s="1958"/>
      <c r="G47" s="1958"/>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60" t="s">
        <v>1608</v>
      </c>
      <c r="E48" s="1960"/>
      <c r="F48" s="1960"/>
      <c r="G48" s="1960"/>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8">
        <v>64</v>
      </c>
      <c r="K65" s="1958"/>
      <c r="L65" s="1958"/>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9" t="s">
        <v>597</v>
      </c>
      <c r="K66" s="1959"/>
      <c r="L66" s="1959"/>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9" t="s">
        <v>598</v>
      </c>
      <c r="K67" s="1959"/>
      <c r="L67" s="1959"/>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9" t="s">
        <v>599</v>
      </c>
      <c r="K68" s="1959"/>
      <c r="L68" s="1959"/>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70"/>
      <c r="K70" s="1970"/>
      <c r="L70" s="1970"/>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1" t="s">
        <v>1339</v>
      </c>
      <c r="F73" s="1971"/>
      <c r="G73" s="1971"/>
      <c r="H73" s="1971"/>
      <c r="I73" s="1971"/>
      <c r="J73" s="1971"/>
      <c r="K73" s="1971"/>
      <c r="L73" s="1971"/>
      <c r="M73" s="1971"/>
      <c r="N73" s="1971"/>
      <c r="O73" s="1971"/>
      <c r="P73" s="1971"/>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9" t="s">
        <v>597</v>
      </c>
      <c r="K74" s="1959"/>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60" t="s">
        <v>1296</v>
      </c>
      <c r="K75" s="1960"/>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7">
        <v>40409</v>
      </c>
      <c r="H78" s="1957"/>
      <c r="I78" s="4"/>
      <c r="J78" s="4"/>
      <c r="K78" s="2" t="s">
        <v>1658</v>
      </c>
      <c r="L78" s="2"/>
      <c r="M78" s="2"/>
      <c r="N78" s="2"/>
      <c r="O78" s="2"/>
      <c r="P78" s="1957">
        <v>40409</v>
      </c>
      <c r="Q78" s="1957"/>
      <c r="R78" s="4"/>
      <c r="S78" s="4"/>
      <c r="T78" s="4"/>
      <c r="U78" s="4"/>
      <c r="V78" s="4"/>
      <c r="W78" s="4"/>
      <c r="X78" s="4"/>
      <c r="Y78" s="4"/>
      <c r="Z78" s="4"/>
      <c r="AA78" s="4"/>
      <c r="AB78" s="4"/>
      <c r="AC78" s="4"/>
    </row>
    <row r="79" spans="1:29" ht="15" customHeight="1" x14ac:dyDescent="0.3">
      <c r="A79" s="4"/>
      <c r="B79" s="2" t="s">
        <v>668</v>
      </c>
      <c r="C79" s="2"/>
      <c r="D79" s="2"/>
      <c r="E79" s="2"/>
      <c r="F79" s="2"/>
      <c r="G79" s="2010">
        <v>39563</v>
      </c>
      <c r="H79" s="2010"/>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8" t="s">
        <v>64</v>
      </c>
      <c r="D84" s="1958"/>
      <c r="E84" s="1958"/>
      <c r="F84" s="1958"/>
      <c r="G84" s="2011"/>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9" t="s">
        <v>109</v>
      </c>
      <c r="D85" s="1959"/>
      <c r="E85" s="1959"/>
      <c r="F85" s="1959"/>
      <c r="G85" s="1989"/>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9" t="s">
        <v>1237</v>
      </c>
      <c r="D86" s="1959"/>
      <c r="E86" s="1959"/>
      <c r="F86" s="1959"/>
      <c r="G86" s="1989"/>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60" t="s">
        <v>601</v>
      </c>
      <c r="D87" s="1960"/>
      <c r="E87" s="1960"/>
      <c r="F87" s="1960"/>
      <c r="G87" s="1990"/>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5">
        <f>K$28</f>
        <v>8031</v>
      </c>
      <c r="M92" s="1995"/>
      <c r="N92" s="1995"/>
      <c r="O92" s="4"/>
      <c r="P92" s="4"/>
      <c r="Q92" s="4"/>
      <c r="R92" s="4"/>
      <c r="S92" s="4"/>
      <c r="T92" s="4"/>
      <c r="U92" s="4"/>
      <c r="V92" s="4"/>
      <c r="W92" s="4"/>
      <c r="X92" s="4"/>
      <c r="Y92" s="4"/>
      <c r="Z92" s="4"/>
      <c r="AA92" s="4"/>
      <c r="AB92" s="4"/>
      <c r="AC92" s="4"/>
    </row>
    <row r="93" spans="1:29" ht="14.5" x14ac:dyDescent="0.35">
      <c r="A93" s="4"/>
      <c r="B93" s="2" t="s">
        <v>71</v>
      </c>
      <c r="C93" s="2"/>
      <c r="D93" s="2"/>
      <c r="E93" s="2"/>
      <c r="F93" s="1975" t="s">
        <v>679</v>
      </c>
      <c r="G93" s="1975"/>
      <c r="H93" s="1976"/>
      <c r="I93" s="1974" t="s">
        <v>680</v>
      </c>
      <c r="J93" s="1975"/>
      <c r="K93" s="1976"/>
      <c r="L93" s="1974" t="s">
        <v>1330</v>
      </c>
      <c r="M93" s="1975"/>
      <c r="N93" s="1975"/>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5">
        <f>K$28</f>
        <v>8031</v>
      </c>
      <c r="M95" s="1995"/>
      <c r="N95" s="1995"/>
      <c r="O95" s="4"/>
      <c r="P95" s="4"/>
      <c r="Q95" s="4"/>
      <c r="R95" s="4"/>
      <c r="S95" s="4"/>
      <c r="T95" s="4"/>
      <c r="U95" s="4"/>
      <c r="V95" s="4"/>
      <c r="W95" s="4"/>
      <c r="X95" s="4"/>
      <c r="Y95" s="4"/>
      <c r="Z95" s="4"/>
      <c r="AA95" s="4"/>
      <c r="AB95" s="4"/>
      <c r="AC95" s="4"/>
    </row>
    <row r="96" spans="1:29" ht="14.5" x14ac:dyDescent="0.35">
      <c r="A96" s="4"/>
      <c r="B96" s="2" t="s">
        <v>75</v>
      </c>
      <c r="C96" s="2"/>
      <c r="D96" s="2"/>
      <c r="E96" s="2"/>
      <c r="F96" s="1975" t="s">
        <v>801</v>
      </c>
      <c r="G96" s="1975"/>
      <c r="H96" s="1976"/>
      <c r="I96" s="1974"/>
      <c r="J96" s="1975"/>
      <c r="K96" s="1976"/>
      <c r="L96" s="1974"/>
      <c r="M96" s="1975"/>
      <c r="N96" s="1975"/>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9" t="s">
        <v>81</v>
      </c>
      <c r="G98" s="2009"/>
      <c r="H98" s="20" t="s">
        <v>77</v>
      </c>
      <c r="I98" s="2009" t="s">
        <v>81</v>
      </c>
      <c r="J98" s="2009"/>
      <c r="K98" s="20" t="s">
        <v>77</v>
      </c>
      <c r="L98" s="2009" t="s">
        <v>81</v>
      </c>
      <c r="M98" s="2009"/>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7" t="s">
        <v>800</v>
      </c>
      <c r="G99" s="1978"/>
      <c r="H99" s="1473"/>
      <c r="I99" s="1979"/>
      <c r="J99" s="1978"/>
      <c r="K99" s="1473"/>
      <c r="L99" s="1979"/>
      <c r="M99" s="1978"/>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2" t="s">
        <v>799</v>
      </c>
      <c r="G100" s="1981"/>
      <c r="H100" s="1475"/>
      <c r="I100" s="1980"/>
      <c r="J100" s="1981"/>
      <c r="K100" s="1475"/>
      <c r="L100" s="1980"/>
      <c r="M100" s="1981"/>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3" t="s">
        <v>798</v>
      </c>
      <c r="G101" s="1983"/>
      <c r="H101" s="1477"/>
      <c r="I101" s="1982"/>
      <c r="J101" s="1983"/>
      <c r="K101" s="1477"/>
      <c r="L101" s="1982"/>
      <c r="M101" s="1983"/>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4" t="s">
        <v>797</v>
      </c>
      <c r="G102" s="1985"/>
      <c r="H102" s="1479"/>
      <c r="I102" s="1984"/>
      <c r="J102" s="1985"/>
      <c r="K102" s="1479"/>
      <c r="L102" s="1984"/>
      <c r="M102" s="1985"/>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5" t="s">
        <v>796</v>
      </c>
      <c r="G103" s="1987"/>
      <c r="H103" s="1481"/>
      <c r="I103" s="1986"/>
      <c r="J103" s="1987"/>
      <c r="K103" s="1481"/>
      <c r="L103" s="1986"/>
      <c r="M103" s="1987"/>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2" t="s">
        <v>795</v>
      </c>
      <c r="G104" s="1973"/>
      <c r="H104" s="1483"/>
      <c r="I104" s="1988"/>
      <c r="J104" s="1973"/>
      <c r="K104" s="1483"/>
      <c r="L104" s="1988"/>
      <c r="M104" s="1973"/>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6" t="s">
        <v>82</v>
      </c>
      <c r="G105" s="1996"/>
      <c r="H105" s="22" t="s">
        <v>77</v>
      </c>
      <c r="I105" s="1996" t="s">
        <v>82</v>
      </c>
      <c r="J105" s="1996"/>
      <c r="K105" s="22" t="s">
        <v>77</v>
      </c>
      <c r="L105" s="1996" t="s">
        <v>82</v>
      </c>
      <c r="M105" s="1996"/>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1" t="s">
        <v>1483</v>
      </c>
      <c r="G106" s="1961"/>
      <c r="H106" s="1485"/>
      <c r="I106" s="1963" t="s">
        <v>681</v>
      </c>
      <c r="J106" s="1961"/>
      <c r="K106" s="1485"/>
      <c r="L106" s="1961" t="s">
        <v>682</v>
      </c>
      <c r="M106" s="1961"/>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9"/>
      <c r="G107" s="1999"/>
      <c r="H107" s="1487"/>
      <c r="I107" s="2000"/>
      <c r="J107" s="1999"/>
      <c r="K107" s="1487"/>
      <c r="L107" s="1999"/>
      <c r="M107" s="1999"/>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7"/>
      <c r="G108" s="1997"/>
      <c r="H108" s="1489"/>
      <c r="I108" s="1998"/>
      <c r="J108" s="1997"/>
      <c r="K108" s="1489"/>
      <c r="L108" s="1997"/>
      <c r="M108" s="1997"/>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7"/>
      <c r="E114" s="2008"/>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5">
        <f>K$28</f>
        <v>8031</v>
      </c>
      <c r="M117" s="1995"/>
      <c r="N117" s="1995"/>
      <c r="O117" s="4"/>
      <c r="P117" s="4"/>
      <c r="Q117" s="4"/>
      <c r="R117" s="4"/>
      <c r="S117" s="4"/>
      <c r="T117" s="4"/>
      <c r="U117" s="4"/>
      <c r="V117" s="4"/>
      <c r="W117" s="6" t="s">
        <v>1471</v>
      </c>
      <c r="X117" s="4"/>
      <c r="Y117" s="4"/>
      <c r="Z117" s="4"/>
      <c r="AA117" s="4"/>
      <c r="AB117" s="4"/>
      <c r="AC117" s="4"/>
    </row>
    <row r="118" spans="1:29" ht="14.5" x14ac:dyDescent="0.35">
      <c r="A118" s="4"/>
      <c r="B118" s="1971" t="s">
        <v>1469</v>
      </c>
      <c r="C118" s="1971"/>
      <c r="D118" s="1971"/>
      <c r="E118" s="2023"/>
      <c r="F118" s="2001" t="s">
        <v>1401</v>
      </c>
      <c r="G118" s="2001"/>
      <c r="H118" s="2002"/>
      <c r="I118" s="2005" t="s">
        <v>1402</v>
      </c>
      <c r="J118" s="2001"/>
      <c r="K118" s="2002"/>
      <c r="L118" s="2005" t="s">
        <v>1403</v>
      </c>
      <c r="M118" s="2001"/>
      <c r="N118" s="2001"/>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1" t="s">
        <v>1470</v>
      </c>
      <c r="C119" s="1971"/>
      <c r="D119" s="1971"/>
      <c r="E119" s="2023"/>
      <c r="F119" s="2003" t="s">
        <v>1624</v>
      </c>
      <c r="G119" s="2003"/>
      <c r="H119" s="2004"/>
      <c r="I119" s="2006"/>
      <c r="J119" s="2003"/>
      <c r="K119" s="2004"/>
      <c r="L119" s="2006"/>
      <c r="M119" s="2003"/>
      <c r="N119" s="2003"/>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1" t="s">
        <v>162</v>
      </c>
      <c r="C120" s="1971"/>
      <c r="D120" s="1971"/>
      <c r="E120" s="2023"/>
      <c r="F120" s="2003" t="s">
        <v>1623</v>
      </c>
      <c r="G120" s="2003"/>
      <c r="H120" s="2004"/>
      <c r="I120" s="2006"/>
      <c r="J120" s="2003"/>
      <c r="K120" s="2004"/>
      <c r="L120" s="2006"/>
      <c r="M120" s="2003"/>
      <c r="N120" s="2003"/>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1"/>
      <c r="C121" s="1971"/>
      <c r="D121" s="1971"/>
      <c r="E121" s="2023"/>
      <c r="F121" s="2003"/>
      <c r="G121" s="2003"/>
      <c r="H121" s="2004"/>
      <c r="I121" s="2006"/>
      <c r="J121" s="2003"/>
      <c r="K121" s="2004"/>
      <c r="L121" s="2006"/>
      <c r="M121" s="2003"/>
      <c r="N121" s="2003"/>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1"/>
      <c r="C122" s="1971"/>
      <c r="D122" s="1971"/>
      <c r="E122" s="2023"/>
      <c r="F122" s="2003"/>
      <c r="G122" s="2003"/>
      <c r="H122" s="2004"/>
      <c r="I122" s="2006"/>
      <c r="J122" s="2003"/>
      <c r="K122" s="2004"/>
      <c r="L122" s="2006"/>
      <c r="M122" s="2003"/>
      <c r="N122" s="2003"/>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5">
        <f>K$28</f>
        <v>8031</v>
      </c>
      <c r="M124" s="1995"/>
      <c r="N124" s="1995"/>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1" t="s">
        <v>1670</v>
      </c>
      <c r="G125" s="1961"/>
      <c r="H125" s="1967"/>
      <c r="I125" s="1963" t="s">
        <v>1670</v>
      </c>
      <c r="J125" s="1961"/>
      <c r="K125" s="1967"/>
      <c r="L125" s="1963" t="s">
        <v>1670</v>
      </c>
      <c r="M125" s="1961"/>
      <c r="N125" s="1961"/>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5" t="s">
        <v>683</v>
      </c>
      <c r="G126" s="1965"/>
      <c r="H126" s="1968"/>
      <c r="I126" s="1964" t="s">
        <v>687</v>
      </c>
      <c r="J126" s="1965"/>
      <c r="K126" s="1968"/>
      <c r="L126" s="1964" t="s">
        <v>691</v>
      </c>
      <c r="M126" s="1965"/>
      <c r="N126" s="1965"/>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5"/>
      <c r="G127" s="1965"/>
      <c r="H127" s="1968"/>
      <c r="I127" s="1964" t="s">
        <v>684</v>
      </c>
      <c r="J127" s="1965"/>
      <c r="K127" s="1968"/>
      <c r="L127" s="1964" t="s">
        <v>692</v>
      </c>
      <c r="M127" s="1965"/>
      <c r="N127" s="1965"/>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5" t="s">
        <v>685</v>
      </c>
      <c r="G128" s="1965"/>
      <c r="H128" s="1968"/>
      <c r="I128" s="1964" t="s">
        <v>688</v>
      </c>
      <c r="J128" s="1965"/>
      <c r="K128" s="1968"/>
      <c r="L128" s="1964" t="s">
        <v>693</v>
      </c>
      <c r="M128" s="1965"/>
      <c r="N128" s="1965"/>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2" t="s">
        <v>686</v>
      </c>
      <c r="G129" s="1962"/>
      <c r="H129" s="1969"/>
      <c r="I129" s="1966" t="s">
        <v>689</v>
      </c>
      <c r="J129" s="1962"/>
      <c r="K129" s="1969"/>
      <c r="L129" s="1966" t="s">
        <v>694</v>
      </c>
      <c r="M129" s="1962"/>
      <c r="N129" s="1962"/>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5">
        <f>K$28</f>
        <v>8031</v>
      </c>
      <c r="M131" s="1995"/>
      <c r="N131" s="1995"/>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1">
        <v>11</v>
      </c>
      <c r="G132" s="1961"/>
      <c r="H132" s="1967"/>
      <c r="I132" s="1963">
        <v>16</v>
      </c>
      <c r="J132" s="1961"/>
      <c r="K132" s="1967"/>
      <c r="L132" s="1963">
        <v>21</v>
      </c>
      <c r="M132" s="1961"/>
      <c r="N132" s="1961"/>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5">
        <v>12</v>
      </c>
      <c r="G133" s="1965"/>
      <c r="H133" s="1968"/>
      <c r="I133" s="1964">
        <v>17</v>
      </c>
      <c r="J133" s="1965"/>
      <c r="K133" s="1968"/>
      <c r="L133" s="1964">
        <v>22</v>
      </c>
      <c r="M133" s="1965"/>
      <c r="N133" s="1965"/>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5">
        <v>13</v>
      </c>
      <c r="G134" s="1965"/>
      <c r="H134" s="1968"/>
      <c r="I134" s="1964">
        <v>18</v>
      </c>
      <c r="J134" s="1965"/>
      <c r="K134" s="1968"/>
      <c r="L134" s="1964">
        <v>23</v>
      </c>
      <c r="M134" s="1965"/>
      <c r="N134" s="1965"/>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5">
        <v>14</v>
      </c>
      <c r="G135" s="1965"/>
      <c r="H135" s="1968"/>
      <c r="I135" s="1964">
        <v>19</v>
      </c>
      <c r="J135" s="1965"/>
      <c r="K135" s="1968"/>
      <c r="L135" s="1964">
        <v>24</v>
      </c>
      <c r="M135" s="1965"/>
      <c r="N135" s="1965"/>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2">
        <v>15</v>
      </c>
      <c r="G136" s="1962"/>
      <c r="H136" s="1969"/>
      <c r="I136" s="1966">
        <v>20</v>
      </c>
      <c r="J136" s="1962"/>
      <c r="K136" s="1969"/>
      <c r="L136" s="1966">
        <v>25</v>
      </c>
      <c r="M136" s="1962"/>
      <c r="N136" s="1962"/>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8"/>
      <c r="C140" s="1958"/>
      <c r="D140" s="1958"/>
      <c r="E140" s="1958"/>
      <c r="F140" s="1958"/>
      <c r="G140" s="1958"/>
      <c r="H140" s="1958"/>
      <c r="I140" s="1958"/>
      <c r="J140" s="1958"/>
      <c r="K140" s="1958"/>
      <c r="L140" s="1958"/>
      <c r="M140" s="1958"/>
      <c r="N140" s="1958"/>
      <c r="O140" s="4"/>
      <c r="P140" s="4"/>
      <c r="Q140" s="4"/>
      <c r="R140" s="4"/>
      <c r="S140" s="4"/>
      <c r="T140" s="4"/>
      <c r="U140" s="4"/>
      <c r="V140" s="4"/>
      <c r="W140" s="4"/>
      <c r="X140" s="4"/>
      <c r="Y140" s="4"/>
      <c r="Z140" s="4"/>
      <c r="AA140" s="4"/>
      <c r="AB140" s="4"/>
      <c r="AC140" s="4"/>
    </row>
    <row r="141" spans="1:29" x14ac:dyDescent="0.3">
      <c r="A141" s="4"/>
      <c r="B141" s="1959"/>
      <c r="C141" s="1959"/>
      <c r="D141" s="1959"/>
      <c r="E141" s="1959"/>
      <c r="F141" s="1959"/>
      <c r="G141" s="1959"/>
      <c r="H141" s="1959"/>
      <c r="I141" s="1959"/>
      <c r="J141" s="1959"/>
      <c r="K141" s="1959"/>
      <c r="L141" s="1959"/>
      <c r="M141" s="1959"/>
      <c r="N141" s="1959"/>
      <c r="O141" s="4"/>
      <c r="P141" s="4"/>
      <c r="Q141" s="4"/>
      <c r="R141" s="4"/>
      <c r="S141" s="4"/>
      <c r="T141" s="4"/>
      <c r="U141" s="4"/>
      <c r="V141" s="4"/>
      <c r="W141" s="4"/>
      <c r="X141" s="4"/>
      <c r="Y141" s="4"/>
      <c r="Z141" s="4"/>
      <c r="AA141" s="4"/>
      <c r="AB141" s="4"/>
      <c r="AC141" s="4"/>
    </row>
    <row r="142" spans="1:29" x14ac:dyDescent="0.3">
      <c r="A142" s="4"/>
      <c r="B142" s="1960"/>
      <c r="C142" s="1960"/>
      <c r="D142" s="1960"/>
      <c r="E142" s="1960"/>
      <c r="F142" s="1960"/>
      <c r="G142" s="1960"/>
      <c r="H142" s="1960"/>
      <c r="I142" s="1960"/>
      <c r="J142" s="1960"/>
      <c r="K142" s="1960"/>
      <c r="L142" s="1960"/>
      <c r="M142" s="1960"/>
      <c r="N142" s="1960"/>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1" t="s">
        <v>697</v>
      </c>
      <c r="L148" s="1961"/>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2" t="s">
        <v>698</v>
      </c>
      <c r="L149" s="1962"/>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opLeftCell="B12" zoomScale="90" zoomScaleNormal="90" workbookViewId="0">
      <selection activeCell="E30" sqref="E30"/>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1956">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tabSelected="1" workbookViewId="0">
      <pane xSplit="10" ySplit="3" topLeftCell="K18" activePane="bottomRight" state="frozen"/>
      <selection activeCell="A24" sqref="A24"/>
      <selection pane="topRight" activeCell="A24" sqref="A24"/>
      <selection pane="bottomLeft" activeCell="A24" sqref="A24"/>
      <selection pane="bottomRight" activeCell="N31" sqref="N31:P31"/>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8"/>
      <c r="D6" s="2118"/>
      <c r="E6" s="2118" t="s">
        <v>115</v>
      </c>
      <c r="F6" s="2118"/>
      <c r="G6" s="2118"/>
      <c r="H6" s="2" t="s">
        <v>116</v>
      </c>
      <c r="I6" s="2118" t="s">
        <v>1413</v>
      </c>
      <c r="J6" s="2118"/>
      <c r="K6" s="2118" t="s">
        <v>119</v>
      </c>
      <c r="L6" s="2118"/>
      <c r="M6" s="2118"/>
      <c r="N6" s="2118" t="s">
        <v>120</v>
      </c>
      <c r="O6" s="2118"/>
      <c r="P6" s="2118"/>
      <c r="Q6" s="2118" t="s">
        <v>121</v>
      </c>
      <c r="R6" s="2118"/>
      <c r="S6" s="2118" t="s">
        <v>122</v>
      </c>
      <c r="T6" s="2118"/>
      <c r="U6" s="2118" t="s">
        <v>128</v>
      </c>
      <c r="V6" s="2118"/>
      <c r="W6" s="2118" t="s">
        <v>127</v>
      </c>
      <c r="X6" s="2118"/>
      <c r="Y6" s="2118"/>
      <c r="Z6" s="2118"/>
      <c r="AA6" s="2118"/>
      <c r="AB6" s="2118"/>
      <c r="AC6" s="2118"/>
      <c r="AD6" s="2118"/>
      <c r="AE6" s="2118"/>
      <c r="AF6" s="2118"/>
      <c r="AG6" s="2118"/>
      <c r="AH6" s="2118"/>
      <c r="AI6" s="2118"/>
      <c r="AJ6" s="2118"/>
      <c r="AK6" s="2118"/>
      <c r="AL6" s="2118"/>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8"/>
      <c r="D7" s="2118"/>
      <c r="E7" s="2"/>
      <c r="F7" s="2"/>
      <c r="G7" s="2"/>
      <c r="H7" s="2"/>
      <c r="I7" s="2118" t="s">
        <v>118</v>
      </c>
      <c r="J7" s="2118"/>
      <c r="K7" s="2"/>
      <c r="L7" s="2"/>
      <c r="M7" s="2"/>
      <c r="N7" s="2"/>
      <c r="O7" s="2"/>
      <c r="P7" s="2"/>
      <c r="Q7" s="2"/>
      <c r="R7" s="2"/>
      <c r="S7" s="2118" t="s">
        <v>418</v>
      </c>
      <c r="T7" s="2118"/>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4"/>
      <c r="D8" s="2115"/>
      <c r="E8" s="2045" t="s">
        <v>228</v>
      </c>
      <c r="F8" s="2067"/>
      <c r="G8" s="2046"/>
      <c r="H8" s="1503" t="s">
        <v>229</v>
      </c>
      <c r="I8" s="2112" t="s">
        <v>230</v>
      </c>
      <c r="J8" s="2113"/>
      <c r="K8" s="2045" t="s">
        <v>231</v>
      </c>
      <c r="L8" s="2067"/>
      <c r="M8" s="2046"/>
      <c r="N8" s="2045" t="s">
        <v>232</v>
      </c>
      <c r="O8" s="2067"/>
      <c r="P8" s="2046"/>
      <c r="Q8" s="2045" t="s">
        <v>117</v>
      </c>
      <c r="R8" s="2046"/>
      <c r="S8" s="2063">
        <v>2.7890000000000001</v>
      </c>
      <c r="T8" s="2058"/>
      <c r="U8" s="2045" t="s">
        <v>288</v>
      </c>
      <c r="V8" s="2046"/>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6"/>
      <c r="D9" s="2117"/>
      <c r="E9" s="2047" t="s">
        <v>233</v>
      </c>
      <c r="F9" s="2065"/>
      <c r="G9" s="2048"/>
      <c r="H9" s="1507" t="s">
        <v>235</v>
      </c>
      <c r="I9" s="2108" t="s">
        <v>237</v>
      </c>
      <c r="J9" s="2109"/>
      <c r="K9" s="2047" t="s">
        <v>239</v>
      </c>
      <c r="L9" s="2065"/>
      <c r="M9" s="2048"/>
      <c r="N9" s="2047" t="s">
        <v>241</v>
      </c>
      <c r="O9" s="2065"/>
      <c r="P9" s="2048"/>
      <c r="Q9" s="2047" t="s">
        <v>117</v>
      </c>
      <c r="R9" s="2048"/>
      <c r="S9" s="2051">
        <v>2.7879999999999998</v>
      </c>
      <c r="T9" s="2060"/>
      <c r="U9" s="2047" t="s">
        <v>288</v>
      </c>
      <c r="V9" s="2048"/>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6"/>
      <c r="D10" s="2117"/>
      <c r="E10" s="2047" t="s">
        <v>1412</v>
      </c>
      <c r="F10" s="2065"/>
      <c r="G10" s="2048"/>
      <c r="H10" s="1507" t="s">
        <v>1411</v>
      </c>
      <c r="I10" s="2108" t="s">
        <v>1410</v>
      </c>
      <c r="J10" s="2109"/>
      <c r="K10" s="2047" t="s">
        <v>240</v>
      </c>
      <c r="L10" s="2065"/>
      <c r="M10" s="2048"/>
      <c r="N10" s="2047" t="s">
        <v>242</v>
      </c>
      <c r="O10" s="2065"/>
      <c r="P10" s="2048"/>
      <c r="Q10" s="2047" t="s">
        <v>117</v>
      </c>
      <c r="R10" s="2048"/>
      <c r="S10" s="2051">
        <v>2.786</v>
      </c>
      <c r="T10" s="2060"/>
      <c r="U10" s="2047" t="s">
        <v>289</v>
      </c>
      <c r="V10" s="2048"/>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6"/>
      <c r="D11" s="2117"/>
      <c r="E11" s="2047"/>
      <c r="F11" s="2065"/>
      <c r="G11" s="2048"/>
      <c r="H11" s="1507"/>
      <c r="I11" s="2108"/>
      <c r="J11" s="2109"/>
      <c r="K11" s="2047"/>
      <c r="L11" s="2065"/>
      <c r="M11" s="2048"/>
      <c r="N11" s="2047"/>
      <c r="O11" s="2065"/>
      <c r="P11" s="2048"/>
      <c r="Q11" s="2047"/>
      <c r="R11" s="2048"/>
      <c r="S11" s="2051"/>
      <c r="T11" s="2060"/>
      <c r="U11" s="2047"/>
      <c r="V11" s="2048"/>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6"/>
      <c r="D12" s="2117"/>
      <c r="E12" s="2047"/>
      <c r="F12" s="2065"/>
      <c r="G12" s="2048"/>
      <c r="H12" s="1507"/>
      <c r="I12" s="2108"/>
      <c r="J12" s="2109"/>
      <c r="K12" s="2047"/>
      <c r="L12" s="2065"/>
      <c r="M12" s="2048"/>
      <c r="N12" s="2047"/>
      <c r="O12" s="2065"/>
      <c r="P12" s="2048"/>
      <c r="Q12" s="2047"/>
      <c r="R12" s="2048"/>
      <c r="S12" s="2051"/>
      <c r="T12" s="2060"/>
      <c r="U12" s="2047"/>
      <c r="V12" s="2048"/>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6"/>
      <c r="D13" s="2117"/>
      <c r="E13" s="2047" t="s">
        <v>249</v>
      </c>
      <c r="F13" s="2065"/>
      <c r="G13" s="2048"/>
      <c r="H13" s="1507" t="s">
        <v>250</v>
      </c>
      <c r="I13" s="2108" t="s">
        <v>251</v>
      </c>
      <c r="J13" s="2109"/>
      <c r="K13" s="2047" t="s">
        <v>252</v>
      </c>
      <c r="L13" s="2065"/>
      <c r="M13" s="2048"/>
      <c r="N13" s="2047" t="s">
        <v>253</v>
      </c>
      <c r="O13" s="2065"/>
      <c r="P13" s="2048"/>
      <c r="Q13" s="2047" t="s">
        <v>254</v>
      </c>
      <c r="R13" s="2048"/>
      <c r="S13" s="2051">
        <v>3.21</v>
      </c>
      <c r="T13" s="2060"/>
      <c r="U13" s="2047" t="s">
        <v>288</v>
      </c>
      <c r="V13" s="2048"/>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6"/>
      <c r="D14" s="2117"/>
      <c r="E14" s="2047"/>
      <c r="F14" s="2065"/>
      <c r="G14" s="2048"/>
      <c r="H14" s="1507"/>
      <c r="I14" s="2108"/>
      <c r="J14" s="2109"/>
      <c r="K14" s="2047"/>
      <c r="L14" s="2065"/>
      <c r="M14" s="2048"/>
      <c r="N14" s="2047"/>
      <c r="O14" s="2065"/>
      <c r="P14" s="2048"/>
      <c r="Q14" s="2047"/>
      <c r="R14" s="2048"/>
      <c r="S14" s="2051"/>
      <c r="T14" s="2060"/>
      <c r="U14" s="2047"/>
      <c r="V14" s="2048"/>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6"/>
      <c r="D15" s="2117"/>
      <c r="E15" s="2047"/>
      <c r="F15" s="2065"/>
      <c r="G15" s="2048"/>
      <c r="H15" s="1507"/>
      <c r="I15" s="2108"/>
      <c r="J15" s="2109"/>
      <c r="K15" s="2047"/>
      <c r="L15" s="2065"/>
      <c r="M15" s="2048"/>
      <c r="N15" s="2047"/>
      <c r="O15" s="2065"/>
      <c r="P15" s="2048"/>
      <c r="Q15" s="2047"/>
      <c r="R15" s="2048"/>
      <c r="S15" s="2051"/>
      <c r="T15" s="2060"/>
      <c r="U15" s="2047"/>
      <c r="V15" s="2048"/>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6"/>
      <c r="D16" s="2117"/>
      <c r="E16" s="2047"/>
      <c r="F16" s="2065"/>
      <c r="G16" s="2048"/>
      <c r="H16" s="1507"/>
      <c r="I16" s="2108"/>
      <c r="J16" s="2109"/>
      <c r="K16" s="2047"/>
      <c r="L16" s="2065"/>
      <c r="M16" s="2048"/>
      <c r="N16" s="2047"/>
      <c r="O16" s="2065"/>
      <c r="P16" s="2048"/>
      <c r="Q16" s="2047"/>
      <c r="R16" s="2048"/>
      <c r="S16" s="2051"/>
      <c r="T16" s="2060"/>
      <c r="U16" s="2047"/>
      <c r="V16" s="2048"/>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9"/>
      <c r="D17" s="2120"/>
      <c r="E17" s="2035"/>
      <c r="F17" s="2036"/>
      <c r="G17" s="2044"/>
      <c r="H17" s="1511"/>
      <c r="I17" s="2110"/>
      <c r="J17" s="2111"/>
      <c r="K17" s="2035"/>
      <c r="L17" s="2036"/>
      <c r="M17" s="2044"/>
      <c r="N17" s="2035"/>
      <c r="O17" s="2036"/>
      <c r="P17" s="2044"/>
      <c r="Q17" s="2035"/>
      <c r="R17" s="2044"/>
      <c r="S17" s="2053"/>
      <c r="T17" s="2056"/>
      <c r="U17" s="2035"/>
      <c r="V17" s="2044"/>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4"/>
      <c r="D18" s="2115"/>
      <c r="E18" s="2045" t="s">
        <v>228</v>
      </c>
      <c r="F18" s="2067"/>
      <c r="G18" s="2046"/>
      <c r="H18" s="1503" t="s">
        <v>229</v>
      </c>
      <c r="I18" s="2112" t="s">
        <v>230</v>
      </c>
      <c r="J18" s="2113"/>
      <c r="K18" s="2045" t="s">
        <v>231</v>
      </c>
      <c r="L18" s="2067"/>
      <c r="M18" s="2046"/>
      <c r="N18" s="2045" t="s">
        <v>232</v>
      </c>
      <c r="O18" s="2067"/>
      <c r="P18" s="2046"/>
      <c r="Q18" s="2045" t="s">
        <v>117</v>
      </c>
      <c r="R18" s="2046"/>
      <c r="S18" s="2063">
        <v>2.7789999999999999</v>
      </c>
      <c r="T18" s="2058"/>
      <c r="U18" s="2045" t="s">
        <v>288</v>
      </c>
      <c r="V18" s="2046"/>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6"/>
      <c r="D19" s="2117"/>
      <c r="E19" s="2047" t="s">
        <v>233</v>
      </c>
      <c r="F19" s="2065"/>
      <c r="G19" s="2048"/>
      <c r="H19" s="1507" t="s">
        <v>235</v>
      </c>
      <c r="I19" s="2108" t="s">
        <v>237</v>
      </c>
      <c r="J19" s="2109"/>
      <c r="K19" s="2047" t="s">
        <v>239</v>
      </c>
      <c r="L19" s="2065"/>
      <c r="M19" s="2048"/>
      <c r="N19" s="2047" t="s">
        <v>241</v>
      </c>
      <c r="O19" s="2065"/>
      <c r="P19" s="2048"/>
      <c r="Q19" s="2047" t="s">
        <v>117</v>
      </c>
      <c r="R19" s="2048"/>
      <c r="S19" s="2051">
        <v>2.778</v>
      </c>
      <c r="T19" s="2060"/>
      <c r="U19" s="2047" t="s">
        <v>288</v>
      </c>
      <c r="V19" s="2048"/>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6"/>
      <c r="D20" s="2117"/>
      <c r="E20" s="2047" t="s">
        <v>234</v>
      </c>
      <c r="F20" s="2065"/>
      <c r="G20" s="2048"/>
      <c r="H20" s="1507" t="s">
        <v>236</v>
      </c>
      <c r="I20" s="2108" t="s">
        <v>238</v>
      </c>
      <c r="J20" s="2109"/>
      <c r="K20" s="2047" t="s">
        <v>240</v>
      </c>
      <c r="L20" s="2065"/>
      <c r="M20" s="2048"/>
      <c r="N20" s="2047" t="s">
        <v>242</v>
      </c>
      <c r="O20" s="2065"/>
      <c r="P20" s="2048"/>
      <c r="Q20" s="2047" t="s">
        <v>117</v>
      </c>
      <c r="R20" s="2048"/>
      <c r="S20" s="2051">
        <v>2.7759999999999998</v>
      </c>
      <c r="T20" s="2060"/>
      <c r="U20" s="2047" t="s">
        <v>289</v>
      </c>
      <c r="V20" s="2048"/>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6"/>
      <c r="D21" s="2117"/>
      <c r="E21" s="2047"/>
      <c r="F21" s="2065"/>
      <c r="G21" s="2048"/>
      <c r="H21" s="1507"/>
      <c r="I21" s="2108"/>
      <c r="J21" s="2109"/>
      <c r="K21" s="2047"/>
      <c r="L21" s="2065"/>
      <c r="M21" s="2048"/>
      <c r="N21" s="2047"/>
      <c r="O21" s="2065"/>
      <c r="P21" s="2048"/>
      <c r="Q21" s="2047"/>
      <c r="R21" s="2048"/>
      <c r="S21" s="2051"/>
      <c r="T21" s="2060"/>
      <c r="U21" s="2047"/>
      <c r="V21" s="2048"/>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6"/>
      <c r="D22" s="2117"/>
      <c r="E22" s="2047"/>
      <c r="F22" s="2065"/>
      <c r="G22" s="2048"/>
      <c r="H22" s="1507"/>
      <c r="I22" s="2108"/>
      <c r="J22" s="2109"/>
      <c r="K22" s="2047"/>
      <c r="L22" s="2065"/>
      <c r="M22" s="2048"/>
      <c r="N22" s="2047"/>
      <c r="O22" s="2065"/>
      <c r="P22" s="2048"/>
      <c r="Q22" s="2047"/>
      <c r="R22" s="2048"/>
      <c r="S22" s="2051"/>
      <c r="T22" s="2060"/>
      <c r="U22" s="2047"/>
      <c r="V22" s="2048"/>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6"/>
      <c r="D23" s="2117"/>
      <c r="E23" s="2047" t="s">
        <v>249</v>
      </c>
      <c r="F23" s="2065"/>
      <c r="G23" s="2048"/>
      <c r="H23" s="1507" t="s">
        <v>250</v>
      </c>
      <c r="I23" s="2108" t="s">
        <v>251</v>
      </c>
      <c r="J23" s="2109"/>
      <c r="K23" s="2047" t="s">
        <v>252</v>
      </c>
      <c r="L23" s="2065"/>
      <c r="M23" s="2048"/>
      <c r="N23" s="2047" t="s">
        <v>253</v>
      </c>
      <c r="O23" s="2065"/>
      <c r="P23" s="2048"/>
      <c r="Q23" s="2047" t="s">
        <v>254</v>
      </c>
      <c r="R23" s="2048"/>
      <c r="S23" s="2051">
        <v>3.2</v>
      </c>
      <c r="T23" s="2060"/>
      <c r="U23" s="2047" t="s">
        <v>288</v>
      </c>
      <c r="V23" s="2048"/>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6"/>
      <c r="D24" s="2117"/>
      <c r="E24" s="2047"/>
      <c r="F24" s="2065"/>
      <c r="G24" s="2048"/>
      <c r="H24" s="1507"/>
      <c r="I24" s="2108"/>
      <c r="J24" s="2109"/>
      <c r="K24" s="2047"/>
      <c r="L24" s="2065"/>
      <c r="M24" s="2048"/>
      <c r="N24" s="2047"/>
      <c r="O24" s="2065"/>
      <c r="P24" s="2048"/>
      <c r="Q24" s="2047"/>
      <c r="R24" s="2048"/>
      <c r="S24" s="2051"/>
      <c r="T24" s="2060"/>
      <c r="U24" s="2047"/>
      <c r="V24" s="2048"/>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6"/>
      <c r="D25" s="2117"/>
      <c r="E25" s="2047"/>
      <c r="F25" s="2065"/>
      <c r="G25" s="2048"/>
      <c r="H25" s="1507"/>
      <c r="I25" s="2108"/>
      <c r="J25" s="2109"/>
      <c r="K25" s="2047"/>
      <c r="L25" s="2065"/>
      <c r="M25" s="2048"/>
      <c r="N25" s="2047"/>
      <c r="O25" s="2065"/>
      <c r="P25" s="2048"/>
      <c r="Q25" s="2047"/>
      <c r="R25" s="2048"/>
      <c r="S25" s="2051"/>
      <c r="T25" s="2060"/>
      <c r="U25" s="2047"/>
      <c r="V25" s="2048"/>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6"/>
      <c r="D26" s="2117"/>
      <c r="E26" s="2047"/>
      <c r="F26" s="2065"/>
      <c r="G26" s="2048"/>
      <c r="H26" s="1507"/>
      <c r="I26" s="2108"/>
      <c r="J26" s="2109"/>
      <c r="K26" s="2047"/>
      <c r="L26" s="2065"/>
      <c r="M26" s="2048"/>
      <c r="N26" s="2047"/>
      <c r="O26" s="2065"/>
      <c r="P26" s="2048"/>
      <c r="Q26" s="2047"/>
      <c r="R26" s="2048"/>
      <c r="S26" s="2051"/>
      <c r="T26" s="2060"/>
      <c r="U26" s="2047"/>
      <c r="V26" s="2048"/>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9"/>
      <c r="D27" s="2120"/>
      <c r="E27" s="2035"/>
      <c r="F27" s="2036"/>
      <c r="G27" s="2044"/>
      <c r="H27" s="1511"/>
      <c r="I27" s="2110"/>
      <c r="J27" s="2111"/>
      <c r="K27" s="2035"/>
      <c r="L27" s="2036"/>
      <c r="M27" s="2044"/>
      <c r="N27" s="2035"/>
      <c r="O27" s="2036"/>
      <c r="P27" s="2044"/>
      <c r="Q27" s="2035"/>
      <c r="R27" s="2044"/>
      <c r="S27" s="2053"/>
      <c r="T27" s="2056"/>
      <c r="U27" s="2035"/>
      <c r="V27" s="2044"/>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4"/>
      <c r="D28" s="2115"/>
      <c r="E28" s="2045" t="s">
        <v>228</v>
      </c>
      <c r="F28" s="2067"/>
      <c r="G28" s="2046"/>
      <c r="H28" s="1503" t="s">
        <v>229</v>
      </c>
      <c r="I28" s="2112" t="s">
        <v>230</v>
      </c>
      <c r="J28" s="2113"/>
      <c r="K28" s="2045" t="s">
        <v>231</v>
      </c>
      <c r="L28" s="2067"/>
      <c r="M28" s="2046"/>
      <c r="N28" s="2045" t="s">
        <v>232</v>
      </c>
      <c r="O28" s="2067"/>
      <c r="P28" s="2046"/>
      <c r="Q28" s="2045" t="s">
        <v>117</v>
      </c>
      <c r="R28" s="2046"/>
      <c r="S28" s="2063">
        <v>2.7690000000000001</v>
      </c>
      <c r="T28" s="2058"/>
      <c r="U28" s="2045" t="s">
        <v>288</v>
      </c>
      <c r="V28" s="2046"/>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6"/>
      <c r="D29" s="2117"/>
      <c r="E29" s="2047" t="s">
        <v>233</v>
      </c>
      <c r="F29" s="2065"/>
      <c r="G29" s="2048"/>
      <c r="H29" s="1507" t="s">
        <v>235</v>
      </c>
      <c r="I29" s="2108" t="s">
        <v>237</v>
      </c>
      <c r="J29" s="2109"/>
      <c r="K29" s="2047" t="s">
        <v>239</v>
      </c>
      <c r="L29" s="2065"/>
      <c r="M29" s="2048"/>
      <c r="N29" s="2368" t="s">
        <v>1723</v>
      </c>
      <c r="O29" s="2065"/>
      <c r="P29" s="2048"/>
      <c r="Q29" s="2047" t="s">
        <v>117</v>
      </c>
      <c r="R29" s="2048"/>
      <c r="S29" s="2051">
        <v>2.7679999999999998</v>
      </c>
      <c r="T29" s="2060"/>
      <c r="U29" s="2047" t="s">
        <v>288</v>
      </c>
      <c r="V29" s="2048"/>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6"/>
      <c r="D30" s="2117"/>
      <c r="E30" s="2047" t="s">
        <v>234</v>
      </c>
      <c r="F30" s="2065"/>
      <c r="G30" s="2048"/>
      <c r="H30" s="1507" t="s">
        <v>236</v>
      </c>
      <c r="I30" s="2108" t="s">
        <v>238</v>
      </c>
      <c r="J30" s="2109"/>
      <c r="K30" s="2047" t="s">
        <v>240</v>
      </c>
      <c r="L30" s="2065"/>
      <c r="M30" s="2048"/>
      <c r="N30" s="2047" t="s">
        <v>242</v>
      </c>
      <c r="O30" s="2065"/>
      <c r="P30" s="2048"/>
      <c r="Q30" s="2047" t="s">
        <v>117</v>
      </c>
      <c r="R30" s="2048"/>
      <c r="S30" s="2051">
        <v>2.7669999999999999</v>
      </c>
      <c r="T30" s="2060"/>
      <c r="U30" s="2047" t="s">
        <v>289</v>
      </c>
      <c r="V30" s="2048"/>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6"/>
      <c r="D31" s="2117"/>
      <c r="E31" s="2047"/>
      <c r="F31" s="2065"/>
      <c r="G31" s="2048"/>
      <c r="H31" s="1507"/>
      <c r="I31" s="2108"/>
      <c r="J31" s="2109"/>
      <c r="K31" s="2047"/>
      <c r="L31" s="2065"/>
      <c r="M31" s="2048"/>
      <c r="N31" s="2047"/>
      <c r="O31" s="2065"/>
      <c r="P31" s="2048"/>
      <c r="Q31" s="2047"/>
      <c r="R31" s="2048"/>
      <c r="S31" s="2051"/>
      <c r="T31" s="2060"/>
      <c r="U31" s="2047"/>
      <c r="V31" s="2048"/>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6"/>
      <c r="D32" s="2117"/>
      <c r="E32" s="2047"/>
      <c r="F32" s="2065"/>
      <c r="G32" s="2048"/>
      <c r="H32" s="1507"/>
      <c r="I32" s="2108"/>
      <c r="J32" s="2109"/>
      <c r="K32" s="2047"/>
      <c r="L32" s="2065"/>
      <c r="M32" s="2048"/>
      <c r="N32" s="2047"/>
      <c r="O32" s="2065"/>
      <c r="P32" s="2048"/>
      <c r="Q32" s="2047"/>
      <c r="R32" s="2048"/>
      <c r="S32" s="2051"/>
      <c r="T32" s="2060"/>
      <c r="U32" s="2047"/>
      <c r="V32" s="2048"/>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6"/>
      <c r="D33" s="2117"/>
      <c r="E33" s="2047" t="s">
        <v>249</v>
      </c>
      <c r="F33" s="2065"/>
      <c r="G33" s="2048"/>
      <c r="H33" s="1507" t="s">
        <v>250</v>
      </c>
      <c r="I33" s="2108" t="s">
        <v>251</v>
      </c>
      <c r="J33" s="2109"/>
      <c r="K33" s="2047" t="s">
        <v>252</v>
      </c>
      <c r="L33" s="2065"/>
      <c r="M33" s="2048"/>
      <c r="N33" s="2047" t="s">
        <v>253</v>
      </c>
      <c r="O33" s="2065"/>
      <c r="P33" s="2048"/>
      <c r="Q33" s="2047" t="s">
        <v>254</v>
      </c>
      <c r="R33" s="2048"/>
      <c r="S33" s="2051">
        <v>3.22</v>
      </c>
      <c r="T33" s="2060"/>
      <c r="U33" s="2047" t="s">
        <v>288</v>
      </c>
      <c r="V33" s="2048"/>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6"/>
      <c r="D34" s="2117"/>
      <c r="E34" s="2047"/>
      <c r="F34" s="2065"/>
      <c r="G34" s="2048"/>
      <c r="H34" s="1507"/>
      <c r="I34" s="2108"/>
      <c r="J34" s="2109"/>
      <c r="K34" s="2047"/>
      <c r="L34" s="2065"/>
      <c r="M34" s="2048"/>
      <c r="N34" s="2047"/>
      <c r="O34" s="2065"/>
      <c r="P34" s="2048"/>
      <c r="Q34" s="2047"/>
      <c r="R34" s="2048"/>
      <c r="S34" s="2051"/>
      <c r="T34" s="2060"/>
      <c r="U34" s="2047"/>
      <c r="V34" s="2048"/>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6"/>
      <c r="D35" s="2117"/>
      <c r="E35" s="2047"/>
      <c r="F35" s="2065"/>
      <c r="G35" s="2048"/>
      <c r="H35" s="1507"/>
      <c r="I35" s="2108"/>
      <c r="J35" s="2109"/>
      <c r="K35" s="2047"/>
      <c r="L35" s="2065"/>
      <c r="M35" s="2048"/>
      <c r="N35" s="2047"/>
      <c r="O35" s="2065"/>
      <c r="P35" s="2048"/>
      <c r="Q35" s="2047"/>
      <c r="R35" s="2048"/>
      <c r="S35" s="2051"/>
      <c r="T35" s="2060"/>
      <c r="U35" s="2047"/>
      <c r="V35" s="2048"/>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6"/>
      <c r="D36" s="2117"/>
      <c r="E36" s="2047"/>
      <c r="F36" s="2065"/>
      <c r="G36" s="2048"/>
      <c r="H36" s="1507"/>
      <c r="I36" s="2108"/>
      <c r="J36" s="2109"/>
      <c r="K36" s="2047"/>
      <c r="L36" s="2065"/>
      <c r="M36" s="2048"/>
      <c r="N36" s="2047"/>
      <c r="O36" s="2065"/>
      <c r="P36" s="2048"/>
      <c r="Q36" s="2047"/>
      <c r="R36" s="2048"/>
      <c r="S36" s="2051"/>
      <c r="T36" s="2060"/>
      <c r="U36" s="2047"/>
      <c r="V36" s="2048"/>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9"/>
      <c r="D37" s="2120"/>
      <c r="E37" s="2035"/>
      <c r="F37" s="2036"/>
      <c r="G37" s="2044"/>
      <c r="H37" s="1511"/>
      <c r="I37" s="2110"/>
      <c r="J37" s="2111"/>
      <c r="K37" s="2035"/>
      <c r="L37" s="2036"/>
      <c r="M37" s="2044"/>
      <c r="N37" s="2035"/>
      <c r="O37" s="2036"/>
      <c r="P37" s="2044"/>
      <c r="Q37" s="2035"/>
      <c r="R37" s="2044"/>
      <c r="S37" s="2053"/>
      <c r="T37" s="2056"/>
      <c r="U37" s="2035"/>
      <c r="V37" s="2044"/>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4"/>
      <c r="D38" s="2115"/>
      <c r="E38" s="2045" t="s">
        <v>228</v>
      </c>
      <c r="F38" s="2067"/>
      <c r="G38" s="2046"/>
      <c r="H38" s="1503" t="s">
        <v>229</v>
      </c>
      <c r="I38" s="2112" t="s">
        <v>230</v>
      </c>
      <c r="J38" s="2113"/>
      <c r="K38" s="2045" t="s">
        <v>231</v>
      </c>
      <c r="L38" s="2067"/>
      <c r="M38" s="2046"/>
      <c r="N38" s="2045" t="s">
        <v>232</v>
      </c>
      <c r="O38" s="2067"/>
      <c r="P38" s="2046"/>
      <c r="Q38" s="2045" t="s">
        <v>117</v>
      </c>
      <c r="R38" s="2046"/>
      <c r="S38" s="2063">
        <v>2.8</v>
      </c>
      <c r="T38" s="2058"/>
      <c r="U38" s="2045" t="s">
        <v>288</v>
      </c>
      <c r="V38" s="2046"/>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6"/>
      <c r="D39" s="2117"/>
      <c r="E39" s="2047" t="s">
        <v>233</v>
      </c>
      <c r="F39" s="2065"/>
      <c r="G39" s="2048"/>
      <c r="H39" s="1507" t="s">
        <v>235</v>
      </c>
      <c r="I39" s="2108" t="s">
        <v>237</v>
      </c>
      <c r="J39" s="2109"/>
      <c r="K39" s="2047" t="s">
        <v>239</v>
      </c>
      <c r="L39" s="2065"/>
      <c r="M39" s="2048"/>
      <c r="N39" s="2047" t="s">
        <v>241</v>
      </c>
      <c r="O39" s="2065"/>
      <c r="P39" s="2048"/>
      <c r="Q39" s="2047" t="s">
        <v>117</v>
      </c>
      <c r="R39" s="2048"/>
      <c r="S39" s="2051">
        <v>2.8010000000000002</v>
      </c>
      <c r="T39" s="2060"/>
      <c r="U39" s="2047" t="s">
        <v>288</v>
      </c>
      <c r="V39" s="2048"/>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6"/>
      <c r="D40" s="2117"/>
      <c r="E40" s="2047" t="s">
        <v>234</v>
      </c>
      <c r="F40" s="2065"/>
      <c r="G40" s="2048"/>
      <c r="H40" s="1507" t="s">
        <v>236</v>
      </c>
      <c r="I40" s="2108" t="s">
        <v>238</v>
      </c>
      <c r="J40" s="2109"/>
      <c r="K40" s="2047" t="s">
        <v>240</v>
      </c>
      <c r="L40" s="2065"/>
      <c r="M40" s="2048"/>
      <c r="N40" s="2047" t="s">
        <v>242</v>
      </c>
      <c r="O40" s="2065"/>
      <c r="P40" s="2048"/>
      <c r="Q40" s="2047" t="s">
        <v>117</v>
      </c>
      <c r="R40" s="2048"/>
      <c r="S40" s="2051">
        <v>2.802</v>
      </c>
      <c r="T40" s="2060"/>
      <c r="U40" s="2047" t="s">
        <v>289</v>
      </c>
      <c r="V40" s="2048"/>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6"/>
      <c r="D41" s="2117"/>
      <c r="E41" s="2047"/>
      <c r="F41" s="2065"/>
      <c r="G41" s="2048"/>
      <c r="H41" s="1507"/>
      <c r="I41" s="2108"/>
      <c r="J41" s="2109"/>
      <c r="K41" s="2047"/>
      <c r="L41" s="2065"/>
      <c r="M41" s="2048"/>
      <c r="N41" s="2047"/>
      <c r="O41" s="2065"/>
      <c r="P41" s="2048"/>
      <c r="Q41" s="2047"/>
      <c r="R41" s="2048"/>
      <c r="S41" s="2051"/>
      <c r="T41" s="2060"/>
      <c r="U41" s="2047"/>
      <c r="V41" s="2048"/>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6"/>
      <c r="D42" s="2117"/>
      <c r="E42" s="2047"/>
      <c r="F42" s="2065"/>
      <c r="G42" s="2048"/>
      <c r="H42" s="1507"/>
      <c r="I42" s="2108"/>
      <c r="J42" s="2109"/>
      <c r="K42" s="2047"/>
      <c r="L42" s="2065"/>
      <c r="M42" s="2048"/>
      <c r="N42" s="2047"/>
      <c r="O42" s="2065"/>
      <c r="P42" s="2048"/>
      <c r="Q42" s="2047"/>
      <c r="R42" s="2048"/>
      <c r="S42" s="2051"/>
      <c r="T42" s="2060"/>
      <c r="U42" s="2047"/>
      <c r="V42" s="2048"/>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6"/>
      <c r="D43" s="2117"/>
      <c r="E43" s="2047" t="s">
        <v>249</v>
      </c>
      <c r="F43" s="2065"/>
      <c r="G43" s="2048"/>
      <c r="H43" s="1507" t="s">
        <v>250</v>
      </c>
      <c r="I43" s="2108" t="s">
        <v>251</v>
      </c>
      <c r="J43" s="2109"/>
      <c r="K43" s="2047" t="s">
        <v>252</v>
      </c>
      <c r="L43" s="2065"/>
      <c r="M43" s="2048"/>
      <c r="N43" s="2047" t="s">
        <v>253</v>
      </c>
      <c r="O43" s="2065"/>
      <c r="P43" s="2048"/>
      <c r="Q43" s="2047" t="s">
        <v>254</v>
      </c>
      <c r="R43" s="2048"/>
      <c r="S43" s="2051">
        <v>3.23</v>
      </c>
      <c r="T43" s="2060"/>
      <c r="U43" s="2047" t="s">
        <v>288</v>
      </c>
      <c r="V43" s="2048"/>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6"/>
      <c r="D44" s="2117"/>
      <c r="E44" s="2047"/>
      <c r="F44" s="2065"/>
      <c r="G44" s="2048"/>
      <c r="H44" s="1507"/>
      <c r="I44" s="2108"/>
      <c r="J44" s="2109"/>
      <c r="K44" s="2047"/>
      <c r="L44" s="2065"/>
      <c r="M44" s="2048"/>
      <c r="N44" s="2047"/>
      <c r="O44" s="2065"/>
      <c r="P44" s="2048"/>
      <c r="Q44" s="2047"/>
      <c r="R44" s="2048"/>
      <c r="S44" s="2051"/>
      <c r="T44" s="2060"/>
      <c r="U44" s="2047"/>
      <c r="V44" s="2048"/>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6"/>
      <c r="D45" s="2117"/>
      <c r="E45" s="2047"/>
      <c r="F45" s="2065"/>
      <c r="G45" s="2048"/>
      <c r="H45" s="1507"/>
      <c r="I45" s="2108"/>
      <c r="J45" s="2109"/>
      <c r="K45" s="2047"/>
      <c r="L45" s="2065"/>
      <c r="M45" s="2048"/>
      <c r="N45" s="2047"/>
      <c r="O45" s="2065"/>
      <c r="P45" s="2048"/>
      <c r="Q45" s="2047"/>
      <c r="R45" s="2048"/>
      <c r="S45" s="2051"/>
      <c r="T45" s="2060"/>
      <c r="U45" s="2047"/>
      <c r="V45" s="2048"/>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6"/>
      <c r="D46" s="2117"/>
      <c r="E46" s="2047"/>
      <c r="F46" s="2065"/>
      <c r="G46" s="2048"/>
      <c r="H46" s="1507"/>
      <c r="I46" s="2108"/>
      <c r="J46" s="2109"/>
      <c r="K46" s="2047"/>
      <c r="L46" s="2065"/>
      <c r="M46" s="2048"/>
      <c r="N46" s="2047"/>
      <c r="O46" s="2065"/>
      <c r="P46" s="2048"/>
      <c r="Q46" s="2047"/>
      <c r="R46" s="2048"/>
      <c r="S46" s="2051"/>
      <c r="T46" s="2060"/>
      <c r="U46" s="2047"/>
      <c r="V46" s="2048"/>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9"/>
      <c r="D47" s="2120"/>
      <c r="E47" s="2049"/>
      <c r="F47" s="2066"/>
      <c r="G47" s="2050"/>
      <c r="H47" s="1511"/>
      <c r="I47" s="2121"/>
      <c r="J47" s="2122"/>
      <c r="K47" s="2049"/>
      <c r="L47" s="2066"/>
      <c r="M47" s="2050"/>
      <c r="N47" s="2049"/>
      <c r="O47" s="2066"/>
      <c r="P47" s="2050"/>
      <c r="Q47" s="2049"/>
      <c r="R47" s="2050"/>
      <c r="S47" s="2086"/>
      <c r="T47" s="2062"/>
      <c r="U47" s="2049"/>
      <c r="V47" s="2050"/>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8"/>
      <c r="D60" s="2118"/>
      <c r="E60" s="2118" t="s">
        <v>131</v>
      </c>
      <c r="F60" s="2118"/>
      <c r="G60" s="2118"/>
      <c r="H60" s="2118" t="s">
        <v>139</v>
      </c>
      <c r="I60" s="2118"/>
      <c r="J60" s="2118"/>
      <c r="K60" s="2118" t="s">
        <v>1241</v>
      </c>
      <c r="L60" s="2118"/>
      <c r="M60" s="2118"/>
      <c r="N60" s="2118" t="s">
        <v>119</v>
      </c>
      <c r="O60" s="2118"/>
      <c r="P60" s="2118"/>
      <c r="Q60" s="2118" t="s">
        <v>121</v>
      </c>
      <c r="R60" s="2118"/>
      <c r="S60" s="2" t="s">
        <v>122</v>
      </c>
      <c r="T60" s="2"/>
      <c r="U60" s="2118" t="s">
        <v>133</v>
      </c>
      <c r="V60" s="2118"/>
      <c r="W60" s="2118" t="s">
        <v>127</v>
      </c>
      <c r="X60" s="2118"/>
      <c r="Y60" s="2118"/>
      <c r="Z60" s="2118"/>
      <c r="AA60" s="2118"/>
      <c r="AB60" s="2118"/>
      <c r="AC60" s="2118"/>
      <c r="AD60" s="2118"/>
      <c r="AE60" s="2118"/>
      <c r="AF60" s="2118"/>
      <c r="AG60" s="2118"/>
      <c r="AH60" s="2118"/>
      <c r="AI60" s="2118"/>
      <c r="AJ60" s="2118"/>
      <c r="AK60" s="2118"/>
      <c r="AL60" s="2118"/>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8"/>
      <c r="D61" s="2118"/>
      <c r="E61" s="2"/>
      <c r="F61" s="2"/>
      <c r="G61" s="2"/>
      <c r="H61" s="2"/>
      <c r="I61" s="2"/>
      <c r="J61" s="2"/>
      <c r="K61" s="2118" t="s">
        <v>138</v>
      </c>
      <c r="L61" s="2118"/>
      <c r="M61" s="2118"/>
      <c r="N61" s="2118" t="s">
        <v>137</v>
      </c>
      <c r="O61" s="2118"/>
      <c r="P61" s="2118"/>
      <c r="Q61" s="2"/>
      <c r="R61" s="2"/>
      <c r="S61" s="2118" t="s">
        <v>418</v>
      </c>
      <c r="T61" s="2118"/>
      <c r="U61" s="2118" t="s">
        <v>132</v>
      </c>
      <c r="V61" s="2118"/>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7" t="s">
        <v>1667</v>
      </c>
      <c r="I62" s="2067"/>
      <c r="J62" s="2046"/>
      <c r="K62" s="2045" t="s">
        <v>1662</v>
      </c>
      <c r="L62" s="2067"/>
      <c r="M62" s="2046"/>
      <c r="N62" s="2045" t="s">
        <v>1663</v>
      </c>
      <c r="O62" s="2067"/>
      <c r="P62" s="2046"/>
      <c r="Q62" s="2045" t="s">
        <v>117</v>
      </c>
      <c r="R62" s="2046"/>
      <c r="S62" s="2063">
        <v>2.7</v>
      </c>
      <c r="T62" s="2058"/>
      <c r="U62" s="2041">
        <v>45</v>
      </c>
      <c r="V62" s="2070"/>
      <c r="W62" s="1517"/>
      <c r="X62" s="1518"/>
      <c r="Y62" s="1518"/>
      <c r="Z62" s="1518"/>
      <c r="AA62" s="1518"/>
      <c r="AB62" s="1518"/>
      <c r="AC62" s="1518"/>
      <c r="AD62" s="1518"/>
      <c r="AE62" s="1518"/>
      <c r="AF62" s="1518"/>
      <c r="AG62" s="1518">
        <v>100</v>
      </c>
      <c r="AH62" s="1518">
        <v>99</v>
      </c>
      <c r="AI62" s="1518">
        <v>98</v>
      </c>
      <c r="AJ62" s="1518">
        <v>97</v>
      </c>
      <c r="AK62" s="1518">
        <v>90</v>
      </c>
      <c r="AL62" s="1526">
        <v>85</v>
      </c>
      <c r="AM62" s="2135" t="s">
        <v>1615</v>
      </c>
      <c r="AN62" s="2106"/>
      <c r="AO62" s="2106"/>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5"/>
      <c r="I63" s="2065"/>
      <c r="J63" s="2048"/>
      <c r="K63" s="2047"/>
      <c r="L63" s="2065"/>
      <c r="M63" s="2048"/>
      <c r="N63" s="2047"/>
      <c r="O63" s="2065"/>
      <c r="P63" s="2048"/>
      <c r="Q63" s="2047"/>
      <c r="R63" s="2048"/>
      <c r="S63" s="2051"/>
      <c r="T63" s="2060"/>
      <c r="U63" s="2029"/>
      <c r="V63" s="2071"/>
      <c r="W63" s="1519"/>
      <c r="X63" s="1520"/>
      <c r="Y63" s="1520"/>
      <c r="Z63" s="1520"/>
      <c r="AA63" s="1520"/>
      <c r="AB63" s="1520"/>
      <c r="AC63" s="1520"/>
      <c r="AD63" s="1520"/>
      <c r="AE63" s="1520"/>
      <c r="AF63" s="1520"/>
      <c r="AG63" s="1520"/>
      <c r="AH63" s="1520"/>
      <c r="AI63" s="1520"/>
      <c r="AJ63" s="1520"/>
      <c r="AK63" s="1520"/>
      <c r="AL63" s="1539"/>
      <c r="AM63" s="2136"/>
      <c r="AN63" s="2100"/>
      <c r="AO63" s="2100"/>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5"/>
      <c r="I64" s="2065"/>
      <c r="J64" s="2048"/>
      <c r="K64" s="2047"/>
      <c r="L64" s="2065"/>
      <c r="M64" s="2048"/>
      <c r="N64" s="2047"/>
      <c r="O64" s="2065"/>
      <c r="P64" s="2048"/>
      <c r="Q64" s="2047"/>
      <c r="R64" s="2048"/>
      <c r="S64" s="2051"/>
      <c r="T64" s="2060"/>
      <c r="U64" s="2029"/>
      <c r="V64" s="2071"/>
      <c r="W64" s="1519"/>
      <c r="X64" s="1520"/>
      <c r="Y64" s="1520"/>
      <c r="Z64" s="1520"/>
      <c r="AA64" s="1520"/>
      <c r="AB64" s="1520"/>
      <c r="AC64" s="1520"/>
      <c r="AD64" s="1520"/>
      <c r="AE64" s="1520"/>
      <c r="AF64" s="1520"/>
      <c r="AG64" s="1520"/>
      <c r="AH64" s="1520"/>
      <c r="AI64" s="1520"/>
      <c r="AJ64" s="1520"/>
      <c r="AK64" s="1520"/>
      <c r="AL64" s="1539"/>
      <c r="AM64" s="2136"/>
      <c r="AN64" s="2100"/>
      <c r="AO64" s="2100"/>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5"/>
      <c r="I65" s="2065"/>
      <c r="J65" s="2048"/>
      <c r="K65" s="2047"/>
      <c r="L65" s="2065"/>
      <c r="M65" s="2048"/>
      <c r="N65" s="2047"/>
      <c r="O65" s="2065"/>
      <c r="P65" s="2048"/>
      <c r="Q65" s="2047"/>
      <c r="R65" s="2048"/>
      <c r="S65" s="2051"/>
      <c r="T65" s="2060"/>
      <c r="U65" s="2029"/>
      <c r="V65" s="2071"/>
      <c r="W65" s="1519"/>
      <c r="X65" s="1520"/>
      <c r="Y65" s="1520"/>
      <c r="Z65" s="1520"/>
      <c r="AA65" s="1520"/>
      <c r="AB65" s="1520"/>
      <c r="AC65" s="1520"/>
      <c r="AD65" s="1520"/>
      <c r="AE65" s="1520"/>
      <c r="AF65" s="1520"/>
      <c r="AG65" s="1520"/>
      <c r="AH65" s="1520"/>
      <c r="AI65" s="1520"/>
      <c r="AJ65" s="1520"/>
      <c r="AK65" s="1520"/>
      <c r="AL65" s="1539"/>
      <c r="AM65" s="2136"/>
      <c r="AN65" s="2100"/>
      <c r="AO65" s="2100"/>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5"/>
      <c r="I66" s="2065"/>
      <c r="J66" s="2048"/>
      <c r="K66" s="2047"/>
      <c r="L66" s="2065"/>
      <c r="M66" s="2048"/>
      <c r="N66" s="2047"/>
      <c r="O66" s="2065"/>
      <c r="P66" s="2048"/>
      <c r="Q66" s="2047"/>
      <c r="R66" s="2048"/>
      <c r="S66" s="2051"/>
      <c r="T66" s="2060"/>
      <c r="U66" s="2029"/>
      <c r="V66" s="2071"/>
      <c r="W66" s="1519"/>
      <c r="X66" s="1520"/>
      <c r="Y66" s="1520"/>
      <c r="Z66" s="1520"/>
      <c r="AA66" s="1520"/>
      <c r="AB66" s="1520"/>
      <c r="AC66" s="1520"/>
      <c r="AD66" s="1520"/>
      <c r="AE66" s="1520"/>
      <c r="AF66" s="1520"/>
      <c r="AG66" s="1520"/>
      <c r="AH66" s="1520"/>
      <c r="AI66" s="1520"/>
      <c r="AJ66" s="1520"/>
      <c r="AK66" s="1520"/>
      <c r="AL66" s="1539"/>
      <c r="AM66" s="2136"/>
      <c r="AN66" s="2100"/>
      <c r="AO66" s="2100"/>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8"/>
      <c r="D81" s="2118"/>
      <c r="E81" s="2118" t="s">
        <v>139</v>
      </c>
      <c r="F81" s="2118"/>
      <c r="G81" s="2118"/>
      <c r="H81" s="2118" t="s">
        <v>143</v>
      </c>
      <c r="I81" s="2118"/>
      <c r="J81" s="2118"/>
      <c r="K81" s="2118" t="s">
        <v>119</v>
      </c>
      <c r="L81" s="2118"/>
      <c r="M81" s="2118"/>
      <c r="N81" s="2118" t="s">
        <v>120</v>
      </c>
      <c r="O81" s="2118"/>
      <c r="P81" s="2118"/>
      <c r="Q81" s="2118" t="s">
        <v>121</v>
      </c>
      <c r="R81" s="2118"/>
      <c r="S81" s="2118" t="s">
        <v>122</v>
      </c>
      <c r="T81" s="2118"/>
      <c r="U81" s="2118" t="s">
        <v>146</v>
      </c>
      <c r="V81" s="2118"/>
      <c r="W81" s="2118" t="s">
        <v>148</v>
      </c>
      <c r="X81" s="2118"/>
      <c r="Y81" s="2123" t="s">
        <v>181</v>
      </c>
      <c r="Z81" s="2123"/>
      <c r="AA81" s="2123"/>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8"/>
      <c r="D82" s="2118"/>
      <c r="E82" s="2"/>
      <c r="F82" s="2"/>
      <c r="G82" s="2"/>
      <c r="H82" s="2"/>
      <c r="I82" s="2"/>
      <c r="J82" s="2"/>
      <c r="K82" s="2118"/>
      <c r="L82" s="2118"/>
      <c r="M82" s="2118"/>
      <c r="N82" s="2118"/>
      <c r="O82" s="2118"/>
      <c r="P82" s="2118"/>
      <c r="Q82" s="2"/>
      <c r="R82" s="2"/>
      <c r="S82" s="2118" t="s">
        <v>418</v>
      </c>
      <c r="T82" s="2118"/>
      <c r="U82" s="2118" t="s">
        <v>147</v>
      </c>
      <c r="V82" s="2118"/>
      <c r="W82" s="2118" t="s">
        <v>149</v>
      </c>
      <c r="X82" s="2118"/>
      <c r="Y82" s="2123" t="s">
        <v>132</v>
      </c>
      <c r="Z82" s="2123"/>
      <c r="AA82" s="2123"/>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5" t="s">
        <v>1700</v>
      </c>
      <c r="F83" s="2067"/>
      <c r="G83" s="2046"/>
      <c r="H83" s="2105" t="s">
        <v>1416</v>
      </c>
      <c r="I83" s="2106"/>
      <c r="J83" s="2107"/>
      <c r="K83" s="2045" t="s">
        <v>1418</v>
      </c>
      <c r="L83" s="2067"/>
      <c r="M83" s="2046"/>
      <c r="N83" s="2045" t="s">
        <v>1417</v>
      </c>
      <c r="O83" s="2067"/>
      <c r="P83" s="2046"/>
      <c r="Q83" s="2045" t="s">
        <v>16</v>
      </c>
      <c r="R83" s="2046"/>
      <c r="S83" s="2063">
        <v>1.0249999999999999</v>
      </c>
      <c r="T83" s="2058"/>
      <c r="U83" s="2045">
        <v>60</v>
      </c>
      <c r="V83" s="2046"/>
      <c r="W83" s="2098">
        <v>48</v>
      </c>
      <c r="X83" s="2094"/>
      <c r="Y83" s="2091">
        <v>98</v>
      </c>
      <c r="Z83" s="2067"/>
      <c r="AA83" s="2092"/>
      <c r="AB83" s="2093">
        <v>55</v>
      </c>
      <c r="AC83" s="2094"/>
      <c r="AD83" s="2091">
        <v>7.36</v>
      </c>
      <c r="AE83" s="2092"/>
      <c r="AF83" s="2091">
        <v>7.0000000000000007E-2</v>
      </c>
      <c r="AG83" s="2092"/>
      <c r="AH83" s="2091" t="s">
        <v>549</v>
      </c>
      <c r="AI83" s="2067"/>
      <c r="AJ83" s="2067"/>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7"/>
      <c r="F84" s="2065"/>
      <c r="G84" s="2048"/>
      <c r="H84" s="2099"/>
      <c r="I84" s="2100"/>
      <c r="J84" s="2101"/>
      <c r="K84" s="2047"/>
      <c r="L84" s="2065"/>
      <c r="M84" s="2048"/>
      <c r="N84" s="2047"/>
      <c r="O84" s="2065"/>
      <c r="P84" s="2048"/>
      <c r="Q84" s="2047"/>
      <c r="R84" s="2048"/>
      <c r="S84" s="2051"/>
      <c r="T84" s="2060"/>
      <c r="U84" s="2047"/>
      <c r="V84" s="2048"/>
      <c r="W84" s="2082"/>
      <c r="X84" s="2095"/>
      <c r="Y84" s="2087"/>
      <c r="Z84" s="2065"/>
      <c r="AA84" s="2088"/>
      <c r="AB84" s="2087"/>
      <c r="AC84" s="2088"/>
      <c r="AD84" s="2087"/>
      <c r="AE84" s="2088"/>
      <c r="AF84" s="2087"/>
      <c r="AG84" s="2088"/>
      <c r="AH84" s="2087"/>
      <c r="AI84" s="2065"/>
      <c r="AJ84" s="2065"/>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7"/>
      <c r="F85" s="2065"/>
      <c r="G85" s="2048"/>
      <c r="H85" s="2099"/>
      <c r="I85" s="2100"/>
      <c r="J85" s="2101"/>
      <c r="K85" s="2047"/>
      <c r="L85" s="2065"/>
      <c r="M85" s="2048"/>
      <c r="N85" s="2047"/>
      <c r="O85" s="2065"/>
      <c r="P85" s="2048"/>
      <c r="Q85" s="2047"/>
      <c r="R85" s="2048"/>
      <c r="S85" s="2051"/>
      <c r="T85" s="2060"/>
      <c r="U85" s="2047"/>
      <c r="V85" s="2048"/>
      <c r="W85" s="2082"/>
      <c r="X85" s="2095"/>
      <c r="Y85" s="2087"/>
      <c r="Z85" s="2065"/>
      <c r="AA85" s="2088"/>
      <c r="AB85" s="2087"/>
      <c r="AC85" s="2088"/>
      <c r="AD85" s="2087"/>
      <c r="AE85" s="2088"/>
      <c r="AF85" s="2087"/>
      <c r="AG85" s="2088"/>
      <c r="AH85" s="2087"/>
      <c r="AI85" s="2065"/>
      <c r="AJ85" s="2065"/>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7"/>
      <c r="F86" s="2065"/>
      <c r="G86" s="2048"/>
      <c r="H86" s="2099"/>
      <c r="I86" s="2100"/>
      <c r="J86" s="2101"/>
      <c r="K86" s="2047"/>
      <c r="L86" s="2065"/>
      <c r="M86" s="2048"/>
      <c r="N86" s="2047"/>
      <c r="O86" s="2065"/>
      <c r="P86" s="2048"/>
      <c r="Q86" s="2047"/>
      <c r="R86" s="2048"/>
      <c r="S86" s="2051"/>
      <c r="T86" s="2060"/>
      <c r="U86" s="2047"/>
      <c r="V86" s="2048"/>
      <c r="W86" s="2082"/>
      <c r="X86" s="2095"/>
      <c r="Y86" s="2087"/>
      <c r="Z86" s="2065"/>
      <c r="AA86" s="2088"/>
      <c r="AB86" s="2087"/>
      <c r="AC86" s="2088"/>
      <c r="AD86" s="2087"/>
      <c r="AE86" s="2088"/>
      <c r="AF86" s="2087"/>
      <c r="AG86" s="2088"/>
      <c r="AH86" s="2087"/>
      <c r="AI86" s="2065"/>
      <c r="AJ86" s="2065"/>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7"/>
      <c r="F87" s="2065"/>
      <c r="G87" s="2048"/>
      <c r="H87" s="2099"/>
      <c r="I87" s="2100"/>
      <c r="J87" s="2101"/>
      <c r="K87" s="2047"/>
      <c r="L87" s="2065"/>
      <c r="M87" s="2048"/>
      <c r="N87" s="2047"/>
      <c r="O87" s="2065"/>
      <c r="P87" s="2048"/>
      <c r="Q87" s="2047"/>
      <c r="R87" s="2048"/>
      <c r="S87" s="2051"/>
      <c r="T87" s="2060"/>
      <c r="U87" s="2047"/>
      <c r="V87" s="2048"/>
      <c r="W87" s="2082"/>
      <c r="X87" s="2095"/>
      <c r="Y87" s="2087"/>
      <c r="Z87" s="2065"/>
      <c r="AA87" s="2088"/>
      <c r="AB87" s="2087"/>
      <c r="AC87" s="2088"/>
      <c r="AD87" s="2087"/>
      <c r="AE87" s="2088"/>
      <c r="AF87" s="2087"/>
      <c r="AG87" s="2088"/>
      <c r="AH87" s="2087"/>
      <c r="AI87" s="2065"/>
      <c r="AJ87" s="2065"/>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7"/>
      <c r="F88" s="2065"/>
      <c r="G88" s="2048"/>
      <c r="H88" s="2099"/>
      <c r="I88" s="2100"/>
      <c r="J88" s="2101"/>
      <c r="K88" s="2047"/>
      <c r="L88" s="2065"/>
      <c r="M88" s="2048"/>
      <c r="N88" s="2047"/>
      <c r="O88" s="2065"/>
      <c r="P88" s="2048"/>
      <c r="Q88" s="2047"/>
      <c r="R88" s="2048"/>
      <c r="S88" s="2051"/>
      <c r="T88" s="2060"/>
      <c r="U88" s="2047"/>
      <c r="V88" s="2048"/>
      <c r="W88" s="2082"/>
      <c r="X88" s="2095"/>
      <c r="Y88" s="2087"/>
      <c r="Z88" s="2065"/>
      <c r="AA88" s="2088"/>
      <c r="AB88" s="2087"/>
      <c r="AC88" s="2088"/>
      <c r="AD88" s="2087"/>
      <c r="AE88" s="2088"/>
      <c r="AF88" s="2087"/>
      <c r="AG88" s="2088"/>
      <c r="AH88" s="2087"/>
      <c r="AI88" s="2065"/>
      <c r="AJ88" s="2065"/>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7"/>
      <c r="F89" s="2065"/>
      <c r="G89" s="2048"/>
      <c r="H89" s="2099"/>
      <c r="I89" s="2100"/>
      <c r="J89" s="2101"/>
      <c r="K89" s="2047"/>
      <c r="L89" s="2065"/>
      <c r="M89" s="2048"/>
      <c r="N89" s="2047"/>
      <c r="O89" s="2065"/>
      <c r="P89" s="2048"/>
      <c r="Q89" s="2047"/>
      <c r="R89" s="2048"/>
      <c r="S89" s="2051"/>
      <c r="T89" s="2060"/>
      <c r="U89" s="2047"/>
      <c r="V89" s="2048"/>
      <c r="W89" s="2082"/>
      <c r="X89" s="2095"/>
      <c r="Y89" s="2087"/>
      <c r="Z89" s="2065"/>
      <c r="AA89" s="2088"/>
      <c r="AB89" s="2087"/>
      <c r="AC89" s="2088"/>
      <c r="AD89" s="2087"/>
      <c r="AE89" s="2088"/>
      <c r="AF89" s="2087"/>
      <c r="AG89" s="2088"/>
      <c r="AH89" s="2087"/>
      <c r="AI89" s="2065"/>
      <c r="AJ89" s="2065"/>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7"/>
      <c r="F90" s="2065"/>
      <c r="G90" s="2048"/>
      <c r="H90" s="2099"/>
      <c r="I90" s="2100"/>
      <c r="J90" s="2101"/>
      <c r="K90" s="2047"/>
      <c r="L90" s="2065"/>
      <c r="M90" s="2048"/>
      <c r="N90" s="2047"/>
      <c r="O90" s="2065"/>
      <c r="P90" s="2048"/>
      <c r="Q90" s="2047"/>
      <c r="R90" s="2048"/>
      <c r="S90" s="2051"/>
      <c r="T90" s="2060"/>
      <c r="U90" s="2047"/>
      <c r="V90" s="2048"/>
      <c r="W90" s="2082"/>
      <c r="X90" s="2095"/>
      <c r="Y90" s="2087"/>
      <c r="Z90" s="2065"/>
      <c r="AA90" s="2088"/>
      <c r="AB90" s="2087"/>
      <c r="AC90" s="2088"/>
      <c r="AD90" s="2087"/>
      <c r="AE90" s="2088"/>
      <c r="AF90" s="2087"/>
      <c r="AG90" s="2088"/>
      <c r="AH90" s="2087"/>
      <c r="AI90" s="2065"/>
      <c r="AJ90" s="2065"/>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7"/>
      <c r="F91" s="2065"/>
      <c r="G91" s="2048"/>
      <c r="H91" s="2099"/>
      <c r="I91" s="2100"/>
      <c r="J91" s="2101"/>
      <c r="K91" s="2047"/>
      <c r="L91" s="2065"/>
      <c r="M91" s="2048"/>
      <c r="N91" s="2047"/>
      <c r="O91" s="2065"/>
      <c r="P91" s="2048"/>
      <c r="Q91" s="2047"/>
      <c r="R91" s="2048"/>
      <c r="S91" s="2051"/>
      <c r="T91" s="2060"/>
      <c r="U91" s="2047"/>
      <c r="V91" s="2048"/>
      <c r="W91" s="2082"/>
      <c r="X91" s="2095"/>
      <c r="Y91" s="2087"/>
      <c r="Z91" s="2065"/>
      <c r="AA91" s="2088"/>
      <c r="AB91" s="2087"/>
      <c r="AC91" s="2088"/>
      <c r="AD91" s="2087"/>
      <c r="AE91" s="2088"/>
      <c r="AF91" s="2087"/>
      <c r="AG91" s="2088"/>
      <c r="AH91" s="2087"/>
      <c r="AI91" s="2065"/>
      <c r="AJ91" s="2065"/>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7"/>
      <c r="F92" s="2065"/>
      <c r="G92" s="2048"/>
      <c r="H92" s="2099"/>
      <c r="I92" s="2100"/>
      <c r="J92" s="2101"/>
      <c r="K92" s="2047"/>
      <c r="L92" s="2065"/>
      <c r="M92" s="2048"/>
      <c r="N92" s="2047"/>
      <c r="O92" s="2065"/>
      <c r="P92" s="2048"/>
      <c r="Q92" s="2047"/>
      <c r="R92" s="2048"/>
      <c r="S92" s="2051"/>
      <c r="T92" s="2060"/>
      <c r="U92" s="2047"/>
      <c r="V92" s="2048"/>
      <c r="W92" s="2082"/>
      <c r="X92" s="2095"/>
      <c r="Y92" s="2087"/>
      <c r="Z92" s="2065"/>
      <c r="AA92" s="2088"/>
      <c r="AB92" s="2087"/>
      <c r="AC92" s="2088"/>
      <c r="AD92" s="2087"/>
      <c r="AE92" s="2088"/>
      <c r="AF92" s="2087"/>
      <c r="AG92" s="2088"/>
      <c r="AH92" s="2087"/>
      <c r="AI92" s="2065"/>
      <c r="AJ92" s="2065"/>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7"/>
      <c r="F93" s="2065"/>
      <c r="G93" s="2048"/>
      <c r="H93" s="2099"/>
      <c r="I93" s="2100"/>
      <c r="J93" s="2101"/>
      <c r="K93" s="2047"/>
      <c r="L93" s="2065"/>
      <c r="M93" s="2048"/>
      <c r="N93" s="2047"/>
      <c r="O93" s="2065"/>
      <c r="P93" s="2048"/>
      <c r="Q93" s="2047"/>
      <c r="R93" s="2048"/>
      <c r="S93" s="2051"/>
      <c r="T93" s="2060"/>
      <c r="U93" s="2047"/>
      <c r="V93" s="2048"/>
      <c r="W93" s="2082"/>
      <c r="X93" s="2095"/>
      <c r="Y93" s="2087"/>
      <c r="Z93" s="2065"/>
      <c r="AA93" s="2088"/>
      <c r="AB93" s="2087"/>
      <c r="AC93" s="2088"/>
      <c r="AD93" s="2087"/>
      <c r="AE93" s="2088"/>
      <c r="AF93" s="2087"/>
      <c r="AG93" s="2088"/>
      <c r="AH93" s="2087"/>
      <c r="AI93" s="2065"/>
      <c r="AJ93" s="2065"/>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7"/>
      <c r="F94" s="2065"/>
      <c r="G94" s="2048"/>
      <c r="H94" s="2099"/>
      <c r="I94" s="2100"/>
      <c r="J94" s="2101"/>
      <c r="K94" s="2047"/>
      <c r="L94" s="2065"/>
      <c r="M94" s="2048"/>
      <c r="N94" s="2047"/>
      <c r="O94" s="2065"/>
      <c r="P94" s="2048"/>
      <c r="Q94" s="2047"/>
      <c r="R94" s="2048"/>
      <c r="S94" s="2051"/>
      <c r="T94" s="2060"/>
      <c r="U94" s="2047"/>
      <c r="V94" s="2048"/>
      <c r="W94" s="2082"/>
      <c r="X94" s="2095"/>
      <c r="Y94" s="2087"/>
      <c r="Z94" s="2065"/>
      <c r="AA94" s="2088"/>
      <c r="AB94" s="2087"/>
      <c r="AC94" s="2088"/>
      <c r="AD94" s="2087"/>
      <c r="AE94" s="2088"/>
      <c r="AF94" s="2087"/>
      <c r="AG94" s="2088"/>
      <c r="AH94" s="2087"/>
      <c r="AI94" s="2065"/>
      <c r="AJ94" s="2065"/>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7"/>
      <c r="F95" s="2065"/>
      <c r="G95" s="2048"/>
      <c r="H95" s="2099"/>
      <c r="I95" s="2100"/>
      <c r="J95" s="2101"/>
      <c r="K95" s="2047"/>
      <c r="L95" s="2065"/>
      <c r="M95" s="2048"/>
      <c r="N95" s="2047"/>
      <c r="O95" s="2065"/>
      <c r="P95" s="2048"/>
      <c r="Q95" s="2047"/>
      <c r="R95" s="2048"/>
      <c r="S95" s="2051"/>
      <c r="T95" s="2060"/>
      <c r="U95" s="2047"/>
      <c r="V95" s="2048"/>
      <c r="W95" s="2082"/>
      <c r="X95" s="2095"/>
      <c r="Y95" s="2087"/>
      <c r="Z95" s="2065"/>
      <c r="AA95" s="2088"/>
      <c r="AB95" s="2087"/>
      <c r="AC95" s="2088"/>
      <c r="AD95" s="2087"/>
      <c r="AE95" s="2088"/>
      <c r="AF95" s="2087"/>
      <c r="AG95" s="2088"/>
      <c r="AH95" s="2087"/>
      <c r="AI95" s="2065"/>
      <c r="AJ95" s="2065"/>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7"/>
      <c r="F96" s="2065"/>
      <c r="G96" s="2048"/>
      <c r="H96" s="2099"/>
      <c r="I96" s="2100"/>
      <c r="J96" s="2101"/>
      <c r="K96" s="2047"/>
      <c r="L96" s="2065"/>
      <c r="M96" s="2048"/>
      <c r="N96" s="2047"/>
      <c r="O96" s="2065"/>
      <c r="P96" s="2048"/>
      <c r="Q96" s="2047"/>
      <c r="R96" s="2048"/>
      <c r="S96" s="2051"/>
      <c r="T96" s="2060"/>
      <c r="U96" s="2047"/>
      <c r="V96" s="2048"/>
      <c r="W96" s="2082"/>
      <c r="X96" s="2095"/>
      <c r="Y96" s="2087"/>
      <c r="Z96" s="2065"/>
      <c r="AA96" s="2088"/>
      <c r="AB96" s="2087"/>
      <c r="AC96" s="2088"/>
      <c r="AD96" s="1521"/>
      <c r="AE96" s="1521"/>
      <c r="AF96" s="2087"/>
      <c r="AG96" s="2088"/>
      <c r="AH96" s="2087"/>
      <c r="AI96" s="2065"/>
      <c r="AJ96" s="2065"/>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7"/>
      <c r="F97" s="2065"/>
      <c r="G97" s="2048"/>
      <c r="H97" s="2099"/>
      <c r="I97" s="2100"/>
      <c r="J97" s="2101"/>
      <c r="K97" s="2047"/>
      <c r="L97" s="2065"/>
      <c r="M97" s="2048"/>
      <c r="N97" s="2047"/>
      <c r="O97" s="2065"/>
      <c r="P97" s="2048"/>
      <c r="Q97" s="2047"/>
      <c r="R97" s="2048"/>
      <c r="S97" s="2051"/>
      <c r="T97" s="2060"/>
      <c r="U97" s="2047"/>
      <c r="V97" s="2048"/>
      <c r="W97" s="2082"/>
      <c r="X97" s="2095"/>
      <c r="Y97" s="2087"/>
      <c r="Z97" s="2065"/>
      <c r="AA97" s="2088"/>
      <c r="AB97" s="2087"/>
      <c r="AC97" s="2088"/>
      <c r="AD97" s="2087"/>
      <c r="AE97" s="2088"/>
      <c r="AF97" s="2087"/>
      <c r="AG97" s="2088"/>
      <c r="AH97" s="2087"/>
      <c r="AI97" s="2065"/>
      <c r="AJ97" s="2065"/>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7"/>
      <c r="F98" s="2065"/>
      <c r="G98" s="2048"/>
      <c r="H98" s="2099"/>
      <c r="I98" s="2100"/>
      <c r="J98" s="2101"/>
      <c r="K98" s="2047"/>
      <c r="L98" s="2065"/>
      <c r="M98" s="2048"/>
      <c r="N98" s="2047"/>
      <c r="O98" s="2065"/>
      <c r="P98" s="2048"/>
      <c r="Q98" s="2047"/>
      <c r="R98" s="2048"/>
      <c r="S98" s="2051"/>
      <c r="T98" s="2060"/>
      <c r="U98" s="2047"/>
      <c r="V98" s="2048"/>
      <c r="W98" s="2082"/>
      <c r="X98" s="2095"/>
      <c r="Y98" s="2087"/>
      <c r="Z98" s="2065"/>
      <c r="AA98" s="2088"/>
      <c r="AB98" s="2087"/>
      <c r="AC98" s="2088"/>
      <c r="AD98" s="2087"/>
      <c r="AE98" s="2088"/>
      <c r="AF98" s="2087"/>
      <c r="AG98" s="2088"/>
      <c r="AH98" s="2087"/>
      <c r="AI98" s="2065"/>
      <c r="AJ98" s="2065"/>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7"/>
      <c r="F99" s="2065"/>
      <c r="G99" s="2048"/>
      <c r="H99" s="2099"/>
      <c r="I99" s="2100"/>
      <c r="J99" s="2101"/>
      <c r="K99" s="2047"/>
      <c r="L99" s="2065"/>
      <c r="M99" s="2048"/>
      <c r="N99" s="2047"/>
      <c r="O99" s="2065"/>
      <c r="P99" s="2048"/>
      <c r="Q99" s="2047"/>
      <c r="R99" s="2048"/>
      <c r="S99" s="2051"/>
      <c r="T99" s="2060"/>
      <c r="U99" s="2047"/>
      <c r="V99" s="2048"/>
      <c r="W99" s="2082"/>
      <c r="X99" s="2095"/>
      <c r="Y99" s="2087"/>
      <c r="Z99" s="2065"/>
      <c r="AA99" s="2088"/>
      <c r="AB99" s="2087"/>
      <c r="AC99" s="2088"/>
      <c r="AD99" s="2087"/>
      <c r="AE99" s="2088"/>
      <c r="AF99" s="2087"/>
      <c r="AG99" s="2088"/>
      <c r="AH99" s="2087"/>
      <c r="AI99" s="2065"/>
      <c r="AJ99" s="2065"/>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7"/>
      <c r="F100" s="2065"/>
      <c r="G100" s="2048"/>
      <c r="H100" s="2099"/>
      <c r="I100" s="2100"/>
      <c r="J100" s="2101"/>
      <c r="K100" s="2047"/>
      <c r="L100" s="2065"/>
      <c r="M100" s="2048"/>
      <c r="N100" s="2047"/>
      <c r="O100" s="2065"/>
      <c r="P100" s="2048"/>
      <c r="Q100" s="2047"/>
      <c r="R100" s="2048"/>
      <c r="S100" s="2051"/>
      <c r="T100" s="2060"/>
      <c r="U100" s="2047"/>
      <c r="V100" s="2048"/>
      <c r="W100" s="2082"/>
      <c r="X100" s="2095"/>
      <c r="Y100" s="2087"/>
      <c r="Z100" s="2065"/>
      <c r="AA100" s="2088"/>
      <c r="AB100" s="2087"/>
      <c r="AC100" s="2088"/>
      <c r="AD100" s="2087"/>
      <c r="AE100" s="2088"/>
      <c r="AF100" s="2087"/>
      <c r="AG100" s="2088"/>
      <c r="AH100" s="2087"/>
      <c r="AI100" s="2065"/>
      <c r="AJ100" s="2065"/>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7"/>
      <c r="F101" s="2065"/>
      <c r="G101" s="2048"/>
      <c r="H101" s="2099"/>
      <c r="I101" s="2100"/>
      <c r="J101" s="2101"/>
      <c r="K101" s="2047"/>
      <c r="L101" s="2065"/>
      <c r="M101" s="2048"/>
      <c r="N101" s="2047"/>
      <c r="O101" s="2065"/>
      <c r="P101" s="2048"/>
      <c r="Q101" s="2047"/>
      <c r="R101" s="2048"/>
      <c r="S101" s="2051"/>
      <c r="T101" s="2060"/>
      <c r="U101" s="2047"/>
      <c r="V101" s="2048"/>
      <c r="W101" s="2082"/>
      <c r="X101" s="2095"/>
      <c r="Y101" s="2087"/>
      <c r="Z101" s="2065"/>
      <c r="AA101" s="2088"/>
      <c r="AB101" s="2087"/>
      <c r="AC101" s="2088"/>
      <c r="AD101" s="2087"/>
      <c r="AE101" s="2088"/>
      <c r="AF101" s="2087"/>
      <c r="AG101" s="2088"/>
      <c r="AH101" s="2087"/>
      <c r="AI101" s="2065"/>
      <c r="AJ101" s="2065"/>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9"/>
      <c r="F102" s="2066"/>
      <c r="G102" s="2050"/>
      <c r="H102" s="2102"/>
      <c r="I102" s="2103"/>
      <c r="J102" s="2104"/>
      <c r="K102" s="2049"/>
      <c r="L102" s="2066"/>
      <c r="M102" s="2050"/>
      <c r="N102" s="2049"/>
      <c r="O102" s="2066"/>
      <c r="P102" s="2050"/>
      <c r="Q102" s="2049"/>
      <c r="R102" s="2050"/>
      <c r="S102" s="2086"/>
      <c r="T102" s="2062"/>
      <c r="U102" s="2049"/>
      <c r="V102" s="2050"/>
      <c r="W102" s="2096"/>
      <c r="X102" s="2097"/>
      <c r="Y102" s="2089"/>
      <c r="Z102" s="2066"/>
      <c r="AA102" s="2090"/>
      <c r="AB102" s="2089"/>
      <c r="AC102" s="2090"/>
      <c r="AD102" s="2089"/>
      <c r="AE102" s="2090"/>
      <c r="AF102" s="2089"/>
      <c r="AG102" s="2090"/>
      <c r="AH102" s="2089"/>
      <c r="AI102" s="2066"/>
      <c r="AJ102" s="2066"/>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8"/>
      <c r="D118" s="2118"/>
      <c r="E118" s="2118" t="s">
        <v>131</v>
      </c>
      <c r="F118" s="2118"/>
      <c r="G118" s="2118"/>
      <c r="H118" s="2118" t="s">
        <v>256</v>
      </c>
      <c r="I118" s="2118"/>
      <c r="J118" s="2118"/>
      <c r="K118" s="2118" t="s">
        <v>257</v>
      </c>
      <c r="L118" s="2118"/>
      <c r="M118" s="2118"/>
      <c r="N118" s="2118" t="s">
        <v>173</v>
      </c>
      <c r="O118" s="2118"/>
      <c r="P118" s="2" t="s">
        <v>859</v>
      </c>
      <c r="Q118" s="18"/>
      <c r="R118" s="18"/>
      <c r="S118" s="143" t="s">
        <v>863</v>
      </c>
      <c r="T118" s="143"/>
      <c r="U118" s="2118" t="s">
        <v>121</v>
      </c>
      <c r="V118" s="2118"/>
      <c r="W118" s="2124" t="s">
        <v>122</v>
      </c>
      <c r="X118" s="2124"/>
      <c r="Y118" s="2124" t="s">
        <v>122</v>
      </c>
      <c r="Z118" s="2124"/>
      <c r="AA118" s="2124" t="s">
        <v>122</v>
      </c>
      <c r="AB118" s="2124"/>
      <c r="AC118" s="2118" t="s">
        <v>183</v>
      </c>
      <c r="AD118" s="2118"/>
      <c r="AE118" s="2118" t="s">
        <v>146</v>
      </c>
      <c r="AF118" s="2118"/>
      <c r="AG118" s="2118" t="s">
        <v>148</v>
      </c>
      <c r="AH118" s="2118"/>
      <c r="AI118" s="2118" t="s">
        <v>133</v>
      </c>
      <c r="AJ118" s="2118"/>
      <c r="AK118" s="2118" t="s">
        <v>127</v>
      </c>
      <c r="AL118" s="2118"/>
      <c r="AM118" s="2118"/>
      <c r="AN118" s="2118"/>
      <c r="AO118" s="2118"/>
      <c r="AP118" s="2118"/>
      <c r="AQ118" s="2118"/>
      <c r="AR118" s="2118"/>
      <c r="AS118" s="2118"/>
      <c r="AT118" s="2118"/>
      <c r="AU118" s="2118"/>
      <c r="AV118" s="2118"/>
      <c r="AW118" s="2118"/>
      <c r="AX118" s="2118"/>
      <c r="AY118" s="2118"/>
      <c r="AZ118" s="2118"/>
      <c r="BA118" s="2118" t="s">
        <v>199</v>
      </c>
      <c r="BB118" s="2118"/>
      <c r="BC118" s="2118"/>
      <c r="BD118" s="2118"/>
      <c r="BE118" s="2118" t="s">
        <v>179</v>
      </c>
      <c r="BF118" s="2118"/>
      <c r="BG118" s="2118"/>
      <c r="BH118" s="4"/>
    </row>
    <row r="119" spans="1:60" ht="16" x14ac:dyDescent="0.4">
      <c r="A119" s="4"/>
      <c r="B119" s="18"/>
      <c r="C119" s="2118"/>
      <c r="D119" s="2118"/>
      <c r="E119" s="2"/>
      <c r="F119" s="2"/>
      <c r="G119" s="2"/>
      <c r="H119" s="2118" t="s">
        <v>258</v>
      </c>
      <c r="I119" s="2118"/>
      <c r="J119" s="2118"/>
      <c r="K119" s="2118" t="s">
        <v>258</v>
      </c>
      <c r="L119" s="2118"/>
      <c r="M119" s="2118"/>
      <c r="N119" s="2"/>
      <c r="O119" s="2"/>
      <c r="P119" s="18" t="s">
        <v>861</v>
      </c>
      <c r="Q119" s="18" t="s">
        <v>860</v>
      </c>
      <c r="R119" s="2"/>
      <c r="S119" s="143" t="s">
        <v>864</v>
      </c>
      <c r="T119" s="143"/>
      <c r="U119" s="2"/>
      <c r="V119" s="2"/>
      <c r="W119" s="2124" t="s">
        <v>186</v>
      </c>
      <c r="X119" s="2124"/>
      <c r="Y119" s="2124" t="s">
        <v>174</v>
      </c>
      <c r="Z119" s="2124"/>
      <c r="AA119" s="2124" t="s">
        <v>175</v>
      </c>
      <c r="AB119" s="2124"/>
      <c r="AC119" s="2118" t="s">
        <v>184</v>
      </c>
      <c r="AD119" s="2118"/>
      <c r="AE119" s="2118" t="s">
        <v>103</v>
      </c>
      <c r="AF119" s="2118"/>
      <c r="AG119" s="2118" t="s">
        <v>149</v>
      </c>
      <c r="AH119" s="2118"/>
      <c r="AI119" s="2118" t="s">
        <v>178</v>
      </c>
      <c r="AJ119" s="2118"/>
      <c r="AK119" s="18"/>
      <c r="AL119" s="18"/>
      <c r="AM119" s="18"/>
      <c r="AN119" s="18"/>
      <c r="AO119" s="18"/>
      <c r="AP119" s="18"/>
      <c r="AQ119" s="18"/>
      <c r="AR119" s="18"/>
      <c r="AS119" s="18"/>
      <c r="AT119" s="18"/>
      <c r="AU119" s="18"/>
      <c r="AV119" s="18"/>
      <c r="AW119" s="18"/>
      <c r="AX119" s="18"/>
      <c r="AY119" s="18"/>
      <c r="AZ119" s="18"/>
      <c r="BA119" s="2"/>
      <c r="BB119" s="2"/>
      <c r="BC119" s="2"/>
      <c r="BD119" s="2"/>
      <c r="BE119" s="2118" t="s">
        <v>180</v>
      </c>
      <c r="BF119" s="2118"/>
      <c r="BG119" s="2118"/>
      <c r="BH119" s="4"/>
    </row>
    <row r="120" spans="1:60" ht="14.5" thickBot="1" x14ac:dyDescent="0.35">
      <c r="A120" s="4"/>
      <c r="B120" s="18"/>
      <c r="C120" s="2118"/>
      <c r="D120" s="2118"/>
      <c r="E120" s="2"/>
      <c r="F120" s="2"/>
      <c r="G120" s="2"/>
      <c r="H120" s="2"/>
      <c r="I120" s="2"/>
      <c r="J120" s="2"/>
      <c r="K120" s="2"/>
      <c r="L120" s="2"/>
      <c r="M120" s="2"/>
      <c r="N120" s="2"/>
      <c r="O120" s="2"/>
      <c r="P120" s="828" t="s">
        <v>862</v>
      </c>
      <c r="Q120" s="2"/>
      <c r="R120" s="2"/>
      <c r="S120" s="2"/>
      <c r="T120" s="2"/>
      <c r="U120" s="2"/>
      <c r="V120" s="2"/>
      <c r="W120" s="2118" t="s">
        <v>418</v>
      </c>
      <c r="X120" s="2118"/>
      <c r="Y120" s="2118" t="s">
        <v>418</v>
      </c>
      <c r="Z120" s="2118"/>
      <c r="AA120" s="2118" t="s">
        <v>418</v>
      </c>
      <c r="AB120" s="2118"/>
      <c r="AC120" s="2118" t="s">
        <v>185</v>
      </c>
      <c r="AD120" s="2118"/>
      <c r="AE120" s="2118" t="s">
        <v>147</v>
      </c>
      <c r="AF120" s="2118"/>
      <c r="AG120" s="2118"/>
      <c r="AH120" s="2118"/>
      <c r="AI120" s="2118" t="s">
        <v>132</v>
      </c>
      <c r="AJ120" s="2118"/>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5" t="s">
        <v>1666</v>
      </c>
      <c r="I121" s="2067"/>
      <c r="J121" s="2046"/>
      <c r="K121" s="2045" t="s">
        <v>259</v>
      </c>
      <c r="L121" s="2067"/>
      <c r="M121" s="2046"/>
      <c r="N121" s="1504" t="s">
        <v>937</v>
      </c>
      <c r="O121" s="1522"/>
      <c r="P121" s="1523" t="s">
        <v>857</v>
      </c>
      <c r="Q121" s="1524" t="s">
        <v>858</v>
      </c>
      <c r="R121" s="1525"/>
      <c r="S121" s="1504" t="s">
        <v>865</v>
      </c>
      <c r="T121" s="1522"/>
      <c r="U121" s="2045" t="s">
        <v>16</v>
      </c>
      <c r="V121" s="2046"/>
      <c r="W121" s="2063">
        <v>2.4500000000000002</v>
      </c>
      <c r="X121" s="2058"/>
      <c r="Y121" s="2063">
        <f>berekeningen!W49</f>
        <v>2.6416804407713501</v>
      </c>
      <c r="Z121" s="2058"/>
      <c r="AA121" s="2063">
        <v>1.03</v>
      </c>
      <c r="AB121" s="2058"/>
      <c r="AC121" s="2098">
        <v>5</v>
      </c>
      <c r="AD121" s="2125"/>
      <c r="AE121" s="2084">
        <v>25</v>
      </c>
      <c r="AF121" s="2085"/>
      <c r="AG121" s="2074">
        <v>48</v>
      </c>
      <c r="AH121" s="2075"/>
      <c r="AI121" s="2041">
        <v>29</v>
      </c>
      <c r="AJ121" s="2070"/>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5" t="s">
        <v>394</v>
      </c>
      <c r="BB121" s="2067"/>
      <c r="BC121" s="2067"/>
      <c r="BD121" s="2046"/>
      <c r="BE121" s="2045" t="s">
        <v>247</v>
      </c>
      <c r="BF121" s="2067"/>
      <c r="BG121" s="2067"/>
      <c r="BH121" s="4"/>
    </row>
    <row r="122" spans="1:60" x14ac:dyDescent="0.3">
      <c r="A122" s="4"/>
      <c r="B122" s="47">
        <v>72</v>
      </c>
      <c r="C122" s="49"/>
      <c r="D122" s="49"/>
      <c r="E122" s="38" t="s">
        <v>177</v>
      </c>
      <c r="F122" s="49"/>
      <c r="G122" s="99"/>
      <c r="H122" s="2047"/>
      <c r="I122" s="2065"/>
      <c r="J122" s="2048"/>
      <c r="K122" s="2047"/>
      <c r="L122" s="2065"/>
      <c r="M122" s="2048"/>
      <c r="N122" s="1527" t="s">
        <v>937</v>
      </c>
      <c r="O122" s="1528"/>
      <c r="P122" s="1529"/>
      <c r="Q122" s="1530"/>
      <c r="R122" s="1531"/>
      <c r="S122" s="1527"/>
      <c r="T122" s="1528"/>
      <c r="U122" s="2047"/>
      <c r="V122" s="2048"/>
      <c r="W122" s="2051">
        <v>2.4500000000000002</v>
      </c>
      <c r="X122" s="2060"/>
      <c r="Y122" s="2051">
        <f>berekeningen!W50</f>
        <v>2.6416804407713501</v>
      </c>
      <c r="Z122" s="2060"/>
      <c r="AA122" s="2051">
        <v>1.03</v>
      </c>
      <c r="AB122" s="2060"/>
      <c r="AC122" s="2082">
        <v>5</v>
      </c>
      <c r="AD122" s="2083"/>
      <c r="AE122" s="2078"/>
      <c r="AF122" s="2079"/>
      <c r="AG122" s="2076"/>
      <c r="AH122" s="2077"/>
      <c r="AI122" s="2029"/>
      <c r="AJ122" s="2071"/>
      <c r="AK122" s="1532"/>
      <c r="AL122" s="1533"/>
      <c r="AM122" s="1533"/>
      <c r="AN122" s="1533"/>
      <c r="AO122" s="1533"/>
      <c r="AP122" s="1533"/>
      <c r="AQ122" s="1533"/>
      <c r="AR122" s="1533"/>
      <c r="AS122" s="1533"/>
      <c r="AT122" s="1533"/>
      <c r="AU122" s="1533"/>
      <c r="AV122" s="1533"/>
      <c r="AW122" s="1533"/>
      <c r="AX122" s="1533"/>
      <c r="AY122" s="1533"/>
      <c r="AZ122" s="1534"/>
      <c r="BA122" s="2047"/>
      <c r="BB122" s="2065"/>
      <c r="BC122" s="2065"/>
      <c r="BD122" s="2048"/>
      <c r="BE122" s="2047"/>
      <c r="BF122" s="2065"/>
      <c r="BG122" s="2065"/>
      <c r="BH122" s="4"/>
    </row>
    <row r="123" spans="1:60" x14ac:dyDescent="0.3">
      <c r="A123" s="4"/>
      <c r="B123" s="47">
        <v>73</v>
      </c>
      <c r="C123" s="49"/>
      <c r="D123" s="49"/>
      <c r="E123" s="38" t="s">
        <v>177</v>
      </c>
      <c r="F123" s="49"/>
      <c r="G123" s="99"/>
      <c r="H123" s="2047"/>
      <c r="I123" s="2065"/>
      <c r="J123" s="2048"/>
      <c r="K123" s="2047"/>
      <c r="L123" s="2065"/>
      <c r="M123" s="2048"/>
      <c r="N123" s="1527" t="s">
        <v>937</v>
      </c>
      <c r="O123" s="1528"/>
      <c r="P123" s="1529"/>
      <c r="Q123" s="1530"/>
      <c r="R123" s="1531"/>
      <c r="S123" s="1527"/>
      <c r="T123" s="1528"/>
      <c r="U123" s="2047"/>
      <c r="V123" s="2048"/>
      <c r="W123" s="2051"/>
      <c r="X123" s="2060"/>
      <c r="Y123" s="2051" t="str">
        <f>berekeningen!W51</f>
        <v/>
      </c>
      <c r="Z123" s="2060"/>
      <c r="AA123" s="2051"/>
      <c r="AB123" s="2060"/>
      <c r="AC123" s="2082"/>
      <c r="AD123" s="2083"/>
      <c r="AE123" s="2078"/>
      <c r="AF123" s="2079"/>
      <c r="AG123" s="2076"/>
      <c r="AH123" s="2077"/>
      <c r="AI123" s="2029"/>
      <c r="AJ123" s="2071"/>
      <c r="AK123" s="1532"/>
      <c r="AL123" s="1533"/>
      <c r="AM123" s="1533"/>
      <c r="AN123" s="1533"/>
      <c r="AO123" s="1533"/>
      <c r="AP123" s="1533"/>
      <c r="AQ123" s="1533"/>
      <c r="AR123" s="1533"/>
      <c r="AS123" s="1533"/>
      <c r="AT123" s="1533"/>
      <c r="AU123" s="1533"/>
      <c r="AV123" s="1533"/>
      <c r="AW123" s="1533"/>
      <c r="AX123" s="1533"/>
      <c r="AY123" s="1533"/>
      <c r="AZ123" s="1534"/>
      <c r="BA123" s="2047"/>
      <c r="BB123" s="2065"/>
      <c r="BC123" s="2065"/>
      <c r="BD123" s="2048"/>
      <c r="BE123" s="2047"/>
      <c r="BF123" s="2065"/>
      <c r="BG123" s="2065"/>
      <c r="BH123" s="4"/>
    </row>
    <row r="124" spans="1:60" x14ac:dyDescent="0.3">
      <c r="A124" s="4"/>
      <c r="B124" s="47">
        <v>74</v>
      </c>
      <c r="C124" s="49"/>
      <c r="D124" s="49"/>
      <c r="E124" s="38" t="s">
        <v>177</v>
      </c>
      <c r="F124" s="49"/>
      <c r="G124" s="99"/>
      <c r="H124" s="2047"/>
      <c r="I124" s="2065"/>
      <c r="J124" s="2048"/>
      <c r="K124" s="2047"/>
      <c r="L124" s="2065"/>
      <c r="M124" s="2048"/>
      <c r="N124" s="1527" t="s">
        <v>937</v>
      </c>
      <c r="O124" s="1528"/>
      <c r="P124" s="1529"/>
      <c r="Q124" s="1530"/>
      <c r="R124" s="1531"/>
      <c r="S124" s="1527"/>
      <c r="T124" s="1528"/>
      <c r="U124" s="2047"/>
      <c r="V124" s="2048"/>
      <c r="W124" s="2051"/>
      <c r="X124" s="2060"/>
      <c r="Y124" s="2051" t="str">
        <f>berekeningen!W52</f>
        <v/>
      </c>
      <c r="Z124" s="2060"/>
      <c r="AA124" s="2051"/>
      <c r="AB124" s="2060"/>
      <c r="AC124" s="2082"/>
      <c r="AD124" s="2083"/>
      <c r="AE124" s="2078"/>
      <c r="AF124" s="2079"/>
      <c r="AG124" s="2076"/>
      <c r="AH124" s="2077"/>
      <c r="AI124" s="2029"/>
      <c r="AJ124" s="2071"/>
      <c r="AK124" s="1532"/>
      <c r="AL124" s="1533"/>
      <c r="AM124" s="1533"/>
      <c r="AN124" s="1533"/>
      <c r="AO124" s="1533"/>
      <c r="AP124" s="1533"/>
      <c r="AQ124" s="1533"/>
      <c r="AR124" s="1533"/>
      <c r="AS124" s="1533"/>
      <c r="AT124" s="1533"/>
      <c r="AU124" s="1533"/>
      <c r="AV124" s="1533"/>
      <c r="AW124" s="1533"/>
      <c r="AX124" s="1533"/>
      <c r="AY124" s="1533"/>
      <c r="AZ124" s="1534"/>
      <c r="BA124" s="2047"/>
      <c r="BB124" s="2065"/>
      <c r="BC124" s="2065"/>
      <c r="BD124" s="2048"/>
      <c r="BE124" s="2047"/>
      <c r="BF124" s="2065"/>
      <c r="BG124" s="2065"/>
      <c r="BH124" s="4"/>
    </row>
    <row r="125" spans="1:60" x14ac:dyDescent="0.3">
      <c r="A125" s="4"/>
      <c r="B125" s="47">
        <v>75</v>
      </c>
      <c r="C125" s="49"/>
      <c r="D125" s="49"/>
      <c r="E125" s="38" t="s">
        <v>177</v>
      </c>
      <c r="F125" s="49"/>
      <c r="G125" s="99"/>
      <c r="H125" s="2047"/>
      <c r="I125" s="2065"/>
      <c r="J125" s="2048"/>
      <c r="K125" s="2047"/>
      <c r="L125" s="2065"/>
      <c r="M125" s="2048"/>
      <c r="N125" s="1527" t="s">
        <v>937</v>
      </c>
      <c r="O125" s="1528"/>
      <c r="P125" s="1529"/>
      <c r="Q125" s="1530"/>
      <c r="R125" s="1531"/>
      <c r="S125" s="1527"/>
      <c r="T125" s="1528"/>
      <c r="U125" s="2047"/>
      <c r="V125" s="2048"/>
      <c r="W125" s="2051"/>
      <c r="X125" s="2060"/>
      <c r="Y125" s="2051" t="str">
        <f>berekeningen!W53</f>
        <v/>
      </c>
      <c r="Z125" s="2060"/>
      <c r="AA125" s="2051"/>
      <c r="AB125" s="2060"/>
      <c r="AC125" s="2082"/>
      <c r="AD125" s="2083"/>
      <c r="AE125" s="2078"/>
      <c r="AF125" s="2079"/>
      <c r="AG125" s="2076"/>
      <c r="AH125" s="2077"/>
      <c r="AI125" s="2029"/>
      <c r="AJ125" s="2071"/>
      <c r="AK125" s="1532"/>
      <c r="AL125" s="1533"/>
      <c r="AM125" s="1533"/>
      <c r="AN125" s="1533"/>
      <c r="AO125" s="1533"/>
      <c r="AP125" s="1533"/>
      <c r="AQ125" s="1533"/>
      <c r="AR125" s="1533"/>
      <c r="AS125" s="1533"/>
      <c r="AT125" s="1533"/>
      <c r="AU125" s="1533"/>
      <c r="AV125" s="1533"/>
      <c r="AW125" s="1533"/>
      <c r="AX125" s="1533"/>
      <c r="AY125" s="1533"/>
      <c r="AZ125" s="1534"/>
      <c r="BA125" s="2047"/>
      <c r="BB125" s="2065"/>
      <c r="BC125" s="2065"/>
      <c r="BD125" s="2048"/>
      <c r="BE125" s="2047"/>
      <c r="BF125" s="2065"/>
      <c r="BG125" s="2065"/>
      <c r="BH125" s="4"/>
    </row>
    <row r="126" spans="1:60" x14ac:dyDescent="0.3">
      <c r="A126" s="4"/>
      <c r="B126" s="47">
        <v>76</v>
      </c>
      <c r="C126" s="49"/>
      <c r="D126" s="49"/>
      <c r="E126" s="38" t="s">
        <v>177</v>
      </c>
      <c r="F126" s="49"/>
      <c r="G126" s="99"/>
      <c r="H126" s="2047"/>
      <c r="I126" s="2065"/>
      <c r="J126" s="2048"/>
      <c r="K126" s="2047"/>
      <c r="L126" s="2065"/>
      <c r="M126" s="2048"/>
      <c r="N126" s="1527" t="s">
        <v>937</v>
      </c>
      <c r="O126" s="1528"/>
      <c r="P126" s="1529"/>
      <c r="Q126" s="1530"/>
      <c r="R126" s="1531"/>
      <c r="S126" s="1527"/>
      <c r="T126" s="1528"/>
      <c r="U126" s="2047"/>
      <c r="V126" s="2048"/>
      <c r="W126" s="2051"/>
      <c r="X126" s="2060"/>
      <c r="Y126" s="2051" t="str">
        <f>berekeningen!W54</f>
        <v/>
      </c>
      <c r="Z126" s="2060"/>
      <c r="AA126" s="2051"/>
      <c r="AB126" s="2060"/>
      <c r="AC126" s="2082"/>
      <c r="AD126" s="2083"/>
      <c r="AE126" s="2078"/>
      <c r="AF126" s="2079"/>
      <c r="AG126" s="2076"/>
      <c r="AH126" s="2077"/>
      <c r="AI126" s="2029"/>
      <c r="AJ126" s="2071"/>
      <c r="AK126" s="1532"/>
      <c r="AL126" s="1533"/>
      <c r="AM126" s="1533"/>
      <c r="AN126" s="1533"/>
      <c r="AO126" s="1533"/>
      <c r="AP126" s="1533"/>
      <c r="AQ126" s="1533"/>
      <c r="AR126" s="1533"/>
      <c r="AS126" s="1533"/>
      <c r="AT126" s="1533"/>
      <c r="AU126" s="1533"/>
      <c r="AV126" s="1533"/>
      <c r="AW126" s="1533"/>
      <c r="AX126" s="1533"/>
      <c r="AY126" s="1533"/>
      <c r="AZ126" s="1534"/>
      <c r="BA126" s="2047"/>
      <c r="BB126" s="2065"/>
      <c r="BC126" s="2065"/>
      <c r="BD126" s="2048"/>
      <c r="BE126" s="2047"/>
      <c r="BF126" s="2065"/>
      <c r="BG126" s="2065"/>
      <c r="BH126" s="4"/>
    </row>
    <row r="127" spans="1:60" x14ac:dyDescent="0.3">
      <c r="A127" s="4"/>
      <c r="B127" s="47">
        <v>77</v>
      </c>
      <c r="C127" s="49"/>
      <c r="D127" s="49"/>
      <c r="E127" s="38" t="s">
        <v>177</v>
      </c>
      <c r="F127" s="49"/>
      <c r="G127" s="99"/>
      <c r="H127" s="2047"/>
      <c r="I127" s="2065"/>
      <c r="J127" s="2048"/>
      <c r="K127" s="2047"/>
      <c r="L127" s="2065"/>
      <c r="M127" s="2048"/>
      <c r="N127" s="1527" t="s">
        <v>937</v>
      </c>
      <c r="O127" s="1528"/>
      <c r="P127" s="1529"/>
      <c r="Q127" s="1530"/>
      <c r="R127" s="1531"/>
      <c r="S127" s="1527"/>
      <c r="T127" s="1528"/>
      <c r="U127" s="2047"/>
      <c r="V127" s="2048"/>
      <c r="W127" s="2051"/>
      <c r="X127" s="2060"/>
      <c r="Y127" s="2051" t="str">
        <f>berekeningen!W55</f>
        <v/>
      </c>
      <c r="Z127" s="2060"/>
      <c r="AA127" s="2051"/>
      <c r="AB127" s="2060"/>
      <c r="AC127" s="2082"/>
      <c r="AD127" s="2083"/>
      <c r="AE127" s="2078"/>
      <c r="AF127" s="2079"/>
      <c r="AG127" s="2076"/>
      <c r="AH127" s="2077"/>
      <c r="AI127" s="2029"/>
      <c r="AJ127" s="2071"/>
      <c r="AK127" s="1532"/>
      <c r="AL127" s="1533"/>
      <c r="AM127" s="1533"/>
      <c r="AN127" s="1533"/>
      <c r="AO127" s="1533"/>
      <c r="AP127" s="1533"/>
      <c r="AQ127" s="1533"/>
      <c r="AR127" s="1533"/>
      <c r="AS127" s="1533"/>
      <c r="AT127" s="1533"/>
      <c r="AU127" s="1533"/>
      <c r="AV127" s="1533"/>
      <c r="AW127" s="1533"/>
      <c r="AX127" s="1533"/>
      <c r="AY127" s="1533"/>
      <c r="AZ127" s="1534"/>
      <c r="BA127" s="2047"/>
      <c r="BB127" s="2065"/>
      <c r="BC127" s="2065"/>
      <c r="BD127" s="2048"/>
      <c r="BE127" s="2047"/>
      <c r="BF127" s="2065"/>
      <c r="BG127" s="2065"/>
      <c r="BH127" s="4"/>
    </row>
    <row r="128" spans="1:60" x14ac:dyDescent="0.3">
      <c r="A128" s="4"/>
      <c r="B128" s="31">
        <v>78</v>
      </c>
      <c r="C128" s="32"/>
      <c r="D128" s="32"/>
      <c r="E128" s="38" t="s">
        <v>177</v>
      </c>
      <c r="F128" s="32"/>
      <c r="G128" s="39"/>
      <c r="H128" s="2047"/>
      <c r="I128" s="2065"/>
      <c r="J128" s="2048"/>
      <c r="K128" s="2047"/>
      <c r="L128" s="2065"/>
      <c r="M128" s="2048"/>
      <c r="N128" s="1508" t="s">
        <v>937</v>
      </c>
      <c r="O128" s="1535"/>
      <c r="P128" s="1536"/>
      <c r="Q128" s="1537"/>
      <c r="R128" s="1538"/>
      <c r="S128" s="1508"/>
      <c r="T128" s="1535"/>
      <c r="U128" s="2047"/>
      <c r="V128" s="2048"/>
      <c r="W128" s="2051"/>
      <c r="X128" s="2060"/>
      <c r="Y128" s="2051" t="str">
        <f>berekeningen!W56</f>
        <v/>
      </c>
      <c r="Z128" s="2060"/>
      <c r="AA128" s="2051"/>
      <c r="AB128" s="2060"/>
      <c r="AC128" s="2082"/>
      <c r="AD128" s="2126"/>
      <c r="AE128" s="2078"/>
      <c r="AF128" s="2079"/>
      <c r="AG128" s="2076"/>
      <c r="AH128" s="2077"/>
      <c r="AI128" s="2029"/>
      <c r="AJ128" s="2071"/>
      <c r="AK128" s="1519"/>
      <c r="AL128" s="1520"/>
      <c r="AM128" s="1520"/>
      <c r="AN128" s="1520"/>
      <c r="AO128" s="1520"/>
      <c r="AP128" s="1520"/>
      <c r="AQ128" s="1520"/>
      <c r="AR128" s="1520"/>
      <c r="AS128" s="1520"/>
      <c r="AT128" s="1520"/>
      <c r="AU128" s="1520"/>
      <c r="AV128" s="1520"/>
      <c r="AW128" s="1520"/>
      <c r="AX128" s="1520"/>
      <c r="AY128" s="1520"/>
      <c r="AZ128" s="1539"/>
      <c r="BA128" s="2047"/>
      <c r="BB128" s="2065"/>
      <c r="BC128" s="2065"/>
      <c r="BD128" s="2048"/>
      <c r="BE128" s="2047"/>
      <c r="BF128" s="2065"/>
      <c r="BG128" s="2065"/>
      <c r="BH128" s="4"/>
    </row>
    <row r="129" spans="1:60" x14ac:dyDescent="0.3">
      <c r="A129" s="4"/>
      <c r="B129" s="31">
        <v>79</v>
      </c>
      <c r="C129" s="32"/>
      <c r="D129" s="32"/>
      <c r="E129" s="2047"/>
      <c r="F129" s="2065"/>
      <c r="G129" s="2048"/>
      <c r="H129" s="2047"/>
      <c r="I129" s="2065"/>
      <c r="J129" s="2048"/>
      <c r="K129" s="2047"/>
      <c r="L129" s="2065"/>
      <c r="M129" s="2048"/>
      <c r="N129" s="1508" t="s">
        <v>937</v>
      </c>
      <c r="O129" s="1535"/>
      <c r="P129" s="1536"/>
      <c r="Q129" s="1537"/>
      <c r="R129" s="1538"/>
      <c r="S129" s="1508"/>
      <c r="T129" s="1535"/>
      <c r="U129" s="2047"/>
      <c r="V129" s="2048"/>
      <c r="W129" s="2051"/>
      <c r="X129" s="2060"/>
      <c r="Y129" s="2051" t="str">
        <f>berekeningen!W57</f>
        <v/>
      </c>
      <c r="Z129" s="2060"/>
      <c r="AA129" s="2051"/>
      <c r="AB129" s="2060"/>
      <c r="AC129" s="2082"/>
      <c r="AD129" s="2126"/>
      <c r="AE129" s="2078"/>
      <c r="AF129" s="2079"/>
      <c r="AG129" s="2076"/>
      <c r="AH129" s="2077"/>
      <c r="AI129" s="2029"/>
      <c r="AJ129" s="2071"/>
      <c r="AK129" s="1519"/>
      <c r="AL129" s="1520"/>
      <c r="AM129" s="1520"/>
      <c r="AN129" s="1520"/>
      <c r="AO129" s="1520"/>
      <c r="AP129" s="1520"/>
      <c r="AQ129" s="1520"/>
      <c r="AR129" s="1520"/>
      <c r="AS129" s="1520"/>
      <c r="AT129" s="1520"/>
      <c r="AU129" s="1520"/>
      <c r="AV129" s="1520"/>
      <c r="AW129" s="1520"/>
      <c r="AX129" s="1520"/>
      <c r="AY129" s="1520"/>
      <c r="AZ129" s="1539"/>
      <c r="BA129" s="2047"/>
      <c r="BB129" s="2065"/>
      <c r="BC129" s="2065"/>
      <c r="BD129" s="2048"/>
      <c r="BE129" s="2047"/>
      <c r="BF129" s="2065"/>
      <c r="BG129" s="2065"/>
      <c r="BH129" s="4"/>
    </row>
    <row r="130" spans="1:60" x14ac:dyDescent="0.3">
      <c r="A130" s="4"/>
      <c r="B130" s="42">
        <v>80</v>
      </c>
      <c r="C130" s="43"/>
      <c r="D130" s="43"/>
      <c r="E130" s="2049"/>
      <c r="F130" s="2066"/>
      <c r="G130" s="2050"/>
      <c r="H130" s="2049"/>
      <c r="I130" s="2066"/>
      <c r="J130" s="2050"/>
      <c r="K130" s="2049"/>
      <c r="L130" s="2066"/>
      <c r="M130" s="2050"/>
      <c r="N130" s="1512" t="s">
        <v>937</v>
      </c>
      <c r="O130" s="1540"/>
      <c r="P130" s="1541"/>
      <c r="Q130" s="1542"/>
      <c r="R130" s="1543"/>
      <c r="S130" s="1512"/>
      <c r="T130" s="1540"/>
      <c r="U130" s="2049"/>
      <c r="V130" s="2050"/>
      <c r="W130" s="2086"/>
      <c r="X130" s="2062"/>
      <c r="Y130" s="2051" t="str">
        <f>berekeningen!W58</f>
        <v/>
      </c>
      <c r="Z130" s="2060"/>
      <c r="AA130" s="2086"/>
      <c r="AB130" s="2062"/>
      <c r="AC130" s="2096"/>
      <c r="AD130" s="2127"/>
      <c r="AE130" s="2080"/>
      <c r="AF130" s="2081"/>
      <c r="AG130" s="2068"/>
      <c r="AH130" s="2069"/>
      <c r="AI130" s="2072"/>
      <c r="AJ130" s="2073"/>
      <c r="AK130" s="1544"/>
      <c r="AL130" s="1545"/>
      <c r="AM130" s="1545"/>
      <c r="AN130" s="1545"/>
      <c r="AO130" s="1545"/>
      <c r="AP130" s="1545"/>
      <c r="AQ130" s="1545"/>
      <c r="AR130" s="1545"/>
      <c r="AS130" s="1545"/>
      <c r="AT130" s="1545"/>
      <c r="AU130" s="1545"/>
      <c r="AV130" s="1545"/>
      <c r="AW130" s="1545"/>
      <c r="AX130" s="1545"/>
      <c r="AY130" s="1545"/>
      <c r="AZ130" s="1546"/>
      <c r="BA130" s="2049"/>
      <c r="BB130" s="2066"/>
      <c r="BC130" s="2066"/>
      <c r="BD130" s="2050"/>
      <c r="BE130" s="2049"/>
      <c r="BF130" s="2066"/>
      <c r="BG130" s="2066"/>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8"/>
      <c r="M150" s="2128"/>
      <c r="N150" s="2128"/>
      <c r="O150" s="2128"/>
      <c r="P150" s="2128"/>
      <c r="Q150" s="2128"/>
      <c r="R150" s="4"/>
      <c r="S150" s="2"/>
      <c r="T150" s="2"/>
      <c r="U150" s="2"/>
      <c r="V150" s="2"/>
      <c r="W150" s="2"/>
      <c r="X150" s="2"/>
      <c r="Y150" s="2"/>
      <c r="Z150" s="2"/>
      <c r="AA150" s="2"/>
      <c r="AB150" s="1548"/>
      <c r="AC150" s="1971"/>
      <c r="AD150" s="1971"/>
      <c r="AE150" s="1971"/>
      <c r="AF150" s="1971"/>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8"/>
      <c r="D153" s="2118"/>
      <c r="E153" s="2118" t="s">
        <v>131</v>
      </c>
      <c r="F153" s="2118"/>
      <c r="G153" s="2118"/>
      <c r="H153" s="2118" t="s">
        <v>170</v>
      </c>
      <c r="I153" s="2118"/>
      <c r="J153" s="2118"/>
      <c r="K153" s="2118" t="s">
        <v>119</v>
      </c>
      <c r="L153" s="2118"/>
      <c r="M153" s="2118"/>
      <c r="N153" s="2118" t="s">
        <v>120</v>
      </c>
      <c r="O153" s="2118"/>
      <c r="P153" s="2118"/>
      <c r="Q153" s="2118" t="s">
        <v>121</v>
      </c>
      <c r="R153" s="2118"/>
      <c r="S153" s="2124" t="s">
        <v>122</v>
      </c>
      <c r="T153" s="2124"/>
      <c r="U153" s="2124" t="s">
        <v>122</v>
      </c>
      <c r="V153" s="2124"/>
      <c r="W153" s="2118" t="s">
        <v>127</v>
      </c>
      <c r="X153" s="2118"/>
      <c r="Y153" s="2118"/>
      <c r="Z153" s="2118"/>
      <c r="AA153" s="2118"/>
      <c r="AB153" s="2118"/>
      <c r="AC153" s="2118"/>
      <c r="AD153" s="2118"/>
      <c r="AE153" s="2118"/>
      <c r="AF153" s="2118"/>
      <c r="AG153" s="2118"/>
      <c r="AH153" s="2118"/>
      <c r="AI153" s="2118"/>
      <c r="AJ153" s="2118"/>
      <c r="AK153" s="2118"/>
      <c r="AL153" s="2118"/>
      <c r="AM153" s="2124" t="s">
        <v>277</v>
      </c>
      <c r="AN153" s="2124"/>
      <c r="AO153" s="2124" t="s">
        <v>146</v>
      </c>
      <c r="AP153" s="2124"/>
      <c r="AQ153" s="2124" t="s">
        <v>278</v>
      </c>
      <c r="AR153" s="2124"/>
      <c r="AS153" s="2118" t="s">
        <v>133</v>
      </c>
      <c r="AT153" s="2118"/>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4" t="s">
        <v>174</v>
      </c>
      <c r="T154" s="2124"/>
      <c r="U154" s="2124" t="s">
        <v>176</v>
      </c>
      <c r="V154" s="2124"/>
      <c r="W154" s="18"/>
      <c r="X154" s="18"/>
      <c r="Y154" s="18"/>
      <c r="Z154" s="18"/>
      <c r="AA154" s="18"/>
      <c r="AB154" s="18"/>
      <c r="AC154" s="18"/>
      <c r="AD154" s="18"/>
      <c r="AE154" s="18"/>
      <c r="AF154" s="18"/>
      <c r="AG154" s="18"/>
      <c r="AH154" s="18"/>
      <c r="AI154" s="18"/>
      <c r="AJ154" s="18"/>
      <c r="AK154" s="18"/>
      <c r="AL154" s="18"/>
      <c r="AM154" s="2124" t="s">
        <v>176</v>
      </c>
      <c r="AN154" s="2124"/>
      <c r="AO154" s="2124" t="s">
        <v>176</v>
      </c>
      <c r="AP154" s="2124"/>
      <c r="AQ154" s="2124" t="s">
        <v>176</v>
      </c>
      <c r="AR154" s="2124"/>
      <c r="AS154" s="2118" t="s">
        <v>178</v>
      </c>
      <c r="AT154" s="2118"/>
      <c r="AU154" s="4"/>
      <c r="AV154" s="4"/>
      <c r="AW154" s="4"/>
      <c r="AX154" s="4"/>
      <c r="AY154" s="4"/>
      <c r="AZ154" s="4"/>
      <c r="BA154" s="4"/>
      <c r="BB154" s="4"/>
      <c r="BC154" s="4"/>
      <c r="BD154" s="4"/>
      <c r="BE154" s="4"/>
      <c r="BF154" s="4"/>
      <c r="BG154" s="4"/>
      <c r="BH154" s="4"/>
    </row>
    <row r="155" spans="1:60" ht="14.5" thickBot="1" x14ac:dyDescent="0.35">
      <c r="A155" s="4"/>
      <c r="B155" s="18"/>
      <c r="C155" s="2118"/>
      <c r="D155" s="2118"/>
      <c r="E155" s="2"/>
      <c r="F155" s="2"/>
      <c r="G155" s="2"/>
      <c r="H155" s="2"/>
      <c r="I155" s="2"/>
      <c r="J155" s="2"/>
      <c r="K155" s="2118"/>
      <c r="L155" s="2118"/>
      <c r="M155" s="2118"/>
      <c r="N155" s="2118"/>
      <c r="O155" s="2118"/>
      <c r="P155" s="2118"/>
      <c r="Q155" s="2"/>
      <c r="R155" s="2"/>
      <c r="S155" s="2118" t="s">
        <v>418</v>
      </c>
      <c r="T155" s="2118"/>
      <c r="U155" s="2118" t="s">
        <v>418</v>
      </c>
      <c r="V155" s="2118"/>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8" t="s">
        <v>132</v>
      </c>
      <c r="AN155" s="2118"/>
      <c r="AO155" s="2118" t="s">
        <v>147</v>
      </c>
      <c r="AP155" s="2118"/>
      <c r="AQ155" s="2118" t="s">
        <v>488</v>
      </c>
      <c r="AR155" s="2118"/>
      <c r="AS155" s="2118" t="s">
        <v>132</v>
      </c>
      <c r="AT155" s="2118"/>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5" t="s">
        <v>400</v>
      </c>
      <c r="I156" s="2067"/>
      <c r="J156" s="2046"/>
      <c r="K156" s="2045" t="s">
        <v>401</v>
      </c>
      <c r="L156" s="2067"/>
      <c r="M156" s="2046"/>
      <c r="N156" s="2045" t="s">
        <v>402</v>
      </c>
      <c r="O156" s="2067"/>
      <c r="P156" s="2046"/>
      <c r="Q156" s="2045" t="s">
        <v>16</v>
      </c>
      <c r="R156" s="2046"/>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5"/>
      <c r="F157" s="2036"/>
      <c r="G157" s="2044"/>
      <c r="H157" s="2035"/>
      <c r="I157" s="2036"/>
      <c r="J157" s="2044"/>
      <c r="K157" s="2035"/>
      <c r="L157" s="2036"/>
      <c r="M157" s="2044"/>
      <c r="N157" s="2035"/>
      <c r="O157" s="2036"/>
      <c r="P157" s="2044"/>
      <c r="Q157" s="2035"/>
      <c r="R157" s="2044"/>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5" t="s">
        <v>615</v>
      </c>
      <c r="F158" s="2067"/>
      <c r="G158" s="2046"/>
      <c r="H158" s="2045" t="s">
        <v>616</v>
      </c>
      <c r="I158" s="2067"/>
      <c r="J158" s="2046"/>
      <c r="K158" s="2045" t="s">
        <v>403</v>
      </c>
      <c r="L158" s="2067"/>
      <c r="M158" s="2046"/>
      <c r="N158" s="2045" t="s">
        <v>404</v>
      </c>
      <c r="O158" s="2067"/>
      <c r="P158" s="2046"/>
      <c r="Q158" s="2045" t="s">
        <v>405</v>
      </c>
      <c r="R158" s="2046"/>
      <c r="S158" s="2063">
        <v>5</v>
      </c>
      <c r="T158" s="2064"/>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1">
        <v>40</v>
      </c>
      <c r="AT158" s="2042"/>
      <c r="AU158" s="4"/>
      <c r="AV158" s="4"/>
      <c r="AW158" s="4"/>
      <c r="AX158" s="4"/>
      <c r="AY158" s="4"/>
      <c r="AZ158" s="4"/>
      <c r="BA158" s="4"/>
      <c r="BB158" s="4"/>
      <c r="BC158" s="4"/>
      <c r="BD158" s="4"/>
      <c r="BE158" s="4"/>
      <c r="BF158" s="4"/>
      <c r="BG158" s="4"/>
      <c r="BH158" s="4"/>
    </row>
    <row r="159" spans="1:60" x14ac:dyDescent="0.3">
      <c r="A159" s="4"/>
      <c r="B159" s="47">
        <v>84</v>
      </c>
      <c r="C159" s="49"/>
      <c r="D159" s="49"/>
      <c r="E159" s="2047" t="s">
        <v>163</v>
      </c>
      <c r="F159" s="2065"/>
      <c r="G159" s="2048"/>
      <c r="H159" s="2047"/>
      <c r="I159" s="2065"/>
      <c r="J159" s="2048"/>
      <c r="K159" s="2047"/>
      <c r="L159" s="2065"/>
      <c r="M159" s="2048"/>
      <c r="N159" s="2047"/>
      <c r="O159" s="2065"/>
      <c r="P159" s="2048"/>
      <c r="Q159" s="2047"/>
      <c r="R159" s="2048"/>
      <c r="S159" s="2051"/>
      <c r="T159" s="2052"/>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9"/>
      <c r="AT159" s="2030"/>
      <c r="AU159" s="4"/>
      <c r="AV159" s="4"/>
      <c r="AW159" s="4"/>
      <c r="AX159" s="4"/>
      <c r="AY159" s="4"/>
      <c r="AZ159" s="4"/>
      <c r="BA159" s="4"/>
      <c r="BB159" s="4"/>
      <c r="BC159" s="4"/>
      <c r="BD159" s="4"/>
      <c r="BE159" s="4"/>
      <c r="BF159" s="4"/>
      <c r="BG159" s="4"/>
      <c r="BH159" s="4"/>
    </row>
    <row r="160" spans="1:60" x14ac:dyDescent="0.3">
      <c r="A160" s="4"/>
      <c r="B160" s="47">
        <v>85</v>
      </c>
      <c r="C160" s="49"/>
      <c r="D160" s="49"/>
      <c r="E160" s="2047" t="s">
        <v>163</v>
      </c>
      <c r="F160" s="2065"/>
      <c r="G160" s="2048"/>
      <c r="H160" s="2047"/>
      <c r="I160" s="2065"/>
      <c r="J160" s="2048"/>
      <c r="K160" s="2047"/>
      <c r="L160" s="2065"/>
      <c r="M160" s="2048"/>
      <c r="N160" s="2047"/>
      <c r="O160" s="2065"/>
      <c r="P160" s="2048"/>
      <c r="Q160" s="2047"/>
      <c r="R160" s="2048"/>
      <c r="S160" s="2051"/>
      <c r="T160" s="2052"/>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9"/>
      <c r="AT160" s="2030"/>
      <c r="AU160" s="4"/>
      <c r="AV160" s="4"/>
      <c r="AW160" s="4"/>
      <c r="AX160" s="4"/>
      <c r="AY160" s="4"/>
      <c r="AZ160" s="4"/>
      <c r="BA160" s="4"/>
      <c r="BB160" s="4"/>
      <c r="BC160" s="4"/>
      <c r="BD160" s="4"/>
      <c r="BE160" s="4"/>
      <c r="BF160" s="4"/>
      <c r="BG160" s="4"/>
      <c r="BH160" s="4"/>
    </row>
    <row r="161" spans="1:60" x14ac:dyDescent="0.3">
      <c r="A161" s="4"/>
      <c r="B161" s="47">
        <v>86</v>
      </c>
      <c r="C161" s="49"/>
      <c r="D161" s="49"/>
      <c r="E161" s="2047" t="s">
        <v>163</v>
      </c>
      <c r="F161" s="2065"/>
      <c r="G161" s="2048"/>
      <c r="H161" s="2047"/>
      <c r="I161" s="2065"/>
      <c r="J161" s="2048"/>
      <c r="K161" s="2047"/>
      <c r="L161" s="2065"/>
      <c r="M161" s="2048"/>
      <c r="N161" s="2047"/>
      <c r="O161" s="2065"/>
      <c r="P161" s="2048"/>
      <c r="Q161" s="2047"/>
      <c r="R161" s="2048"/>
      <c r="S161" s="2051"/>
      <c r="T161" s="2052"/>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9"/>
      <c r="AT161" s="2030"/>
      <c r="AU161" s="4"/>
      <c r="AV161" s="4"/>
      <c r="AW161" s="4"/>
      <c r="AX161" s="4"/>
      <c r="AY161" s="4"/>
      <c r="AZ161" s="4"/>
      <c r="BA161" s="4"/>
      <c r="BB161" s="4"/>
      <c r="BC161" s="4"/>
      <c r="BD161" s="4"/>
      <c r="BE161" s="4"/>
      <c r="BF161" s="4"/>
      <c r="BG161" s="4"/>
      <c r="BH161" s="4"/>
    </row>
    <row r="162" spans="1:60" x14ac:dyDescent="0.3">
      <c r="A162" s="4"/>
      <c r="B162" s="47">
        <v>87</v>
      </c>
      <c r="C162" s="49"/>
      <c r="D162" s="49"/>
      <c r="E162" s="2047" t="s">
        <v>163</v>
      </c>
      <c r="F162" s="2065"/>
      <c r="G162" s="2048"/>
      <c r="H162" s="2047"/>
      <c r="I162" s="2065"/>
      <c r="J162" s="2048"/>
      <c r="K162" s="2047"/>
      <c r="L162" s="2065"/>
      <c r="M162" s="2048"/>
      <c r="N162" s="2047"/>
      <c r="O162" s="2065"/>
      <c r="P162" s="2048"/>
      <c r="Q162" s="2047"/>
      <c r="R162" s="2048"/>
      <c r="S162" s="2051"/>
      <c r="T162" s="2052"/>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9"/>
      <c r="AT162" s="2030"/>
      <c r="AU162" s="4"/>
      <c r="AV162" s="4"/>
      <c r="AW162" s="4"/>
      <c r="AX162" s="4"/>
      <c r="AY162" s="4"/>
      <c r="AZ162" s="4"/>
      <c r="BA162" s="4"/>
      <c r="BB162" s="4"/>
      <c r="BC162" s="4"/>
      <c r="BD162" s="4"/>
      <c r="BE162" s="4"/>
      <c r="BF162" s="4"/>
      <c r="BG162" s="4"/>
      <c r="BH162" s="4"/>
    </row>
    <row r="163" spans="1:60" x14ac:dyDescent="0.3">
      <c r="A163" s="4"/>
      <c r="B163" s="47">
        <v>88</v>
      </c>
      <c r="C163" s="49"/>
      <c r="D163" s="49"/>
      <c r="E163" s="2047" t="s">
        <v>163</v>
      </c>
      <c r="F163" s="2065"/>
      <c r="G163" s="2048"/>
      <c r="H163" s="2047"/>
      <c r="I163" s="2065"/>
      <c r="J163" s="2048"/>
      <c r="K163" s="2047"/>
      <c r="L163" s="2065"/>
      <c r="M163" s="2048"/>
      <c r="N163" s="2047"/>
      <c r="O163" s="2065"/>
      <c r="P163" s="2048"/>
      <c r="Q163" s="2047"/>
      <c r="R163" s="2048"/>
      <c r="S163" s="2051"/>
      <c r="T163" s="2052"/>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9"/>
      <c r="AT163" s="2030"/>
      <c r="AU163" s="4"/>
      <c r="AV163" s="4"/>
      <c r="AW163" s="4"/>
      <c r="AX163" s="4"/>
      <c r="AY163" s="4"/>
      <c r="AZ163" s="4"/>
      <c r="BA163" s="4"/>
      <c r="BB163" s="4"/>
      <c r="BC163" s="4"/>
      <c r="BD163" s="4"/>
      <c r="BE163" s="4"/>
      <c r="BF163" s="4"/>
      <c r="BG163" s="4"/>
      <c r="BH163" s="4"/>
    </row>
    <row r="164" spans="1:60" x14ac:dyDescent="0.3">
      <c r="A164" s="4"/>
      <c r="B164" s="47">
        <v>89</v>
      </c>
      <c r="C164" s="49"/>
      <c r="D164" s="49"/>
      <c r="E164" s="2047" t="s">
        <v>163</v>
      </c>
      <c r="F164" s="2065"/>
      <c r="G164" s="2048"/>
      <c r="H164" s="2047"/>
      <c r="I164" s="2065"/>
      <c r="J164" s="2048"/>
      <c r="K164" s="2047"/>
      <c r="L164" s="2065"/>
      <c r="M164" s="2048"/>
      <c r="N164" s="2047"/>
      <c r="O164" s="2065"/>
      <c r="P164" s="2048"/>
      <c r="Q164" s="2047"/>
      <c r="R164" s="2048"/>
      <c r="S164" s="2051"/>
      <c r="T164" s="2052"/>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9"/>
      <c r="AT164" s="2030"/>
      <c r="AU164" s="4"/>
      <c r="AV164" s="4"/>
      <c r="AW164" s="4"/>
      <c r="AX164" s="4"/>
      <c r="AY164" s="4"/>
      <c r="AZ164" s="4"/>
      <c r="BA164" s="4"/>
      <c r="BB164" s="4"/>
      <c r="BC164" s="4"/>
      <c r="BD164" s="4"/>
      <c r="BE164" s="4"/>
      <c r="BF164" s="4"/>
      <c r="BG164" s="4"/>
      <c r="BH164" s="4"/>
    </row>
    <row r="165" spans="1:60" x14ac:dyDescent="0.3">
      <c r="A165" s="4"/>
      <c r="B165" s="31">
        <v>90</v>
      </c>
      <c r="C165" s="32"/>
      <c r="D165" s="32"/>
      <c r="E165" s="2047" t="s">
        <v>163</v>
      </c>
      <c r="F165" s="2065"/>
      <c r="G165" s="2048"/>
      <c r="H165" s="2047"/>
      <c r="I165" s="2065"/>
      <c r="J165" s="2048"/>
      <c r="K165" s="2047"/>
      <c r="L165" s="2065"/>
      <c r="M165" s="2048"/>
      <c r="N165" s="2047"/>
      <c r="O165" s="2065"/>
      <c r="P165" s="2048"/>
      <c r="Q165" s="2047"/>
      <c r="R165" s="2048"/>
      <c r="S165" s="2051"/>
      <c r="T165" s="2052"/>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9"/>
      <c r="AT165" s="2030"/>
      <c r="AU165" s="4"/>
      <c r="AV165" s="4"/>
      <c r="AW165" s="4"/>
      <c r="AX165" s="4"/>
      <c r="AY165" s="4"/>
      <c r="AZ165" s="4"/>
      <c r="BA165" s="4"/>
      <c r="BB165" s="4"/>
      <c r="BC165" s="4"/>
      <c r="BD165" s="4"/>
      <c r="BE165" s="4"/>
      <c r="BF165" s="4"/>
      <c r="BG165" s="4"/>
      <c r="BH165" s="4"/>
    </row>
    <row r="166" spans="1:60" x14ac:dyDescent="0.3">
      <c r="A166" s="4"/>
      <c r="B166" s="31">
        <v>91</v>
      </c>
      <c r="C166" s="32"/>
      <c r="D166" s="32"/>
      <c r="E166" s="2047" t="s">
        <v>163</v>
      </c>
      <c r="F166" s="2065"/>
      <c r="G166" s="2048"/>
      <c r="H166" s="2047"/>
      <c r="I166" s="2065"/>
      <c r="J166" s="2048"/>
      <c r="K166" s="2047"/>
      <c r="L166" s="2065"/>
      <c r="M166" s="2048"/>
      <c r="N166" s="2047"/>
      <c r="O166" s="2065"/>
      <c r="P166" s="2048"/>
      <c r="Q166" s="2047"/>
      <c r="R166" s="2048"/>
      <c r="S166" s="2051"/>
      <c r="T166" s="2052"/>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9"/>
      <c r="AT166" s="2030"/>
      <c r="AU166" s="4"/>
      <c r="AV166" s="4"/>
      <c r="AW166" s="4"/>
      <c r="AX166" s="4"/>
      <c r="AY166" s="4"/>
      <c r="AZ166" s="4"/>
      <c r="BA166" s="4"/>
      <c r="BB166" s="4"/>
      <c r="BC166" s="4"/>
      <c r="BD166" s="4"/>
      <c r="BE166" s="4"/>
      <c r="BF166" s="4"/>
      <c r="BG166" s="4"/>
      <c r="BH166" s="4"/>
    </row>
    <row r="167" spans="1:60" x14ac:dyDescent="0.3">
      <c r="A167" s="4"/>
      <c r="B167" s="31">
        <v>92</v>
      </c>
      <c r="C167" s="32"/>
      <c r="D167" s="32"/>
      <c r="E167" s="2047" t="s">
        <v>163</v>
      </c>
      <c r="F167" s="2065"/>
      <c r="G167" s="2048"/>
      <c r="H167" s="2047"/>
      <c r="I167" s="2065"/>
      <c r="J167" s="2048"/>
      <c r="K167" s="2047"/>
      <c r="L167" s="2065"/>
      <c r="M167" s="2048"/>
      <c r="N167" s="2047"/>
      <c r="O167" s="2065"/>
      <c r="P167" s="2048"/>
      <c r="Q167" s="2047"/>
      <c r="R167" s="2048"/>
      <c r="S167" s="2051"/>
      <c r="T167" s="2052"/>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9"/>
      <c r="AT167" s="2030"/>
      <c r="AU167" s="4"/>
      <c r="AV167" s="4"/>
      <c r="AW167" s="4"/>
      <c r="AX167" s="4"/>
      <c r="AY167" s="4"/>
      <c r="AZ167" s="4"/>
      <c r="BA167" s="4"/>
      <c r="BB167" s="4"/>
      <c r="BC167" s="4"/>
      <c r="BD167" s="4"/>
      <c r="BE167" s="4"/>
      <c r="BF167" s="4"/>
      <c r="BG167" s="4"/>
      <c r="BH167" s="4"/>
    </row>
    <row r="168" spans="1:60" x14ac:dyDescent="0.3">
      <c r="A168" s="4"/>
      <c r="B168" s="31">
        <v>93</v>
      </c>
      <c r="C168" s="32"/>
      <c r="D168" s="32"/>
      <c r="E168" s="2047" t="s">
        <v>163</v>
      </c>
      <c r="F168" s="2065"/>
      <c r="G168" s="2048"/>
      <c r="H168" s="2047"/>
      <c r="I168" s="2065"/>
      <c r="J168" s="2048"/>
      <c r="K168" s="2047"/>
      <c r="L168" s="2065"/>
      <c r="M168" s="2048"/>
      <c r="N168" s="2047"/>
      <c r="O168" s="2065"/>
      <c r="P168" s="2048"/>
      <c r="Q168" s="2047"/>
      <c r="R168" s="2048"/>
      <c r="S168" s="2051"/>
      <c r="T168" s="2052"/>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9"/>
      <c r="AT168" s="2030"/>
      <c r="AU168" s="4"/>
      <c r="AV168" s="4"/>
      <c r="AW168" s="4"/>
      <c r="AX168" s="4"/>
      <c r="AY168" s="4"/>
      <c r="AZ168" s="4"/>
      <c r="BA168" s="4"/>
      <c r="BB168" s="4"/>
      <c r="BC168" s="4"/>
      <c r="BD168" s="4"/>
      <c r="BE168" s="4"/>
      <c r="BF168" s="4"/>
      <c r="BG168" s="4"/>
      <c r="BH168" s="4"/>
    </row>
    <row r="169" spans="1:60" x14ac:dyDescent="0.3">
      <c r="A169" s="4"/>
      <c r="B169" s="31">
        <v>94</v>
      </c>
      <c r="C169" s="32"/>
      <c r="D169" s="32"/>
      <c r="E169" s="2047" t="s">
        <v>163</v>
      </c>
      <c r="F169" s="2065"/>
      <c r="G169" s="2048"/>
      <c r="H169" s="2047"/>
      <c r="I169" s="2065"/>
      <c r="J169" s="2048"/>
      <c r="K169" s="2047"/>
      <c r="L169" s="2065"/>
      <c r="M169" s="2048"/>
      <c r="N169" s="2047"/>
      <c r="O169" s="2065"/>
      <c r="P169" s="2048"/>
      <c r="Q169" s="2047"/>
      <c r="R169" s="2048"/>
      <c r="S169" s="2051"/>
      <c r="T169" s="2052"/>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9"/>
      <c r="AT169" s="2030"/>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5"/>
      <c r="F170" s="2036"/>
      <c r="G170" s="2044"/>
      <c r="H170" s="2035"/>
      <c r="I170" s="2036"/>
      <c r="J170" s="2044"/>
      <c r="K170" s="2035"/>
      <c r="L170" s="2036"/>
      <c r="M170" s="2044"/>
      <c r="N170" s="2035"/>
      <c r="O170" s="2036"/>
      <c r="P170" s="2044"/>
      <c r="Q170" s="2035"/>
      <c r="R170" s="2044"/>
      <c r="S170" s="2053"/>
      <c r="T170" s="2054"/>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1"/>
      <c r="AT170" s="2032"/>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5" t="s">
        <v>409</v>
      </c>
      <c r="I171" s="2067"/>
      <c r="J171" s="2046"/>
      <c r="K171" s="2045" t="s">
        <v>410</v>
      </c>
      <c r="L171" s="2067"/>
      <c r="M171" s="2046"/>
      <c r="N171" s="2045" t="s">
        <v>411</v>
      </c>
      <c r="O171" s="2067"/>
      <c r="P171" s="2046"/>
      <c r="Q171" s="2045" t="s">
        <v>412</v>
      </c>
      <c r="R171" s="2046"/>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3">
        <v>54</v>
      </c>
      <c r="AN171" s="2043"/>
      <c r="AO171" s="2033">
        <v>7.5</v>
      </c>
      <c r="AP171" s="2043"/>
      <c r="AQ171" s="2033">
        <v>73</v>
      </c>
      <c r="AR171" s="2043"/>
      <c r="AS171" s="2033" t="s">
        <v>763</v>
      </c>
      <c r="AT171" s="2034"/>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5"/>
      <c r="F172" s="2036"/>
      <c r="G172" s="2044"/>
      <c r="H172" s="2035"/>
      <c r="I172" s="2036"/>
      <c r="J172" s="2044"/>
      <c r="K172" s="2035"/>
      <c r="L172" s="2036"/>
      <c r="M172" s="2044"/>
      <c r="N172" s="2035"/>
      <c r="O172" s="2036"/>
      <c r="P172" s="2044"/>
      <c r="Q172" s="2035"/>
      <c r="R172" s="2044"/>
      <c r="S172" s="2053"/>
      <c r="T172" s="2054"/>
      <c r="U172" s="2055"/>
      <c r="V172" s="2056"/>
      <c r="W172" s="1550"/>
      <c r="X172" s="1550"/>
      <c r="Y172" s="1550"/>
      <c r="Z172" s="1550"/>
      <c r="AA172" s="1550"/>
      <c r="AB172" s="1550"/>
      <c r="AC172" s="1550"/>
      <c r="AD172" s="1550"/>
      <c r="AE172" s="1550"/>
      <c r="AF172" s="1550"/>
      <c r="AG172" s="1550"/>
      <c r="AH172" s="1550"/>
      <c r="AI172" s="1550"/>
      <c r="AJ172" s="1550"/>
      <c r="AK172" s="1550"/>
      <c r="AL172" s="1851"/>
      <c r="AM172" s="2035"/>
      <c r="AN172" s="2044"/>
      <c r="AO172" s="2035"/>
      <c r="AP172" s="2044"/>
      <c r="AQ172" s="2035"/>
      <c r="AR172" s="2044"/>
      <c r="AS172" s="2035"/>
      <c r="AT172" s="2036"/>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5" t="s">
        <v>165</v>
      </c>
      <c r="F173" s="2067"/>
      <c r="G173" s="2046"/>
      <c r="H173" s="2045" t="s">
        <v>413</v>
      </c>
      <c r="I173" s="2067"/>
      <c r="J173" s="2046"/>
      <c r="K173" s="2045" t="s">
        <v>414</v>
      </c>
      <c r="L173" s="2067"/>
      <c r="M173" s="2046"/>
      <c r="N173" s="2045" t="s">
        <v>165</v>
      </c>
      <c r="O173" s="2067"/>
      <c r="P173" s="2046"/>
      <c r="Q173" s="2045" t="s">
        <v>16</v>
      </c>
      <c r="R173" s="2046"/>
      <c r="S173" s="71"/>
      <c r="T173" s="1263"/>
      <c r="U173" s="2057">
        <v>1.07</v>
      </c>
      <c r="V173" s="2058"/>
      <c r="W173" s="50"/>
      <c r="X173" s="50"/>
      <c r="Y173" s="50"/>
      <c r="Z173" s="50"/>
      <c r="AA173" s="50"/>
      <c r="AB173" s="50"/>
      <c r="AC173" s="50"/>
      <c r="AD173" s="50"/>
      <c r="AE173" s="50"/>
      <c r="AF173" s="50"/>
      <c r="AG173" s="50"/>
      <c r="AH173" s="50"/>
      <c r="AI173" s="50"/>
      <c r="AJ173" s="50"/>
      <c r="AK173" s="50"/>
      <c r="AL173" s="48"/>
      <c r="AM173" s="2129">
        <v>100</v>
      </c>
      <c r="AN173" s="2130"/>
      <c r="AO173" s="2045"/>
      <c r="AP173" s="2046"/>
      <c r="AQ173" s="2045"/>
      <c r="AR173" s="2046"/>
      <c r="AS173" s="2033"/>
      <c r="AT173" s="2034"/>
      <c r="AU173" s="4"/>
      <c r="AV173" s="4"/>
      <c r="AW173" s="4"/>
      <c r="AX173" s="4"/>
      <c r="AY173" s="4"/>
      <c r="AZ173" s="4"/>
      <c r="BA173" s="4"/>
      <c r="BB173" s="4"/>
      <c r="BC173" s="4"/>
      <c r="BD173" s="4"/>
      <c r="BE173" s="4"/>
      <c r="BF173" s="4"/>
      <c r="BG173" s="4"/>
      <c r="BH173" s="4"/>
    </row>
    <row r="174" spans="1:60" x14ac:dyDescent="0.3">
      <c r="A174" s="4"/>
      <c r="B174" s="31">
        <v>99</v>
      </c>
      <c r="C174" s="32"/>
      <c r="D174" s="103"/>
      <c r="E174" s="2047" t="s">
        <v>166</v>
      </c>
      <c r="F174" s="2065"/>
      <c r="G174" s="2048"/>
      <c r="H174" s="2047"/>
      <c r="I174" s="2065"/>
      <c r="J174" s="2048"/>
      <c r="K174" s="2047"/>
      <c r="L174" s="2065"/>
      <c r="M174" s="2048"/>
      <c r="N174" s="2047"/>
      <c r="O174" s="2065"/>
      <c r="P174" s="2048"/>
      <c r="Q174" s="2047"/>
      <c r="R174" s="2048"/>
      <c r="S174" s="57"/>
      <c r="T174" s="1264"/>
      <c r="U174" s="2059"/>
      <c r="V174" s="2060"/>
      <c r="W174" s="40"/>
      <c r="X174" s="40"/>
      <c r="Y174" s="40"/>
      <c r="Z174" s="40"/>
      <c r="AA174" s="40"/>
      <c r="AB174" s="40"/>
      <c r="AC174" s="40"/>
      <c r="AD174" s="40"/>
      <c r="AE174" s="40"/>
      <c r="AF174" s="40"/>
      <c r="AG174" s="40"/>
      <c r="AH174" s="40"/>
      <c r="AI174" s="40"/>
      <c r="AJ174" s="40"/>
      <c r="AK174" s="40"/>
      <c r="AL174" s="38"/>
      <c r="AM174" s="2131">
        <v>100</v>
      </c>
      <c r="AN174" s="2132"/>
      <c r="AO174" s="2047"/>
      <c r="AP174" s="2048"/>
      <c r="AQ174" s="2047"/>
      <c r="AR174" s="2048"/>
      <c r="AS174" s="2037"/>
      <c r="AT174" s="2038"/>
      <c r="AU174" s="4"/>
      <c r="AV174" s="4"/>
      <c r="AW174" s="4"/>
      <c r="AX174" s="4"/>
      <c r="AY174" s="4"/>
      <c r="AZ174" s="4"/>
      <c r="BA174" s="4"/>
      <c r="BB174" s="4"/>
      <c r="BC174" s="4"/>
      <c r="BD174" s="4"/>
      <c r="BE174" s="4"/>
      <c r="BF174" s="4"/>
      <c r="BG174" s="4"/>
      <c r="BH174" s="4"/>
    </row>
    <row r="175" spans="1:60" x14ac:dyDescent="0.3">
      <c r="A175" s="4"/>
      <c r="B175" s="42">
        <v>100</v>
      </c>
      <c r="C175" s="43"/>
      <c r="D175" s="104"/>
      <c r="E175" s="2049"/>
      <c r="F175" s="2066"/>
      <c r="G175" s="2050"/>
      <c r="H175" s="2049"/>
      <c r="I175" s="2066"/>
      <c r="J175" s="2050"/>
      <c r="K175" s="2049"/>
      <c r="L175" s="2066"/>
      <c r="M175" s="2050"/>
      <c r="N175" s="2049"/>
      <c r="O175" s="2066"/>
      <c r="P175" s="2050"/>
      <c r="Q175" s="2049"/>
      <c r="R175" s="2050"/>
      <c r="S175" s="66"/>
      <c r="T175" s="1265"/>
      <c r="U175" s="2061"/>
      <c r="V175" s="2062"/>
      <c r="W175" s="44"/>
      <c r="X175" s="44"/>
      <c r="Y175" s="44"/>
      <c r="Z175" s="44"/>
      <c r="AA175" s="44"/>
      <c r="AB175" s="44"/>
      <c r="AC175" s="44"/>
      <c r="AD175" s="44"/>
      <c r="AE175" s="44"/>
      <c r="AF175" s="44"/>
      <c r="AG175" s="44"/>
      <c r="AH175" s="44"/>
      <c r="AI175" s="44"/>
      <c r="AJ175" s="44"/>
      <c r="AK175" s="44"/>
      <c r="AL175" s="45"/>
      <c r="AM175" s="2133">
        <v>100</v>
      </c>
      <c r="AN175" s="2134"/>
      <c r="AO175" s="2049"/>
      <c r="AP175" s="2050"/>
      <c r="AQ175" s="2049"/>
      <c r="AR175" s="2050"/>
      <c r="AS175" s="2039"/>
      <c r="AT175" s="2040"/>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workbookViewId="0">
      <selection activeCell="N9" sqref="N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8" t="s">
        <v>150</v>
      </c>
      <c r="D6" s="2118"/>
      <c r="E6" s="2118" t="s">
        <v>115</v>
      </c>
      <c r="F6" s="2118"/>
      <c r="G6" s="2118"/>
      <c r="H6" s="2" t="s">
        <v>116</v>
      </c>
      <c r="I6" s="2118" t="s">
        <v>117</v>
      </c>
      <c r="J6" s="2118"/>
      <c r="K6" s="2118" t="s">
        <v>119</v>
      </c>
      <c r="L6" s="2118"/>
      <c r="M6" s="2118"/>
      <c r="N6" s="2118" t="s">
        <v>120</v>
      </c>
      <c r="O6" s="2118"/>
      <c r="P6" s="2118"/>
      <c r="Q6" s="2118" t="s">
        <v>121</v>
      </c>
      <c r="R6" s="2118"/>
      <c r="S6" s="2118" t="s">
        <v>122</v>
      </c>
      <c r="T6" s="2118"/>
      <c r="U6" s="2118" t="s">
        <v>128</v>
      </c>
      <c r="V6" s="2118"/>
      <c r="W6" s="2141" t="s">
        <v>127</v>
      </c>
      <c r="X6" s="2141"/>
      <c r="Y6" s="2141"/>
      <c r="Z6" s="2141"/>
      <c r="AA6" s="2141"/>
      <c r="AB6" s="2141"/>
      <c r="AC6" s="2141"/>
      <c r="AD6" s="2141"/>
      <c r="AE6" s="2141"/>
      <c r="AF6" s="2141"/>
      <c r="AG6" s="2141"/>
      <c r="AH6" s="2141"/>
      <c r="AI6" s="2141"/>
      <c r="AJ6" s="2141"/>
      <c r="AK6" s="2141"/>
      <c r="AL6" s="2141"/>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8" t="s">
        <v>132</v>
      </c>
      <c r="D7" s="2118"/>
      <c r="E7" s="2"/>
      <c r="F7" s="2"/>
      <c r="G7" s="2"/>
      <c r="H7" s="2"/>
      <c r="I7" s="2118" t="s">
        <v>118</v>
      </c>
      <c r="J7" s="2118"/>
      <c r="K7" s="2"/>
      <c r="L7" s="2"/>
      <c r="M7" s="2"/>
      <c r="N7" s="2"/>
      <c r="O7" s="2"/>
      <c r="P7" s="2"/>
      <c r="Q7" s="2"/>
      <c r="R7" s="2"/>
      <c r="S7" s="2118" t="s">
        <v>418</v>
      </c>
      <c r="T7" s="2118"/>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6">
        <f t="shared" ref="C8:C17" si="0">IF(B8="","",C88)</f>
        <v>5.0999999999999996</v>
      </c>
      <c r="D8" s="2147"/>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2">
        <f t="shared" si="0"/>
        <v>10.199999999999999</v>
      </c>
      <c r="D9" s="2143"/>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2">
        <f t="shared" si="0"/>
        <v>15.3</v>
      </c>
      <c r="D10" s="2143"/>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2" t="str">
        <f t="shared" si="0"/>
        <v/>
      </c>
      <c r="D11" s="2143"/>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2" t="str">
        <f t="shared" si="0"/>
        <v/>
      </c>
      <c r="D12" s="2143"/>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2">
        <f t="shared" si="0"/>
        <v>35.299999999999997</v>
      </c>
      <c r="D13" s="2143"/>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2">
        <f t="shared" si="0"/>
        <v>0</v>
      </c>
      <c r="D14" s="2143"/>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2">
        <f t="shared" si="0"/>
        <v>0</v>
      </c>
      <c r="D15" s="2143"/>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2">
        <f t="shared" si="0"/>
        <v>0</v>
      </c>
      <c r="D16" s="2143"/>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4" t="str">
        <f t="shared" si="0"/>
        <v/>
      </c>
      <c r="D17" s="2145"/>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8" t="s">
        <v>150</v>
      </c>
      <c r="D24" s="2118"/>
      <c r="E24" s="2118" t="s">
        <v>131</v>
      </c>
      <c r="F24" s="2118"/>
      <c r="G24" s="2118"/>
      <c r="H24" s="2118" t="s">
        <v>139</v>
      </c>
      <c r="I24" s="2118"/>
      <c r="J24" s="2118"/>
      <c r="K24" s="2118" t="s">
        <v>1241</v>
      </c>
      <c r="L24" s="2118"/>
      <c r="M24" s="2118"/>
      <c r="N24" s="2118" t="s">
        <v>119</v>
      </c>
      <c r="O24" s="2118"/>
      <c r="P24" s="2118"/>
      <c r="Q24" s="2118" t="s">
        <v>121</v>
      </c>
      <c r="R24" s="2118"/>
      <c r="S24" s="2" t="s">
        <v>122</v>
      </c>
      <c r="T24" s="2"/>
      <c r="U24" s="2118" t="s">
        <v>133</v>
      </c>
      <c r="V24" s="2118"/>
      <c r="W24" s="2141" t="s">
        <v>127</v>
      </c>
      <c r="X24" s="2141"/>
      <c r="Y24" s="2141"/>
      <c r="Z24" s="2141"/>
      <c r="AA24" s="2141"/>
      <c r="AB24" s="2141"/>
      <c r="AC24" s="2141"/>
      <c r="AD24" s="2141"/>
      <c r="AE24" s="2141"/>
      <c r="AF24" s="2141"/>
      <c r="AG24" s="2141"/>
      <c r="AH24" s="2141"/>
      <c r="AI24" s="2141"/>
      <c r="AJ24" s="2141"/>
      <c r="AK24" s="2141"/>
      <c r="AL24" s="2141"/>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8" t="s">
        <v>132</v>
      </c>
      <c r="D25" s="2118"/>
      <c r="E25" s="2"/>
      <c r="F25" s="2"/>
      <c r="G25" s="2"/>
      <c r="H25" s="2"/>
      <c r="I25" s="2"/>
      <c r="J25" s="2"/>
      <c r="K25" s="2118" t="s">
        <v>138</v>
      </c>
      <c r="L25" s="2118"/>
      <c r="M25" s="2118"/>
      <c r="N25" s="2118" t="s">
        <v>137</v>
      </c>
      <c r="O25" s="2118"/>
      <c r="P25" s="2118"/>
      <c r="Q25" s="2"/>
      <c r="R25" s="2"/>
      <c r="S25" s="2118" t="s">
        <v>418</v>
      </c>
      <c r="T25" s="2118"/>
      <c r="U25" s="2118" t="s">
        <v>132</v>
      </c>
      <c r="V25" s="2118"/>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8">
        <f>IF(B26="","",C98)</f>
        <v>0.55000000000000004</v>
      </c>
      <c r="D26" s="2148"/>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2" t="str">
        <f>IF(B27="","",C99)</f>
        <v/>
      </c>
      <c r="D27" s="2142"/>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2" t="s">
        <v>387</v>
      </c>
      <c r="D28" s="2142"/>
      <c r="E28" s="32" t="s">
        <v>135</v>
      </c>
      <c r="F28" s="32"/>
      <c r="G28" s="32"/>
      <c r="H28" s="32"/>
      <c r="I28" s="32"/>
      <c r="J28" s="32"/>
      <c r="K28" s="38"/>
      <c r="L28" s="32"/>
      <c r="M28" s="39"/>
      <c r="N28" s="32" t="s">
        <v>141</v>
      </c>
      <c r="O28" s="32"/>
      <c r="P28" s="32"/>
      <c r="Q28" s="2047"/>
      <c r="R28" s="2048"/>
      <c r="S28" s="2051">
        <f>AA124</f>
        <v>3.05122851704447</v>
      </c>
      <c r="T28" s="2060"/>
      <c r="U28" s="2029">
        <v>38</v>
      </c>
      <c r="V28" s="2138"/>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9">
        <f>IF(C100=0,"",C100)</f>
        <v>1</v>
      </c>
      <c r="D29" s="2150"/>
      <c r="E29" s="43" t="s">
        <v>136</v>
      </c>
      <c r="F29" s="43"/>
      <c r="G29" s="43"/>
      <c r="H29" s="43"/>
      <c r="I29" s="43"/>
      <c r="J29" s="43"/>
      <c r="K29" s="45"/>
      <c r="L29" s="43"/>
      <c r="M29" s="46"/>
      <c r="N29" s="43" t="s">
        <v>141</v>
      </c>
      <c r="O29" s="43"/>
      <c r="P29" s="43"/>
      <c r="Q29" s="2049"/>
      <c r="R29" s="2050"/>
      <c r="S29" s="2086">
        <f>AA124</f>
        <v>3.05122851704447</v>
      </c>
      <c r="T29" s="2062"/>
      <c r="U29" s="2072"/>
      <c r="V29" s="2139"/>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8" t="s">
        <v>150</v>
      </c>
      <c r="D41" s="2118"/>
      <c r="E41" s="2118" t="s">
        <v>139</v>
      </c>
      <c r="F41" s="2118"/>
      <c r="G41" s="2118"/>
      <c r="H41" s="2118" t="s">
        <v>143</v>
      </c>
      <c r="I41" s="2118"/>
      <c r="J41" s="2118"/>
      <c r="K41" s="2118" t="s">
        <v>119</v>
      </c>
      <c r="L41" s="2118"/>
      <c r="M41" s="2118"/>
      <c r="N41" s="2118" t="s">
        <v>120</v>
      </c>
      <c r="O41" s="2118"/>
      <c r="P41" s="2118"/>
      <c r="Q41" s="2118" t="s">
        <v>121</v>
      </c>
      <c r="R41" s="2118"/>
      <c r="S41" s="2118" t="s">
        <v>122</v>
      </c>
      <c r="T41" s="2118"/>
      <c r="U41" s="2118" t="s">
        <v>146</v>
      </c>
      <c r="V41" s="2118"/>
      <c r="W41" s="2118" t="s">
        <v>148</v>
      </c>
      <c r="X41" s="2118"/>
      <c r="Y41" s="2123" t="s">
        <v>181</v>
      </c>
      <c r="Z41" s="2123"/>
      <c r="AA41" s="2123"/>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8" t="s">
        <v>132</v>
      </c>
      <c r="D42" s="2118"/>
      <c r="E42" s="2"/>
      <c r="F42" s="2"/>
      <c r="G42" s="2"/>
      <c r="H42" s="2"/>
      <c r="I42" s="2"/>
      <c r="J42" s="2"/>
      <c r="K42" s="2118"/>
      <c r="L42" s="2118"/>
      <c r="M42" s="2118"/>
      <c r="N42" s="2118"/>
      <c r="O42" s="2118"/>
      <c r="P42" s="2118"/>
      <c r="Q42" s="2"/>
      <c r="R42" s="2"/>
      <c r="S42" s="2118" t="s">
        <v>418</v>
      </c>
      <c r="T42" s="2118"/>
      <c r="U42" s="2118" t="s">
        <v>147</v>
      </c>
      <c r="V42" s="2118"/>
      <c r="W42" s="2118" t="s">
        <v>149</v>
      </c>
      <c r="X42" s="2118"/>
      <c r="Y42" s="2123" t="s">
        <v>132</v>
      </c>
      <c r="Z42" s="2123"/>
      <c r="AA42" s="2123"/>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8">
        <f>IF(samenstelling!C158-SUM(samenstelling!C146:C150)-SUM(samenstelling!C153:C157)&lt;0.01,0,samenstelling!C158-SUM(samenstelling!C146:C150)-SUM(samenstelling!C153:C157))</f>
        <v>2.2160500000000001</v>
      </c>
      <c r="D43" s="2159"/>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60"/>
      <c r="D44" s="2161"/>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2"/>
      <c r="D45" s="2163"/>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8" t="s">
        <v>150</v>
      </c>
      <c r="D53" s="2118"/>
      <c r="E53" s="2118" t="s">
        <v>131</v>
      </c>
      <c r="F53" s="2118"/>
      <c r="G53" s="2118"/>
      <c r="H53" s="2118" t="s">
        <v>256</v>
      </c>
      <c r="I53" s="2118"/>
      <c r="J53" s="2118"/>
      <c r="K53" s="2118" t="s">
        <v>257</v>
      </c>
      <c r="L53" s="2118"/>
      <c r="M53" s="2118"/>
      <c r="N53" s="2" t="s">
        <v>173</v>
      </c>
      <c r="O53" s="2"/>
      <c r="P53" s="2" t="s">
        <v>859</v>
      </c>
      <c r="Q53" s="18"/>
      <c r="R53" s="18"/>
      <c r="S53" s="60" t="s">
        <v>863</v>
      </c>
      <c r="T53" s="18"/>
      <c r="U53" s="2118" t="s">
        <v>121</v>
      </c>
      <c r="V53" s="2118"/>
      <c r="W53" s="2124" t="s">
        <v>122</v>
      </c>
      <c r="X53" s="2124"/>
      <c r="Y53" s="2124" t="s">
        <v>122</v>
      </c>
      <c r="Z53" s="2124"/>
      <c r="AA53" s="2124" t="s">
        <v>122</v>
      </c>
      <c r="AB53" s="2124"/>
      <c r="AC53" s="2118" t="s">
        <v>183</v>
      </c>
      <c r="AD53" s="2118"/>
      <c r="AE53" s="2118" t="s">
        <v>146</v>
      </c>
      <c r="AF53" s="2118"/>
      <c r="AG53" s="2118" t="s">
        <v>148</v>
      </c>
      <c r="AH53" s="2118"/>
      <c r="AI53" s="2118" t="s">
        <v>133</v>
      </c>
      <c r="AJ53" s="2118"/>
      <c r="AK53" s="2141" t="s">
        <v>127</v>
      </c>
      <c r="AL53" s="2141"/>
      <c r="AM53" s="2141"/>
      <c r="AN53" s="2141"/>
      <c r="AO53" s="2141"/>
      <c r="AP53" s="2141"/>
      <c r="AQ53" s="2141"/>
      <c r="AR53" s="2141"/>
      <c r="AS53" s="2141"/>
      <c r="AT53" s="2141"/>
      <c r="AU53" s="2141"/>
      <c r="AV53" s="2141"/>
      <c r="AW53" s="2141"/>
      <c r="AX53" s="2141"/>
      <c r="AY53" s="2141"/>
      <c r="AZ53" s="2141"/>
      <c r="BA53" s="2118" t="s">
        <v>199</v>
      </c>
      <c r="BB53" s="2118"/>
      <c r="BC53" s="2118"/>
      <c r="BD53" s="2118"/>
      <c r="BE53" s="2118" t="s">
        <v>179</v>
      </c>
      <c r="BF53" s="2118"/>
      <c r="BG53" s="2118"/>
      <c r="BH53" s="4"/>
    </row>
    <row r="54" spans="1:60" ht="16" x14ac:dyDescent="0.4">
      <c r="A54" s="4"/>
      <c r="B54" s="106" t="s">
        <v>391</v>
      </c>
      <c r="C54" s="2118" t="s">
        <v>132</v>
      </c>
      <c r="D54" s="2118"/>
      <c r="E54" s="2"/>
      <c r="F54" s="2"/>
      <c r="G54" s="2"/>
      <c r="H54" s="2118" t="s">
        <v>258</v>
      </c>
      <c r="I54" s="2118"/>
      <c r="J54" s="2118"/>
      <c r="K54" s="2118" t="s">
        <v>258</v>
      </c>
      <c r="L54" s="2118"/>
      <c r="M54" s="2118"/>
      <c r="N54" s="2"/>
      <c r="O54" s="2"/>
      <c r="P54" s="18" t="s">
        <v>861</v>
      </c>
      <c r="Q54" s="18" t="s">
        <v>860</v>
      </c>
      <c r="R54" s="2"/>
      <c r="S54" s="2" t="s">
        <v>864</v>
      </c>
      <c r="T54" s="2"/>
      <c r="U54" s="2"/>
      <c r="V54" s="2"/>
      <c r="W54" s="2124" t="s">
        <v>186</v>
      </c>
      <c r="X54" s="2124"/>
      <c r="Y54" s="2124" t="s">
        <v>174</v>
      </c>
      <c r="Z54" s="2124"/>
      <c r="AA54" s="2124" t="s">
        <v>175</v>
      </c>
      <c r="AB54" s="2124"/>
      <c r="AC54" s="2118" t="s">
        <v>184</v>
      </c>
      <c r="AD54" s="2118"/>
      <c r="AE54" s="2118" t="s">
        <v>103</v>
      </c>
      <c r="AF54" s="2118"/>
      <c r="AG54" s="2118" t="s">
        <v>149</v>
      </c>
      <c r="AH54" s="2118"/>
      <c r="AI54" s="2118" t="s">
        <v>178</v>
      </c>
      <c r="AJ54" s="2118"/>
      <c r="AK54" s="355"/>
      <c r="AL54" s="355"/>
      <c r="AM54" s="355"/>
      <c r="AN54" s="355"/>
      <c r="AO54" s="355"/>
      <c r="AP54" s="355"/>
      <c r="AQ54" s="355"/>
      <c r="AR54" s="355"/>
      <c r="AS54" s="355"/>
      <c r="AT54" s="355"/>
      <c r="AU54" s="355"/>
      <c r="AV54" s="355"/>
      <c r="AW54" s="355"/>
      <c r="AX54" s="355"/>
      <c r="AY54" s="355"/>
      <c r="AZ54" s="355"/>
      <c r="BA54" s="2"/>
      <c r="BB54" s="2"/>
      <c r="BC54" s="2"/>
      <c r="BD54" s="2"/>
      <c r="BE54" s="2118" t="s">
        <v>180</v>
      </c>
      <c r="BF54" s="2118"/>
      <c r="BG54" s="2118"/>
      <c r="BH54" s="4"/>
    </row>
    <row r="55" spans="1:60" ht="14.5" thickBot="1" x14ac:dyDescent="0.35">
      <c r="A55" s="4"/>
      <c r="B55" s="18"/>
      <c r="C55" s="2118"/>
      <c r="D55" s="2118"/>
      <c r="E55" s="2"/>
      <c r="F55" s="2"/>
      <c r="G55" s="2"/>
      <c r="H55" s="2"/>
      <c r="I55" s="2"/>
      <c r="J55" s="2"/>
      <c r="K55" s="2"/>
      <c r="L55" s="2"/>
      <c r="M55" s="2"/>
      <c r="N55" s="2"/>
      <c r="O55" s="2"/>
      <c r="P55" s="828" t="s">
        <v>869</v>
      </c>
      <c r="Q55" s="18"/>
      <c r="R55" s="2"/>
      <c r="S55" s="2"/>
      <c r="T55" s="2"/>
      <c r="U55" s="2"/>
      <c r="V55" s="2"/>
      <c r="W55" s="2118" t="s">
        <v>418</v>
      </c>
      <c r="X55" s="2118"/>
      <c r="Y55" s="2118" t="s">
        <v>418</v>
      </c>
      <c r="Z55" s="2118"/>
      <c r="AA55" s="2118" t="s">
        <v>418</v>
      </c>
      <c r="AB55" s="2118"/>
      <c r="AC55" s="2118" t="s">
        <v>185</v>
      </c>
      <c r="AD55" s="2118"/>
      <c r="AE55" s="2118" t="s">
        <v>147</v>
      </c>
      <c r="AF55" s="2118"/>
      <c r="AG55" s="2118"/>
      <c r="AH55" s="2118"/>
      <c r="AI55" s="2118" t="s">
        <v>132</v>
      </c>
      <c r="AJ55" s="2118"/>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4">
        <v>30</v>
      </c>
      <c r="D56" s="2165"/>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6"/>
      <c r="D57" s="2167"/>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8"/>
      <c r="D58" s="2169"/>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8" t="s">
        <v>150</v>
      </c>
      <c r="D65" s="2118"/>
      <c r="E65" s="2118" t="s">
        <v>131</v>
      </c>
      <c r="F65" s="2118"/>
      <c r="G65" s="2118"/>
      <c r="H65" s="2118" t="s">
        <v>170</v>
      </c>
      <c r="I65" s="2118"/>
      <c r="J65" s="2118"/>
      <c r="K65" s="2118" t="s">
        <v>119</v>
      </c>
      <c r="L65" s="2118"/>
      <c r="M65" s="2118"/>
      <c r="N65" s="2118" t="s">
        <v>120</v>
      </c>
      <c r="O65" s="2118"/>
      <c r="P65" s="2118"/>
      <c r="Q65" s="2118" t="s">
        <v>121</v>
      </c>
      <c r="R65" s="2118"/>
      <c r="S65" s="2124" t="s">
        <v>122</v>
      </c>
      <c r="T65" s="2124"/>
      <c r="U65" s="2124" t="s">
        <v>122</v>
      </c>
      <c r="V65" s="2124"/>
      <c r="W65" s="2141" t="s">
        <v>127</v>
      </c>
      <c r="X65" s="2141"/>
      <c r="Y65" s="2141"/>
      <c r="Z65" s="2141"/>
      <c r="AA65" s="2141"/>
      <c r="AB65" s="2141"/>
      <c r="AC65" s="2141"/>
      <c r="AD65" s="2141"/>
      <c r="AE65" s="2141"/>
      <c r="AF65" s="2141"/>
      <c r="AG65" s="2141"/>
      <c r="AH65" s="2141"/>
      <c r="AI65" s="2141"/>
      <c r="AJ65" s="2141"/>
      <c r="AK65" s="2141"/>
      <c r="AL65" s="2141"/>
      <c r="AM65" s="2124" t="s">
        <v>277</v>
      </c>
      <c r="AN65" s="2124"/>
      <c r="AO65" s="2124" t="s">
        <v>146</v>
      </c>
      <c r="AP65" s="2124"/>
      <c r="AQ65" s="2124" t="s">
        <v>278</v>
      </c>
      <c r="AR65" s="2124"/>
      <c r="AS65" s="2118" t="s">
        <v>133</v>
      </c>
      <c r="AT65" s="2118"/>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4" t="s">
        <v>174</v>
      </c>
      <c r="T66" s="2124"/>
      <c r="U66" s="2124" t="s">
        <v>176</v>
      </c>
      <c r="V66" s="2124"/>
      <c r="W66" s="355"/>
      <c r="X66" s="355"/>
      <c r="Y66" s="355"/>
      <c r="Z66" s="355"/>
      <c r="AA66" s="355"/>
      <c r="AB66" s="355"/>
      <c r="AC66" s="355"/>
      <c r="AD66" s="355"/>
      <c r="AE66" s="355"/>
      <c r="AF66" s="355"/>
      <c r="AG66" s="355"/>
      <c r="AH66" s="355"/>
      <c r="AI66" s="355"/>
      <c r="AJ66" s="355"/>
      <c r="AK66" s="355"/>
      <c r="AL66" s="355"/>
      <c r="AM66" s="2124" t="s">
        <v>176</v>
      </c>
      <c r="AN66" s="2124"/>
      <c r="AO66" s="2124" t="s">
        <v>176</v>
      </c>
      <c r="AP66" s="2124"/>
      <c r="AQ66" s="2124" t="s">
        <v>176</v>
      </c>
      <c r="AR66" s="2124"/>
      <c r="AS66" s="2118" t="s">
        <v>178</v>
      </c>
      <c r="AT66" s="2118"/>
      <c r="AU66" s="4"/>
      <c r="AV66" s="4"/>
      <c r="AW66" s="4"/>
      <c r="AX66" s="4"/>
      <c r="AY66" s="4"/>
      <c r="AZ66" s="4"/>
      <c r="BA66" s="4"/>
      <c r="BB66" s="4"/>
      <c r="BC66" s="4"/>
      <c r="BD66" s="4"/>
      <c r="BE66" s="4"/>
      <c r="BF66" s="4"/>
      <c r="BG66" s="4"/>
      <c r="BH66" s="4"/>
    </row>
    <row r="67" spans="1:60" ht="14.5" thickBot="1" x14ac:dyDescent="0.35">
      <c r="A67" s="4"/>
      <c r="B67" s="18"/>
      <c r="C67" s="2118" t="s">
        <v>132</v>
      </c>
      <c r="D67" s="2118"/>
      <c r="E67" s="2"/>
      <c r="F67" s="2"/>
      <c r="G67" s="2"/>
      <c r="H67" s="2"/>
      <c r="I67" s="2"/>
      <c r="J67" s="2"/>
      <c r="K67" s="2118"/>
      <c r="L67" s="2118"/>
      <c r="M67" s="2118"/>
      <c r="N67" s="2118"/>
      <c r="O67" s="2118"/>
      <c r="P67" s="2118"/>
      <c r="Q67" s="2"/>
      <c r="R67" s="2"/>
      <c r="S67" s="2118" t="s">
        <v>418</v>
      </c>
      <c r="T67" s="2118"/>
      <c r="U67" s="2118" t="s">
        <v>418</v>
      </c>
      <c r="V67" s="2118"/>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8" t="s">
        <v>132</v>
      </c>
      <c r="AN67" s="2118"/>
      <c r="AO67" s="2118" t="s">
        <v>147</v>
      </c>
      <c r="AP67" s="2118"/>
      <c r="AQ67" s="2118" t="s">
        <v>147</v>
      </c>
      <c r="AR67" s="2118"/>
      <c r="AS67" s="2118" t="s">
        <v>132</v>
      </c>
      <c r="AT67" s="2118"/>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8" t="s">
        <v>211</v>
      </c>
      <c r="D86" s="2118"/>
      <c r="E86" s="2118" t="s">
        <v>223</v>
      </c>
      <c r="F86" s="2118"/>
      <c r="G86" s="2118"/>
      <c r="H86" s="2118" t="s">
        <v>139</v>
      </c>
      <c r="I86" s="2118"/>
      <c r="J86" s="2118"/>
      <c r="K86" s="2141" t="s">
        <v>127</v>
      </c>
      <c r="L86" s="2141"/>
      <c r="M86" s="2141"/>
      <c r="N86" s="2141"/>
      <c r="O86" s="2141"/>
      <c r="P86" s="2141"/>
      <c r="Q86" s="2141"/>
      <c r="R86" s="2141"/>
      <c r="S86" s="2141"/>
      <c r="T86" s="2141"/>
      <c r="U86" s="2141"/>
      <c r="V86" s="2141"/>
      <c r="W86" s="2141"/>
      <c r="X86" s="2141"/>
      <c r="Y86" s="2141"/>
      <c r="Z86" s="2172"/>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70" t="s">
        <v>132</v>
      </c>
      <c r="D87" s="2170"/>
      <c r="E87" s="18"/>
      <c r="F87" s="18"/>
      <c r="G87" s="18"/>
      <c r="H87" s="2170" t="s">
        <v>224</v>
      </c>
      <c r="I87" s="2170"/>
      <c r="J87" s="2170"/>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40" t="s">
        <v>769</v>
      </c>
      <c r="H112" s="2140"/>
      <c r="I112" s="2140"/>
      <c r="J112" s="2140"/>
      <c r="K112" s="2140"/>
      <c r="L112" s="2140"/>
      <c r="M112" s="2140"/>
      <c r="N112" s="2140"/>
      <c r="O112" s="2140"/>
      <c r="P112" s="2140"/>
      <c r="Q112" s="2140"/>
      <c r="R112" s="2140"/>
      <c r="S112" s="2140"/>
      <c r="T112" s="2140"/>
      <c r="U112" s="2140"/>
      <c r="V112" s="2140"/>
      <c r="W112" s="2140"/>
      <c r="X112" s="2140"/>
      <c r="Y112" s="2140"/>
      <c r="Z112" s="2140"/>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8" t="s">
        <v>266</v>
      </c>
      <c r="D124" s="2118"/>
      <c r="E124" s="2118"/>
      <c r="F124" s="2118"/>
      <c r="G124" s="2118" t="s">
        <v>131</v>
      </c>
      <c r="H124" s="2118"/>
      <c r="I124" s="2118"/>
      <c r="J124" s="2118" t="s">
        <v>139</v>
      </c>
      <c r="K124" s="2118"/>
      <c r="L124" s="2118"/>
      <c r="M124" s="2118" t="s">
        <v>122</v>
      </c>
      <c r="N124" s="2118"/>
      <c r="O124" s="2118" t="s">
        <v>133</v>
      </c>
      <c r="P124" s="2118"/>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8" t="s">
        <v>418</v>
      </c>
      <c r="N125" s="2118"/>
      <c r="O125" s="2118" t="s">
        <v>132</v>
      </c>
      <c r="P125" s="2118"/>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5">
        <v>3.39</v>
      </c>
      <c r="N139" s="2156"/>
      <c r="O139" s="2153">
        <v>41</v>
      </c>
      <c r="P139" s="215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8" t="s">
        <v>211</v>
      </c>
      <c r="D143" s="2118"/>
      <c r="E143" s="2118" t="s">
        <v>131</v>
      </c>
      <c r="F143" s="2118"/>
      <c r="G143" s="2118"/>
      <c r="H143" s="2118" t="s">
        <v>215</v>
      </c>
      <c r="I143" s="2118"/>
      <c r="J143" s="2118"/>
      <c r="K143" s="2118" t="s">
        <v>122</v>
      </c>
      <c r="L143" s="2118"/>
      <c r="M143" s="2118" t="s">
        <v>146</v>
      </c>
      <c r="N143" s="2118"/>
      <c r="O143" s="2118" t="s">
        <v>148</v>
      </c>
      <c r="P143" s="2118"/>
      <c r="Q143" s="2152" t="s">
        <v>181</v>
      </c>
      <c r="R143" s="2152"/>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8" t="s">
        <v>132</v>
      </c>
      <c r="D144" s="2118"/>
      <c r="E144" s="2"/>
      <c r="F144" s="2"/>
      <c r="G144" s="2"/>
      <c r="H144" s="2"/>
      <c r="I144" s="2"/>
      <c r="J144" s="2"/>
      <c r="K144" s="2118" t="s">
        <v>418</v>
      </c>
      <c r="L144" s="2118"/>
      <c r="M144" s="2118" t="s">
        <v>147</v>
      </c>
      <c r="N144" s="2118"/>
      <c r="O144" s="2118" t="s">
        <v>149</v>
      </c>
      <c r="P144" s="2118"/>
      <c r="Q144" s="2151" t="s">
        <v>132</v>
      </c>
      <c r="R144" s="2118"/>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1"/>
      <c r="L152" s="2171"/>
      <c r="M152" s="2173"/>
      <c r="N152" s="2174"/>
      <c r="O152" s="2176"/>
      <c r="P152" s="2176"/>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5"/>
      <c r="L159" s="2155"/>
      <c r="M159" s="2153"/>
      <c r="N159" s="2175"/>
      <c r="O159" s="2177"/>
      <c r="P159" s="2177"/>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7" t="s">
        <v>304</v>
      </c>
      <c r="W166" s="2157"/>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8" t="s">
        <v>324</v>
      </c>
      <c r="E178" s="2158"/>
      <c r="F178" s="2158"/>
      <c r="G178" s="2158"/>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7">
        <f>100-G182</f>
        <v>31.079679999999982</v>
      </c>
      <c r="G183" s="2137"/>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8" t="s">
        <v>941</v>
      </c>
      <c r="F4" s="2158"/>
      <c r="G4" s="2158"/>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8" t="s">
        <v>326</v>
      </c>
      <c r="J7" s="2158"/>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9" t="s">
        <v>553</v>
      </c>
      <c r="I9" s="1999"/>
      <c r="J9" s="1999"/>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8" t="s">
        <v>333</v>
      </c>
      <c r="J10" s="2158"/>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8" t="s">
        <v>127</v>
      </c>
      <c r="F14" s="2118"/>
      <c r="G14" s="2118"/>
      <c r="H14" s="2118"/>
      <c r="I14" s="2118"/>
      <c r="J14" s="2118"/>
      <c r="K14" s="2118"/>
      <c r="L14" s="2118"/>
      <c r="M14" s="2118"/>
      <c r="N14" s="2118"/>
      <c r="O14" s="2118"/>
      <c r="P14" s="2118"/>
      <c r="Q14" s="2118"/>
      <c r="R14" s="2118"/>
      <c r="S14" s="2118"/>
      <c r="T14" s="2118"/>
      <c r="U14" s="2118" t="s">
        <v>452</v>
      </c>
      <c r="V14" s="2118"/>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8" t="s">
        <v>184</v>
      </c>
      <c r="V15" s="2118"/>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8" t="s">
        <v>185</v>
      </c>
      <c r="V16" s="2118"/>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7">
        <v>4.05</v>
      </c>
      <c r="V17" s="2208"/>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50">
        <f>samenstelling!G176</f>
        <v>3.805679</v>
      </c>
      <c r="V18" s="2150"/>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9">
        <f t="shared" si="0"/>
        <v>0.24432099999999979</v>
      </c>
      <c r="V19" s="2209"/>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8" t="s">
        <v>1450</v>
      </c>
      <c r="I27" s="2158"/>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8" t="s">
        <v>1365</v>
      </c>
      <c r="I28" s="2158"/>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5" t="s">
        <v>1367</v>
      </c>
      <c r="E29" s="2185"/>
      <c r="F29" s="2185"/>
      <c r="G29" s="2185"/>
      <c r="H29" s="2185"/>
      <c r="I29" s="2185"/>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8" t="s">
        <v>374</v>
      </c>
      <c r="G36" s="2118"/>
      <c r="H36" s="2118"/>
      <c r="I36" s="2118"/>
      <c r="J36" s="2118"/>
      <c r="K36" s="2118" t="s">
        <v>346</v>
      </c>
      <c r="L36" s="2118"/>
      <c r="M36" s="2118"/>
      <c r="N36" s="2118"/>
      <c r="O36" s="2118"/>
      <c r="P36" s="2118"/>
      <c r="Q36" s="2118"/>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5" t="s">
        <v>568</v>
      </c>
      <c r="J135" s="1965"/>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4">
        <v>1.2999999999999999E-3</v>
      </c>
      <c r="N146" s="2215"/>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6">
        <v>1.34E-3</v>
      </c>
      <c r="N147" s="2217"/>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10">
        <v>1.2340000000000001E-3</v>
      </c>
      <c r="N148" s="2211"/>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2"/>
      <c r="N149" s="2213"/>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8">
        <v>1.42E-3</v>
      </c>
      <c r="N150" s="2181"/>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6"/>
      <c r="N151" s="2217"/>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8" t="s">
        <v>941</v>
      </c>
      <c r="F223" s="2158"/>
      <c r="G223" s="2158"/>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8" t="s">
        <v>429</v>
      </c>
      <c r="L228" s="2158"/>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8" t="s">
        <v>951</v>
      </c>
      <c r="K229" s="2158"/>
      <c r="L229" s="2158"/>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8" t="s">
        <v>288</v>
      </c>
      <c r="K230" s="2158"/>
      <c r="L230" s="2158"/>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8" t="s">
        <v>941</v>
      </c>
      <c r="F276" s="2158"/>
      <c r="G276" s="2158"/>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8" t="s">
        <v>941</v>
      </c>
      <c r="F326" s="2158"/>
      <c r="G326" s="2158"/>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8" t="s">
        <v>941</v>
      </c>
      <c r="E355" s="2158"/>
      <c r="F355" s="2158"/>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8" t="s">
        <v>941</v>
      </c>
      <c r="E384" s="2158"/>
      <c r="F384" s="2158"/>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8" t="s">
        <v>941</v>
      </c>
      <c r="F422" s="2158"/>
      <c r="G422" s="2158"/>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2" t="s">
        <v>430</v>
      </c>
      <c r="L427" s="2222"/>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8" t="s">
        <v>1347</v>
      </c>
      <c r="N434" s="2118"/>
      <c r="O434" s="2118"/>
      <c r="P434" s="2118"/>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3" t="s">
        <v>1348</v>
      </c>
      <c r="N436" s="2193"/>
      <c r="O436" s="2193"/>
      <c r="P436" s="2193"/>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5" t="s">
        <v>1349</v>
      </c>
      <c r="N437" s="2185"/>
      <c r="O437" s="2185"/>
      <c r="P437" s="2185"/>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5" t="s">
        <v>1350</v>
      </c>
      <c r="N438" s="2185"/>
      <c r="O438" s="2185"/>
      <c r="P438" s="2185"/>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5"/>
      <c r="N439" s="2185"/>
      <c r="O439" s="2185"/>
      <c r="P439" s="2185"/>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2"/>
      <c r="N440" s="2192"/>
      <c r="O440" s="2192"/>
      <c r="P440" s="2192"/>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6"/>
      <c r="N441" s="2196"/>
      <c r="O441" s="2196"/>
      <c r="P441" s="2196"/>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4"/>
      <c r="N442" s="2194"/>
      <c r="O442" s="2194"/>
      <c r="P442" s="2194"/>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3"/>
      <c r="N443" s="2193"/>
      <c r="O443" s="2193"/>
      <c r="P443" s="2193"/>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5"/>
      <c r="N444" s="2185"/>
      <c r="O444" s="2185"/>
      <c r="P444" s="2185"/>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5"/>
      <c r="N445" s="2185"/>
      <c r="O445" s="2185"/>
      <c r="P445" s="2185"/>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5"/>
      <c r="N446" s="2185"/>
      <c r="O446" s="2185"/>
      <c r="P446" s="2185"/>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2"/>
      <c r="N447" s="2192"/>
      <c r="O447" s="2192"/>
      <c r="P447" s="2192"/>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6"/>
      <c r="N448" s="2196"/>
      <c r="O448" s="2196"/>
      <c r="P448" s="2196"/>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4"/>
      <c r="N449" s="2194"/>
      <c r="O449" s="2194"/>
      <c r="P449" s="2194"/>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3"/>
      <c r="N450" s="2193"/>
      <c r="O450" s="2193"/>
      <c r="P450" s="2193"/>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5"/>
      <c r="N451" s="2185"/>
      <c r="O451" s="2185"/>
      <c r="P451" s="2185"/>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5"/>
      <c r="N452" s="2185"/>
      <c r="O452" s="2185"/>
      <c r="P452" s="2185"/>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5"/>
      <c r="N453" s="2185"/>
      <c r="O453" s="2185"/>
      <c r="P453" s="2185"/>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2"/>
      <c r="N454" s="2192"/>
      <c r="O454" s="2192"/>
      <c r="P454" s="2192"/>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6"/>
      <c r="N455" s="2196"/>
      <c r="O455" s="2196"/>
      <c r="P455" s="2196"/>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7"/>
      <c r="N456" s="2197"/>
      <c r="O456" s="2197"/>
      <c r="P456" s="2197"/>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8" t="s">
        <v>941</v>
      </c>
      <c r="F468" s="2158"/>
      <c r="G468" s="2158"/>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8" t="s">
        <v>509</v>
      </c>
      <c r="I477" s="2158"/>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8" t="s">
        <v>941</v>
      </c>
      <c r="F515" s="2158"/>
      <c r="G515" s="2158"/>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8" t="s">
        <v>941</v>
      </c>
      <c r="F538" s="2158"/>
      <c r="G538" s="2158"/>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8" t="s">
        <v>941</v>
      </c>
      <c r="F560" s="2158"/>
      <c r="G560" s="2158"/>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1" t="s">
        <v>561</v>
      </c>
      <c r="J564" s="2201"/>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8" t="s">
        <v>567</v>
      </c>
      <c r="J566" s="1958"/>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9" t="s">
        <v>568</v>
      </c>
      <c r="J567" s="1959"/>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2" t="s">
        <v>326</v>
      </c>
      <c r="J568" s="1992"/>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60" t="s">
        <v>553</v>
      </c>
      <c r="I570" s="1960"/>
      <c r="J570" s="1960"/>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8" t="s">
        <v>941</v>
      </c>
      <c r="F590" s="2158"/>
      <c r="G590" s="2158"/>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8"/>
      <c r="H598" s="2158"/>
      <c r="I598" s="2158"/>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8">
        <v>1</v>
      </c>
      <c r="J602" s="1958"/>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9">
        <v>2</v>
      </c>
      <c r="J603" s="1959"/>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2">
        <v>3</v>
      </c>
      <c r="J604" s="2202"/>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3">
        <v>4</v>
      </c>
      <c r="J605" s="2203"/>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4">
        <v>5</v>
      </c>
      <c r="J606" s="2204"/>
      <c r="K606" s="2178">
        <v>2.5099999999999998</v>
      </c>
      <c r="L606" s="2178"/>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2">
        <v>6</v>
      </c>
      <c r="J607" s="2202"/>
      <c r="K607" s="2179">
        <v>2.34</v>
      </c>
      <c r="L607" s="2179"/>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5">
        <v>7</v>
      </c>
      <c r="J608" s="2205"/>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6">
        <v>8</v>
      </c>
      <c r="J609" s="2206"/>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8" t="s">
        <v>941</v>
      </c>
      <c r="F615" s="2158"/>
      <c r="G615" s="2158"/>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8" t="s">
        <v>572</v>
      </c>
      <c r="G618" s="2198"/>
      <c r="H618" s="2198"/>
      <c r="I618" s="2198"/>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9" t="s">
        <v>573</v>
      </c>
      <c r="G619" s="2199"/>
      <c r="H619" s="2199"/>
      <c r="I619" s="2199"/>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8" t="s">
        <v>941</v>
      </c>
      <c r="F628" s="2158"/>
      <c r="G628" s="2158"/>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00" t="s">
        <v>577</v>
      </c>
      <c r="I632" s="2200"/>
      <c r="J632" s="2200"/>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9" t="s">
        <v>475</v>
      </c>
      <c r="I633" s="1959"/>
      <c r="J633" s="1959"/>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9" t="s">
        <v>476</v>
      </c>
      <c r="I634" s="1959"/>
      <c r="J634" s="1959"/>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9" t="s">
        <v>477</v>
      </c>
      <c r="I635" s="1959"/>
      <c r="J635" s="1959"/>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9" t="s">
        <v>549</v>
      </c>
      <c r="I636" s="1959"/>
      <c r="J636" s="1959"/>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8">
        <v>1</v>
      </c>
      <c r="E641" s="2158"/>
      <c r="F641" s="2158"/>
      <c r="G641" s="2195">
        <v>100</v>
      </c>
      <c r="H641" s="2195"/>
      <c r="I641" s="2195"/>
      <c r="J641" s="2195"/>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8">
        <v>2</v>
      </c>
      <c r="E642" s="2158"/>
      <c r="F642" s="2158"/>
      <c r="G642" s="1992">
        <v>95</v>
      </c>
      <c r="H642" s="1992"/>
      <c r="I642" s="1992"/>
      <c r="J642" s="1992"/>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8">
        <v>3</v>
      </c>
      <c r="E643" s="2158"/>
      <c r="F643" s="2158"/>
      <c r="G643" s="1992">
        <v>90</v>
      </c>
      <c r="H643" s="1992"/>
      <c r="I643" s="1992"/>
      <c r="J643" s="1992"/>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8">
        <v>4</v>
      </c>
      <c r="E644" s="2158"/>
      <c r="F644" s="2158"/>
      <c r="G644" s="2016">
        <v>85</v>
      </c>
      <c r="H644" s="2016"/>
      <c r="I644" s="2016"/>
      <c r="J644" s="2016"/>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1">
        <f>IF(SUM(D641:D644)=0,"",AVERAGE(D641:D644))</f>
        <v>2.5</v>
      </c>
      <c r="E645" s="2221"/>
      <c r="F645" s="2221"/>
      <c r="G645" s="2221">
        <f>IF(SUM(G641:G644)=0,"",AVERAGE(G641:G644))</f>
        <v>92.5</v>
      </c>
      <c r="H645" s="2221"/>
      <c r="I645" s="2221"/>
      <c r="J645" s="2221"/>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8" t="s">
        <v>893</v>
      </c>
      <c r="E646" s="2158"/>
      <c r="F646" s="2158"/>
      <c r="G646" s="2158"/>
      <c r="H646" s="2158"/>
      <c r="I646" s="2158"/>
      <c r="J646" s="2158"/>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8">
        <v>1</v>
      </c>
      <c r="E647" s="2158"/>
      <c r="F647" s="2158"/>
      <c r="G647" s="2158"/>
      <c r="H647" s="2158"/>
      <c r="I647" s="2158"/>
      <c r="J647" s="2158"/>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8" t="s">
        <v>941</v>
      </c>
      <c r="F656" s="2158"/>
      <c r="G656" s="2158"/>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8" t="s">
        <v>1259</v>
      </c>
      <c r="J705" s="2158"/>
      <c r="K705" s="2158"/>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6" t="s">
        <v>1341</v>
      </c>
      <c r="H713" s="2187"/>
      <c r="I713" s="2188"/>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4" t="s">
        <v>631</v>
      </c>
      <c r="C714" s="2204"/>
      <c r="D714" s="2232"/>
      <c r="E714" s="1685" t="s">
        <v>633</v>
      </c>
      <c r="F714" s="1686" t="s">
        <v>626</v>
      </c>
      <c r="G714" s="2189">
        <v>130</v>
      </c>
      <c r="H714" s="2190"/>
      <c r="I714" s="2191"/>
      <c r="J714" s="2183" t="s">
        <v>828</v>
      </c>
      <c r="K714" s="2184"/>
      <c r="L714" s="2184"/>
      <c r="M714" s="2184"/>
      <c r="N714" s="2184"/>
      <c r="O714" s="2184"/>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2" t="s">
        <v>632</v>
      </c>
      <c r="C715" s="2202"/>
      <c r="D715" s="2233"/>
      <c r="E715" s="1687" t="s">
        <v>634</v>
      </c>
      <c r="F715" s="1688" t="s">
        <v>519</v>
      </c>
      <c r="G715" s="2180">
        <v>140</v>
      </c>
      <c r="H715" s="2158"/>
      <c r="I715" s="2181"/>
      <c r="J715" s="2182" t="s">
        <v>288</v>
      </c>
      <c r="K715" s="1971"/>
      <c r="L715" s="1971"/>
      <c r="M715" s="1971"/>
      <c r="N715" s="1971"/>
      <c r="O715" s="1971"/>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8" t="s">
        <v>635</v>
      </c>
      <c r="C716" s="2218"/>
      <c r="D716" s="2219"/>
      <c r="E716" s="1689" t="s">
        <v>639</v>
      </c>
      <c r="F716" s="1690" t="s">
        <v>638</v>
      </c>
      <c r="G716" s="2180">
        <v>150</v>
      </c>
      <c r="H716" s="2158"/>
      <c r="I716" s="2181"/>
      <c r="J716" s="2182" t="s">
        <v>428</v>
      </c>
      <c r="K716" s="1971"/>
      <c r="L716" s="1971"/>
      <c r="M716" s="1971"/>
      <c r="N716" s="1971"/>
      <c r="O716" s="1971"/>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60" t="s">
        <v>636</v>
      </c>
      <c r="C717" s="1960"/>
      <c r="D717" s="2220"/>
      <c r="E717" s="1691" t="s">
        <v>637</v>
      </c>
      <c r="F717" s="1466" t="s">
        <v>57</v>
      </c>
      <c r="G717" s="2180">
        <v>160</v>
      </c>
      <c r="H717" s="2158"/>
      <c r="I717" s="2181"/>
      <c r="J717" s="2182" t="s">
        <v>915</v>
      </c>
      <c r="K717" s="1971"/>
      <c r="L717" s="1971"/>
      <c r="M717" s="1971"/>
      <c r="N717" s="1971"/>
      <c r="O717" s="1971"/>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9" t="s">
        <v>1301</v>
      </c>
      <c r="M723" s="2230"/>
      <c r="N723" s="2230"/>
      <c r="O723" s="2230"/>
      <c r="P723" s="2186" t="s">
        <v>1341</v>
      </c>
      <c r="Q723" s="2187"/>
      <c r="R723" s="2188"/>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9">
        <v>130</v>
      </c>
      <c r="Q724" s="2190"/>
      <c r="R724" s="2191"/>
      <c r="S724" s="2183" t="s">
        <v>828</v>
      </c>
      <c r="T724" s="2184"/>
      <c r="U724" s="2184"/>
      <c r="V724" s="2184"/>
      <c r="W724" s="2184"/>
      <c r="X724" s="2184"/>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3" t="s">
        <v>1061</v>
      </c>
      <c r="J725" s="2224"/>
      <c r="K725" s="1693" t="s">
        <v>1062</v>
      </c>
      <c r="L725" s="60"/>
      <c r="M725" s="60"/>
      <c r="N725" s="60"/>
      <c r="O725" s="60"/>
      <c r="P725" s="2180">
        <v>140</v>
      </c>
      <c r="Q725" s="2158"/>
      <c r="R725" s="2181"/>
      <c r="S725" s="2182" t="s">
        <v>288</v>
      </c>
      <c r="T725" s="1971"/>
      <c r="U725" s="1971"/>
      <c r="V725" s="1971"/>
      <c r="W725" s="1971"/>
      <c r="X725" s="1971"/>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80">
        <v>150</v>
      </c>
      <c r="Q726" s="2158"/>
      <c r="R726" s="2181"/>
      <c r="S726" s="2182" t="s">
        <v>428</v>
      </c>
      <c r="T726" s="1971"/>
      <c r="U726" s="1971"/>
      <c r="V726" s="1971"/>
      <c r="W726" s="1971"/>
      <c r="X726" s="1971"/>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80">
        <v>160</v>
      </c>
      <c r="Q727" s="2158"/>
      <c r="R727" s="2181"/>
      <c r="S727" s="2182" t="s">
        <v>915</v>
      </c>
      <c r="T727" s="1971"/>
      <c r="U727" s="1971"/>
      <c r="V727" s="1971"/>
      <c r="W727" s="1971"/>
      <c r="X727" s="1971"/>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80">
        <v>130</v>
      </c>
      <c r="Q728" s="2158"/>
      <c r="R728" s="2181"/>
      <c r="S728" s="2182" t="s">
        <v>828</v>
      </c>
      <c r="T728" s="1971"/>
      <c r="U728" s="1971"/>
      <c r="V728" s="1971"/>
      <c r="W728" s="1971"/>
      <c r="X728" s="1971"/>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80">
        <v>140</v>
      </c>
      <c r="Q729" s="2158"/>
      <c r="R729" s="2181"/>
      <c r="S729" s="2182" t="s">
        <v>288</v>
      </c>
      <c r="T729" s="1971"/>
      <c r="U729" s="1971"/>
      <c r="V729" s="1971"/>
      <c r="W729" s="1971"/>
      <c r="X729" s="1971"/>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80">
        <v>150</v>
      </c>
      <c r="Q730" s="2158"/>
      <c r="R730" s="2181"/>
      <c r="S730" s="2182" t="s">
        <v>428</v>
      </c>
      <c r="T730" s="1971"/>
      <c r="U730" s="1971"/>
      <c r="V730" s="1971"/>
      <c r="W730" s="1971"/>
      <c r="X730" s="1971"/>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80">
        <v>160</v>
      </c>
      <c r="Q731" s="2158"/>
      <c r="R731" s="2181"/>
      <c r="S731" s="2182" t="s">
        <v>915</v>
      </c>
      <c r="T731" s="1971"/>
      <c r="U731" s="1971"/>
      <c r="V731" s="1971"/>
      <c r="W731" s="1971"/>
      <c r="X731" s="1971"/>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80">
        <v>130</v>
      </c>
      <c r="Q732" s="2158"/>
      <c r="R732" s="2181"/>
      <c r="S732" s="2182" t="s">
        <v>828</v>
      </c>
      <c r="T732" s="1971"/>
      <c r="U732" s="1971"/>
      <c r="V732" s="1971"/>
      <c r="W732" s="1971"/>
      <c r="X732" s="1971"/>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80">
        <v>140</v>
      </c>
      <c r="Q733" s="2158"/>
      <c r="R733" s="2181"/>
      <c r="S733" s="2182" t="s">
        <v>288</v>
      </c>
      <c r="T733" s="1971"/>
      <c r="U733" s="1971"/>
      <c r="V733" s="1971"/>
      <c r="W733" s="1971"/>
      <c r="X733" s="1971"/>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80">
        <v>150</v>
      </c>
      <c r="Q734" s="2158"/>
      <c r="R734" s="2181"/>
      <c r="S734" s="2182" t="s">
        <v>428</v>
      </c>
      <c r="T734" s="1971"/>
      <c r="U734" s="1971"/>
      <c r="V734" s="1971"/>
      <c r="W734" s="1971"/>
      <c r="X734" s="1971"/>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80">
        <v>160</v>
      </c>
      <c r="Q735" s="2158"/>
      <c r="R735" s="2181"/>
      <c r="S735" s="2182" t="s">
        <v>915</v>
      </c>
      <c r="T735" s="1971"/>
      <c r="U735" s="1971"/>
      <c r="V735" s="1971"/>
      <c r="W735" s="1971"/>
      <c r="X735" s="1971"/>
      <c r="Y735" s="134" t="s">
        <v>1255</v>
      </c>
      <c r="Z735" s="4"/>
      <c r="AA735" s="4"/>
      <c r="AB735" s="4"/>
      <c r="AC735" s="4"/>
      <c r="AD735" s="4"/>
      <c r="AE735" s="4"/>
      <c r="AF735" s="4"/>
      <c r="AG735" s="4"/>
      <c r="AH735" s="4"/>
      <c r="AI735" s="4"/>
    </row>
    <row r="736" spans="1:35" ht="15" customHeight="1" x14ac:dyDescent="0.3">
      <c r="A736" s="4"/>
      <c r="B736" s="2231" t="s">
        <v>1100</v>
      </c>
      <c r="C736" s="2231"/>
      <c r="D736" s="2231"/>
      <c r="E736" s="2231"/>
      <c r="F736" s="2231"/>
      <c r="G736" s="2231"/>
      <c r="H736" s="2231"/>
      <c r="I736" s="2225" t="s">
        <v>828</v>
      </c>
      <c r="J736" s="2226"/>
      <c r="K736" s="1693">
        <v>1</v>
      </c>
      <c r="L736" s="2182">
        <v>6</v>
      </c>
      <c r="M736" s="1971"/>
      <c r="N736" s="1971"/>
      <c r="O736" s="1971"/>
      <c r="P736" s="2180">
        <v>130</v>
      </c>
      <c r="Q736" s="2158"/>
      <c r="R736" s="2181"/>
      <c r="S736" s="2182" t="s">
        <v>828</v>
      </c>
      <c r="T736" s="1971"/>
      <c r="U736" s="1971"/>
      <c r="V736" s="1971"/>
      <c r="W736" s="1971"/>
      <c r="X736" s="1971"/>
      <c r="Y736" s="4"/>
      <c r="Z736" s="4"/>
      <c r="AA736" s="4"/>
      <c r="AB736" s="4"/>
      <c r="AC736" s="4"/>
      <c r="AD736" s="4"/>
      <c r="AE736" s="4"/>
      <c r="AF736" s="4"/>
      <c r="AG736" s="4"/>
      <c r="AH736" s="4"/>
      <c r="AI736" s="4"/>
    </row>
    <row r="737" spans="1:35" ht="15" customHeight="1" x14ac:dyDescent="0.3">
      <c r="A737" s="4"/>
      <c r="B737" s="1971" t="s">
        <v>1101</v>
      </c>
      <c r="C737" s="1971"/>
      <c r="D737" s="1971"/>
      <c r="E737" s="1971"/>
      <c r="F737" s="1971"/>
      <c r="G737" s="1971"/>
      <c r="H737" s="1971"/>
      <c r="I737" s="2227" t="s">
        <v>288</v>
      </c>
      <c r="J737" s="2228"/>
      <c r="K737" s="1693">
        <v>2</v>
      </c>
      <c r="L737" s="2182">
        <v>7</v>
      </c>
      <c r="M737" s="1971"/>
      <c r="N737" s="1971"/>
      <c r="O737" s="1971"/>
      <c r="P737" s="2180">
        <v>140</v>
      </c>
      <c r="Q737" s="2158"/>
      <c r="R737" s="2181"/>
      <c r="S737" s="2182" t="s">
        <v>288</v>
      </c>
      <c r="T737" s="1971"/>
      <c r="U737" s="1971"/>
      <c r="V737" s="1971"/>
      <c r="W737" s="1971"/>
      <c r="X737" s="1971"/>
      <c r="Y737" s="4"/>
      <c r="Z737" s="4"/>
      <c r="AA737" s="4"/>
      <c r="AB737" s="4"/>
      <c r="AC737" s="4"/>
      <c r="AD737" s="4"/>
      <c r="AE737" s="4"/>
      <c r="AF737" s="4"/>
      <c r="AG737" s="4"/>
      <c r="AH737" s="4"/>
      <c r="AI737" s="4"/>
    </row>
    <row r="738" spans="1:35" ht="15" customHeight="1" x14ac:dyDescent="0.3">
      <c r="A738" s="4"/>
      <c r="B738" s="1971" t="s">
        <v>1102</v>
      </c>
      <c r="C738" s="1971"/>
      <c r="D738" s="1971"/>
      <c r="E738" s="1971"/>
      <c r="F738" s="1971"/>
      <c r="G738" s="1971"/>
      <c r="H738" s="1971"/>
      <c r="I738" s="2227" t="s">
        <v>428</v>
      </c>
      <c r="J738" s="2228"/>
      <c r="K738" s="1693">
        <v>3</v>
      </c>
      <c r="L738" s="2182">
        <v>8</v>
      </c>
      <c r="M738" s="1971"/>
      <c r="N738" s="1971"/>
      <c r="O738" s="1971"/>
      <c r="P738" s="2180">
        <v>150</v>
      </c>
      <c r="Q738" s="2158"/>
      <c r="R738" s="2181"/>
      <c r="S738" s="2182" t="s">
        <v>428</v>
      </c>
      <c r="T738" s="1971"/>
      <c r="U738" s="1971"/>
      <c r="V738" s="1971"/>
      <c r="W738" s="1971"/>
      <c r="X738" s="1971"/>
      <c r="Y738" s="4"/>
      <c r="Z738" s="4"/>
      <c r="AA738" s="4"/>
      <c r="AB738" s="4"/>
      <c r="AC738" s="4"/>
      <c r="AD738" s="4"/>
      <c r="AE738" s="4"/>
      <c r="AF738" s="4"/>
      <c r="AG738" s="4"/>
      <c r="AH738" s="4"/>
      <c r="AI738" s="4"/>
    </row>
    <row r="739" spans="1:35" ht="15" customHeight="1" x14ac:dyDescent="0.3">
      <c r="A739" s="4"/>
      <c r="B739" s="1971" t="s">
        <v>1103</v>
      </c>
      <c r="C739" s="1971"/>
      <c r="D739" s="1971"/>
      <c r="E739" s="1971"/>
      <c r="F739" s="1971"/>
      <c r="G739" s="1971"/>
      <c r="H739" s="1971"/>
      <c r="I739" s="2227" t="s">
        <v>915</v>
      </c>
      <c r="J739" s="2228"/>
      <c r="K739" s="1693">
        <v>4</v>
      </c>
      <c r="L739" s="2182">
        <v>9</v>
      </c>
      <c r="M739" s="1971"/>
      <c r="N739" s="1971"/>
      <c r="O739" s="1971"/>
      <c r="P739" s="2180">
        <v>160</v>
      </c>
      <c r="Q739" s="2158"/>
      <c r="R739" s="2181"/>
      <c r="S739" s="2182" t="s">
        <v>915</v>
      </c>
      <c r="T739" s="1971"/>
      <c r="U739" s="1971"/>
      <c r="V739" s="1971"/>
      <c r="W739" s="1971"/>
      <c r="X739" s="1971"/>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3">
        <f>samenstelling!G176</f>
        <v>3.805679</v>
      </c>
      <c r="S11" s="2274"/>
      <c r="T11" s="271" t="s">
        <v>182</v>
      </c>
    </row>
    <row r="12" spans="1:20" s="206" customFormat="1" ht="14.15" customHeight="1" x14ac:dyDescent="0.35">
      <c r="A12" s="250" t="s">
        <v>612</v>
      </c>
      <c r="B12" s="208"/>
      <c r="C12" s="208"/>
      <c r="D12" s="208"/>
      <c r="E12" s="208"/>
      <c r="F12" s="2245">
        <f>ROUND(samenstelling!N167,1)</f>
        <v>71.2</v>
      </c>
      <c r="G12" s="2246"/>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7">
        <f>ROUND(samenstelling!N168,1)</f>
        <v>22</v>
      </c>
      <c r="G13" s="2248"/>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9">
        <f>100-F12-F13</f>
        <v>6.7999999999999972</v>
      </c>
      <c r="G14" s="2250"/>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1">
        <v>100</v>
      </c>
      <c r="G15" s="2252"/>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3">
        <f>samenstelling!N177</f>
        <v>4.1924204280590098</v>
      </c>
      <c r="G16" s="2254"/>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5">
        <f>IF(samenstelling!C8=0,"",samenstelling!C8)</f>
        <v>5.0999999999999996</v>
      </c>
      <c r="B19" s="2256"/>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7">
        <f>IF(samenstelling!C9=0,"",samenstelling!C9)</f>
        <v>10.199999999999999</v>
      </c>
      <c r="B20" s="2258"/>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7">
        <f>IF(samenstelling!C10=0,"",samenstelling!C10)</f>
        <v>15.3</v>
      </c>
      <c r="B21" s="2258"/>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7" t="str">
        <f>IF(samenstelling!C11=0,"",samenstelling!C11)</f>
        <v/>
      </c>
      <c r="B22" s="2258"/>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7" t="str">
        <f>IF(samenstelling!C12=0,"",samenstelling!C12)</f>
        <v/>
      </c>
      <c r="B23" s="2258"/>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7">
        <f>IF(samenstelling!C13=0,"",samenstelling!C13)</f>
        <v>35.299999999999997</v>
      </c>
      <c r="B24" s="2258"/>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7" t="str">
        <f>IF(samenstelling!C14=0,"",samenstelling!C14)</f>
        <v/>
      </c>
      <c r="B25" s="2258"/>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7" t="str">
        <f>IF(samenstelling!C15=0,"",samenstelling!C15)</f>
        <v/>
      </c>
      <c r="B26" s="2258"/>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7" t="str">
        <f>IF(samenstelling!C16=0,"",samenstelling!C16)</f>
        <v/>
      </c>
      <c r="B27" s="2258"/>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6">
        <f>IF(berekeningen!R$9=0,"",berekeningen!R$9)</f>
        <v>0.125</v>
      </c>
      <c r="P27" s="2276"/>
      <c r="Q27" s="287" t="str">
        <f>IF(O27="","","mm")</f>
        <v>mm</v>
      </c>
      <c r="R27" s="272"/>
      <c r="S27" s="274">
        <f>IF(O27="","",samenstelling!Y$109)</f>
        <v>11.405659629485179</v>
      </c>
      <c r="T27" s="261" t="str">
        <f>IF(O27="","","%")</f>
        <v>%</v>
      </c>
    </row>
    <row r="28" spans="1:20" s="206" customFormat="1" ht="14.15" customHeight="1" x14ac:dyDescent="0.35">
      <c r="A28" s="2261" t="str">
        <f>IF(samenstelling!C17=0,"",samenstelling!C17)</f>
        <v/>
      </c>
      <c r="B28" s="2262"/>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5">
        <f>IF(berekeningen!S$9=0,"",berekeningen!S$9)</f>
        <v>6.3E-2</v>
      </c>
      <c r="P28" s="2275"/>
      <c r="Q28" s="288" t="str">
        <f>IF(O28="","","mm")</f>
        <v>mm</v>
      </c>
      <c r="R28" s="272"/>
      <c r="S28" s="286">
        <f>IF(O28="","",samenstelling!Z$109)</f>
        <v>7.8679135647425893</v>
      </c>
      <c r="T28" s="261" t="str">
        <f>IF(O28="","","%")</f>
        <v>%</v>
      </c>
    </row>
    <row r="29" spans="1:20" s="206" customFormat="1" ht="14.15" customHeight="1" x14ac:dyDescent="0.35">
      <c r="A29" s="2263">
        <f>IF(samenstelling!C26=0,"",samenstelling!C26)</f>
        <v>0.55000000000000004</v>
      </c>
      <c r="B29" s="2264"/>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3" t="str">
        <f>IF(samenstelling!C27=0,"",samenstelling!C27)</f>
        <v/>
      </c>
      <c r="B30" s="2244"/>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5">
        <f>IF(samenstelling!C29=0,"",samenstelling!C29)</f>
        <v>1</v>
      </c>
      <c r="B31" s="2266"/>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7">
        <f>IF(samenstelling!C43=0,"",samenstelling!C43)</f>
        <v>2.2160500000000001</v>
      </c>
      <c r="B32" s="2268"/>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3" t="str">
        <f>IF(samenstelling!C44=0,"",samenstelling!C44)</f>
        <v/>
      </c>
      <c r="B33" s="2244"/>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7">
        <f>IF(studie!H258="","",studie!H258)</f>
        <v>15.5</v>
      </c>
      <c r="S33" s="2278"/>
      <c r="T33" s="260" t="str">
        <f>IF(R33="","","%")</f>
        <v>%</v>
      </c>
    </row>
    <row r="34" spans="1:20" s="206" customFormat="1" ht="14.15" customHeight="1" x14ac:dyDescent="0.35">
      <c r="A34" s="2259" t="str">
        <f>IF(samenstelling!C45=0,"",samenstelling!C45)</f>
        <v/>
      </c>
      <c r="B34" s="2260"/>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1">
        <f>studie!H257</f>
        <v>2.684110592447611</v>
      </c>
      <c r="S34" s="2272"/>
      <c r="T34" s="300" t="str">
        <f>IF(R34="","","Mg/m³")</f>
        <v>Mg/m³</v>
      </c>
    </row>
    <row r="35" spans="1:20" s="206" customFormat="1" ht="14.15" customHeight="1" x14ac:dyDescent="0.35">
      <c r="A35" s="2255">
        <f>IF(samenstelling!C56=0,"",samenstelling!C56)</f>
        <v>30</v>
      </c>
      <c r="B35" s="2256"/>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1">
        <f>studie!H154</f>
        <v>3.0154391189857619</v>
      </c>
      <c r="S35" s="2272"/>
      <c r="T35" s="300" t="str">
        <f>IF(R35="","","Mg/m³")</f>
        <v>Mg/m³</v>
      </c>
    </row>
    <row r="36" spans="1:20" s="206" customFormat="1" ht="14.15" customHeight="1" x14ac:dyDescent="0.35">
      <c r="A36" s="2257" t="str">
        <f>IF(samenstelling!C57=0,"",samenstelling!C57)</f>
        <v/>
      </c>
      <c r="B36" s="2258"/>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6">
        <f>IF(studie!E514="J",studie!K526,"")</f>
        <v>12000</v>
      </c>
      <c r="S36" s="2237"/>
      <c r="T36" s="260" t="str">
        <f>IF(R36="","","MPa")</f>
        <v>MPa</v>
      </c>
    </row>
    <row r="37" spans="1:20" s="206" customFormat="1" ht="14.15" customHeight="1" x14ac:dyDescent="0.35">
      <c r="A37" s="2269" t="str">
        <f>IF(samenstelling!C58=0,"",samenstelling!C58)</f>
        <v/>
      </c>
      <c r="B37" s="2270"/>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6" t="str">
        <f>IF(studie!E514="J",IF(studie!K527="","",studie!K527),"")</f>
        <v/>
      </c>
      <c r="S37" s="2237"/>
      <c r="T37" s="260" t="str">
        <f>IF(R37="","","MPa")</f>
        <v/>
      </c>
    </row>
    <row r="38" spans="1:20" s="206" customFormat="1" ht="14.15" customHeight="1" x14ac:dyDescent="0.35">
      <c r="A38" s="2267">
        <f>IF(samenstelling!C68=0,"",samenstelling!C68)</f>
        <v>0.33</v>
      </c>
      <c r="B38" s="2268"/>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6">
        <f>IF(studie!E537="J",studie!K549,"")</f>
        <v>150</v>
      </c>
      <c r="S38" s="2237"/>
      <c r="T38" s="260" t="str">
        <f>IF(R38="","","µS")</f>
        <v>µS</v>
      </c>
    </row>
    <row r="39" spans="1:20" s="206" customFormat="1" ht="14.15" customHeight="1" x14ac:dyDescent="0.35">
      <c r="A39" s="2243" t="str">
        <f>IF(samenstelling!C69=0,"",samenstelling!C69)</f>
        <v/>
      </c>
      <c r="B39" s="2244"/>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3">
        <f>IF(samenstelling!C70=0,"",samenstelling!C70)</f>
        <v>2.82</v>
      </c>
      <c r="B40" s="2244"/>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3" t="str">
        <f>IF(samenstelling!C71=0,"",samenstelling!C71)</f>
        <v/>
      </c>
      <c r="B41" s="2244"/>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3" t="str">
        <f>IF(samenstelling!C72=0,"",samenstelling!C72)</f>
        <v/>
      </c>
      <c r="B42" s="2244"/>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3">
        <f>IF(samenstelling!C73=0,IF(samenstelling!D73=0,"",samenstelling!C153),samenstelling!C73)</f>
        <v>0.10395</v>
      </c>
      <c r="B43" s="2244"/>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3" t="str">
        <f>IF(samenstelling!C74=0,IF(samenstelling!D74=0,"",samenstelling!C154),samenstelling!C74)</f>
        <v/>
      </c>
      <c r="B44" s="2244"/>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3">
        <f>IF(samenstelling!C75=0,IF(samenstelling!D75=0,"",samenstelling!C155),samenstelling!C75)</f>
        <v>0.03</v>
      </c>
      <c r="B45" s="2244"/>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3" t="str">
        <f>IF(samenstelling!C76=0,IF(samenstelling!D76=0,"",samenstelling!C156),samenstelling!C76)</f>
        <v/>
      </c>
      <c r="B46" s="2244"/>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4">
        <f>IF(studie!E589="J",studie!K606,IF(studie!E714="","",studie!E714))</f>
        <v>2.5099999999999998</v>
      </c>
      <c r="S46" s="2235"/>
      <c r="T46" s="293" t="str">
        <f>IF(studie!E589="J","mm",IF(studie!E714="","",studie!F714))</f>
        <v>mm</v>
      </c>
    </row>
    <row r="47" spans="1:20" s="206" customFormat="1" ht="14.15" customHeight="1" thickBot="1" x14ac:dyDescent="0.4">
      <c r="A47" s="2241" t="str">
        <f>IF(samenstelling!C77=0,IF(samenstelling!D77=0,"",samenstelling!C157),samenstelling!C77)</f>
        <v/>
      </c>
      <c r="B47" s="2242"/>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4">
        <f>IF(studie!E589="J",studie!K607,IF(studie!E715="","",studie!E715))</f>
        <v>2.34</v>
      </c>
      <c r="S47" s="2235"/>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6" t="str">
        <f>IF(studie!E716="","",studie!E716)</f>
        <v>3,00</v>
      </c>
      <c r="S48" s="2237"/>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8" t="str">
        <f>IF(studie!E717="","",studie!E717)</f>
        <v>4</v>
      </c>
      <c r="S49" s="2239"/>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40" t="str">
        <f>IF(I$2="",IF(I$3="",I$4,I$3),I$2)</f>
        <v>801/64/</v>
      </c>
      <c r="B53" s="2240"/>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1"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3" t="s">
        <v>699</v>
      </c>
    </row>
    <row r="2" spans="1:26" ht="14.9" customHeight="1" x14ac:dyDescent="0.3">
      <c r="A2" s="2281"/>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3"/>
    </row>
    <row r="3" spans="1:26" ht="14.9" customHeight="1" x14ac:dyDescent="0.3">
      <c r="A3" s="2281"/>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3"/>
    </row>
    <row r="4" spans="1:26" ht="14.9" customHeight="1" x14ac:dyDescent="0.3">
      <c r="A4" s="2279"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3"/>
    </row>
    <row r="5" spans="1:26" ht="14.9" customHeight="1" x14ac:dyDescent="0.3">
      <c r="A5" s="2279"/>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3"/>
    </row>
    <row r="6" spans="1:26" ht="14.9" customHeight="1" x14ac:dyDescent="0.3">
      <c r="A6" s="2279"/>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3"/>
    </row>
    <row r="7" spans="1:26" ht="14.9" customHeight="1" x14ac:dyDescent="0.3">
      <c r="A7" s="2279"/>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3"/>
    </row>
    <row r="8" spans="1:26" ht="14.9" customHeight="1" x14ac:dyDescent="0.3">
      <c r="A8" s="2279"/>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3"/>
    </row>
    <row r="9" spans="1:26" ht="14.9" customHeight="1" x14ac:dyDescent="0.3">
      <c r="A9" s="2279"/>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9"/>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9"/>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9"/>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9"/>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2"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2"/>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9"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9"/>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9"/>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9"/>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9"/>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9"/>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9"/>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9"/>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9"/>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9"/>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9"/>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9"/>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9"/>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9"/>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1"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0" t="s">
        <v>743</v>
      </c>
    </row>
    <row r="36" spans="1:26" ht="14.9" customHeight="1" x14ac:dyDescent="0.3">
      <c r="A36" s="2281"/>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0"/>
    </row>
    <row r="37" spans="1:26" ht="14.9" customHeight="1" x14ac:dyDescent="0.3">
      <c r="A37" s="2281"/>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0"/>
    </row>
    <row r="38" spans="1:26" ht="14.9" customHeight="1" x14ac:dyDescent="0.3">
      <c r="A38" s="2279"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0"/>
    </row>
    <row r="39" spans="1:26" ht="14.9" customHeight="1" x14ac:dyDescent="0.3">
      <c r="A39" s="2279"/>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0"/>
    </row>
    <row r="40" spans="1:26" ht="14.9" customHeight="1" x14ac:dyDescent="0.3">
      <c r="A40" s="2279"/>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0"/>
    </row>
    <row r="41" spans="1:26" ht="14.9" customHeight="1" x14ac:dyDescent="0.3">
      <c r="A41" s="2279"/>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0"/>
    </row>
    <row r="42" spans="1:26" ht="14.9" customHeight="1" x14ac:dyDescent="0.3">
      <c r="A42" s="2279"/>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0"/>
    </row>
    <row r="43" spans="1:26" ht="14.9" customHeight="1" x14ac:dyDescent="0.3">
      <c r="A43" s="2279"/>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0"/>
    </row>
    <row r="44" spans="1:26" ht="14.9" customHeight="1" x14ac:dyDescent="0.3">
      <c r="A44" s="2279"/>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9"/>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9"/>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9"/>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2"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2"/>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9"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9"/>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9"/>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9"/>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9"/>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9"/>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9"/>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9"/>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9"/>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9"/>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9"/>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9"/>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9"/>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9"/>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90" t="s">
        <v>183</v>
      </c>
      <c r="D29" s="2292"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1"/>
      <c r="D30" s="2293"/>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4" t="s">
        <v>114</v>
      </c>
      <c r="J37" s="2297" t="s">
        <v>870</v>
      </c>
      <c r="K37" s="2300" t="s">
        <v>875</v>
      </c>
      <c r="L37" s="2303"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5"/>
      <c r="J38" s="2298"/>
      <c r="K38" s="2301"/>
      <c r="L38" s="2304"/>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5"/>
      <c r="J39" s="2298"/>
      <c r="K39" s="2301"/>
      <c r="L39" s="2304"/>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5"/>
      <c r="J40" s="2298"/>
      <c r="K40" s="2301"/>
      <c r="L40" s="2304"/>
      <c r="N40" s="443" t="s">
        <v>302</v>
      </c>
      <c r="O40" s="444"/>
      <c r="P40" s="444"/>
      <c r="Q40" s="444"/>
      <c r="R40" s="1245">
        <f>samenstelling!T171</f>
        <v>1.0284499727283221</v>
      </c>
      <c r="S40" s="1248"/>
      <c r="T40" s="1242" t="s">
        <v>623</v>
      </c>
    </row>
    <row r="41" spans="1:20" ht="14.25" customHeight="1" thickBot="1" x14ac:dyDescent="0.4">
      <c r="H41" s="318"/>
      <c r="I41" s="2295"/>
      <c r="J41" s="2298"/>
      <c r="K41" s="2301"/>
      <c r="L41" s="2304"/>
      <c r="M41" s="318"/>
      <c r="N41" s="318"/>
      <c r="O41" s="318"/>
      <c r="P41" s="318"/>
      <c r="Q41" s="318"/>
      <c r="R41" s="318"/>
      <c r="S41" s="318"/>
      <c r="T41" s="318"/>
    </row>
    <row r="42" spans="1:20" ht="14.25" customHeight="1" x14ac:dyDescent="0.35">
      <c r="H42" s="318"/>
      <c r="I42" s="2296"/>
      <c r="J42" s="2299"/>
      <c r="K42" s="2302"/>
      <c r="L42" s="2305"/>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40" t="str">
        <f>'VN1'!A53</f>
        <v>801/64/</v>
      </c>
      <c r="B50" s="2240"/>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6">
        <f>IF(algemeen!E$62="J",algemeen!E23,"")</f>
        <v>1000</v>
      </c>
      <c r="G54" s="2286"/>
      <c r="H54" s="2286"/>
      <c r="I54" s="2286"/>
      <c r="J54" s="2286"/>
      <c r="K54" s="2286">
        <f>IF(algemeen!F$62="J",algemeen!H23,"")</f>
        <v>2000</v>
      </c>
      <c r="L54" s="2286"/>
      <c r="M54" s="2286"/>
      <c r="N54" s="2286"/>
      <c r="O54" s="2286"/>
      <c r="P54" s="2286">
        <f>IF(algemeen!G$62="J",algemeen!K23,"")</f>
        <v>3000</v>
      </c>
      <c r="Q54" s="2286"/>
      <c r="R54" s="2286"/>
      <c r="S54" s="2286"/>
      <c r="T54" s="2287"/>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8">
        <f>IF(algemeen!E$62="J",algemeen!E28,"")</f>
        <v>801</v>
      </c>
      <c r="G58" s="2288"/>
      <c r="H58" s="2288"/>
      <c r="I58" s="2288"/>
      <c r="J58" s="2288"/>
      <c r="K58" s="2288">
        <f>IF(algemeen!F$62="J",algemeen!H28,"")</f>
        <v>802</v>
      </c>
      <c r="L58" s="2288"/>
      <c r="M58" s="2288"/>
      <c r="N58" s="2288"/>
      <c r="O58" s="2288"/>
      <c r="P58" s="2288">
        <f>IF(algemeen!G$62="J",algemeen!K28,"")</f>
        <v>8031</v>
      </c>
      <c r="Q58" s="2288"/>
      <c r="R58" s="2288"/>
      <c r="S58" s="2288"/>
      <c r="T58" s="2289"/>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4">
        <f>algemeen!G78</f>
        <v>40409</v>
      </c>
      <c r="L81" s="2284"/>
      <c r="M81" s="2284"/>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5">
        <f>IF(K82="","",algemeen!G79)</f>
        <v>39563</v>
      </c>
      <c r="L83" s="2285"/>
      <c r="M83" s="2285"/>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40" t="str">
        <f>'VN1'!A53</f>
        <v>801/64/</v>
      </c>
      <c r="B103" s="2240"/>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6" t="s">
        <v>875</v>
      </c>
      <c r="F12" s="2307"/>
      <c r="G12" s="2307"/>
      <c r="H12" s="2307"/>
      <c r="I12" s="2308"/>
      <c r="L12" s="1446" t="str">
        <f>IF(studie!E3="J","","PROEF NIET UITGEVOERD !")</f>
        <v/>
      </c>
    </row>
    <row r="13" spans="1:20" s="208" customFormat="1" ht="14.65" customHeight="1" x14ac:dyDescent="0.35">
      <c r="A13" s="551"/>
      <c r="B13" s="552"/>
      <c r="C13" s="552"/>
      <c r="D13" s="552"/>
      <c r="E13" s="2309" t="s">
        <v>185</v>
      </c>
      <c r="F13" s="2310"/>
      <c r="G13" s="2310"/>
      <c r="H13" s="2310"/>
      <c r="I13" s="2311"/>
    </row>
    <row r="14" spans="1:20" s="208" customFormat="1" ht="14.65" customHeight="1" x14ac:dyDescent="0.35">
      <c r="A14" s="582" t="s">
        <v>350</v>
      </c>
      <c r="B14" s="264"/>
      <c r="C14" s="264"/>
      <c r="D14" s="264"/>
      <c r="E14" s="2312">
        <f>IF(studie!U17="","",studie!U17)</f>
        <v>4.05</v>
      </c>
      <c r="F14" s="2313"/>
      <c r="G14" s="2313"/>
      <c r="H14" s="2313"/>
      <c r="I14" s="2314"/>
    </row>
    <row r="15" spans="1:20" s="208" customFormat="1" ht="14.65" customHeight="1" x14ac:dyDescent="0.35">
      <c r="A15" s="251" t="s">
        <v>351</v>
      </c>
      <c r="B15" s="252"/>
      <c r="C15" s="252"/>
      <c r="D15" s="252"/>
      <c r="E15" s="2315">
        <f>IF(studie!U18="","",studie!U18)</f>
        <v>3.805679</v>
      </c>
      <c r="F15" s="2244"/>
      <c r="G15" s="2244"/>
      <c r="H15" s="2244"/>
      <c r="I15" s="2316"/>
    </row>
    <row r="16" spans="1:20" s="208" customFormat="1" ht="14.65" customHeight="1" thickBot="1" x14ac:dyDescent="0.4">
      <c r="A16" s="547" t="s">
        <v>352</v>
      </c>
      <c r="B16" s="262"/>
      <c r="C16" s="262"/>
      <c r="D16" s="262"/>
      <c r="E16" s="2317">
        <f>IF(studie!U19="","",studie!U19)</f>
        <v>0.24432099999999979</v>
      </c>
      <c r="F16" s="2242"/>
      <c r="G16" s="2242"/>
      <c r="H16" s="2242"/>
      <c r="I16" s="2318"/>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40" t="str">
        <f>'VN1'!A53</f>
        <v>801/64/</v>
      </c>
      <c r="B51" s="2240"/>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40" t="str">
        <f>'VN1'!$A$53</f>
        <v>801/64/</v>
      </c>
      <c r="B53" s="2240"/>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9" t="str">
        <f>IF(berekeningen!G$108="N","",studie!J229)</f>
        <v>Controls</v>
      </c>
      <c r="K60" s="2319"/>
      <c r="L60" s="2319"/>
      <c r="M60" s="2319"/>
    </row>
    <row r="61" spans="1:20" s="208" customFormat="1" ht="13" x14ac:dyDescent="0.35">
      <c r="E61" s="208" t="str">
        <f>IF(berekeningen!$G$108="N","",studie!$E230)</f>
        <v>kalibratiemethode:</v>
      </c>
      <c r="J61" s="2319" t="str">
        <f>IF(berekeningen!G$108="N","",studie!J230)</f>
        <v>B</v>
      </c>
      <c r="K61" s="2319"/>
      <c r="L61" s="2319"/>
      <c r="M61" s="2319"/>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40" t="str">
        <f>'VN1'!$A$53</f>
        <v>801/64/</v>
      </c>
      <c r="B110" s="2240"/>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40" t="str">
        <f>'VN1'!$A$53</f>
        <v>801/64/</v>
      </c>
      <c r="B62" s="2240"/>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40" t="str">
        <f>'VN1'!$A$53</f>
        <v>801/64/</v>
      </c>
      <c r="B126" s="2240"/>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40" t="str">
        <f>'VN1'!$A$53</f>
        <v>801/64/</v>
      </c>
      <c r="B190" s="2240"/>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9">
        <f>IF(studie!E325="J",studie!L336,"")</f>
        <v>30000</v>
      </c>
      <c r="Q10" s="2319"/>
      <c r="R10" s="2319"/>
      <c r="S10" s="2319"/>
      <c r="T10" s="2319"/>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40" t="str">
        <f>'VN1'!$A$53</f>
        <v>801/64/</v>
      </c>
      <c r="B58" s="2240"/>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20">
        <f>IF(studie!E702="J",studie!E708,"")</f>
        <v>0.56352961960663328</v>
      </c>
      <c r="H51" s="2320"/>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40" t="str">
        <f>'VN1'!$A$53</f>
        <v>801/64/</v>
      </c>
      <c r="B56" s="2240"/>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40" t="str">
        <f>'VN1'!$A$53</f>
        <v>801/64/</v>
      </c>
      <c r="B55" s="2240"/>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6" t="s">
        <v>1347</v>
      </c>
      <c r="P63" s="2307"/>
      <c r="Q63" s="2307"/>
      <c r="R63" s="2307"/>
      <c r="S63" s="2307"/>
      <c r="T63" s="2308"/>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9"/>
      <c r="P64" s="2310"/>
      <c r="Q64" s="2310"/>
      <c r="R64" s="2310"/>
      <c r="S64" s="2310"/>
      <c r="T64" s="2311"/>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7" t="str">
        <f>IF(studie!M436="","",studie!M436)</f>
        <v>in het bindmiddel</v>
      </c>
      <c r="P65" s="2328"/>
      <c r="Q65" s="2328"/>
      <c r="R65" s="2328"/>
      <c r="S65" s="2328"/>
      <c r="T65" s="2329"/>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30" t="str">
        <f>IF(studie!M437="","",studie!M437)</f>
        <v>in de stenen</v>
      </c>
      <c r="P66" s="2258"/>
      <c r="Q66" s="2258"/>
      <c r="R66" s="2258"/>
      <c r="S66" s="2258"/>
      <c r="T66" s="2248"/>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30" t="str">
        <f>IF(studie!M438="","",studie!M438)</f>
        <v>tussen stenen en bindmiddel</v>
      </c>
      <c r="P67" s="2258"/>
      <c r="Q67" s="2258"/>
      <c r="R67" s="2258"/>
      <c r="S67" s="2258"/>
      <c r="T67" s="2248"/>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30" t="str">
        <f>IF(studie!M439="","",studie!M439)</f>
        <v/>
      </c>
      <c r="P68" s="2258"/>
      <c r="Q68" s="2258"/>
      <c r="R68" s="2258"/>
      <c r="S68" s="2258"/>
      <c r="T68" s="2248"/>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1" t="str">
        <f>IF(studie!M440="","",studie!M440)</f>
        <v/>
      </c>
      <c r="P69" s="2262"/>
      <c r="Q69" s="2262"/>
      <c r="R69" s="2262"/>
      <c r="S69" s="2262"/>
      <c r="T69" s="2332"/>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4" t="str">
        <f>IF(studie!M441="","",studie!M441)</f>
        <v/>
      </c>
      <c r="P70" s="2325"/>
      <c r="Q70" s="2325"/>
      <c r="R70" s="2325"/>
      <c r="S70" s="2325"/>
      <c r="T70" s="2326"/>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7" t="str">
        <f>IF(studie!M442="","",studie!M442)</f>
        <v/>
      </c>
      <c r="P71" s="2328"/>
      <c r="Q71" s="2328"/>
      <c r="R71" s="2328"/>
      <c r="S71" s="2328"/>
      <c r="T71" s="2329"/>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30" t="str">
        <f>IF(studie!M443="","",studie!M443)</f>
        <v/>
      </c>
      <c r="P72" s="2258"/>
      <c r="Q72" s="2258"/>
      <c r="R72" s="2258"/>
      <c r="S72" s="2258"/>
      <c r="T72" s="2248"/>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30" t="str">
        <f>IF(studie!M444="","",studie!M444)</f>
        <v/>
      </c>
      <c r="P73" s="2258"/>
      <c r="Q73" s="2258"/>
      <c r="R73" s="2258"/>
      <c r="S73" s="2258"/>
      <c r="T73" s="2248"/>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30" t="str">
        <f>IF(studie!M445="","",studie!M445)</f>
        <v/>
      </c>
      <c r="P74" s="2258"/>
      <c r="Q74" s="2258"/>
      <c r="R74" s="2258"/>
      <c r="S74" s="2258"/>
      <c r="T74" s="2248"/>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1" t="str">
        <f>IF(studie!M446="","",studie!M446)</f>
        <v/>
      </c>
      <c r="P75" s="2262"/>
      <c r="Q75" s="2262"/>
      <c r="R75" s="2262"/>
      <c r="S75" s="2262"/>
      <c r="T75" s="2332"/>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4" t="str">
        <f>IF(studie!M447="","",studie!M447)</f>
        <v/>
      </c>
      <c r="P76" s="2325"/>
      <c r="Q76" s="2325"/>
      <c r="R76" s="2325"/>
      <c r="S76" s="2325"/>
      <c r="T76" s="2326"/>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7" t="str">
        <f>IF(studie!M448="","",studie!M448)</f>
        <v/>
      </c>
      <c r="P77" s="2328"/>
      <c r="Q77" s="2328"/>
      <c r="R77" s="2328"/>
      <c r="S77" s="2328"/>
      <c r="T77" s="2329"/>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30" t="str">
        <f>IF(studie!M449="","",studie!M449)</f>
        <v/>
      </c>
      <c r="P78" s="2258"/>
      <c r="Q78" s="2258"/>
      <c r="R78" s="2258"/>
      <c r="S78" s="2258"/>
      <c r="T78" s="2248"/>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30" t="str">
        <f>IF(studie!M450="","",studie!M450)</f>
        <v/>
      </c>
      <c r="P79" s="2258"/>
      <c r="Q79" s="2258"/>
      <c r="R79" s="2258"/>
      <c r="S79" s="2258"/>
      <c r="T79" s="2248"/>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30" t="str">
        <f>IF(studie!M451="","",studie!M451)</f>
        <v/>
      </c>
      <c r="P80" s="2258"/>
      <c r="Q80" s="2258"/>
      <c r="R80" s="2258"/>
      <c r="S80" s="2258"/>
      <c r="T80" s="2248"/>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1" t="str">
        <f>IF(studie!M452="","",studie!M452)</f>
        <v/>
      </c>
      <c r="P81" s="2262"/>
      <c r="Q81" s="2262"/>
      <c r="R81" s="2262"/>
      <c r="S81" s="2262"/>
      <c r="T81" s="2332"/>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1" t="str">
        <f>IF(studie!M453="","",studie!M453)</f>
        <v/>
      </c>
      <c r="P82" s="2322"/>
      <c r="Q82" s="2322"/>
      <c r="R82" s="2322"/>
      <c r="S82" s="2322"/>
      <c r="T82" s="2323"/>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0" t="str">
        <f>'VN1'!$A$53</f>
        <v>801/64/</v>
      </c>
      <c r="B111" s="2240"/>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9" t="str">
        <f>IF(studie!G598="","",studie!G598)</f>
        <v/>
      </c>
      <c r="M39" s="2319"/>
      <c r="N39" s="2319"/>
      <c r="O39" s="2319"/>
      <c r="P39" s="2319"/>
      <c r="Q39" s="2319"/>
      <c r="R39" s="2319"/>
      <c r="S39" s="2319"/>
      <c r="T39" s="2319"/>
    </row>
    <row r="40" spans="1:20" s="208" customFormat="1" ht="13" x14ac:dyDescent="0.35">
      <c r="A40" s="208" t="str">
        <f>studie!B599</f>
        <v>Aantal cycli:</v>
      </c>
      <c r="L40" s="2319">
        <f>IF(studie!I599="","",studie!I599)</f>
        <v>5000</v>
      </c>
      <c r="M40" s="2319"/>
      <c r="N40" s="2319"/>
      <c r="O40" s="2319"/>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40" t="str">
        <f>'VN1'!$A$53</f>
        <v>801/64/</v>
      </c>
      <c r="B59" s="2240"/>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40" t="str">
        <f>'VN1'!$A$53</f>
        <v>801/64/</v>
      </c>
      <c r="B58" s="2240"/>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40" t="str">
        <f>'VN1'!$A$53</f>
        <v>801/64/</v>
      </c>
      <c r="B54" s="2240"/>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40" t="str">
        <f>'VN1'!$A$53</f>
        <v>801/64/</v>
      </c>
      <c r="B111" s="2240"/>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6">
        <f>IF($AB$2=1,algemeen!E23,IF($AB$2=2,algemeen!H23,algemeen!K23))</f>
        <v>1000</v>
      </c>
      <c r="O4" s="2336">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3" t="s">
        <v>1385</v>
      </c>
      <c r="N11" s="2333"/>
      <c r="O11" s="2333"/>
      <c r="P11" s="2333"/>
      <c r="Q11" s="2333"/>
      <c r="R11" s="2333"/>
      <c r="S11" s="2333"/>
      <c r="T11" s="2333"/>
      <c r="U11" s="2334"/>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5">
        <f>IF(berekeningen!R$9=0,"",berekeningen!R$9)</f>
        <v>0.125</v>
      </c>
      <c r="G26" s="2335"/>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5">
        <f>IF(berekeningen!S$9=0,"",berekeningen!S$9)</f>
        <v>6.3E-2</v>
      </c>
      <c r="G27" s="2335"/>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9" t="str">
        <f>IF(algemeen!F43="geen","",algemeen!F43&amp;"  "&amp;algemeen!F41)</f>
        <v>EN 13108-1  AC 20 onderlaag 50/70</v>
      </c>
      <c r="C6" s="2339"/>
      <c r="D6" s="2339"/>
      <c r="E6" s="2339"/>
      <c r="F6" s="2339"/>
      <c r="G6" s="2339"/>
      <c r="H6" s="2339"/>
      <c r="I6" s="2339"/>
      <c r="J6" s="2339"/>
      <c r="K6" s="2339"/>
      <c r="L6" s="2339"/>
      <c r="M6" s="2339"/>
      <c r="N6" s="2339"/>
      <c r="O6" s="2339"/>
      <c r="P6" s="2339"/>
      <c r="Q6" s="2339"/>
      <c r="R6" s="2339"/>
      <c r="S6" s="2339"/>
      <c r="T6" s="2339"/>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50" t="str">
        <f>IF(algemeen!F44="","",algemeen!F44)</f>
        <v>voor onderlagen van asfaltverhardingen</v>
      </c>
      <c r="C9" s="2350"/>
      <c r="D9" s="2350"/>
      <c r="E9" s="2350"/>
      <c r="F9" s="2350"/>
      <c r="G9" s="2350"/>
      <c r="H9" s="2350"/>
      <c r="I9" s="2350"/>
      <c r="J9" s="2350"/>
      <c r="K9" s="2350"/>
      <c r="L9" s="2350"/>
      <c r="M9" s="2350"/>
      <c r="N9" s="2350"/>
      <c r="O9" s="2350"/>
      <c r="P9" s="2350"/>
      <c r="Q9" s="2350"/>
      <c r="R9" s="2350"/>
      <c r="S9" s="2350"/>
      <c r="T9" s="2350"/>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6">
        <f>IF($AB$2=1,algemeen!E23,IF($AB$2=2,algemeen!H23,algemeen!K23))</f>
        <v>3000</v>
      </c>
      <c r="N15" s="2336">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6">
        <v>1137</v>
      </c>
      <c r="N27" s="2336"/>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6" t="s">
        <v>1126</v>
      </c>
      <c r="C30" s="2347"/>
      <c r="D30" s="2347"/>
      <c r="E30" s="2347"/>
      <c r="F30" s="2347"/>
      <c r="G30" s="2347"/>
      <c r="H30" s="2346" t="s">
        <v>1133</v>
      </c>
      <c r="I30" s="2347"/>
      <c r="J30" s="2347"/>
      <c r="K30" s="2347"/>
      <c r="L30" s="2347"/>
      <c r="M30" s="2347"/>
      <c r="N30" s="2347"/>
      <c r="O30" s="2347"/>
      <c r="P30" s="2347"/>
      <c r="Q30" s="2347"/>
      <c r="R30" s="2347"/>
      <c r="S30" s="2347"/>
      <c r="T30" s="2348"/>
      <c r="U30" s="927"/>
      <c r="W30" s="1577">
        <v>1</v>
      </c>
      <c r="X30" s="1577">
        <v>2</v>
      </c>
      <c r="Y30" s="1577">
        <v>3</v>
      </c>
      <c r="Z30" s="1577">
        <v>4</v>
      </c>
      <c r="AA30" s="1577">
        <v>5</v>
      </c>
      <c r="AB30" s="1577">
        <v>6</v>
      </c>
      <c r="AC30" s="1577">
        <v>7</v>
      </c>
      <c r="AD30" s="1577">
        <v>9</v>
      </c>
    </row>
    <row r="31" spans="1:30" ht="28.5" customHeight="1" x14ac:dyDescent="0.35">
      <c r="A31" s="926"/>
      <c r="B31" s="2342" t="s">
        <v>1127</v>
      </c>
      <c r="C31" s="2343"/>
      <c r="D31" s="2343"/>
      <c r="E31" s="2343"/>
      <c r="F31" s="2343"/>
      <c r="G31" s="2343"/>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4" t="s">
        <v>1129</v>
      </c>
      <c r="C33" s="2345"/>
      <c r="D33" s="2345"/>
      <c r="E33" s="2345"/>
      <c r="F33" s="2345"/>
      <c r="G33" s="2345"/>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40" t="s">
        <v>1315</v>
      </c>
      <c r="C40" s="2341"/>
      <c r="D40" s="2341"/>
      <c r="E40" s="2341"/>
      <c r="F40" s="2341"/>
      <c r="G40" s="2341"/>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5">
        <f>IF(berekeningen!R$9=0,"",berekeningen!R$9)</f>
        <v>0.125</v>
      </c>
      <c r="K56" s="2335"/>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5">
        <f>IF(berekeningen!S$9=0,"",berekeningen!S$9)</f>
        <v>6.3E-2</v>
      </c>
      <c r="K57" s="2335"/>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9" t="str">
        <f>algemeen!E10</f>
        <v>Jan Baas</v>
      </c>
      <c r="C110" s="2349"/>
      <c r="D110" s="2349"/>
      <c r="E110" s="2349"/>
      <c r="F110" s="2349"/>
      <c r="G110" s="2349"/>
      <c r="H110" s="2349"/>
      <c r="I110" s="2349"/>
      <c r="J110" s="2349"/>
      <c r="K110" s="2349"/>
      <c r="L110" s="2349"/>
      <c r="M110" s="2349"/>
      <c r="N110" s="2349"/>
      <c r="O110" s="2349"/>
      <c r="P110" s="2349"/>
      <c r="Q110" s="2349"/>
      <c r="R110" s="2349"/>
      <c r="S110" s="2349"/>
      <c r="T110" s="2349"/>
      <c r="U110" s="927"/>
    </row>
    <row r="111" spans="1:30" ht="14.15" customHeight="1" x14ac:dyDescent="0.35">
      <c r="A111" s="926"/>
      <c r="B111" s="2349" t="str">
        <f>algemeen!E11</f>
        <v>gedelegeerd bestuurder</v>
      </c>
      <c r="C111" s="2349"/>
      <c r="D111" s="2349"/>
      <c r="E111" s="2349"/>
      <c r="F111" s="2349"/>
      <c r="G111" s="2349"/>
      <c r="H111" s="2349"/>
      <c r="I111" s="2349"/>
      <c r="J111" s="2349"/>
      <c r="K111" s="2349"/>
      <c r="L111" s="2349"/>
      <c r="M111" s="2349"/>
      <c r="N111" s="2349"/>
      <c r="O111" s="2349"/>
      <c r="P111" s="2349"/>
      <c r="Q111" s="2349"/>
      <c r="R111" s="2349"/>
      <c r="S111" s="2349"/>
      <c r="T111" s="2349"/>
      <c r="U111" s="927"/>
    </row>
    <row r="112" spans="1:30" ht="14.15" customHeight="1" x14ac:dyDescent="0.35">
      <c r="A112" s="926"/>
      <c r="B112" s="1712" t="s">
        <v>1153</v>
      </c>
      <c r="C112" s="2338"/>
      <c r="D112" s="2338"/>
      <c r="E112" s="2338"/>
      <c r="F112" s="2338"/>
      <c r="G112" s="2338"/>
      <c r="H112" s="2338"/>
      <c r="I112" s="2338"/>
      <c r="J112" s="2338"/>
      <c r="K112" s="2338"/>
      <c r="L112" s="2338"/>
      <c r="M112" s="2338"/>
      <c r="N112" s="2338"/>
      <c r="O112" s="1712" t="s">
        <v>1154</v>
      </c>
      <c r="P112" s="2337"/>
      <c r="Q112" s="2337"/>
      <c r="R112" s="2337"/>
      <c r="S112" s="2337"/>
      <c r="T112" s="2337"/>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1" t="str">
        <f>IF(algemeen!E62="J",algemeen!F93,"zonder centrale !")</f>
        <v>3a3</v>
      </c>
      <c r="V1" s="2351"/>
      <c r="W1" s="2351"/>
      <c r="X1" s="2351"/>
      <c r="Y1" s="2351"/>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"&amp;'VN1'!I2&amp;'VN1'!J2</f>
        <v>VN:  801/64/2010/13RE-1234/0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"&amp;berekeningen!E7</f>
        <v>TF:  0801/1234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("&amp;algemeen!F96&amp;")"</f>
        <v>Instelwaarden voor de asfaltmenginstallatie (kg)</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1" t="str">
        <f>IF(algemeen!F62="J",algemeen!I93,"zonder centrale !")</f>
        <v>4b4</v>
      </c>
      <c r="V1" s="2351"/>
      <c r="W1" s="2351"/>
      <c r="X1" s="2351"/>
      <c r="Y1" s="2351"/>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"&amp;'VN1'!I3&amp;'VN1'!J3</f>
        <v>VN:  802/64/2010/13RE-1234/0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"&amp;berekeningen!H7</f>
        <v>TF:  0802/1234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("&amp;algemeen!I96&amp;")"</f>
        <v>Instelwaarden voor de asfaltmenginstallatie ()</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1" t="str">
        <f>IF(algemeen!G62="J",algemeen!L93,"zonder centrale !")</f>
        <v>4CX50PAVT49</v>
      </c>
      <c r="V1" s="2351"/>
      <c r="W1" s="2351"/>
      <c r="X1" s="2351"/>
      <c r="Y1" s="2351"/>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"&amp;'VN1'!I4&amp;'VN1'!J4</f>
        <v>VN:  8031/64/2010/13RE-1234/0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"&amp;berekeningen!K7</f>
        <v>TF:  8031/1234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("&amp;algemeen!L96&amp;")"</f>
        <v>Instelwaarden voor de asfaltmenginstallatie ()</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2" t="s">
        <v>1619</v>
      </c>
      <c r="B23" s="2362"/>
      <c r="C23" s="2362"/>
      <c r="D23" s="2362"/>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5" t="s">
        <v>1164</v>
      </c>
      <c r="C2" s="2366"/>
      <c r="D2" s="2366"/>
      <c r="E2" s="2367"/>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3" t="s">
        <v>1185</v>
      </c>
      <c r="C11" s="2363"/>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4" t="s">
        <v>1184</v>
      </c>
      <c r="C31" s="2364"/>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5" t="s">
        <v>1656</v>
      </c>
      <c r="C46" s="2367"/>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2026-04-29T09:01:42Z</dcterms:modified>
</cp:coreProperties>
</file>