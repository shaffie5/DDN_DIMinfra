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fileSharing userName="Van Dam Jordy" algorithmName="SHA-512" hashValue="RBBDMjQdDabBbuIP++Gi7HiHDNwA/R0PQVdaymciMpdHLcWDSFaHURdTXMXtOQyBwdzwkWm6ujZvRtxPEAIfBQ==" saltValue="RBTSfin51oqGu78+zocbdw==" spinCount="100000"/>
  <workbookPr defaultThemeVersion="124226"/>
  <mc:AlternateContent xmlns:mc="http://schemas.openxmlformats.org/markup-compatibility/2006">
    <mc:Choice Requires="x15">
      <x15ac:absPath xmlns:x15ac="http://schemas.microsoft.com/office/spreadsheetml/2010/11/ac" url="U:\DATA\Producten\Zwart\Bitumineuze mengsels\Voorstudies algemeen\Software vn\ontwerp\"/>
    </mc:Choice>
  </mc:AlternateContent>
  <xr:revisionPtr revIDLastSave="0" documentId="13_ncr:10001_{F7D8D157-5A89-4444-8E06-D40ACA8E3431}" xr6:coauthVersionLast="47" xr6:coauthVersionMax="47" xr10:uidLastSave="{00000000-0000-0000-0000-000000000000}"/>
  <bookViews>
    <workbookView xWindow="-28920" yWindow="855" windowWidth="29040" windowHeight="1572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0" i="31" l="1"/>
  <c r="G20" i="31"/>
  <c r="E20" i="31"/>
  <c r="C22" i="31"/>
  <c r="C21" i="31"/>
  <c r="C20" i="31"/>
  <c r="E22" i="31"/>
  <c r="E21" i="31"/>
  <c r="I52" i="31"/>
  <c r="G52" i="31"/>
  <c r="E52" i="31"/>
  <c r="I53" i="31"/>
  <c r="G53" i="31"/>
  <c r="E53" i="31"/>
  <c r="I54" i="31"/>
  <c r="G54" i="31"/>
  <c r="E54" i="31"/>
  <c r="I55" i="31"/>
  <c r="G55" i="31"/>
  <c r="E55" i="31"/>
  <c r="I56" i="31"/>
  <c r="G56" i="31"/>
  <c r="E56" i="31"/>
  <c r="D55" i="31"/>
  <c r="D54" i="31"/>
  <c r="I41" i="31"/>
  <c r="I42" i="31"/>
  <c r="I43" i="31"/>
  <c r="I44" i="31"/>
  <c r="I45" i="31"/>
  <c r="I46" i="31"/>
  <c r="I47" i="31"/>
  <c r="I48" i="31"/>
  <c r="I49" i="31"/>
  <c r="G41" i="31"/>
  <c r="G42" i="31"/>
  <c r="G43" i="31"/>
  <c r="G44" i="31"/>
  <c r="G45" i="31"/>
  <c r="G46" i="31"/>
  <c r="G47" i="31"/>
  <c r="G48" i="31"/>
  <c r="E41" i="31"/>
  <c r="E42" i="31"/>
  <c r="E43" i="31"/>
  <c r="E44" i="31"/>
  <c r="E45" i="31"/>
  <c r="E46" i="31"/>
  <c r="E47" i="31"/>
  <c r="E48" i="31"/>
  <c r="E49" i="31"/>
  <c r="I40" i="31"/>
  <c r="G40" i="31"/>
  <c r="E40" i="31"/>
  <c r="C41" i="31"/>
  <c r="C42" i="31"/>
  <c r="C43" i="31"/>
  <c r="C44" i="31"/>
  <c r="C45" i="31"/>
  <c r="C46" i="31"/>
  <c r="C47" i="31"/>
  <c r="C48" i="31"/>
  <c r="C49" i="31"/>
  <c r="C40" i="31"/>
  <c r="D41" i="31"/>
  <c r="D42" i="31"/>
  <c r="D43" i="31"/>
  <c r="D44" i="31"/>
  <c r="D45" i="31"/>
  <c r="D46" i="31"/>
  <c r="D47" i="31"/>
  <c r="D48" i="31"/>
  <c r="D49" i="31"/>
  <c r="D40" i="31"/>
  <c r="I37" i="31"/>
  <c r="I38" i="31"/>
  <c r="G37" i="31"/>
  <c r="G38" i="31"/>
  <c r="E37" i="31"/>
  <c r="E38" i="31"/>
  <c r="I36" i="31"/>
  <c r="G36" i="31"/>
  <c r="E36" i="31"/>
  <c r="D34" i="31"/>
  <c r="I34" i="31"/>
  <c r="G34" i="31"/>
  <c r="E34" i="31"/>
  <c r="E26" i="31"/>
  <c r="G26" i="31"/>
  <c r="I26" i="31"/>
  <c r="E27" i="31"/>
  <c r="G27" i="31"/>
  <c r="I27" i="31"/>
  <c r="E28" i="31"/>
  <c r="G28" i="31"/>
  <c r="I28" i="31"/>
  <c r="E29" i="31"/>
  <c r="G29" i="31"/>
  <c r="I29" i="31"/>
  <c r="E30" i="31"/>
  <c r="G30" i="31"/>
  <c r="I30" i="31"/>
  <c r="E31" i="31"/>
  <c r="G31" i="31"/>
  <c r="I31" i="31"/>
  <c r="E32" i="31"/>
  <c r="G32" i="31"/>
  <c r="I32" i="31"/>
  <c r="E33" i="31"/>
  <c r="G33" i="31"/>
  <c r="I33" i="31"/>
  <c r="I25" i="31"/>
  <c r="G25" i="31"/>
  <c r="E25" i="31"/>
  <c r="D26" i="31"/>
  <c r="D27" i="31"/>
  <c r="D28" i="31"/>
  <c r="D29" i="31"/>
  <c r="D30" i="31"/>
  <c r="D31" i="31"/>
  <c r="D32" i="31"/>
  <c r="D33" i="31"/>
  <c r="D25" i="31"/>
  <c r="C26" i="31"/>
  <c r="C27" i="31"/>
  <c r="C28" i="31"/>
  <c r="C29" i="31"/>
  <c r="C30" i="31"/>
  <c r="C31" i="31"/>
  <c r="C32" i="31"/>
  <c r="C33" i="31"/>
  <c r="C25" i="31"/>
  <c r="I15" i="31"/>
  <c r="G15" i="31"/>
  <c r="E15" i="31"/>
  <c r="I9" i="31"/>
  <c r="G9" i="31"/>
  <c r="E9" i="31"/>
  <c r="G13" i="31"/>
  <c r="I13" i="31"/>
  <c r="E13" i="31"/>
  <c r="I12" i="31"/>
  <c r="G12" i="31"/>
  <c r="E12" i="31"/>
  <c r="E4" i="31"/>
  <c r="I11" i="31"/>
  <c r="G11" i="31"/>
  <c r="E11" i="31"/>
  <c r="I8" i="31"/>
  <c r="I23" i="31" s="1"/>
  <c r="G8" i="31"/>
  <c r="G23" i="31" s="1"/>
  <c r="E8" i="31"/>
  <c r="E23" i="31" s="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<sst xmlns="http://schemas.openxmlformats.org/spreadsheetml/2006/main" count="4689" uniqueCount="1714">
  <si>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</si>
  <si>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</si>
  <si>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</si>
  <si>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</si>
  <si>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</si>
  <si>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</si>
  <si>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</si>
  <si>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</si>
  <si>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</si>
  <si>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</si>
  <si>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</si>
  <si>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</si>
  <si>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</si>
  <si>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</si>
  <si>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</si>
  <si>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</si>
  <si>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</si>
  <si>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</si>
  <si>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</si>
  <si>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</si>
  <si>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</si>
  <si>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</si>
  <si>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</si>
  <si>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</si>
  <si>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</si>
  <si>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</si>
  <si>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</si>
  <si>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</si>
  <si>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</si>
  <si>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</si>
  <si>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</si>
  <si>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</si>
  <si>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</si>
  <si>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</si>
  <si>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</si>
  <si>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</si>
  <si>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</si>
  <si>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</si>
  <si>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</si>
  <si>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</si>
  <si>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</si>
  <si>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</si>
  <si>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</si>
  <si>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</si>
  <si>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</si>
  <si>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</si>
  <si>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</si>
  <si>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</si>
  <si>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</si>
  <si>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</si>
  <si>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</si>
  <si>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</si>
  <si>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</si>
  <si>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</si>
  <si>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</si>
  <si>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</si>
  <si>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</si>
  <si>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</si>
  <si>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</si>
  <si>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</si>
  <si>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</si>
  <si>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</si>
  <si>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</si>
  <si>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</si>
  <si>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</si>
  <si>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</si>
  <si>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</si>
  <si>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</si>
  <si>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</si>
  <si>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</si>
  <si>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</si>
  <si>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</si>
  <si>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</si>
  <si>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</si>
  <si>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</si>
  <si>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</si>
  <si>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</si>
  <si>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</si>
  <si>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</si>
  <si>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</si>
  <si>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</si>
  <si>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</si>
  <si>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</si>
  <si>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</si>
  <si>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</si>
  <si>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</si>
  <si>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</si>
  <si>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</si>
  <si>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</si>
  <si>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</si>
  <si>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</si>
  <si>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</si>
  <si>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</si>
  <si>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</si>
  <si>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</si>
  <si>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</si>
  <si>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</si>
  <si>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</si>
  <si>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</si>
  <si>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</si>
  <si>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</si>
  <si>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</si>
  <si>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</si>
  <si>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</si>
  <si>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</si>
  <si>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</si>
  <si>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</si>
  <si>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</si>
  <si>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</si>
  <si>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</si>
  <si>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</si>
  <si>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</si>
  <si>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</si>
  <si>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</si>
  <si>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</si>
  <si>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</si>
  <si>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</si>
  <si>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</si>
  <si>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</si>
  <si>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</si>
  <si>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</si>
  <si>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</si>
  <si>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</si>
  <si>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</si>
  <si>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</si>
  <si>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</si>
  <si>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</si>
  <si>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</si>
  <si>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</si>
  <si>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</si>
  <si>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</si>
  <si>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</si>
  <si>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</si>
  <si>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</si>
  <si>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</si>
  <si>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</si>
  <si>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</si>
  <si>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</si>
  <si>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</si>
  <si>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</si>
  <si>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</si>
  <si>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</si>
  <si>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</si>
  <si>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</si>
  <si>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</si>
  <si>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</si>
  <si>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</si>
  <si>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</si>
  <si>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</si>
  <si>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</si>
  <si>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</si>
  <si>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</si>
  <si>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</si>
  <si>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</si>
  <si>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</si>
  <si>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</si>
  <si>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</si>
  <si>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</si>
  <si>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</si>
  <si>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</si>
  <si>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</si>
  <si>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</si>
  <si>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</si>
  <si>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</si>
  <si>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</si>
  <si>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</si>
  <si>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</si>
  <si>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</si>
  <si>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</si>
  <si>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</si>
  <si>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</si>
  <si>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</si>
  <si>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</si>
  <si>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</si>
  <si>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</si>
  <si>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</si>
  <si>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</si>
  <si>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</si>
  <si>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</si>
  <si>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</si>
  <si>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</si>
  <si>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</si>
  <si>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</si>
  <si>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</si>
  <si>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</si>
  <si>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</si>
  <si>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</si>
  <si>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</si>
  <si>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</si>
  <si>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</si>
  <si>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</si>
  <si>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</si>
  <si>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</si>
  <si>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</si>
  <si>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</si>
  <si>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</si>
  <si>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</si>
  <si>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</si>
  <si>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</si>
  <si>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</si>
  <si>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</si>
  <si>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</si>
  <si>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</si>
  <si>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</si>
  <si>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</si>
  <si>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</si>
  <si>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</si>
  <si>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</si>
  <si>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</si>
  <si>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</si>
  <si>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</si>
  <si>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</si>
  <si>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</si>
  <si>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</si>
  <si>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</si>
  <si>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</si>
  <si>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</si>
  <si>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</si>
  <si>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</si>
  <si>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</si>
  <si>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</si>
  <si>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</si>
  <si>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</si>
  <si>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</si>
  <si>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</si>
  <si>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</si>
  <si>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</si>
  <si>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</si>
  <si>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</si>
  <si>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</si>
  <si>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</si>
  <si>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</si>
  <si>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</si>
  <si>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</si>
  <si>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</si>
  <si>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</si>
  <si>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</si>
  <si>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</si>
  <si>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</si>
  <si>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</si>
  <si>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</si>
  <si>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</si>
  <si>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</si>
  <si>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</si>
  <si>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</si>
  <si>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</si>
  <si>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</si>
  <si>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</si>
  <si>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</si>
  <si>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</si>
  <si>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</si>
  <si>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</si>
  <si>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</si>
  <si>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</si>
  <si>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</si>
  <si>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</si>
  <si>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</si>
  <si>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</si>
  <si>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</si>
  <si>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</si>
  <si>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</si>
  <si>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</si>
  <si>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</si>
  <si>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</si>
  <si>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</si>
  <si>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</si>
  <si>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</si>
  <si>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</si>
  <si>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</si>
  <si>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</si>
  <si>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</si>
  <si>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</si>
  <si>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</si>
  <si>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</si>
  <si>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</si>
  <si>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</si>
  <si>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</si>
  <si>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</si>
  <si>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</si>
  <si>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</si>
  <si>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</si>
  <si>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</si>
  <si>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</si>
  <si>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</si>
  <si>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</si>
  <si>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</si>
  <si>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</si>
  <si>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</si>
  <si>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</si>
  <si>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</si>
  <si>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</si>
  <si>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</si>
  <si>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</si>
  <si>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</si>
  <si>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</si>
  <si>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</si>
  <si>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</si>
  <si>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</si>
  <si>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</si>
  <si>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</si>
  <si>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</si>
  <si>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</si>
  <si>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</si>
  <si>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</si>
  <si>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</si>
  <si>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</si>
  <si>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</si>
  <si>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</si>
  <si>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</si>
  <si>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</si>
  <si>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</si>
  <si>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</si>
  <si>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</si>
  <si>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</si>
  <si>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</si>
  <si>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</si>
  <si>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</si>
  <si>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</si>
  <si>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</si>
  <si>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</si>
  <si>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</si>
  <si>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</si>
  <si>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</si>
  <si>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</si>
  <si>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</si>
  <si>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</si>
  <si>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</si>
  <si>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</si>
  <si>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</si>
  <si>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</si>
  <si>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</si>
  <si>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</si>
  <si>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</si>
  <si>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</si>
  <si>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</si>
  <si>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</si>
  <si>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</si>
  <si>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</si>
  <si>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</si>
  <si>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</si>
  <si>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</si>
  <si>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</si>
  <si>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</si>
  <si>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</si>
  <si>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</si>
  <si>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</si>
  <si>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</si>
  <si>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</si>
  <si>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</si>
  <si>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</si>
  <si>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</si>
  <si>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</si>
  <si>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</si>
  <si>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</si>
  <si>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</si>
  <si>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</si>
  <si>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</si>
  <si>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</si>
  <si>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</si>
  <si>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</si>
  <si>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</si>
  <si>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</si>
  <si>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</si>
  <si>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</si>
  <si>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</si>
  <si>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</si>
  <si>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</si>
  <si>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</si>
  <si>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</si>
  <si>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</si>
  <si>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</si>
  <si>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</si>
  <si>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</si>
  <si>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</si>
  <si>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</si>
  <si>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</si>
  <si>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</si>
  <si>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</si>
  <si>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</si>
  <si>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</si>
  <si>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</si>
  <si>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</si>
  <si>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</si>
  <si>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</si>
  <si>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</si>
  <si>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</si>
  <si>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</si>
  <si>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</si>
  <si>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</si>
  <si>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</si>
  <si>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</si>
  <si>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</si>
  <si>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</si>
  <si>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</si>
  <si>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</si>
  <si>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</si>
  <si>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</si>
  <si>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</si>
  <si>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</si>
  <si>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</si>
  <si>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</si>
  <si>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</si>
  <si>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</si>
  <si>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</si>
  <si>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</si>
  <si>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</si>
  <si>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</si>
  <si>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</si>
  <si>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</si>
  <si>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</si>
  <si>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</si>
  <si>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</si>
  <si>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</si>
  <si>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</si>
  <si>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</si>
  <si>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</si>
  <si>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</si>
  <si>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</si>
  <si>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</si>
  <si>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</si>
  <si>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</si>
  <si>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</si>
  <si>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</si>
  <si>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</si>
  <si>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</si>
  <si>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</si>
  <si>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</si>
  <si>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</si>
  <si>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</si>
  <si>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</si>
  <si>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</si>
  <si>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</si>
  <si>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</si>
  <si>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</si>
  <si>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</si>
  <si>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</si>
  <si>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</si>
  <si>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</si>
  <si>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</si>
  <si>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</si>
  <si>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</si>
  <si>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</si>
  <si>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</si>
  <si>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</si>
  <si>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</si>
  <si>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</si>
  <si>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</si>
  <si>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</si>
  <si>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</si>
  <si>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</si>
  <si>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</si>
  <si>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</si>
  <si>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</si>
  <si>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</si>
  <si>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</si>
  <si>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</si>
  <si>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</si>
  <si>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</si>
  <si>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</si>
  <si>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</si>
  <si>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</si>
  <si>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</si>
  <si>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</si>
  <si>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</si>
  <si>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</si>
  <si>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</si>
  <si>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</si>
  <si>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</si>
  <si>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</si>
  <si>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</si>
  <si>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</si>
  <si>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</si>
  <si>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</si>
  <si>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</si>
  <si>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</si>
  <si>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</si>
  <si>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</si>
  <si>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</si>
  <si>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</si>
  <si>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</si>
  <si>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</si>
  <si>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</si>
  <si>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</si>
  <si>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</si>
  <si>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</si>
  <si>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</si>
  <si>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</si>
  <si>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</si>
  <si>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</si>
  <si>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</si>
  <si>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</si>
  <si>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</si>
  <si>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</si>
  <si>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</si>
  <si>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</si>
  <si>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</si>
  <si>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</si>
  <si>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</si>
  <si>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</si>
  <si>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</si>
  <si>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</si>
  <si>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</si>
  <si>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</si>
  <si>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</si>
  <si>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</si>
  <si>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</si>
  <si>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</si>
  <si>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</si>
  <si>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</si>
  <si>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</si>
  <si>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</si>
  <si>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</si>
  <si>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</si>
  <si>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</si>
  <si>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</si>
  <si>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</si>
  <si>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</si>
  <si>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</si>
  <si>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</si>
  <si>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</si>
  <si>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</si>
  <si>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</si>
  <si>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</si>
  <si>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</si>
  <si>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</si>
  <si>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</si>
  <si>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</si>
  <si>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</si>
  <si>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</si>
  <si>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</si>
  <si>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</si>
  <si>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</si>
  <si>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</si>
  <si>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</si>
  <si>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</si>
  <si>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</si>
  <si>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</si>
  <si>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</si>
  <si>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</si>
  <si>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</si>
  <si>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</si>
  <si>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</si>
  <si>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</si>
  <si>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</si>
  <si>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</si>
  <si>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</si>
  <si>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</si>
  <si>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</si>
  <si>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</si>
  <si>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</si>
  <si>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</si>
  <si>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</si>
  <si>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</si>
  <si>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</si>
  <si>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</si>
  <si>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</si>
  <si>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</si>
  <si>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</si>
  <si>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</si>
  <si>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</si>
  <si>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</si>
  <si>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</si>
  <si>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</si>
  <si>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</si>
  <si>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</si>
  <si>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</si>
  <si>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</si>
  <si>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</si>
  <si>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</si>
  <si>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</si>
  <si>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</si>
  <si>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</si>
  <si>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</si>
  <si>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</si>
  <si>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</si>
  <si>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</si>
  <si>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</si>
  <si>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</si>
  <si>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</si>
  <si>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</si>
  <si>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</si>
  <si>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</si>
  <si>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</si>
  <si>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</si>
  <si>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</si>
  <si>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</si>
  <si>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</si>
  <si>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</si>
  <si>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</si>
  <si>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</si>
  <si>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</si>
  <si>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</si>
  <si>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</si>
  <si>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</si>
  <si>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</si>
  <si>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</si>
  <si>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</si>
  <si>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</si>
  <si>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</si>
  <si>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</si>
  <si>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</si>
  <si>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</si>
  <si>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</si>
  <si>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</si>
  <si>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</si>
  <si>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</si>
  <si>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</si>
  <si>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</si>
  <si>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</si>
  <si>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</si>
  <si>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</si>
  <si>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</si>
  <si>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</si>
  <si>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</si>
  <si>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</si>
  <si>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</si>
  <si>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</si>
  <si>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</si>
  <si>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</si>
  <si>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</si>
  <si>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</si>
  <si>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</si>
  <si>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</si>
  <si>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</si>
  <si>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</si>
  <si>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</si>
  <si>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</si>
  <si>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</si>
  <si>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</si>
  <si>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</si>
  <si>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</si>
  <si>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</si>
  <si>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</si>
  <si>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</si>
  <si>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</si>
  <si>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</si>
  <si>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</si>
  <si>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</si>
  <si>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</si>
  <si>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</si>
  <si>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</si>
  <si>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</si>
  <si>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</si>
  <si>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</si>
  <si>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</si>
  <si>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</si>
  <si>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</si>
  <si>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</si>
  <si>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</si>
  <si>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</si>
  <si>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</si>
  <si>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</si>
  <si>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</si>
  <si>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</si>
  <si>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</si>
  <si>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</si>
  <si>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</si>
  <si>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</si>
  <si>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</si>
  <si>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</si>
  <si>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</si>
  <si>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</si>
  <si>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</si>
  <si>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</si>
  <si>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</si>
  <si>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</si>
  <si>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</si>
  <si>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</si>
  <si>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</si>
  <si>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</si>
  <si>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</si>
  <si>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</si>
  <si>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</si>
  <si>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</si>
  <si>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</si>
  <si>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</si>
  <si>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</si>
  <si>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</si>
  <si>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</si>
  <si>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</si>
  <si>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</si>
  <si>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</si>
  <si>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</si>
  <si>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</si>
  <si>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</si>
  <si>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</si>
  <si>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</si>
  <si>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</si>
  <si>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</si>
  <si>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</si>
  <si>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</si>
  <si>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</si>
  <si>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</si>
  <si>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</si>
  <si>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</si>
  <si>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</si>
  <si>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</si>
  <si>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</si>
  <si>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</si>
  <si>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</si>
  <si>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</si>
  <si>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</si>
  <si>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</si>
  <si>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</si>
  <si>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</si>
  <si>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</si>
  <si>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</si>
  <si>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</si>
  <si>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</si>
  <si>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</si>
  <si>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</si>
  <si>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</si>
  <si>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</si>
  <si>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</si>
  <si>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</si>
  <si>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</si>
  <si>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</si>
  <si>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</si>
  <si>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</si>
  <si>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</si>
  <si>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</si>
  <si>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</si>
  <si>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</si>
  <si>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</si>
  <si>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</si>
  <si>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</si>
  <si>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</si>
  <si>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</si>
  <si>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</si>
  <si>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</si>
  <si>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</si>
  <si>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</si>
  <si>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</si>
  <si>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</si>
  <si>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</si>
  <si>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</si>
  <si>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</si>
  <si>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</si>
  <si>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</si>
  <si>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</si>
  <si>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</si>
  <si>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</si>
  <si>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</si>
  <si>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</si>
  <si>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</si>
  <si>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</si>
  <si>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</si>
  <si>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</si>
  <si>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</si>
  <si>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</si>
  <si>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</si>
  <si>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</si>
  <si>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</si>
  <si>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</si>
  <si>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</si>
  <si>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</si>
  <si>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</si>
  <si>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</si>
  <si>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</si>
  <si>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</si>
  <si>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</si>
  <si>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</si>
  <si>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</si>
  <si>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</si>
  <si>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</si>
  <si>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</si>
  <si>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</si>
  <si>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</si>
  <si>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</si>
  <si>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</si>
  <si>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</si>
  <si>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</si>
  <si>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</si>
  <si>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</si>
  <si>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</si>
  <si>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</si>
  <si>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</si>
  <si>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</si>
  <si>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</si>
  <si>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</si>
  <si>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</si>
  <si>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</si>
  <si>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</si>
  <si>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</si>
  <si>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</si>
  <si>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</si>
  <si>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</si>
  <si>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</si>
  <si>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</si>
  <si>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</si>
  <si>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</si>
  <si>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</si>
  <si>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</si>
  <si>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</si>
  <si>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</si>
  <si>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</si>
  <si>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</si>
  <si>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</si>
  <si>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</si>
  <si>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</si>
  <si>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</si>
  <si>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</si>
  <si>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</si>
  <si>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</si>
  <si>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</si>
  <si>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</si>
  <si>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</si>
  <si>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</si>
  <si>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</si>
  <si>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</si>
  <si>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</si>
  <si>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</si>
  <si>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</si>
  <si>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</si>
  <si>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</si>
  <si>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</si>
  <si>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</si>
  <si>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</si>
  <si>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</si>
  <si>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</si>
  <si>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</si>
  <si>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</si>
  <si>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</si>
  <si>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</si>
  <si>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</si>
  <si>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</si>
  <si>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</si>
  <si>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</si>
  <si>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</si>
  <si>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</si>
  <si>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</si>
  <si>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</si>
  <si>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</si>
  <si>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</si>
  <si>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</si>
  <si>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</si>
  <si>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</si>
  <si>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</si>
  <si>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</si>
  <si>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</si>
  <si>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</si>
  <si>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</si>
  <si>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</si>
  <si>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</si>
  <si>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</si>
  <si>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</si>
  <si>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</si>
  <si>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</si>
  <si>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</si>
  <si>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</si>
  <si>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</si>
  <si>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</si>
  <si>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</si>
  <si>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</si>
  <si>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</si>
  <si>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</si>
  <si>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</si>
  <si>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</si>
  <si>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</si>
  <si>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</si>
  <si>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</si>
  <si>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</si>
  <si>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</si>
  <si>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</si>
  <si>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</si>
  <si>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</si>
  <si>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</si>
  <si>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</si>
  <si>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</si>
  <si>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</si>
  <si>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</si>
  <si>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</si>
  <si>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</si>
  <si>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</si>
  <si>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</si>
  <si>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</si>
  <si>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</si>
  <si>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</si>
  <si>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</si>
  <si>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</si>
  <si>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</si>
  <si>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</si>
  <si>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</si>
  <si>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</si>
  <si>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</si>
  <si>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</si>
  <si>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</si>
  <si>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</si>
  <si>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</si>
  <si>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</si>
  <si>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</si>
  <si>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</si>
  <si>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</si>
  <si>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</si>
  <si>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</si>
  <si>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</si>
  <si>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</si>
  <si>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</si>
  <si>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</si>
  <si>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</si>
  <si>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</si>
  <si>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</si>
  <si>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</si>
  <si>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</si>
  <si>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</si>
  <si>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</si>
  <si>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</si>
  <si>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</si>
  <si>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</si>
  <si>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</si>
  <si>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</si>
  <si>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</si>
  <si>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</si>
  <si>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</si>
  <si>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</si>
  <si>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</si>
  <si>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</si>
  <si>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</si>
  <si>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</si>
  <si>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</si>
  <si>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</si>
  <si>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</si>
  <si>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</si>
  <si>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</si>
  <si>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</si>
  <si>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</si>
  <si>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</si>
  <si>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</si>
  <si>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</si>
  <si>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</si>
  <si>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</si>
  <si>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</si>
  <si>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</si>
  <si>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</si>
  <si>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</si>
  <si>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</si>
  <si>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</si>
  <si>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</si>
  <si>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</si>
  <si>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</si>
  <si>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</si>
  <si>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</si>
  <si>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</si>
  <si>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</si>
  <si>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</si>
  <si>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</si>
  <si>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</si>
  <si>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</si>
  <si>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</si>
  <si>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</si>
  <si>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</si>
  <si>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</si>
  <si>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</si>
  <si>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</si>
  <si>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</si>
  <si>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</si>
  <si>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</si>
  <si>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</si>
  <si>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</si>
  <si>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</si>
  <si>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</si>
  <si>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</si>
  <si>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</si>
  <si>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</si>
  <si>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</si>
  <si>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</si>
  <si>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</si>
  <si>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</si>
  <si>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</si>
  <si>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</si>
  <si>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</si>
  <si>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</si>
  <si>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</si>
  <si>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</si>
  <si>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</si>
  <si>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</si>
  <si>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</si>
  <si>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</si>
  <si>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</si>
  <si>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</si>
  <si>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</si>
  <si>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</si>
  <si>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</si>
  <si>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</si>
  <si>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</si>
  <si>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</si>
  <si>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</si>
  <si>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</si>
  <si>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</si>
  <si>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</si>
  <si>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</si>
  <si>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</si>
  <si>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</si>
  <si>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</si>
  <si>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</si>
  <si>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</si>
  <si>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</si>
  <si>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</si>
  <si>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</si>
  <si>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</si>
  <si>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</si>
  <si>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</si>
  <si>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</si>
  <si>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</si>
  <si>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</si>
  <si>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</si>
  <si>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</si>
  <si>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</si>
  <si>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</si>
  <si>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</si>
  <si>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</si>
  <si>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</si>
  <si>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</si>
  <si>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</si>
  <si>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</si>
  <si>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</si>
  <si>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</si>
  <si>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</si>
  <si>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</si>
  <si>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</si>
  <si>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</si>
  <si>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</si>
  <si>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</si>
  <si>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</si>
  <si>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</si>
  <si>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</si>
  <si>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</si>
  <si>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</si>
  <si>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</si>
  <si>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</si>
  <si>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</si>
  <si>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</si>
  <si>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</si>
  <si>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</si>
  <si>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</si>
  <si>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</si>
  <si>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</si>
  <si>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</si>
  <si>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</si>
  <si>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</si>
  <si>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</si>
  <si>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</si>
  <si>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</si>
  <si>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</si>
  <si>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</si>
  <si>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</si>
  <si>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</si>
  <si>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</si>
  <si>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</si>
  <si>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</si>
  <si>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</si>
  <si>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</si>
  <si>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</si>
  <si>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</si>
  <si>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</si>
  <si>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</si>
  <si>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</si>
  <si>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</si>
  <si>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</si>
  <si>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</si>
  <si>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</si>
  <si>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</si>
  <si>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</si>
  <si>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</si>
  <si>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</si>
  <si>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</si>
  <si>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</si>
  <si>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</si>
  <si>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</si>
  <si>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</si>
  <si>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</si>
  <si>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</si>
  <si>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</si>
  <si>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</si>
  <si>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</si>
  <si>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</si>
  <si>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</si>
  <si>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</si>
  <si>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</si>
  <si>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</si>
  <si>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</si>
  <si>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</si>
  <si>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</si>
  <si>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</si>
  <si>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</si>
  <si>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</si>
  <si>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</si>
  <si>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</si>
  <si>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</si>
  <si>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</si>
  <si>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</si>
  <si>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</si>
  <si>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</si>
  <si>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</si>
  <si>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</si>
  <si>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</si>
  <si>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</si>
  <si>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</si>
  <si>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</si>
  <si>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</si>
  <si>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</si>
  <si>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</si>
  <si>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</si>
  <si>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</si>
  <si>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</si>
  <si>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</si>
  <si>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</si>
  <si>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</si>
  <si>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</si>
  <si>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</si>
  <si>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</si>
  <si>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</si>
  <si>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</si>
  <si>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</si>
  <si>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</si>
  <si>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</si>
  <si>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</si>
  <si>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</si>
  <si>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</si>
  <si>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</si>
  <si>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</si>
  <si>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</si>
  <si>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</si>
  <si>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</si>
  <si>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</si>
  <si>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</si>
  <si>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</si>
  <si>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</si>
  <si>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</si>
  <si>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</si>
  <si>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</si>
  <si>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</si>
  <si>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</si>
  <si>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</si>
  <si>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</si>
  <si>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</si>
  <si>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</si>
  <si>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</si>
  <si>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</si>
  <si>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</si>
  <si>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</si>
  <si>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</si>
  <si>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</si>
  <si>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</si>
  <si>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</si>
  <si>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</si>
  <si>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</si>
  <si>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</si>
  <si>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</si>
  <si>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</si>
  <si>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</si>
  <si>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</si>
  <si>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</si>
  <si>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</si>
  <si>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</si>
  <si>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</si>
  <si>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</si>
  <si>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</si>
  <si>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</si>
  <si>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</si>
  <si>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</si>
  <si>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</si>
  <si>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</si>
  <si>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</si>
  <si>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</si>
  <si>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</si>
  <si>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</si>
  <si>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</si>
  <si>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</si>
  <si>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</si>
  <si>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</si>
  <si>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</si>
  <si>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</si>
  <si>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</si>
  <si>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</si>
  <si>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</si>
  <si>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</si>
  <si>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</si>
  <si>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</si>
  <si>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</si>
  <si>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</si>
  <si>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</si>
  <si>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</si>
  <si>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</si>
  <si>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</si>
  <si>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</si>
  <si>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</si>
  <si>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</si>
  <si>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</si>
  <si>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</si>
  <si>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</si>
  <si>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</si>
  <si>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</si>
  <si>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</si>
  <si>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</si>
  <si>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</si>
  <si>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</si>
  <si>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</si>
  <si>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</si>
  <si>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</si>
  <si>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</si>
  <si>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</si>
  <si>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</si>
  <si>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</si>
  <si>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</si>
  <si>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</si>
  <si>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</si>
  <si>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</si>
  <si>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</si>
  <si>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</si>
  <si>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</si>
  <si>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</si>
  <si>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</si>
  <si>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</si>
  <si>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</si>
  <si>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</si>
  <si>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</si>
  <si>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</si>
  <si>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</si>
  <si>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</si>
  <si>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</si>
  <si>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</si>
  <si>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</si>
  <si>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</si>
  <si>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</si>
  <si>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</si>
  <si>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</si>
  <si>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</si>
  <si>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</si>
  <si>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</si>
  <si>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</si>
  <si>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</si>
  <si>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</si>
  <si>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</si>
  <si>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</si>
  <si>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</si>
  <si>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</si>
  <si>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</si>
  <si>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</si>
  <si>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</si>
  <si>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</si>
  <si>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</si>
  <si>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</si>
  <si>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</si>
  <si>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</si>
  <si>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</si>
  <si>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</si>
  <si>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</si>
  <si>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</si>
  <si>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</si>
  <si>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</si>
  <si>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</si>
  <si>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</si>
  <si>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</si>
  <si>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</si>
  <si>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</si>
  <si>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</si>
  <si>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</si>
  <si>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</si>
  <si>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</si>
  <si>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</si>
  <si>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</si>
  <si>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</si>
  <si>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</si>
  <si>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</si>
  <si>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</si>
  <si>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</si>
  <si>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</si>
  <si>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</si>
  <si>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</si>
  <si>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</si>
  <si>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</si>
  <si>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</si>
  <si>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</si>
  <si>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</si>
  <si>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</si>
  <si>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</si>
  <si>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</si>
  <si>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</si>
  <si>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</si>
  <si>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</si>
  <si>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</si>
  <si>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</si>
  <si>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</si>
  <si>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</si>
  <si>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</si>
  <si>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</si>
  <si>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</si>
  <si>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</si>
  <si>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</si>
  <si>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</si>
  <si>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</si>
  <si>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</si>
  <si>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</si>
  <si>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</si>
  <si>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</si>
  <si>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</si>
  <si>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</si>
  <si>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</si>
  <si>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</si>
  <si>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</si>
  <si>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</si>
  <si>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</si>
  <si>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</si>
  <si>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</si>
  <si>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</si>
  <si>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</si>
  <si>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</si>
  <si>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</si>
  <si>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</si>
  <si>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</si>
  <si>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</si>
  <si>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</si>
  <si>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</si>
  <si>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</si>
  <si>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</si>
  <si>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</si>
  <si>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</si>
  <si>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</si>
  <si>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</si>
  <si>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</si>
  <si>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</si>
  <si>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</si>
  <si>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</si>
  <si>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</si>
  <si>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</si>
  <si>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</si>
  <si>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</si>
  <si>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</si>
  <si>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</si>
  <si>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</si>
  <si>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</si>
  <si>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</si>
  <si>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</si>
  <si>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</si>
  <si>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</si>
  <si>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</si>
  <si>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</si>
  <si>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</si>
  <si>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</si>
  <si>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</si>
  <si>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</si>
  <si>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</si>
  <si>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</si>
  <si>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</si>
  <si>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</si>
  <si>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</si>
  <si>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</si>
  <si>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</si>
  <si>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</si>
  <si>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</si>
  <si>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</si>
  <si>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</si>
  <si>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</si>
  <si>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</si>
  <si>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</si>
  <si>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</si>
  <si>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</si>
  <si>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</si>
  <si>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</si>
  <si>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</si>
  <si>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</si>
  <si>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</si>
  <si>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</si>
  <si>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</si>
  <si>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</si>
  <si>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</si>
  <si>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</si>
  <si>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</si>
  <si>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</si>
  <si>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</si>
  <si>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</si>
  <si>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</si>
  <si>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</si>
  <si>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</si>
  <si>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</si>
  <si>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</si>
  <si>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</si>
  <si>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</si>
  <si>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</si>
  <si>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</si>
  <si>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</si>
  <si>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</si>
  <si>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</si>
  <si>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</si>
  <si>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</si>
  <si>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</si>
  <si>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</si>
  <si>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</si>
  <si>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</si>
  <si>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</si>
  <si>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</si>
  <si>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</si>
  <si>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</si>
  <si>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</si>
  <si>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</si>
  <si>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</si>
  <si>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</si>
  <si>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</si>
  <si>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</si>
  <si>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</si>
  <si>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</si>
  <si>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</si>
  <si>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</si>
  <si>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</si>
  <si>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</si>
  <si>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</si>
  <si>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</si>
  <si>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</si>
  <si>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</si>
  <si>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</si>
  <si>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</si>
  <si>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</si>
  <si>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</si>
  <si>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</si>
  <si>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</si>
  <si>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</si>
  <si>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</si>
  <si>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</si>
  <si>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</si>
  <si>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</si>
  <si>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</si>
  <si>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</si>
  <si>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</si>
  <si>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</si>
  <si>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</si>
  <si>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</si>
  <si>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</si>
  <si>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</si>
  <si>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</si>
  <si>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</si>
  <si>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</si>
  <si>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</si>
  <si>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</si>
  <si>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</si>
  <si>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</si>
  <si>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</si>
  <si>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</si>
  <si>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</si>
  <si>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</si>
  <si>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</si>
  <si>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</si>
  <si>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</si>
  <si>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</si>
  <si>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</si>
  <si>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</si>
  <si>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</si>
  <si>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</si>
  <si>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</si>
  <si>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</si>
  <si>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</si>
  <si>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</si>
  <si>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</si>
  <si>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</si>
  <si>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</si>
  <si>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</si>
  <si>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</si>
  <si>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</si>
  <si>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</si>
  <si>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</si>
  <si>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</si>
  <si>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</si>
  <si>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</si>
  <si>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</si>
  <si>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</si>
  <si>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</si>
  <si>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</si>
  <si>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</si>
  <si>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</si>
  <si>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</si>
  <si>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</si>
  <si>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</si>
  <si>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</si>
  <si>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</si>
  <si>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</si>
  <si>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</si>
  <si>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</si>
  <si>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</si>
  <si>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</si>
  <si>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</si>
  <si>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</si>
  <si>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</si>
  <si>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</si>
  <si>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</si>
  <si>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</si>
  <si>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</si>
  <si>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</si>
  <si>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</si>
  <si>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</si>
  <si>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</si>
  <si>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</si>
  <si>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</si>
  <si>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</si>
  <si>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</si>
  <si>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</si>
  <si>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</si>
  <si>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</si>
  <si>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</si>
  <si>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</si>
  <si>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</si>
  <si>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</si>
  <si>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</si>
  <si>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</si>
  <si>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</si>
  <si>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</si>
  <si>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</si>
  <si>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</si>
  <si>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</si>
  <si>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</si>
  <si>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</si>
  <si>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</si>
  <si>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</si>
  <si>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</si>
  <si>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</si>
  <si>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</si>
  <si>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</si>
  <si>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</si>
  <si>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</si>
  <si>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</si>
  <si>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</si>
  <si>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</si>
  <si>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</si>
  <si>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</si>
  <si>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</si>
  <si>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</si>
  <si>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</si>
  <si>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</si>
  <si>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</si>
  <si>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</si>
  <si>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</si>
  <si>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</si>
  <si>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</si>
  <si>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</si>
  <si>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</si>
  <si>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</si>
  <si>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</si>
  <si>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</si>
  <si>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</si>
  <si>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</si>
  <si>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</si>
  <si>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</si>
  <si>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</si>
  <si>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</si>
  <si>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</si>
  <si>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</si>
  <si>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</si>
  <si>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</si>
  <si>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</si>
  <si>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</si>
  <si>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</si>
  <si>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</si>
  <si>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</si>
  <si>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</si>
  <si>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</si>
  <si>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</si>
  <si>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</si>
  <si>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</si>
  <si>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</si>
  <si>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</si>
  <si>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</si>
  <si>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</si>
  <si>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</si>
  <si>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</si>
  <si>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</si>
  <si>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</si>
  <si>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</si>
  <si>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</si>
  <si>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</si>
  <si>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</si>
  <si>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</si>
  <si>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</si>
  <si>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</si>
  <si>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</si>
  <si>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</si>
  <si>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</si>
  <si>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</si>
  <si>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</si>
  <si>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</si>
  <si>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</si>
  <si>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</si>
  <si>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</si>
  <si>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</si>
  <si>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</si>
  <si>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</si>
  <si>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</si>
  <si>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</si>
  <si>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</si>
  <si>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</si>
  <si>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</si>
  <si>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</si>
  <si>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</si>
  <si>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</si>
  <si>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</si>
  <si>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</si>
  <si>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</si>
  <si>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</si>
  <si>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</si>
  <si>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</si>
  <si>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</si>
  <si>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</si>
  <si>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</si>
  <si>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</si>
  <si>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</si>
  <si>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</si>
  <si>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</si>
  <si>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</si>
  <si>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</si>
  <si>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</si>
  <si>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</si>
  <si>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</si>
  <si>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</si>
  <si>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</si>
  <si>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</si>
  <si>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</si>
  <si>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</si>
  <si>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</si>
  <si>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</si>
  <si>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</si>
  <si>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</si>
  <si>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</si>
  <si>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</si>
  <si>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</si>
  <si>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</si>
  <si>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</si>
  <si>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</si>
  <si>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</si>
  <si>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</si>
  <si>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</si>
  <si>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</si>
  <si>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</si>
  <si>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</si>
  <si>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</si>
  <si>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</si>
  <si>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</si>
  <si>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</si>
  <si>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</si>
  <si>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</si>
  <si>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</si>
  <si>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</si>
  <si>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</si>
  <si>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</si>
  <si>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</si>
  <si>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</si>
  <si>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</si>
  <si>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</si>
  <si>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</si>
  <si>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</si>
  <si>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</si>
  <si>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</si>
  <si>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</si>
  <si>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</si>
  <si>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</si>
  <si>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</si>
  <si>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</si>
  <si>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</si>
  <si>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</si>
  <si>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</si>
  <si>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</si>
  <si>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</si>
  <si>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</si>
  <si>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</si>
  <si>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</si>
  <si>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</si>
  <si>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</si>
  <si>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</si>
  <si>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</si>
  <si>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</si>
  <si>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</si>
  <si>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</si>
  <si>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</si>
  <si>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</si>
  <si>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</si>
  <si>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</si>
  <si>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</si>
  <si>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</si>
  <si>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</si>
  <si>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</si>
  <si>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</si>
  <si>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</si>
  <si>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</si>
  <si>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</si>
  <si>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</si>
  <si>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</si>
  <si>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</si>
  <si>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Type asfaltcentrale: aardgas, propaan, elektrisch</t>
  </si>
  <si>
    <t>Energiebron (primair/secundair)</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</si>
  <si>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</si>
  <si>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</si>
  <si>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</si>
  <si>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</si>
  <si>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</si>
  <si>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</si>
  <si>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</si>
  <si>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</si>
  <si>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</si>
  <si>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</si>
  <si>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</si>
  <si>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</si>
  <si>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</si>
  <si>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</si>
  <si>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</si>
  <si>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</si>
  <si>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</si>
  <si>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</si>
  <si>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Bindmiddelgehalte (%)</t>
  </si>
  <si>
    <t>Totaal bindmiddelgehalte (%)</t>
  </si>
  <si>
    <t xml:space="preserve"> Biogene bijdrage van bitumen (%)</t>
  </si>
  <si>
    <t>Aan te passen indien nodig</t>
  </si>
  <si>
    <t>stapel 1</t>
  </si>
  <si>
    <t>stapel 2</t>
  </si>
  <si>
    <t>stapel 3</t>
  </si>
  <si>
    <t>aanvoer per</t>
  </si>
  <si>
    <t>vrachtwagen</t>
  </si>
  <si>
    <t>schip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</si>
</sst>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d/mm/yyyy;@"/>
    <numFmt numFmtId="165" formatCode="0.0"/>
    <numFmt numFmtId="166" formatCode="0.000000"/>
    <numFmt numFmtId="167" formatCode="0.000"/>
    <numFmt numFmtId="168" formatCode="0.0000000"/>
    <numFmt numFmtId="169" formatCode="0.00000"/>
    <numFmt numFmtId="170" formatCode="0.0000"/>
    <numFmt numFmtId="171" formatCode="yy"/>
    <numFmt numFmtId="172" formatCode="yyyy"/>
    <numFmt numFmtId="173"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43" fontId="73" fillId="0" borderId="0" applyFont="0" applyFill="0" applyBorder="0" applyAlignment="0" applyProtection="0"/>
  </cellStyleXfs>
  <cellXfs count="2356">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5"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5" fontId="6" fillId="2" borderId="43" xfId="0" applyNumberFormat="1" applyFont="1" applyFill="1" applyBorder="1"/>
    <xf numFmtId="165" fontId="6" fillId="2" borderId="44" xfId="0" applyNumberFormat="1" applyFont="1" applyFill="1" applyBorder="1"/>
    <xf numFmtId="165" fontId="6" fillId="2" borderId="54" xfId="0" applyNumberFormat="1" applyFont="1" applyFill="1" applyBorder="1"/>
    <xf numFmtId="0" fontId="6" fillId="2" borderId="54" xfId="0" applyFont="1" applyFill="1" applyBorder="1" applyAlignment="1">
      <alignment horizontal="left"/>
    </xf>
    <xf numFmtId="165" fontId="6" fillId="2" borderId="0" xfId="0" applyNumberFormat="1" applyFont="1" applyFill="1"/>
    <xf numFmtId="2" fontId="6" fillId="2" borderId="54" xfId="0" applyNumberFormat="1" applyFont="1" applyFill="1" applyBorder="1"/>
    <xf numFmtId="2" fontId="6" fillId="2" borderId="0" xfId="0" applyNumberFormat="1" applyFont="1" applyFill="1"/>
    <xf numFmtId="165"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5"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6" fontId="23" fillId="0" borderId="0" xfId="0" applyNumberFormat="1" applyFont="1" applyAlignment="1">
      <alignment horizontal="centerContinuous" vertical="center"/>
    </xf>
    <xf numFmtId="0" fontId="24" fillId="0" borderId="0" xfId="0" applyFont="1" applyAlignment="1">
      <alignment horizontal="centerContinuous" vertical="center"/>
    </xf>
    <xf numFmtId="166" fontId="24" fillId="0" borderId="0" xfId="0" applyNumberFormat="1" applyFont="1" applyAlignment="1">
      <alignment horizontal="center" vertical="center"/>
    </xf>
    <xf numFmtId="165" fontId="19" fillId="0" borderId="0" xfId="0" applyNumberFormat="1" applyFont="1" applyAlignment="1">
      <alignment horizontal="center" vertical="center"/>
    </xf>
    <xf numFmtId="166"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5"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5"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5"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5" fontId="6" fillId="2" borderId="43" xfId="0" applyNumberFormat="1" applyFont="1" applyFill="1" applyBorder="1" applyAlignment="1">
      <alignment horizontal="center"/>
    </xf>
    <xf numFmtId="165" fontId="6" fillId="2" borderId="54" xfId="0" applyNumberFormat="1" applyFont="1" applyFill="1" applyBorder="1" applyAlignment="1">
      <alignment horizontal="center"/>
    </xf>
    <xf numFmtId="165"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5"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7" fontId="6" fillId="2" borderId="124" xfId="0" applyNumberFormat="1" applyFont="1" applyFill="1" applyBorder="1" applyAlignment="1">
      <alignment horizontal="center"/>
    </xf>
    <xf numFmtId="167"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7" fontId="6" fillId="2" borderId="43" xfId="0" applyNumberFormat="1" applyFont="1" applyFill="1" applyBorder="1" applyAlignment="1">
      <alignment horizontal="center"/>
    </xf>
    <xf numFmtId="165" fontId="6" fillId="2" borderId="134" xfId="0" applyNumberFormat="1" applyFont="1" applyFill="1" applyBorder="1" applyAlignment="1">
      <alignment horizontal="center"/>
    </xf>
    <xf numFmtId="167"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5" fontId="6" fillId="2" borderId="0" xfId="0" applyNumberFormat="1" applyFont="1" applyFill="1" applyAlignment="1">
      <alignment horizontal="left"/>
    </xf>
    <xf numFmtId="169"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5" fontId="6" fillId="2" borderId="137" xfId="0" applyNumberFormat="1" applyFont="1" applyFill="1" applyBorder="1" applyAlignment="1">
      <alignment horizontal="center"/>
    </xf>
    <xf numFmtId="165"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5" fontId="6" fillId="2" borderId="141" xfId="0" applyNumberFormat="1" applyFont="1" applyFill="1" applyBorder="1" applyAlignment="1">
      <alignment horizontal="center"/>
    </xf>
    <xf numFmtId="0" fontId="6" fillId="2" borderId="141" xfId="0" applyFont="1" applyFill="1" applyBorder="1" applyAlignment="1">
      <alignment horizontal="center"/>
    </xf>
    <xf numFmtId="165" fontId="6" fillId="2" borderId="140" xfId="0" applyNumberFormat="1" applyFont="1" applyFill="1" applyBorder="1" applyAlignment="1">
      <alignment horizontal="center"/>
    </xf>
    <xf numFmtId="165" fontId="6" fillId="2" borderId="143" xfId="0" applyNumberFormat="1" applyFont="1" applyFill="1" applyBorder="1" applyAlignment="1">
      <alignment horizontal="center"/>
    </xf>
    <xf numFmtId="165" fontId="6" fillId="2" borderId="138" xfId="0" applyNumberFormat="1" applyFont="1" applyFill="1" applyBorder="1" applyAlignment="1">
      <alignment horizontal="center"/>
    </xf>
    <xf numFmtId="2" fontId="6" fillId="0" borderId="0" xfId="0" applyNumberFormat="1" applyFont="1"/>
    <xf numFmtId="165" fontId="6" fillId="2" borderId="135" xfId="0" applyNumberFormat="1" applyFont="1" applyFill="1" applyBorder="1"/>
    <xf numFmtId="0" fontId="6" fillId="0" borderId="0" xfId="0" applyFont="1" applyAlignment="1">
      <alignment horizontal="center"/>
    </xf>
    <xf numFmtId="165"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5"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5"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7"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5" fontId="37" fillId="2" borderId="142" xfId="0" applyNumberFormat="1" applyFont="1" applyFill="1" applyBorder="1" applyAlignment="1">
      <alignment horizontal="center"/>
    </xf>
    <xf numFmtId="165" fontId="37" fillId="2" borderId="131" xfId="0" applyNumberFormat="1" applyFont="1" applyFill="1" applyBorder="1" applyAlignment="1">
      <alignment horizontal="center"/>
    </xf>
    <xf numFmtId="165"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5" fontId="6" fillId="2" borderId="226" xfId="0" applyNumberFormat="1" applyFont="1" applyFill="1" applyBorder="1"/>
    <xf numFmtId="165" fontId="6" fillId="2" borderId="227" xfId="0" applyNumberFormat="1" applyFont="1" applyFill="1" applyBorder="1"/>
    <xf numFmtId="165" fontId="6" fillId="2" borderId="229" xfId="0" applyNumberFormat="1" applyFont="1" applyFill="1" applyBorder="1"/>
    <xf numFmtId="165" fontId="6" fillId="2" borderId="232" xfId="0" applyNumberFormat="1" applyFont="1" applyFill="1" applyBorder="1"/>
    <xf numFmtId="165" fontId="6" fillId="2" borderId="231" xfId="0" applyNumberFormat="1" applyFont="1" applyFill="1" applyBorder="1"/>
    <xf numFmtId="165" fontId="6" fillId="2" borderId="224" xfId="0" applyNumberFormat="1" applyFont="1" applyFill="1" applyBorder="1"/>
    <xf numFmtId="165" fontId="6" fillId="2" borderId="233" xfId="0" applyNumberFormat="1" applyFont="1" applyFill="1" applyBorder="1"/>
    <xf numFmtId="165"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5" fontId="6" fillId="2" borderId="136" xfId="0" applyNumberFormat="1" applyFont="1" applyFill="1" applyBorder="1" applyAlignment="1">
      <alignment horizontal="center"/>
    </xf>
    <xf numFmtId="165"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5" fontId="31" fillId="0" borderId="198" xfId="0" applyNumberFormat="1" applyFont="1" applyBorder="1" applyAlignment="1">
      <alignment horizontal="right" vertical="center"/>
    </xf>
    <xf numFmtId="165" fontId="31" fillId="0" borderId="179" xfId="0" applyNumberFormat="1" applyFont="1" applyBorder="1" applyAlignment="1">
      <alignment horizontal="right" vertical="center"/>
    </xf>
    <xf numFmtId="165"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5" fontId="31" fillId="0" borderId="198" xfId="0" applyNumberFormat="1" applyFont="1" applyBorder="1" applyAlignment="1">
      <alignment horizontal="left" vertical="center"/>
    </xf>
    <xf numFmtId="165" fontId="31" fillId="0" borderId="179" xfId="0" applyNumberFormat="1" applyFont="1" applyBorder="1" applyAlignment="1">
      <alignment horizontal="left" vertical="center"/>
    </xf>
    <xf numFmtId="165"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5"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5"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5"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7"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5" fontId="35" fillId="0" borderId="258" xfId="0" applyNumberFormat="1" applyFont="1" applyBorder="1"/>
    <xf numFmtId="165" fontId="35" fillId="0" borderId="259" xfId="0" applyNumberFormat="1" applyFont="1" applyBorder="1"/>
    <xf numFmtId="165" fontId="35" fillId="0" borderId="261" xfId="0" applyNumberFormat="1" applyFont="1" applyBorder="1"/>
    <xf numFmtId="165" fontId="35" fillId="0" borderId="263" xfId="0" applyNumberFormat="1" applyFont="1" applyBorder="1"/>
    <xf numFmtId="165"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5" fontId="35" fillId="0" borderId="193" xfId="0" applyNumberFormat="1" applyFont="1" applyBorder="1"/>
    <xf numFmtId="165" fontId="35" fillId="0" borderId="180" xfId="0" applyNumberFormat="1" applyFont="1" applyBorder="1"/>
    <xf numFmtId="165" fontId="35" fillId="0" borderId="204" xfId="0" applyNumberFormat="1" applyFont="1" applyBorder="1"/>
    <xf numFmtId="165" fontId="35" fillId="0" borderId="185" xfId="0" applyNumberFormat="1" applyFont="1" applyBorder="1"/>
    <xf numFmtId="165"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5" fontId="35" fillId="0" borderId="256" xfId="0" applyNumberFormat="1" applyFont="1" applyBorder="1"/>
    <xf numFmtId="1" fontId="31" fillId="0" borderId="256" xfId="0" applyNumberFormat="1" applyFont="1" applyBorder="1"/>
    <xf numFmtId="1" fontId="34" fillId="0" borderId="256" xfId="0" applyNumberFormat="1" applyFont="1" applyBorder="1"/>
    <xf numFmtId="165"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5" fontId="31" fillId="0" borderId="198" xfId="0" applyNumberFormat="1" applyFont="1" applyBorder="1"/>
    <xf numFmtId="165"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5" fontId="42" fillId="0" borderId="304" xfId="0" applyNumberFormat="1" applyFont="1" applyBorder="1" applyAlignment="1">
      <alignment horizontal="centerContinuous" vertical="center"/>
    </xf>
    <xf numFmtId="165" fontId="42" fillId="0" borderId="258" xfId="0" applyNumberFormat="1" applyFont="1" applyBorder="1" applyAlignment="1">
      <alignment horizontal="centerContinuous" vertical="center"/>
    </xf>
    <xf numFmtId="165" fontId="42" fillId="0" borderId="157" xfId="0" applyNumberFormat="1" applyFont="1" applyBorder="1" applyAlignment="1">
      <alignment horizontal="centerContinuous" vertical="center"/>
    </xf>
    <xf numFmtId="165" fontId="42" fillId="0" borderId="179" xfId="0" applyNumberFormat="1" applyFont="1" applyBorder="1" applyAlignment="1">
      <alignment horizontal="centerContinuous" vertical="center"/>
    </xf>
    <xf numFmtId="165" fontId="42" fillId="0" borderId="259" xfId="0" applyNumberFormat="1" applyFont="1" applyBorder="1" applyAlignment="1">
      <alignment horizontal="centerContinuous" vertical="center"/>
    </xf>
    <xf numFmtId="165" fontId="42" fillId="0" borderId="301" xfId="0" applyNumberFormat="1" applyFont="1" applyBorder="1" applyAlignment="1">
      <alignment horizontal="centerContinuous" vertical="center"/>
    </xf>
    <xf numFmtId="165" fontId="42" fillId="0" borderId="198" xfId="0" applyNumberFormat="1" applyFont="1" applyBorder="1" applyAlignment="1">
      <alignment horizontal="centerContinuous" vertical="center"/>
    </xf>
    <xf numFmtId="165" fontId="42" fillId="0" borderId="263" xfId="0" applyNumberFormat="1" applyFont="1" applyBorder="1" applyAlignment="1">
      <alignment horizontal="centerContinuous" vertical="center"/>
    </xf>
    <xf numFmtId="165" fontId="42" fillId="0" borderId="276" xfId="0" applyNumberFormat="1" applyFont="1" applyBorder="1" applyAlignment="1">
      <alignment horizontal="centerContinuous" vertical="center"/>
    </xf>
    <xf numFmtId="165" fontId="42" fillId="0" borderId="206" xfId="0" applyNumberFormat="1" applyFont="1" applyBorder="1" applyAlignment="1">
      <alignment horizontal="centerContinuous" vertical="center"/>
    </xf>
    <xf numFmtId="165" fontId="42" fillId="0" borderId="264" xfId="0" applyNumberFormat="1" applyFont="1" applyBorder="1" applyAlignment="1">
      <alignment horizontal="centerContinuous" vertical="center"/>
    </xf>
    <xf numFmtId="165" fontId="42" fillId="0" borderId="303" xfId="0" applyNumberFormat="1" applyFont="1" applyBorder="1" applyAlignment="1">
      <alignment horizontal="centerContinuous" vertical="center"/>
    </xf>
    <xf numFmtId="165" fontId="42" fillId="0" borderId="190" xfId="0" applyNumberFormat="1" applyFont="1" applyBorder="1" applyAlignment="1">
      <alignment horizontal="centerContinuous" vertical="center"/>
    </xf>
    <xf numFmtId="165" fontId="42" fillId="0" borderId="260" xfId="0" applyNumberFormat="1" applyFont="1" applyBorder="1" applyAlignment="1">
      <alignment horizontal="centerContinuous" vertical="center"/>
    </xf>
    <xf numFmtId="165"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5"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5" fontId="31" fillId="0" borderId="318" xfId="0" applyNumberFormat="1" applyFont="1" applyBorder="1" applyAlignment="1">
      <alignment horizontal="centerContinuous" vertical="center"/>
    </xf>
    <xf numFmtId="165" fontId="31" fillId="0" borderId="184" xfId="0" applyNumberFormat="1" applyFont="1" applyBorder="1" applyAlignment="1">
      <alignment horizontal="centerContinuous" vertical="center"/>
    </xf>
    <xf numFmtId="165" fontId="31" fillId="0" borderId="198" xfId="0" applyNumberFormat="1" applyFont="1" applyBorder="1" applyAlignment="1">
      <alignment horizontal="centerContinuous" vertical="center"/>
    </xf>
    <xf numFmtId="165" fontId="34" fillId="0" borderId="198" xfId="0" applyNumberFormat="1" applyFont="1" applyBorder="1" applyAlignment="1">
      <alignment horizontal="centerContinuous" vertical="center"/>
    </xf>
    <xf numFmtId="165" fontId="34" fillId="0" borderId="318" xfId="0" applyNumberFormat="1" applyFont="1" applyBorder="1" applyAlignment="1">
      <alignment horizontal="centerContinuous" vertical="center"/>
    </xf>
    <xf numFmtId="165" fontId="31" fillId="0" borderId="301" xfId="0" applyNumberFormat="1" applyFont="1" applyBorder="1" applyAlignment="1">
      <alignment horizontal="centerContinuous" vertical="center"/>
    </xf>
    <xf numFmtId="165" fontId="31" fillId="0" borderId="316" xfId="0" applyNumberFormat="1" applyFont="1" applyBorder="1" applyAlignment="1">
      <alignment horizontal="centerContinuous" vertical="center"/>
    </xf>
    <xf numFmtId="165" fontId="31" fillId="0" borderId="182" xfId="0" applyNumberFormat="1" applyFont="1" applyBorder="1" applyAlignment="1">
      <alignment horizontal="centerContinuous" vertical="center"/>
    </xf>
    <xf numFmtId="165" fontId="31" fillId="0" borderId="179" xfId="0" applyNumberFormat="1" applyFont="1" applyBorder="1" applyAlignment="1">
      <alignment horizontal="centerContinuous" vertical="center"/>
    </xf>
    <xf numFmtId="165" fontId="31" fillId="0" borderId="302" xfId="0" applyNumberFormat="1" applyFont="1" applyBorder="1" applyAlignment="1">
      <alignment horizontal="centerContinuous" vertical="center"/>
    </xf>
    <xf numFmtId="165" fontId="31" fillId="0" borderId="317" xfId="0" applyNumberFormat="1" applyFont="1" applyBorder="1" applyAlignment="1">
      <alignment horizontal="centerContinuous" vertical="center"/>
    </xf>
    <xf numFmtId="165" fontId="31" fillId="0" borderId="199" xfId="0" applyNumberFormat="1" applyFont="1" applyBorder="1" applyAlignment="1">
      <alignment horizontal="centerContinuous" vertical="center"/>
    </xf>
    <xf numFmtId="165"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7" fontId="31" fillId="0" borderId="276" xfId="0" applyNumberFormat="1" applyFont="1" applyBorder="1" applyAlignment="1">
      <alignment horizontal="centerContinuous" vertical="center"/>
    </xf>
    <xf numFmtId="167" fontId="31" fillId="0" borderId="301" xfId="0" applyNumberFormat="1" applyFont="1" applyBorder="1" applyAlignment="1">
      <alignment horizontal="centerContinuous" vertical="center"/>
    </xf>
    <xf numFmtId="167"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0"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7" fontId="31" fillId="0" borderId="185" xfId="0" applyNumberFormat="1" applyFont="1" applyBorder="1" applyAlignment="1">
      <alignment horizontal="centerContinuous" vertical="center"/>
    </xf>
    <xf numFmtId="167" fontId="31" fillId="0" borderId="180" xfId="0" applyNumberFormat="1" applyFont="1" applyBorder="1" applyAlignment="1">
      <alignment horizontal="centerContinuous" vertical="center"/>
    </xf>
    <xf numFmtId="167" fontId="31" fillId="0" borderId="305" xfId="0" applyNumberFormat="1" applyFont="1" applyBorder="1" applyAlignment="1">
      <alignment horizontal="centerContinuous" vertical="center"/>
    </xf>
    <xf numFmtId="167" fontId="31" fillId="0" borderId="204" xfId="0" applyNumberFormat="1" applyFont="1" applyBorder="1" applyAlignment="1">
      <alignment horizontal="centerContinuous" vertical="center"/>
    </xf>
    <xf numFmtId="167" fontId="31" fillId="0" borderId="266" xfId="0" applyNumberFormat="1" applyFont="1" applyBorder="1" applyAlignment="1">
      <alignment horizontal="centerContinuous" vertical="center"/>
    </xf>
    <xf numFmtId="167" fontId="31" fillId="0" borderId="177" xfId="0" applyNumberFormat="1" applyFont="1" applyBorder="1" applyAlignment="1">
      <alignment horizontal="centerContinuous" vertical="center"/>
    </xf>
    <xf numFmtId="167" fontId="31" fillId="0" borderId="304" xfId="0" applyNumberFormat="1" applyFont="1" applyBorder="1" applyAlignment="1">
      <alignment horizontal="centerContinuous" vertical="center"/>
    </xf>
    <xf numFmtId="167" fontId="31" fillId="0" borderId="193" xfId="0" applyNumberFormat="1" applyFont="1" applyBorder="1" applyAlignment="1">
      <alignment horizontal="centerContinuous" vertical="center"/>
    </xf>
    <xf numFmtId="167" fontId="31" fillId="0" borderId="306" xfId="0" applyNumberFormat="1" applyFont="1" applyBorder="1" applyAlignment="1">
      <alignment horizontal="centerContinuous" vertical="center"/>
    </xf>
    <xf numFmtId="167"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5" fontId="31" fillId="0" borderId="154" xfId="0" applyNumberFormat="1" applyFont="1" applyBorder="1" applyAlignment="1">
      <alignment horizontal="centerContinuous" vertical="center"/>
    </xf>
    <xf numFmtId="165" fontId="31" fillId="0" borderId="176" xfId="0" applyNumberFormat="1" applyFont="1" applyBorder="1" applyAlignment="1">
      <alignment horizontal="centerContinuous" vertical="center"/>
    </xf>
    <xf numFmtId="165" fontId="31" fillId="0" borderId="157" xfId="0" applyNumberFormat="1" applyFont="1" applyBorder="1" applyAlignment="1">
      <alignment horizontal="centerContinuous" vertical="center"/>
    </xf>
    <xf numFmtId="165" fontId="31" fillId="0" borderId="218" xfId="0" applyNumberFormat="1" applyFont="1" applyBorder="1" applyAlignment="1">
      <alignment horizontal="centerContinuous" vertical="center"/>
    </xf>
    <xf numFmtId="167" fontId="6" fillId="2" borderId="320" xfId="0" applyNumberFormat="1" applyFont="1" applyFill="1" applyBorder="1" applyAlignment="1">
      <alignment horizontal="center"/>
    </xf>
    <xf numFmtId="167" fontId="6" fillId="2" borderId="321" xfId="0" applyNumberFormat="1" applyFont="1" applyFill="1" applyBorder="1" applyAlignment="1">
      <alignment horizontal="center"/>
    </xf>
    <xf numFmtId="0" fontId="6" fillId="2" borderId="321" xfId="0" applyFont="1" applyFill="1" applyBorder="1" applyAlignment="1">
      <alignment horizontal="center"/>
    </xf>
    <xf numFmtId="165" fontId="6" fillId="2" borderId="321" xfId="0" applyNumberFormat="1" applyFont="1" applyFill="1" applyBorder="1" applyAlignment="1">
      <alignment horizontal="center"/>
    </xf>
    <xf numFmtId="167"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5" fontId="19" fillId="2" borderId="0" xfId="0" applyNumberFormat="1" applyFont="1" applyFill="1" applyAlignment="1">
      <alignment horizontal="center"/>
    </xf>
    <xf numFmtId="0" fontId="6" fillId="2" borderId="324" xfId="0" applyFont="1" applyFill="1" applyBorder="1"/>
    <xf numFmtId="167" fontId="6" fillId="2" borderId="324" xfId="0" applyNumberFormat="1" applyFont="1" applyFill="1" applyBorder="1" applyAlignment="1">
      <alignment horizontal="center"/>
    </xf>
    <xf numFmtId="167" fontId="6" fillId="2" borderId="125" xfId="0" applyNumberFormat="1" applyFont="1" applyFill="1" applyBorder="1" applyAlignment="1">
      <alignment horizontal="center"/>
    </xf>
    <xf numFmtId="165"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7" fontId="31" fillId="0" borderId="198" xfId="0" applyNumberFormat="1" applyFont="1" applyBorder="1" applyAlignment="1">
      <alignment horizontal="centerContinuous" vertical="center"/>
    </xf>
    <xf numFmtId="167" fontId="31" fillId="0" borderId="179" xfId="0" applyNumberFormat="1" applyFont="1" applyBorder="1" applyAlignment="1">
      <alignment horizontal="centerContinuous" vertical="center"/>
    </xf>
    <xf numFmtId="167" fontId="31" fillId="0" borderId="154" xfId="0" applyNumberFormat="1" applyFont="1" applyBorder="1" applyAlignment="1">
      <alignment horizontal="centerContinuous" vertical="center"/>
    </xf>
    <xf numFmtId="167" fontId="31" fillId="0" borderId="176" xfId="0" applyNumberFormat="1" applyFont="1" applyBorder="1" applyAlignment="1">
      <alignment horizontal="centerContinuous" vertical="center"/>
    </xf>
    <xf numFmtId="167" fontId="31" fillId="0" borderId="157" xfId="0" applyNumberFormat="1" applyFont="1" applyBorder="1" applyAlignment="1">
      <alignment horizontal="centerContinuous" vertical="center"/>
    </xf>
    <xf numFmtId="167" fontId="6" fillId="2" borderId="43" xfId="0" applyNumberFormat="1" applyFont="1" applyFill="1" applyBorder="1"/>
    <xf numFmtId="167"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5" fontId="31" fillId="0" borderId="305" xfId="0" applyNumberFormat="1" applyFont="1" applyBorder="1" applyAlignment="1">
      <alignment horizontal="centerContinuous" vertical="center"/>
    </xf>
    <xf numFmtId="165" fontId="31" fillId="0" borderId="201" xfId="0" applyNumberFormat="1" applyFont="1" applyBorder="1" applyAlignment="1">
      <alignment horizontal="centerContinuous" vertical="center"/>
    </xf>
    <xf numFmtId="165" fontId="31" fillId="0" borderId="266" xfId="0" applyNumberFormat="1" applyFont="1" applyBorder="1" applyAlignment="1">
      <alignment horizontal="centerContinuous" vertical="center"/>
    </xf>
    <xf numFmtId="165" fontId="31" fillId="0" borderId="329" xfId="0" applyNumberFormat="1" applyFont="1" applyBorder="1" applyAlignment="1">
      <alignment horizontal="centerContinuous" vertical="center"/>
    </xf>
    <xf numFmtId="165" fontId="31" fillId="0" borderId="304" xfId="0" applyNumberFormat="1" applyFont="1" applyBorder="1" applyAlignment="1">
      <alignment horizontal="centerContinuous" vertical="center"/>
    </xf>
    <xf numFmtId="165" fontId="31" fillId="0" borderId="203" xfId="0" applyNumberFormat="1" applyFont="1" applyBorder="1" applyAlignment="1">
      <alignment horizontal="centerContinuous" vertical="center"/>
    </xf>
    <xf numFmtId="165" fontId="31" fillId="0" borderId="306" xfId="0" applyNumberFormat="1" applyFont="1" applyBorder="1" applyAlignment="1">
      <alignment horizontal="centerContinuous" vertical="center"/>
    </xf>
    <xf numFmtId="165" fontId="31" fillId="0" borderId="330" xfId="0" applyNumberFormat="1" applyFont="1" applyBorder="1" applyAlignment="1">
      <alignment horizontal="centerContinuous" vertical="center"/>
    </xf>
    <xf numFmtId="165" fontId="31" fillId="0" borderId="185" xfId="0" applyNumberFormat="1" applyFont="1" applyBorder="1" applyAlignment="1">
      <alignment horizontal="centerContinuous" vertical="center"/>
    </xf>
    <xf numFmtId="165" fontId="31" fillId="0" borderId="180" xfId="0" applyNumberFormat="1" applyFont="1" applyBorder="1" applyAlignment="1">
      <alignment horizontal="centerContinuous" vertical="center"/>
    </xf>
    <xf numFmtId="165" fontId="31" fillId="0" borderId="159" xfId="0" applyNumberFormat="1" applyFont="1" applyBorder="1" applyAlignment="1">
      <alignment horizontal="centerContinuous" vertical="center"/>
    </xf>
    <xf numFmtId="165" fontId="31" fillId="0" borderId="204" xfId="0" applyNumberFormat="1" applyFont="1" applyBorder="1" applyAlignment="1">
      <alignment horizontal="centerContinuous" vertical="center"/>
    </xf>
    <xf numFmtId="165" fontId="31" fillId="0" borderId="183" xfId="0" applyNumberFormat="1" applyFont="1" applyBorder="1" applyAlignment="1">
      <alignment horizontal="centerContinuous" vertical="center"/>
    </xf>
    <xf numFmtId="165" fontId="31" fillId="0" borderId="177" xfId="0" applyNumberFormat="1" applyFont="1" applyBorder="1" applyAlignment="1">
      <alignment horizontal="centerContinuous" vertical="center"/>
    </xf>
    <xf numFmtId="165" fontId="31" fillId="0" borderId="161" xfId="0" applyNumberFormat="1" applyFont="1" applyBorder="1" applyAlignment="1">
      <alignment horizontal="centerContinuous" vertical="center"/>
    </xf>
    <xf numFmtId="165" fontId="31" fillId="0" borderId="193" xfId="0" applyNumberFormat="1" applyFont="1" applyBorder="1" applyAlignment="1">
      <alignment horizontal="centerContinuous" vertical="center"/>
    </xf>
    <xf numFmtId="165" fontId="31" fillId="0" borderId="181" xfId="0" applyNumberFormat="1" applyFont="1" applyBorder="1" applyAlignment="1">
      <alignment horizontal="centerContinuous" vertical="center"/>
    </xf>
    <xf numFmtId="165"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5"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7"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69" fontId="31" fillId="0" borderId="266" xfId="0" applyNumberFormat="1" applyFont="1" applyBorder="1" applyAlignment="1">
      <alignment horizontal="centerContinuous" vertical="center"/>
    </xf>
    <xf numFmtId="169"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5"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5" fontId="6" fillId="2" borderId="343" xfId="0" applyNumberFormat="1" applyFont="1" applyFill="1" applyBorder="1" applyAlignment="1">
      <alignment horizontal="center"/>
    </xf>
    <xf numFmtId="165" fontId="37" fillId="2" borderId="342" xfId="0" applyNumberFormat="1" applyFont="1" applyFill="1" applyBorder="1" applyAlignment="1">
      <alignment horizontal="center"/>
    </xf>
    <xf numFmtId="165" fontId="6" fillId="2" borderId="344" xfId="0" applyNumberFormat="1" applyFont="1" applyFill="1" applyBorder="1" applyAlignment="1">
      <alignment horizontal="center"/>
    </xf>
    <xf numFmtId="165" fontId="37" fillId="2" borderId="331" xfId="0" applyNumberFormat="1" applyFont="1" applyFill="1" applyBorder="1" applyAlignment="1">
      <alignment horizontal="center"/>
    </xf>
    <xf numFmtId="0" fontId="6" fillId="2" borderId="345" xfId="0" applyFont="1" applyFill="1" applyBorder="1"/>
    <xf numFmtId="165" fontId="6" fillId="2" borderId="345" xfId="0" applyNumberFormat="1" applyFont="1" applyFill="1" applyBorder="1" applyAlignment="1">
      <alignment horizontal="center"/>
    </xf>
    <xf numFmtId="165"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69" fontId="31" fillId="0" borderId="276" xfId="0" applyNumberFormat="1" applyFont="1" applyBorder="1" applyAlignment="1">
      <alignment horizontal="left" vertical="center"/>
    </xf>
    <xf numFmtId="165"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7" fontId="31" fillId="0" borderId="198" xfId="0" applyNumberFormat="1" applyFont="1" applyBorder="1" applyAlignment="1">
      <alignment horizontal="left" vertical="center"/>
    </xf>
    <xf numFmtId="169" fontId="31" fillId="0" borderId="184" xfId="0" applyNumberFormat="1" applyFont="1" applyBorder="1" applyAlignment="1">
      <alignment horizontal="left" vertical="center"/>
    </xf>
    <xf numFmtId="165" fontId="31" fillId="0" borderId="318" xfId="0" applyNumberFormat="1" applyFont="1" applyBorder="1" applyAlignment="1">
      <alignment horizontal="left" vertical="center"/>
    </xf>
    <xf numFmtId="169" fontId="31" fillId="0" borderId="304" xfId="0" applyNumberFormat="1" applyFont="1" applyBorder="1" applyAlignment="1">
      <alignment horizontal="left" vertical="center"/>
    </xf>
    <xf numFmtId="165" fontId="31" fillId="0" borderId="157" xfId="0" applyNumberFormat="1" applyFont="1" applyBorder="1" applyAlignment="1">
      <alignment horizontal="left" vertical="center"/>
    </xf>
    <xf numFmtId="165"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7" fontId="31" fillId="0" borderId="157" xfId="0" applyNumberFormat="1" applyFont="1" applyBorder="1" applyAlignment="1">
      <alignment horizontal="left" vertical="center"/>
    </xf>
    <xf numFmtId="165" fontId="31" fillId="0" borderId="203" xfId="0" applyNumberFormat="1" applyFont="1" applyBorder="1" applyAlignment="1">
      <alignment horizontal="left" vertical="center"/>
    </xf>
    <xf numFmtId="0" fontId="6" fillId="2" borderId="351" xfId="0" applyFont="1" applyFill="1" applyBorder="1"/>
    <xf numFmtId="165"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5" fontId="6" fillId="2" borderId="353" xfId="0" applyNumberFormat="1" applyFont="1" applyFill="1" applyBorder="1" applyAlignment="1">
      <alignment horizontal="center"/>
    </xf>
    <xf numFmtId="165" fontId="6" fillId="2" borderId="352" xfId="0" applyNumberFormat="1" applyFont="1" applyFill="1" applyBorder="1" applyAlignment="1">
      <alignment horizontal="center"/>
    </xf>
    <xf numFmtId="0" fontId="6" fillId="2" borderId="0" xfId="0" quotePrefix="1" applyFont="1" applyFill="1" applyAlignment="1">
      <alignment horizontal="center"/>
    </xf>
    <xf numFmtId="167"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5" fontId="31" fillId="0" borderId="356" xfId="0" applyNumberFormat="1" applyFont="1" applyBorder="1" applyAlignment="1">
      <alignment horizontal="centerContinuous" vertical="center"/>
    </xf>
    <xf numFmtId="165" fontId="31" fillId="0" borderId="263" xfId="0" applyNumberFormat="1" applyFont="1" applyBorder="1" applyAlignment="1">
      <alignment horizontal="centerContinuous" vertical="center"/>
    </xf>
    <xf numFmtId="165" fontId="31" fillId="0" borderId="357" xfId="0" applyNumberFormat="1" applyFont="1" applyBorder="1" applyAlignment="1">
      <alignment horizontal="centerContinuous" vertical="center"/>
    </xf>
    <xf numFmtId="165" fontId="31" fillId="0" borderId="358" xfId="0" applyNumberFormat="1" applyFont="1" applyBorder="1" applyAlignment="1">
      <alignment horizontal="centerContinuous" vertical="center"/>
    </xf>
    <xf numFmtId="165" fontId="31" fillId="0" borderId="261" xfId="0" applyNumberFormat="1" applyFont="1" applyBorder="1" applyAlignment="1">
      <alignment horizontal="centerContinuous" vertical="center"/>
    </xf>
    <xf numFmtId="165" fontId="31" fillId="0" borderId="359" xfId="0" applyNumberFormat="1" applyFont="1" applyBorder="1" applyAlignment="1">
      <alignment horizontal="centerContinuous" vertical="center"/>
    </xf>
    <xf numFmtId="165" fontId="31" fillId="0" borderId="360" xfId="0" applyNumberFormat="1" applyFont="1" applyBorder="1" applyAlignment="1">
      <alignment horizontal="centerContinuous" vertical="center"/>
    </xf>
    <xf numFmtId="165" fontId="31" fillId="0" borderId="361" xfId="0" applyNumberFormat="1" applyFont="1" applyBorder="1" applyAlignment="1">
      <alignment horizontal="centerContinuous" vertical="center"/>
    </xf>
    <xf numFmtId="165" fontId="31" fillId="0" borderId="362" xfId="0" applyNumberFormat="1" applyFont="1" applyBorder="1" applyAlignment="1">
      <alignment horizontal="centerContinuous" vertical="center"/>
    </xf>
    <xf numFmtId="165" fontId="31" fillId="0" borderId="339" xfId="0" applyNumberFormat="1" applyFont="1" applyBorder="1" applyAlignment="1">
      <alignment horizontal="centerContinuous" vertical="center"/>
    </xf>
    <xf numFmtId="165" fontId="31" fillId="0" borderId="258" xfId="0" applyNumberFormat="1" applyFont="1" applyBorder="1" applyAlignment="1">
      <alignment horizontal="centerContinuous" vertical="center"/>
    </xf>
    <xf numFmtId="165" fontId="31" fillId="0" borderId="363" xfId="0" applyNumberFormat="1" applyFont="1" applyBorder="1" applyAlignment="1">
      <alignment horizontal="centerContinuous" vertical="center"/>
    </xf>
    <xf numFmtId="165" fontId="31" fillId="0" borderId="364" xfId="0" applyNumberFormat="1" applyFont="1" applyBorder="1" applyAlignment="1">
      <alignment horizontal="centerContinuous" vertical="center"/>
    </xf>
    <xf numFmtId="165" fontId="31" fillId="0" borderId="365" xfId="0" applyNumberFormat="1" applyFont="1" applyBorder="1" applyAlignment="1">
      <alignment horizontal="centerContinuous" vertical="center"/>
    </xf>
    <xf numFmtId="165" fontId="31" fillId="0" borderId="366" xfId="0" applyNumberFormat="1" applyFont="1" applyBorder="1" applyAlignment="1">
      <alignment horizontal="centerContinuous" vertical="center"/>
    </xf>
    <xf numFmtId="165" fontId="31" fillId="0" borderId="0" xfId="0" applyNumberFormat="1" applyFont="1"/>
    <xf numFmtId="165" fontId="31" fillId="0" borderId="168" xfId="0" applyNumberFormat="1" applyFont="1" applyBorder="1"/>
    <xf numFmtId="165"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5"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1"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5"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7"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5" fontId="6" fillId="2" borderId="10" xfId="0" applyNumberFormat="1" applyFont="1" applyFill="1" applyBorder="1" applyAlignment="1">
      <alignment horizontal="center"/>
    </xf>
    <xf numFmtId="165" fontId="6" fillId="2" borderId="10" xfId="0" applyNumberFormat="1" applyFont="1" applyFill="1" applyBorder="1"/>
    <xf numFmtId="0" fontId="27" fillId="2" borderId="14" xfId="0" applyFont="1" applyFill="1" applyBorder="1" applyAlignment="1">
      <alignment horizontal="center"/>
    </xf>
    <xf numFmtId="165" fontId="6" fillId="2" borderId="14" xfId="0" applyNumberFormat="1" applyFont="1" applyFill="1" applyBorder="1" applyAlignment="1">
      <alignment horizontal="center"/>
    </xf>
    <xf numFmtId="165" fontId="6" fillId="2" borderId="14" xfId="0" applyNumberFormat="1" applyFont="1" applyFill="1" applyBorder="1"/>
    <xf numFmtId="167" fontId="27" fillId="2" borderId="133" xfId="0" applyNumberFormat="1" applyFont="1" applyFill="1" applyBorder="1" applyAlignment="1">
      <alignment horizontal="center"/>
    </xf>
    <xf numFmtId="167" fontId="27" fillId="2" borderId="126" xfId="0" applyNumberFormat="1" applyFont="1" applyFill="1" applyBorder="1" applyAlignment="1">
      <alignment horizontal="center"/>
    </xf>
    <xf numFmtId="167" fontId="6" fillId="2" borderId="126" xfId="0" applyNumberFormat="1" applyFont="1" applyFill="1" applyBorder="1" applyAlignment="1">
      <alignment horizontal="center"/>
    </xf>
    <xf numFmtId="167" fontId="6" fillId="2" borderId="61" xfId="0" applyNumberFormat="1" applyFont="1" applyFill="1" applyBorder="1" applyAlignment="1">
      <alignment horizontal="center"/>
    </xf>
    <xf numFmtId="167"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5" fontId="6" fillId="2" borderId="387" xfId="0" applyNumberFormat="1" applyFont="1" applyFill="1" applyBorder="1" applyAlignment="1">
      <alignment horizontal="center"/>
    </xf>
    <xf numFmtId="0" fontId="6" fillId="2" borderId="125" xfId="0" applyFont="1" applyFill="1" applyBorder="1" applyAlignment="1">
      <alignment horizontal="center"/>
    </xf>
    <xf numFmtId="167" fontId="27" fillId="2" borderId="0" xfId="0" applyNumberFormat="1" applyFont="1" applyFill="1" applyAlignment="1">
      <alignment horizontal="center"/>
    </xf>
    <xf numFmtId="170" fontId="19" fillId="2" borderId="133" xfId="0" applyNumberFormat="1" applyFont="1" applyFill="1" applyBorder="1" applyAlignment="1">
      <alignment horizontal="right"/>
    </xf>
    <xf numFmtId="170" fontId="6" fillId="2" borderId="124" xfId="0" applyNumberFormat="1" applyFont="1" applyFill="1" applyBorder="1" applyAlignment="1">
      <alignment horizontal="right"/>
    </xf>
    <xf numFmtId="165" fontId="19" fillId="2" borderId="10" xfId="0" applyNumberFormat="1" applyFont="1" applyFill="1" applyBorder="1" applyAlignment="1">
      <alignment horizontal="center"/>
    </xf>
    <xf numFmtId="0" fontId="6" fillId="2" borderId="391" xfId="0" applyFont="1" applyFill="1" applyBorder="1"/>
    <xf numFmtId="170" fontId="6" fillId="2" borderId="392" xfId="0" applyNumberFormat="1" applyFont="1" applyFill="1" applyBorder="1" applyAlignment="1">
      <alignment horizontal="right"/>
    </xf>
    <xf numFmtId="167" fontId="27" fillId="2" borderId="10" xfId="0" applyNumberFormat="1" applyFont="1" applyFill="1" applyBorder="1" applyAlignment="1">
      <alignment horizontal="center"/>
    </xf>
    <xf numFmtId="165" fontId="19" fillId="2" borderId="14" xfId="0" applyNumberFormat="1" applyFont="1" applyFill="1" applyBorder="1" applyAlignment="1">
      <alignment horizontal="center"/>
    </xf>
    <xf numFmtId="0" fontId="6" fillId="2" borderId="393" xfId="0" applyFont="1" applyFill="1" applyBorder="1"/>
    <xf numFmtId="170" fontId="6" fillId="2" borderId="394" xfId="0" applyNumberFormat="1" applyFont="1" applyFill="1" applyBorder="1" applyAlignment="1">
      <alignment horizontal="right"/>
    </xf>
    <xf numFmtId="167" fontId="6" fillId="2" borderId="394" xfId="0" applyNumberFormat="1" applyFont="1" applyFill="1" applyBorder="1" applyAlignment="1">
      <alignment horizontal="center"/>
    </xf>
    <xf numFmtId="167" fontId="6" fillId="2" borderId="14" xfId="0" applyNumberFormat="1" applyFont="1" applyFill="1" applyBorder="1" applyAlignment="1">
      <alignment horizontal="center"/>
    </xf>
    <xf numFmtId="167" fontId="6" fillId="2" borderId="393" xfId="0" applyNumberFormat="1" applyFont="1" applyFill="1" applyBorder="1" applyAlignment="1">
      <alignment horizontal="center"/>
    </xf>
    <xf numFmtId="167" fontId="27" fillId="2" borderId="14" xfId="0" applyNumberFormat="1" applyFont="1" applyFill="1" applyBorder="1" applyAlignment="1">
      <alignment horizontal="center"/>
    </xf>
    <xf numFmtId="167" fontId="27" fillId="2" borderId="54" xfId="0" applyNumberFormat="1" applyFont="1" applyFill="1" applyBorder="1" applyAlignment="1">
      <alignment horizontal="center"/>
    </xf>
    <xf numFmtId="170" fontId="19" fillId="2" borderId="124" xfId="0" applyNumberFormat="1" applyFont="1" applyFill="1" applyBorder="1" applyAlignment="1">
      <alignment horizontal="right"/>
    </xf>
    <xf numFmtId="0" fontId="26" fillId="0" borderId="0" xfId="0" applyFont="1"/>
    <xf numFmtId="167"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7" fontId="31" fillId="0" borderId="318" xfId="0" applyNumberFormat="1" applyFont="1" applyBorder="1" applyAlignment="1">
      <alignment horizontal="centerContinuous" vertical="center"/>
    </xf>
    <xf numFmtId="167" fontId="31" fillId="0" borderId="316" xfId="0" applyNumberFormat="1" applyFont="1" applyBorder="1" applyAlignment="1">
      <alignment horizontal="centerContinuous" vertical="center"/>
    </xf>
    <xf numFmtId="167" fontId="31" fillId="0" borderId="201" xfId="0" applyNumberFormat="1" applyFont="1" applyBorder="1" applyAlignment="1">
      <alignment horizontal="centerContinuous" vertical="center"/>
    </xf>
    <xf numFmtId="167" fontId="31" fillId="0" borderId="329" xfId="0" applyNumberFormat="1" applyFont="1" applyBorder="1" applyAlignment="1">
      <alignment horizontal="centerContinuous" vertical="center"/>
    </xf>
    <xf numFmtId="167" fontId="31" fillId="0" borderId="203" xfId="0" applyNumberFormat="1" applyFont="1" applyBorder="1" applyAlignment="1">
      <alignment horizontal="centerContinuous" vertical="center"/>
    </xf>
    <xf numFmtId="167" fontId="31" fillId="0" borderId="330" xfId="0" applyNumberFormat="1" applyFont="1" applyBorder="1" applyAlignment="1">
      <alignment horizontal="centerContinuous" vertical="center"/>
    </xf>
    <xf numFmtId="165" fontId="31" fillId="0" borderId="0" xfId="0" applyNumberFormat="1" applyFont="1" applyAlignment="1">
      <alignment horizontal="centerContinuous" vertical="center"/>
    </xf>
    <xf numFmtId="167"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5" fontId="42" fillId="0" borderId="213" xfId="0" applyNumberFormat="1" applyFont="1" applyBorder="1" applyAlignment="1">
      <alignment horizontal="centerContinuous" vertical="center"/>
    </xf>
    <xf numFmtId="165" fontId="42" fillId="0" borderId="367" xfId="0" applyNumberFormat="1" applyFont="1" applyBorder="1" applyAlignment="1">
      <alignment horizontal="centerContinuous" vertical="center"/>
    </xf>
    <xf numFmtId="165" fontId="42" fillId="0" borderId="0" xfId="0" applyNumberFormat="1" applyFont="1" applyAlignment="1">
      <alignment horizontal="centerContinuous" vertical="center"/>
    </xf>
    <xf numFmtId="165" fontId="42" fillId="0" borderId="273" xfId="0" applyNumberFormat="1" applyFont="1" applyBorder="1" applyAlignment="1">
      <alignment horizontal="centerContinuous" vertical="center"/>
    </xf>
    <xf numFmtId="165" fontId="42" fillId="0" borderId="257" xfId="0" applyNumberFormat="1" applyFont="1" applyBorder="1" applyAlignment="1">
      <alignment horizontal="centerContinuous" vertical="center"/>
    </xf>
    <xf numFmtId="165" fontId="42" fillId="0" borderId="166" xfId="0" applyNumberFormat="1" applyFont="1" applyBorder="1" applyAlignment="1">
      <alignment horizontal="centerContinuous" vertical="center"/>
    </xf>
    <xf numFmtId="165" fontId="42" fillId="0" borderId="157" xfId="0" applyNumberFormat="1" applyFont="1" applyBorder="1" applyAlignment="1">
      <alignment horizontal="left" vertical="center"/>
    </xf>
    <xf numFmtId="165" fontId="42" fillId="0" borderId="0" xfId="0" applyNumberFormat="1" applyFont="1" applyAlignment="1">
      <alignment horizontal="left" vertical="center"/>
    </xf>
    <xf numFmtId="165"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5" fontId="42" fillId="0" borderId="266" xfId="0" applyNumberFormat="1" applyFont="1" applyBorder="1" applyAlignment="1">
      <alignment horizontal="centerContinuous" vertical="center"/>
    </xf>
    <xf numFmtId="165" fontId="42" fillId="0" borderId="361" xfId="0" applyNumberFormat="1" applyFont="1" applyBorder="1" applyAlignment="1">
      <alignment horizontal="centerContinuous" vertical="center"/>
    </xf>
    <xf numFmtId="165" fontId="42" fillId="0" borderId="176" xfId="0" applyNumberFormat="1" applyFont="1" applyBorder="1" applyAlignment="1">
      <alignment horizontal="centerContinuous" vertical="center"/>
    </xf>
    <xf numFmtId="165"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5" fontId="42" fillId="0" borderId="306" xfId="0" applyNumberFormat="1" applyFont="1" applyBorder="1" applyAlignment="1">
      <alignment horizontal="centerContinuous" vertical="center"/>
    </xf>
    <xf numFmtId="165" fontId="42" fillId="0" borderId="365" xfId="0" applyNumberFormat="1" applyFont="1" applyBorder="1" applyAlignment="1">
      <alignment horizontal="centerContinuous" vertical="center"/>
    </xf>
    <xf numFmtId="165" fontId="42" fillId="0" borderId="218" xfId="0" applyNumberFormat="1" applyFont="1" applyBorder="1" applyAlignment="1">
      <alignment horizontal="centerContinuous" vertical="center"/>
    </xf>
    <xf numFmtId="165" fontId="42" fillId="0" borderId="188" xfId="0" applyNumberFormat="1" applyFont="1" applyBorder="1" applyAlignment="1">
      <alignment horizontal="centerContinuous" vertical="center"/>
    </xf>
    <xf numFmtId="165" fontId="42" fillId="0" borderId="176" xfId="0" applyNumberFormat="1" applyFont="1" applyBorder="1" applyAlignment="1">
      <alignment horizontal="center" vertical="center"/>
    </xf>
    <xf numFmtId="165" fontId="42" fillId="0" borderId="266" xfId="0" applyNumberFormat="1" applyFont="1" applyBorder="1" applyAlignment="1">
      <alignment horizontal="left" vertical="center"/>
    </xf>
    <xf numFmtId="165"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5" fontId="42" fillId="0" borderId="179" xfId="0" applyNumberFormat="1" applyFont="1" applyBorder="1" applyAlignment="1">
      <alignment horizontal="left" vertical="center"/>
    </xf>
    <xf numFmtId="165"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5" fontId="42" fillId="0" borderId="200" xfId="0" applyNumberFormat="1" applyFont="1" applyBorder="1" applyAlignment="1">
      <alignment horizontal="left" vertical="center"/>
    </xf>
    <xf numFmtId="165" fontId="42" fillId="0" borderId="154" xfId="0" applyNumberFormat="1" applyFont="1" applyBorder="1" applyAlignment="1">
      <alignment horizontal="left" vertical="center"/>
    </xf>
    <xf numFmtId="165" fontId="42" fillId="0" borderId="192" xfId="0" applyNumberFormat="1" applyFont="1" applyBorder="1" applyAlignment="1">
      <alignment horizontal="left" vertical="center"/>
    </xf>
    <xf numFmtId="165" fontId="42" fillId="0" borderId="175" xfId="0" applyNumberFormat="1" applyFont="1" applyBorder="1" applyAlignment="1">
      <alignment horizontal="centerContinuous" vertical="center"/>
    </xf>
    <xf numFmtId="165" fontId="42" fillId="0" borderId="262" xfId="0" applyNumberFormat="1" applyFont="1" applyBorder="1" applyAlignment="1">
      <alignment horizontal="centerContinuous" vertical="center"/>
    </xf>
    <xf numFmtId="165" fontId="42" fillId="0" borderId="193" xfId="0" applyNumberFormat="1" applyFont="1" applyBorder="1" applyAlignment="1">
      <alignment horizontal="centerContinuous" vertical="center"/>
    </xf>
    <xf numFmtId="165" fontId="42" fillId="0" borderId="180" xfId="0" applyNumberFormat="1" applyFont="1" applyBorder="1" applyAlignment="1">
      <alignment horizontal="centerContinuous" vertical="center"/>
    </xf>
    <xf numFmtId="165" fontId="42" fillId="0" borderId="305" xfId="0" applyNumberFormat="1" applyFont="1" applyBorder="1" applyAlignment="1">
      <alignment horizontal="centerContinuous" vertical="center"/>
    </xf>
    <xf numFmtId="165" fontId="42" fillId="0" borderId="154" xfId="0" applyNumberFormat="1" applyFont="1" applyBorder="1" applyAlignment="1">
      <alignment horizontal="centerContinuous" vertical="center"/>
    </xf>
    <xf numFmtId="165"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0" fontId="31" fillId="0" borderId="198" xfId="0" applyNumberFormat="1" applyFont="1" applyBorder="1" applyAlignment="1">
      <alignment horizontal="centerContinuous" vertical="center"/>
    </xf>
    <xf numFmtId="170" fontId="31" fillId="0" borderId="179" xfId="0" applyNumberFormat="1" applyFont="1" applyBorder="1" applyAlignment="1">
      <alignment horizontal="centerContinuous" vertical="center"/>
    </xf>
    <xf numFmtId="170" fontId="31" fillId="0" borderId="154" xfId="0" applyNumberFormat="1" applyFont="1" applyBorder="1" applyAlignment="1">
      <alignment horizontal="centerContinuous" vertical="center"/>
    </xf>
    <xf numFmtId="170" fontId="31" fillId="0" borderId="176" xfId="0" applyNumberFormat="1" applyFont="1" applyBorder="1" applyAlignment="1">
      <alignment horizontal="centerContinuous" vertical="center"/>
    </xf>
    <xf numFmtId="170" fontId="31" fillId="0" borderId="157" xfId="0" applyNumberFormat="1" applyFont="1" applyBorder="1" applyAlignment="1">
      <alignment horizontal="centerContinuous" vertical="center"/>
    </xf>
    <xf numFmtId="170" fontId="31" fillId="0" borderId="218" xfId="0" applyNumberFormat="1" applyFont="1" applyBorder="1" applyAlignment="1">
      <alignment horizontal="centerContinuous" vertical="center"/>
    </xf>
    <xf numFmtId="165" fontId="31" fillId="0" borderId="191" xfId="0" applyNumberFormat="1" applyFont="1" applyBorder="1" applyAlignment="1">
      <alignment horizontal="centerContinuous" vertical="center"/>
    </xf>
    <xf numFmtId="165" fontId="31" fillId="2" borderId="168" xfId="0" applyNumberFormat="1" applyFont="1" applyFill="1" applyBorder="1" applyAlignment="1">
      <alignment horizontal="centerContinuous" vertical="center"/>
    </xf>
    <xf numFmtId="165" fontId="31" fillId="2" borderId="169" xfId="0" applyNumberFormat="1" applyFont="1" applyFill="1" applyBorder="1" applyAlignment="1">
      <alignment horizontal="centerContinuous" vertical="center"/>
    </xf>
    <xf numFmtId="165" fontId="39" fillId="2" borderId="166" xfId="0" applyNumberFormat="1" applyFont="1" applyFill="1" applyBorder="1" applyAlignment="1">
      <alignment horizontal="left" vertical="center"/>
    </xf>
    <xf numFmtId="165" fontId="31" fillId="2" borderId="166" xfId="0" applyNumberFormat="1" applyFont="1" applyFill="1" applyBorder="1" applyAlignment="1">
      <alignment horizontal="centerContinuous" vertical="center"/>
    </xf>
    <xf numFmtId="165" fontId="31" fillId="2" borderId="174" xfId="0" applyNumberFormat="1" applyFont="1" applyFill="1" applyBorder="1" applyAlignment="1">
      <alignment horizontal="centerContinuous" vertical="center"/>
    </xf>
    <xf numFmtId="165"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5"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0"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7" fontId="31" fillId="0" borderId="303" xfId="0" applyNumberFormat="1" applyFont="1" applyBorder="1" applyAlignment="1">
      <alignment horizontal="centerContinuous" vertical="center"/>
    </xf>
    <xf numFmtId="167"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5"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7" fontId="31" fillId="0" borderId="0" xfId="0" applyNumberFormat="1" applyFont="1" applyAlignment="1">
      <alignment horizontal="left" vertical="center"/>
    </xf>
    <xf numFmtId="167" fontId="31" fillId="0" borderId="301" xfId="0" applyNumberFormat="1" applyFont="1" applyBorder="1" applyAlignment="1">
      <alignment horizontal="left" vertical="center"/>
    </xf>
    <xf numFmtId="167"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5"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5"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5" fontId="42" fillId="0" borderId="182" xfId="0" applyNumberFormat="1" applyFont="1" applyBorder="1" applyAlignment="1">
      <alignment horizontal="centerContinuous" vertical="center"/>
    </xf>
    <xf numFmtId="165" fontId="42" fillId="0" borderId="184" xfId="0" applyNumberFormat="1" applyFont="1" applyBorder="1" applyAlignment="1">
      <alignment horizontal="centerContinuous" vertical="center"/>
    </xf>
    <xf numFmtId="165" fontId="42" fillId="0" borderId="159" xfId="0" applyNumberFormat="1" applyFont="1" applyBorder="1" applyAlignment="1">
      <alignment horizontal="centerContinuous" vertical="center"/>
    </xf>
    <xf numFmtId="165" fontId="42" fillId="0" borderId="183" xfId="0" applyNumberFormat="1" applyFont="1" applyBorder="1" applyAlignment="1">
      <alignment horizontal="left" vertical="center"/>
    </xf>
    <xf numFmtId="165"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2"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5"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5" fontId="0" fillId="9" borderId="275" xfId="0" applyNumberFormat="1" applyFill="1" applyBorder="1" applyAlignment="1">
      <alignment horizontal="center" vertical="center"/>
    </xf>
    <xf numFmtId="0" fontId="0" fillId="0" borderId="280" xfId="0" applyBorder="1" applyAlignment="1">
      <alignment horizontal="center" vertical="center"/>
    </xf>
    <xf numFmtId="165" fontId="0" fillId="9" borderId="280" xfId="0" applyNumberFormat="1" applyFill="1" applyBorder="1" applyAlignment="1">
      <alignment horizontal="center" vertical="center"/>
    </xf>
    <xf numFmtId="0" fontId="0" fillId="0" borderId="295" xfId="0" applyBorder="1" applyAlignment="1">
      <alignment horizontal="center" vertical="center"/>
    </xf>
    <xf numFmtId="165"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7" fontId="19" fillId="5" borderId="0" xfId="0" applyNumberFormat="1" applyFont="1" applyFill="1" applyAlignment="1">
      <alignment horizontal="right" vertical="center"/>
    </xf>
    <xf numFmtId="165"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7" fontId="6" fillId="2" borderId="69" xfId="0" applyNumberFormat="1" applyFont="1" applyFill="1" applyBorder="1"/>
    <xf numFmtId="167" fontId="6" fillId="2" borderId="10" xfId="0" applyNumberFormat="1" applyFont="1" applyFill="1" applyBorder="1"/>
    <xf numFmtId="167" fontId="6" fillId="2" borderId="54" xfId="0" applyNumberFormat="1" applyFont="1" applyFill="1" applyBorder="1"/>
    <xf numFmtId="167" fontId="31" fillId="0" borderId="157" xfId="0" applyNumberFormat="1" applyFont="1" applyBorder="1"/>
    <xf numFmtId="167" fontId="31" fillId="0" borderId="179" xfId="0" applyNumberFormat="1" applyFont="1" applyBorder="1"/>
    <xf numFmtId="167"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7" fontId="31" fillId="0" borderId="198" xfId="0" applyNumberFormat="1" applyFont="1" applyBorder="1" applyAlignment="1">
      <alignment horizontal="centerContinuous"/>
    </xf>
    <xf numFmtId="167" fontId="31" fillId="0" borderId="179" xfId="0" applyNumberFormat="1" applyFont="1" applyBorder="1" applyAlignment="1">
      <alignment horizontal="centerContinuous"/>
    </xf>
    <xf numFmtId="167"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5" fontId="31" fillId="0" borderId="198" xfId="0" applyNumberFormat="1" applyFont="1" applyBorder="1" applyAlignment="1">
      <alignment horizontal="centerContinuous"/>
    </xf>
    <xf numFmtId="165" fontId="31" fillId="0" borderId="179" xfId="0" applyNumberFormat="1" applyFont="1" applyBorder="1" applyAlignment="1">
      <alignment horizontal="centerContinuous"/>
    </xf>
    <xf numFmtId="165"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7" fontId="31" fillId="0" borderId="179" xfId="0" applyNumberFormat="1" applyFont="1" applyBorder="1" applyAlignment="1">
      <alignment horizontal="left" vertical="center"/>
    </xf>
    <xf numFmtId="167" fontId="31" fillId="0" borderId="190" xfId="0" applyNumberFormat="1" applyFont="1" applyBorder="1" applyAlignment="1">
      <alignment horizontal="left" vertical="center"/>
    </xf>
    <xf numFmtId="167" fontId="31" fillId="0" borderId="154" xfId="0" applyNumberFormat="1" applyFont="1" applyBorder="1"/>
    <xf numFmtId="167"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7"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5"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7" fontId="6" fillId="2" borderId="117" xfId="0" applyNumberFormat="1" applyFont="1" applyFill="1" applyBorder="1" applyAlignment="1">
      <alignment horizontal="left"/>
    </xf>
    <xf numFmtId="167" fontId="6" fillId="2" borderId="113" xfId="0" applyNumberFormat="1" applyFont="1" applyFill="1" applyBorder="1" applyAlignment="1">
      <alignment horizontal="left"/>
    </xf>
    <xf numFmtId="167" fontId="6" fillId="2" borderId="0" xfId="0" applyNumberFormat="1" applyFont="1" applyFill="1" applyAlignment="1">
      <alignment horizontal="left"/>
    </xf>
    <xf numFmtId="167" fontId="6" fillId="2" borderId="43" xfId="0" applyNumberFormat="1" applyFont="1" applyFill="1" applyBorder="1" applyAlignment="1">
      <alignment horizontal="left"/>
    </xf>
    <xf numFmtId="167" fontId="6" fillId="2" borderId="54" xfId="0" applyNumberFormat="1" applyFont="1" applyFill="1" applyBorder="1" applyAlignment="1">
      <alignment horizontal="left"/>
    </xf>
    <xf numFmtId="167" fontId="6" fillId="2" borderId="10" xfId="0" applyNumberFormat="1" applyFont="1" applyFill="1" applyBorder="1" applyAlignment="1">
      <alignment horizontal="left"/>
    </xf>
    <xf numFmtId="165" fontId="6" fillId="2" borderId="10" xfId="0" applyNumberFormat="1" applyFont="1" applyFill="1" applyBorder="1" applyAlignment="1">
      <alignment horizontal="left"/>
    </xf>
    <xf numFmtId="165"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5"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7" fontId="6" fillId="2" borderId="112" xfId="0" applyNumberFormat="1" applyFont="1" applyFill="1" applyBorder="1" applyAlignment="1">
      <alignment horizontal="left"/>
    </xf>
    <xf numFmtId="167" fontId="6" fillId="2" borderId="61" xfId="0" applyNumberFormat="1" applyFont="1" applyFill="1" applyBorder="1" applyAlignment="1">
      <alignment horizontal="left"/>
    </xf>
    <xf numFmtId="167"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5" fontId="6" fillId="2" borderId="42" xfId="0" applyNumberFormat="1" applyFont="1" applyFill="1" applyBorder="1" applyAlignment="1">
      <alignment horizontal="left"/>
    </xf>
    <xf numFmtId="165" fontId="6" fillId="2" borderId="61" xfId="0" applyNumberFormat="1" applyFont="1" applyFill="1" applyBorder="1" applyAlignment="1">
      <alignment horizontal="left"/>
    </xf>
    <xf numFmtId="165"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7" fontId="7" fillId="2" borderId="124" xfId="0" applyNumberFormat="1" applyFont="1" applyFill="1" applyBorder="1" applyAlignment="1">
      <alignment horizontal="center"/>
    </xf>
    <xf numFmtId="167" fontId="7" fillId="2" borderId="0" xfId="0" applyNumberFormat="1" applyFont="1" applyFill="1" applyAlignment="1">
      <alignment horizontal="center"/>
    </xf>
    <xf numFmtId="167" fontId="7" fillId="2" borderId="390" xfId="0" applyNumberFormat="1" applyFont="1" applyFill="1" applyBorder="1" applyAlignment="1">
      <alignment horizontal="center"/>
    </xf>
    <xf numFmtId="167" fontId="7" fillId="2" borderId="387" xfId="0" applyNumberFormat="1" applyFont="1" applyFill="1" applyBorder="1" applyAlignment="1">
      <alignment horizontal="center"/>
    </xf>
    <xf numFmtId="167" fontId="7" fillId="2" borderId="389" xfId="0" applyNumberFormat="1" applyFont="1" applyFill="1" applyBorder="1" applyAlignment="1">
      <alignment horizontal="center"/>
    </xf>
    <xf numFmtId="167" fontId="7" fillId="2" borderId="125" xfId="0" applyNumberFormat="1" applyFont="1" applyFill="1" applyBorder="1" applyAlignment="1">
      <alignment horizontal="center"/>
    </xf>
    <xf numFmtId="167" fontId="7" fillId="2" borderId="133" xfId="0" applyNumberFormat="1" applyFont="1" applyFill="1" applyBorder="1" applyAlignment="1">
      <alignment horizontal="center"/>
    </xf>
    <xf numFmtId="167" fontId="7" fillId="2" borderId="54" xfId="0" applyNumberFormat="1" applyFont="1" applyFill="1" applyBorder="1" applyAlignment="1">
      <alignment horizontal="center"/>
    </xf>
    <xf numFmtId="167" fontId="7" fillId="2" borderId="130" xfId="0" applyNumberFormat="1" applyFont="1" applyFill="1" applyBorder="1" applyAlignment="1">
      <alignment horizontal="center"/>
    </xf>
    <xf numFmtId="167" fontId="7" fillId="2" borderId="392" xfId="0" applyNumberFormat="1" applyFont="1" applyFill="1" applyBorder="1" applyAlignment="1">
      <alignment horizontal="center"/>
    </xf>
    <xf numFmtId="167" fontId="7" fillId="2" borderId="10" xfId="0" applyNumberFormat="1" applyFont="1" applyFill="1" applyBorder="1" applyAlignment="1">
      <alignment horizontal="center"/>
    </xf>
    <xf numFmtId="167" fontId="7" fillId="2" borderId="391" xfId="0" applyNumberFormat="1" applyFont="1" applyFill="1" applyBorder="1" applyAlignment="1">
      <alignment horizontal="center"/>
    </xf>
    <xf numFmtId="165" fontId="7" fillId="2" borderId="54" xfId="0" applyNumberFormat="1" applyFont="1" applyFill="1" applyBorder="1" applyAlignment="1">
      <alignment horizontal="center"/>
    </xf>
    <xf numFmtId="165" fontId="7" fillId="2" borderId="0" xfId="0" applyNumberFormat="1" applyFont="1" applyFill="1" applyAlignment="1">
      <alignment horizontal="center"/>
    </xf>
    <xf numFmtId="165" fontId="7" fillId="2" borderId="324" xfId="0" applyNumberFormat="1" applyFont="1" applyFill="1" applyBorder="1" applyAlignment="1">
      <alignment horizontal="center"/>
    </xf>
    <xf numFmtId="165" fontId="7" fillId="2" borderId="131" xfId="0" applyNumberFormat="1" applyFont="1" applyFill="1" applyBorder="1"/>
    <xf numFmtId="165" fontId="7" fillId="2" borderId="331" xfId="0" applyNumberFormat="1" applyFont="1" applyFill="1" applyBorder="1"/>
    <xf numFmtId="165"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5"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5" fontId="35" fillId="0" borderId="277" xfId="0" applyNumberFormat="1" applyFont="1" applyBorder="1" applyAlignment="1">
      <alignment horizontal="center" vertical="center"/>
    </xf>
    <xf numFmtId="165" fontId="35" fillId="0" borderId="285" xfId="0" applyNumberFormat="1" applyFont="1" applyBorder="1" applyAlignment="1">
      <alignment horizontal="center" vertical="center"/>
    </xf>
    <xf numFmtId="165" fontId="35" fillId="0" borderId="287" xfId="0" applyNumberFormat="1" applyFont="1" applyBorder="1" applyAlignment="1">
      <alignment horizontal="center" vertical="center"/>
    </xf>
    <xf numFmtId="165" fontId="35" fillId="0" borderId="267" xfId="0" applyNumberFormat="1" applyFont="1" applyBorder="1" applyAlignment="1">
      <alignment horizontal="center" vertical="center"/>
    </xf>
    <xf numFmtId="165" fontId="35" fillId="0" borderId="290" xfId="0" applyNumberFormat="1" applyFont="1" applyBorder="1" applyAlignment="1">
      <alignment horizontal="center" vertical="center"/>
    </xf>
    <xf numFmtId="165" fontId="35" fillId="0" borderId="297" xfId="0" applyNumberFormat="1" applyFont="1" applyBorder="1" applyAlignment="1">
      <alignment horizontal="center" vertical="center"/>
    </xf>
    <xf numFmtId="165" fontId="35" fillId="0" borderId="277" xfId="0" applyNumberFormat="1" applyFont="1" applyBorder="1" applyAlignment="1">
      <alignment horizontal="centerContinuous" vertical="center"/>
    </xf>
    <xf numFmtId="165" fontId="35" fillId="0" borderId="285" xfId="0" applyNumberFormat="1" applyFont="1" applyBorder="1" applyAlignment="1">
      <alignment horizontal="centerContinuous" vertical="center"/>
    </xf>
    <xf numFmtId="165" fontId="35" fillId="0" borderId="287" xfId="0" applyNumberFormat="1" applyFont="1" applyBorder="1" applyAlignment="1">
      <alignment horizontal="centerContinuous" vertical="center"/>
    </xf>
    <xf numFmtId="165" fontId="35" fillId="0" borderId="267" xfId="0" applyNumberFormat="1" applyFont="1" applyBorder="1" applyAlignment="1">
      <alignment horizontal="centerContinuous" vertical="center"/>
    </xf>
    <xf numFmtId="165" fontId="35" fillId="0" borderId="290" xfId="0" applyNumberFormat="1" applyFont="1" applyBorder="1" applyAlignment="1">
      <alignment horizontal="centerContinuous" vertical="center"/>
    </xf>
    <xf numFmtId="165"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7" fontId="6" fillId="5" borderId="0" xfId="0" applyNumberFormat="1" applyFont="1" applyFill="1"/>
    <xf numFmtId="1" fontId="6" fillId="0" borderId="0" xfId="0" applyNumberFormat="1" applyFont="1"/>
    <xf numFmtId="167" fontId="31" fillId="0" borderId="200" xfId="0" applyNumberFormat="1" applyFont="1" applyBorder="1"/>
    <xf numFmtId="165"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4"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7" fontId="31" fillId="2" borderId="355" xfId="0" applyNumberFormat="1" applyFont="1" applyFill="1" applyBorder="1" applyAlignment="1">
      <alignment horizontal="right" textRotation="90"/>
    </xf>
    <xf numFmtId="165" fontId="40" fillId="0" borderId="363" xfId="0" applyNumberFormat="1" applyFont="1" applyBorder="1" applyAlignment="1">
      <alignment vertical="center"/>
    </xf>
    <xf numFmtId="165" fontId="35" fillId="0" borderId="375" xfId="0" applyNumberFormat="1" applyFont="1" applyBorder="1" applyAlignment="1">
      <alignment vertical="center"/>
    </xf>
    <xf numFmtId="165" fontId="35" fillId="0" borderId="376" xfId="0" applyNumberFormat="1" applyFont="1" applyBorder="1" applyAlignment="1">
      <alignment vertical="center"/>
    </xf>
    <xf numFmtId="0" fontId="42" fillId="0" borderId="0" xfId="0" applyFont="1" applyAlignment="1">
      <alignment horizontal="centerContinuous" vertical="center"/>
    </xf>
    <xf numFmtId="165"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5"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5"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5" fontId="42" fillId="0" borderId="157" xfId="0" applyNumberFormat="1" applyFont="1" applyBorder="1"/>
    <xf numFmtId="0" fontId="42" fillId="0" borderId="193" xfId="0" applyFont="1" applyBorder="1"/>
    <xf numFmtId="165" fontId="42" fillId="0" borderId="154" xfId="0" applyNumberFormat="1" applyFont="1" applyBorder="1"/>
    <xf numFmtId="0" fontId="42" fillId="0" borderId="204" xfId="0" applyFont="1" applyBorder="1"/>
    <xf numFmtId="165" fontId="19" fillId="2" borderId="61" xfId="0" applyNumberFormat="1" applyFont="1" applyFill="1" applyBorder="1" applyAlignment="1">
      <alignment horizontal="center"/>
    </xf>
    <xf numFmtId="170" fontId="6" fillId="2" borderId="126" xfId="0" applyNumberFormat="1" applyFont="1" applyFill="1" applyBorder="1" applyAlignment="1">
      <alignment horizontal="right"/>
    </xf>
    <xf numFmtId="167" fontId="7" fillId="2" borderId="126" xfId="0" applyNumberFormat="1" applyFont="1" applyFill="1" applyBorder="1" applyAlignment="1">
      <alignment horizontal="center"/>
    </xf>
    <xf numFmtId="167" fontId="7" fillId="2" borderId="61" xfId="0" applyNumberFormat="1" applyFont="1" applyFill="1" applyBorder="1" applyAlignment="1">
      <alignment horizontal="center"/>
    </xf>
    <xf numFmtId="167" fontId="7" fillId="2" borderId="127" xfId="0" applyNumberFormat="1" applyFont="1" applyFill="1" applyBorder="1" applyAlignment="1">
      <alignment horizontal="center"/>
    </xf>
    <xf numFmtId="167"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5" fontId="42" fillId="0" borderId="276" xfId="0" applyNumberFormat="1" applyFont="1" applyBorder="1" applyAlignment="1">
      <alignment horizontal="center" vertical="center"/>
    </xf>
    <xf numFmtId="165"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5"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5"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5"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5"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5" fontId="6" fillId="4" borderId="122" xfId="0" applyNumberFormat="1" applyFont="1" applyFill="1" applyBorder="1" applyProtection="1">
      <protection locked="0"/>
    </xf>
    <xf numFmtId="165" fontId="6" fillId="4" borderId="123" xfId="0" applyNumberFormat="1" applyFont="1" applyFill="1" applyBorder="1" applyProtection="1">
      <protection locked="0"/>
    </xf>
    <xf numFmtId="165" fontId="6" fillId="4" borderId="62" xfId="0" applyNumberFormat="1" applyFont="1" applyFill="1" applyBorder="1" applyProtection="1">
      <protection locked="0"/>
    </xf>
    <xf numFmtId="165" fontId="6" fillId="4" borderId="53" xfId="0" applyNumberFormat="1" applyFont="1" applyFill="1" applyBorder="1" applyProtection="1">
      <protection locked="0"/>
    </xf>
    <xf numFmtId="165"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5" fontId="6" fillId="0" borderId="0" xfId="0" applyNumberFormat="1" applyFont="1" applyAlignment="1" applyProtection="1">
      <alignment horizontal="center"/>
      <protection locked="0"/>
    </xf>
    <xf numFmtId="165" fontId="6" fillId="0" borderId="10" xfId="0" applyNumberFormat="1" applyFont="1" applyBorder="1" applyAlignment="1" applyProtection="1">
      <alignment horizontal="center"/>
      <protection locked="0"/>
    </xf>
    <xf numFmtId="165" fontId="6" fillId="0" borderId="14" xfId="0" applyNumberFormat="1" applyFont="1" applyBorder="1" applyAlignment="1" applyProtection="1">
      <alignment horizontal="center"/>
      <protection locked="0"/>
    </xf>
    <xf numFmtId="165" fontId="6" fillId="0" borderId="128" xfId="0" applyNumberFormat="1" applyFont="1" applyBorder="1" applyAlignment="1" applyProtection="1">
      <alignment horizontal="center"/>
      <protection locked="0"/>
    </xf>
    <xf numFmtId="165" fontId="6" fillId="0" borderId="323" xfId="0" applyNumberFormat="1" applyFont="1" applyBorder="1" applyAlignment="1" applyProtection="1">
      <alignment horizontal="center"/>
      <protection locked="0"/>
    </xf>
    <xf numFmtId="165" fontId="6" fillId="0" borderId="388" xfId="0" applyNumberFormat="1" applyFont="1" applyBorder="1" applyAlignment="1" applyProtection="1">
      <alignment horizontal="center"/>
      <protection locked="0"/>
    </xf>
    <xf numFmtId="165"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5"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5" fontId="6" fillId="0" borderId="321" xfId="0" applyNumberFormat="1" applyFont="1" applyBorder="1" applyAlignment="1" applyProtection="1">
      <alignment horizontal="center"/>
      <protection locked="0"/>
    </xf>
    <xf numFmtId="165"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5" fontId="6" fillId="0" borderId="387" xfId="0" applyNumberFormat="1" applyFont="1" applyBorder="1" applyAlignment="1" applyProtection="1">
      <alignment horizontal="center"/>
      <protection locked="0"/>
    </xf>
    <xf numFmtId="165"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5" fontId="6" fillId="0" borderId="61" xfId="0" applyNumberFormat="1" applyFont="1" applyBorder="1" applyAlignment="1" applyProtection="1">
      <alignment horizontal="center"/>
      <protection locked="0"/>
    </xf>
    <xf numFmtId="165"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5" fontId="6" fillId="0" borderId="133" xfId="0" applyNumberFormat="1" applyFont="1" applyBorder="1" applyAlignment="1" applyProtection="1">
      <alignment horizontal="center"/>
      <protection locked="0"/>
    </xf>
    <xf numFmtId="165"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5"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5"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5"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5"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7"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7" fontId="6" fillId="0" borderId="0" xfId="0" applyNumberFormat="1" applyFont="1" applyAlignment="1" applyProtection="1">
      <alignment horizontal="center"/>
      <protection locked="0"/>
    </xf>
    <xf numFmtId="167"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5"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5"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5" fontId="6" fillId="0" borderId="142" xfId="0" applyNumberFormat="1" applyFont="1" applyBorder="1" applyAlignment="1" applyProtection="1">
      <alignment horizontal="center"/>
      <protection locked="0"/>
    </xf>
    <xf numFmtId="165" fontId="6" fillId="0" borderId="141" xfId="0" applyNumberFormat="1" applyFont="1" applyBorder="1" applyAlignment="1" applyProtection="1">
      <alignment horizontal="center"/>
      <protection locked="0"/>
    </xf>
    <xf numFmtId="165"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5" fontId="6" fillId="0" borderId="346" xfId="0" applyNumberFormat="1" applyFont="1" applyBorder="1" applyAlignment="1" applyProtection="1">
      <alignment horizontal="center"/>
      <protection locked="0"/>
    </xf>
    <xf numFmtId="165" fontId="6" fillId="0" borderId="345" xfId="0" applyNumberFormat="1" applyFont="1" applyBorder="1" applyAlignment="1" applyProtection="1">
      <alignment horizontal="center"/>
      <protection locked="0"/>
    </xf>
    <xf numFmtId="165" fontId="6" fillId="2" borderId="345" xfId="0" applyNumberFormat="1" applyFont="1" applyFill="1" applyBorder="1" applyAlignment="1" applyProtection="1">
      <alignment horizontal="center"/>
      <protection locked="0"/>
    </xf>
    <xf numFmtId="165" fontId="6" fillId="0" borderId="331" xfId="0" applyNumberFormat="1" applyFont="1" applyBorder="1" applyAlignment="1" applyProtection="1">
      <alignment horizontal="center"/>
      <protection locked="0"/>
    </xf>
    <xf numFmtId="165" fontId="6" fillId="2" borderId="324" xfId="0" applyNumberFormat="1" applyFont="1" applyFill="1" applyBorder="1" applyAlignment="1" applyProtection="1">
      <alignment horizontal="center"/>
      <protection locked="0"/>
    </xf>
    <xf numFmtId="165" fontId="6" fillId="0" borderId="131" xfId="0" applyNumberFormat="1" applyFont="1" applyBorder="1" applyAlignment="1" applyProtection="1">
      <alignment horizontal="center"/>
      <protection locked="0"/>
    </xf>
    <xf numFmtId="165" fontId="6" fillId="2" borderId="135" xfId="0" applyNumberFormat="1" applyFont="1" applyFill="1" applyBorder="1" applyProtection="1">
      <protection locked="0"/>
    </xf>
    <xf numFmtId="165"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5" fontId="6" fillId="2" borderId="135" xfId="0" applyNumberFormat="1" applyFont="1" applyFill="1" applyBorder="1" applyAlignment="1" applyProtection="1">
      <alignment horizontal="center"/>
      <protection locked="0"/>
    </xf>
    <xf numFmtId="165"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5" fontId="6" fillId="0" borderId="342" xfId="0" applyNumberFormat="1" applyFont="1" applyBorder="1" applyAlignment="1" applyProtection="1">
      <alignment horizontal="center"/>
      <protection locked="0"/>
    </xf>
    <xf numFmtId="165"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5" fontId="6" fillId="0" borderId="351" xfId="0" applyNumberFormat="1" applyFont="1" applyBorder="1" applyAlignment="1" applyProtection="1">
      <alignment horizontal="center"/>
      <protection locked="0"/>
    </xf>
    <xf numFmtId="165"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5" fontId="6" fillId="0" borderId="0" xfId="0" applyNumberFormat="1" applyFont="1" applyProtection="1">
      <protection locked="0"/>
    </xf>
    <xf numFmtId="165"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5" fontId="6" fillId="2" borderId="134" xfId="0" applyNumberFormat="1" applyFont="1" applyFill="1" applyBorder="1" applyAlignment="1" applyProtection="1">
      <alignment horizontal="center"/>
      <protection locked="0"/>
    </xf>
    <xf numFmtId="165" fontId="6" fillId="4" borderId="234" xfId="0" applyNumberFormat="1" applyFont="1" applyFill="1" applyBorder="1" applyAlignment="1" applyProtection="1">
      <alignment horizontal="center"/>
      <protection locked="0"/>
    </xf>
    <xf numFmtId="165" fontId="6" fillId="4" borderId="238" xfId="0" applyNumberFormat="1" applyFont="1" applyFill="1" applyBorder="1" applyAlignment="1" applyProtection="1">
      <alignment horizontal="center"/>
      <protection locked="0"/>
    </xf>
    <xf numFmtId="165" fontId="6" fillId="4" borderId="235" xfId="0" applyNumberFormat="1" applyFont="1" applyFill="1" applyBorder="1" applyAlignment="1" applyProtection="1">
      <alignment horizontal="center"/>
      <protection locked="0"/>
    </xf>
    <xf numFmtId="165" fontId="6" fillId="4" borderId="236" xfId="0" applyNumberFormat="1" applyFont="1" applyFill="1" applyBorder="1" applyAlignment="1" applyProtection="1">
      <alignment horizontal="center"/>
      <protection locked="0"/>
    </xf>
    <xf numFmtId="165" fontId="6" fillId="4" borderId="239" xfId="0" applyNumberFormat="1" applyFont="1" applyFill="1" applyBorder="1" applyAlignment="1" applyProtection="1">
      <alignment horizontal="center"/>
      <protection locked="0"/>
    </xf>
    <xf numFmtId="165" fontId="6" fillId="4" borderId="237" xfId="0" applyNumberFormat="1" applyFont="1" applyFill="1" applyBorder="1" applyAlignment="1" applyProtection="1">
      <alignment horizontal="center"/>
      <protection locked="0"/>
    </xf>
    <xf numFmtId="165" fontId="6" fillId="4" borderId="240" xfId="0" applyNumberFormat="1" applyFont="1" applyFill="1" applyBorder="1" applyAlignment="1" applyProtection="1">
      <alignment horizontal="center"/>
      <protection locked="0"/>
    </xf>
    <xf numFmtId="165" fontId="6" fillId="4" borderId="241" xfId="0" applyNumberFormat="1" applyFont="1" applyFill="1" applyBorder="1" applyAlignment="1" applyProtection="1">
      <alignment horizontal="center"/>
      <protection locked="0"/>
    </xf>
    <xf numFmtId="165" fontId="6" fillId="4" borderId="242" xfId="0" applyNumberFormat="1" applyFont="1" applyFill="1" applyBorder="1" applyAlignment="1" applyProtection="1">
      <alignment horizontal="center"/>
      <protection locked="0"/>
    </xf>
    <xf numFmtId="165" fontId="6" fillId="4" borderId="352" xfId="0" applyNumberFormat="1" applyFont="1" applyFill="1" applyBorder="1" applyAlignment="1" applyProtection="1">
      <alignment horizontal="center"/>
      <protection locked="0"/>
    </xf>
    <xf numFmtId="165" fontId="6" fillId="4" borderId="354" xfId="0" applyNumberFormat="1" applyFont="1" applyFill="1" applyBorder="1" applyAlignment="1" applyProtection="1">
      <alignment horizontal="center"/>
      <protection locked="0"/>
    </xf>
    <xf numFmtId="165"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5"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4" fontId="0" fillId="0" borderId="0" xfId="0" applyNumberFormat="1" applyAlignment="1">
      <alignment horizontal="center"/>
    </xf>
    <xf numFmtId="0" fontId="0" fillId="0" borderId="0" xfId="0" applyAlignment="1">
      <alignment horizontal="left"/>
    </xf>
    <xf numFmtId="164"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5" fontId="57" fillId="0" borderId="280" xfId="0" applyNumberFormat="1" applyFont="1" applyBorder="1" applyAlignment="1">
      <alignment horizontal="center" vertical="center"/>
    </xf>
    <xf numFmtId="165"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5" fontId="42" fillId="0" borderId="294" xfId="0" applyNumberFormat="1" applyFont="1" applyBorder="1" applyAlignment="1">
      <alignment horizontal="centerContinuous" vertical="center"/>
    </xf>
    <xf numFmtId="165"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5" fontId="6" fillId="0" borderId="42" xfId="0" applyNumberFormat="1" applyFont="1" applyBorder="1" applyProtection="1">
      <protection locked="0"/>
    </xf>
    <xf numFmtId="165" fontId="6" fillId="0" borderId="43" xfId="0" applyNumberFormat="1" applyFont="1" applyBorder="1" applyProtection="1">
      <protection locked="0"/>
    </xf>
    <xf numFmtId="165" fontId="6" fillId="0" borderId="54" xfId="0" applyNumberFormat="1" applyFont="1" applyBorder="1" applyProtection="1">
      <protection locked="0"/>
    </xf>
    <xf numFmtId="165" fontId="6" fillId="4" borderId="45" xfId="0" applyNumberFormat="1" applyFont="1" applyFill="1" applyBorder="1" applyProtection="1">
      <protection locked="0"/>
    </xf>
    <xf numFmtId="165" fontId="6" fillId="4" borderId="63" xfId="0" applyNumberFormat="1" applyFont="1" applyFill="1" applyBorder="1" applyProtection="1">
      <protection locked="0"/>
    </xf>
    <xf numFmtId="165" fontId="6" fillId="4" borderId="48" xfId="0" applyNumberFormat="1" applyFont="1" applyFill="1" applyBorder="1" applyProtection="1">
      <protection locked="0"/>
    </xf>
    <xf numFmtId="165" fontId="6" fillId="4" borderId="70" xfId="0" applyNumberFormat="1" applyFont="1" applyFill="1" applyBorder="1" applyProtection="1">
      <protection locked="0"/>
    </xf>
    <xf numFmtId="165"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5" fontId="0" fillId="0" borderId="291" xfId="0" applyNumberFormat="1" applyBorder="1" applyAlignment="1">
      <alignment horizontal="center" vertical="center"/>
    </xf>
    <xf numFmtId="167" fontId="0" fillId="0" borderId="280" xfId="0" applyNumberFormat="1" applyBorder="1" applyAlignment="1">
      <alignment horizontal="center" vertical="center"/>
    </xf>
    <xf numFmtId="169" fontId="6" fillId="5" borderId="0" xfId="0" applyNumberFormat="1" applyFont="1" applyFill="1"/>
    <xf numFmtId="165" fontId="0" fillId="0" borderId="0" xfId="0" applyNumberFormat="1" applyProtection="1">
      <protection locked="0"/>
    </xf>
    <xf numFmtId="165"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3" fontId="0" fillId="0" borderId="280" xfId="2" applyNumberFormat="1" applyFont="1" applyFill="1" applyBorder="1" applyAlignment="1" applyProtection="1">
      <alignment horizontal="center" vertical="center"/>
    </xf>
    <xf numFmtId="165"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7"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5" fontId="0" fillId="14" borderId="280" xfId="0" applyNumberFormat="1" applyFill="1" applyBorder="1" applyAlignment="1" applyProtection="1">
      <alignment horizontal="center" vertical="center"/>
      <protection locked="0"/>
    </xf>
    <xf numFmtId="165" fontId="42" fillId="0" borderId="347" xfId="0" applyNumberFormat="1" applyFont="1" applyBorder="1" applyAlignment="1">
      <alignment horizontal="centerContinuous" vertical="center"/>
    </xf>
    <xf numFmtId="165" fontId="42" fillId="0" borderId="348" xfId="0" applyNumberFormat="1" applyFont="1" applyBorder="1" applyAlignment="1">
      <alignment horizontal="centerContinuous" vertical="center"/>
    </xf>
    <xf numFmtId="165" fontId="42" fillId="0" borderId="349" xfId="0" applyNumberFormat="1" applyFont="1" applyBorder="1" applyAlignment="1">
      <alignment horizontal="centerContinuous" vertical="center"/>
    </xf>
    <xf numFmtId="165" fontId="42" fillId="0" borderId="350" xfId="0" applyNumberFormat="1" applyFont="1" applyBorder="1" applyAlignment="1">
      <alignment horizontal="centerContinuous" vertical="center"/>
    </xf>
    <xf numFmtId="165" fontId="31" fillId="0" borderId="215" xfId="0" applyNumberFormat="1" applyFont="1" applyBorder="1" applyAlignment="1">
      <alignment horizontal="centerContinuous" vertical="center"/>
    </xf>
    <xf numFmtId="165" fontId="31" fillId="0" borderId="272" xfId="0" applyNumberFormat="1" applyFont="1" applyBorder="1" applyAlignment="1">
      <alignment horizontal="centerContinuous" vertical="center"/>
    </xf>
    <xf numFmtId="165" fontId="31" fillId="0" borderId="170" xfId="0" applyNumberFormat="1" applyFont="1" applyBorder="1" applyAlignment="1">
      <alignment horizontal="centerContinuous" vertical="center"/>
    </xf>
    <xf numFmtId="165" fontId="31" fillId="0" borderId="251" xfId="0" applyNumberFormat="1" applyFont="1" applyBorder="1" applyAlignment="1">
      <alignment horizontal="centerContinuous" vertical="center"/>
    </xf>
    <xf numFmtId="165" fontId="31" fillId="0" borderId="173" xfId="0" applyNumberFormat="1" applyFont="1" applyBorder="1" applyAlignment="1">
      <alignment horizontal="centerContinuous" vertical="center"/>
    </xf>
    <xf numFmtId="165" fontId="31" fillId="0" borderId="274" xfId="0" applyNumberFormat="1" applyFont="1" applyBorder="1" applyAlignment="1">
      <alignment horizontal="centerContinuous" vertical="center"/>
    </xf>
    <xf numFmtId="165" fontId="31" fillId="0" borderId="171" xfId="0" applyNumberFormat="1" applyFont="1" applyBorder="1" applyAlignment="1">
      <alignment horizontal="centerContinuous" vertical="center"/>
    </xf>
    <xf numFmtId="165" fontId="31" fillId="0" borderId="337" xfId="0" applyNumberFormat="1" applyFont="1" applyBorder="1" applyAlignment="1">
      <alignment horizontal="centerContinuous" vertical="center"/>
    </xf>
    <xf numFmtId="165" fontId="31" fillId="0" borderId="192" xfId="0" applyNumberFormat="1" applyFont="1" applyBorder="1" applyAlignment="1">
      <alignment horizontal="centerContinuous" vertical="center"/>
    </xf>
    <xf numFmtId="165" fontId="31" fillId="0" borderId="178" xfId="0" applyNumberFormat="1" applyFont="1" applyBorder="1" applyAlignment="1">
      <alignment horizontal="centerContinuous" vertical="center"/>
    </xf>
    <xf numFmtId="165" fontId="31" fillId="0" borderId="189" xfId="0" applyNumberFormat="1" applyFont="1" applyBorder="1" applyAlignment="1">
      <alignment horizontal="centerContinuous" vertical="center"/>
    </xf>
    <xf numFmtId="165" fontId="31" fillId="0" borderId="347" xfId="0" applyNumberFormat="1" applyFont="1" applyBorder="1" applyAlignment="1">
      <alignment horizontal="centerContinuous" vertical="center"/>
    </xf>
    <xf numFmtId="165" fontId="31" fillId="0" borderId="348" xfId="0" applyNumberFormat="1" applyFont="1" applyBorder="1" applyAlignment="1">
      <alignment horizontal="centerContinuous" vertical="center"/>
    </xf>
    <xf numFmtId="165" fontId="31" fillId="0" borderId="349" xfId="0" applyNumberFormat="1" applyFont="1" applyBorder="1" applyAlignment="1">
      <alignment horizontal="centerContinuous" vertical="center"/>
    </xf>
    <xf numFmtId="165" fontId="31" fillId="0" borderId="350" xfId="0" applyNumberFormat="1" applyFont="1" applyBorder="1" applyAlignment="1">
      <alignment horizontal="centerContinuous" vertical="center"/>
    </xf>
    <xf numFmtId="165" fontId="31" fillId="0" borderId="262" xfId="0" applyNumberFormat="1" applyFont="1" applyBorder="1" applyAlignment="1">
      <alignment horizontal="centerContinuous" vertical="center"/>
    </xf>
    <xf numFmtId="165"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5" fontId="31" fillId="0" borderId="356" xfId="0" applyNumberFormat="1" applyFont="1" applyBorder="1" applyAlignment="1">
      <alignment horizontal="center"/>
    </xf>
    <xf numFmtId="165"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6" fillId="4" borderId="2"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0" borderId="0" xfId="0" applyFont="1" applyAlignment="1" applyProtection="1">
      <alignment horizontal="left"/>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2" xfId="0" applyFont="1" applyBorder="1" applyAlignment="1" applyProtection="1">
      <alignment horizontal="center"/>
      <protection locked="0"/>
    </xf>
    <xf numFmtId="0" fontId="6" fillId="0" borderId="7" xfId="0" applyFont="1" applyBorder="1" applyAlignment="1" applyProtection="1">
      <alignment horizontal="center"/>
      <protection locked="0"/>
    </xf>
    <xf numFmtId="0" fontId="6" fillId="0" borderId="6" xfId="0" applyFont="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21" xfId="0" applyFont="1" applyFill="1" applyBorder="1" applyAlignment="1" applyProtection="1">
      <alignment horizontal="left"/>
      <protection locked="0"/>
    </xf>
    <xf numFmtId="0" fontId="6" fillId="4" borderId="4" xfId="0" applyFont="1" applyFill="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1" fillId="3" borderId="0" xfId="0" applyFont="1" applyFill="1" applyAlignment="1">
      <alignment horizontal="center"/>
    </xf>
    <xf numFmtId="164" fontId="6" fillId="4" borderId="1" xfId="0" applyNumberFormat="1" applyFont="1" applyFill="1" applyBorder="1" applyAlignment="1" applyProtection="1">
      <alignment horizontal="center"/>
      <protection locked="0"/>
    </xf>
    <xf numFmtId="0" fontId="13" fillId="2" borderId="0" xfId="0" applyFont="1" applyFill="1" applyAlignment="1">
      <alignment horizontal="center"/>
    </xf>
    <xf numFmtId="164"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6"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100"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49" fontId="6" fillId="4" borderId="102"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0" fontId="6" fillId="2" borderId="0" xfId="0" applyFont="1" applyFill="1" applyAlignment="1">
      <alignment horizontal="center"/>
    </xf>
    <xf numFmtId="0" fontId="17" fillId="2" borderId="0" xfId="0" applyFont="1" applyFill="1" applyAlignment="1">
      <alignment horizontal="center"/>
    </xf>
    <xf numFmtId="167" fontId="6" fillId="4" borderId="48" xfId="0" applyNumberFormat="1" applyFont="1" applyFill="1" applyBorder="1" applyAlignment="1" applyProtection="1">
      <alignment horizontal="left"/>
      <protection locked="0"/>
    </xf>
    <xf numFmtId="167" fontId="6" fillId="4" borderId="49" xfId="0" applyNumberFormat="1" applyFont="1" applyFill="1" applyBorder="1" applyAlignment="1" applyProtection="1">
      <alignment horizontal="left"/>
      <protection locked="0"/>
    </xf>
    <xf numFmtId="1" fontId="6" fillId="4" borderId="45"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8"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165" fontId="6" fillId="4" borderId="45" xfId="0" applyNumberFormat="1" applyFont="1" applyFill="1" applyBorder="1" applyAlignment="1" applyProtection="1">
      <alignment horizontal="left"/>
      <protection locked="0"/>
    </xf>
    <xf numFmtId="165" fontId="6" fillId="4" borderId="42" xfId="0" applyNumberFormat="1" applyFont="1" applyFill="1" applyBorder="1" applyAlignment="1" applyProtection="1">
      <alignment horizontal="left"/>
      <protection locked="0"/>
    </xf>
    <xf numFmtId="165" fontId="6" fillId="4" borderId="48" xfId="0" applyNumberFormat="1" applyFont="1" applyFill="1" applyBorder="1" applyAlignment="1" applyProtection="1">
      <alignment horizontal="left"/>
      <protection locked="0"/>
    </xf>
    <xf numFmtId="165" fontId="6" fillId="4" borderId="43" xfId="0" applyNumberFormat="1" applyFont="1" applyFill="1" applyBorder="1" applyAlignment="1" applyProtection="1">
      <alignment horizontal="left"/>
      <protection locked="0"/>
    </xf>
    <xf numFmtId="165" fontId="6" fillId="4" borderId="56" xfId="0" applyNumberFormat="1" applyFont="1" applyFill="1" applyBorder="1" applyAlignment="1" applyProtection="1">
      <alignment horizontal="left"/>
      <protection locked="0"/>
    </xf>
    <xf numFmtId="165"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19" fillId="2" borderId="0" xfId="0" applyFont="1" applyFill="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4" borderId="56"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56" xfId="0" applyFont="1" applyFill="1" applyBorder="1" applyProtection="1">
      <protection locked="0"/>
    </xf>
    <xf numFmtId="0" fontId="6" fillId="4" borderId="57"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167" fontId="6" fillId="4" borderId="45" xfId="0" applyNumberFormat="1" applyFont="1" applyFill="1" applyBorder="1" applyAlignment="1" applyProtection="1">
      <alignment horizontal="left"/>
      <protection locked="0"/>
    </xf>
    <xf numFmtId="167" fontId="6" fillId="4" borderId="46" xfId="0" applyNumberFormat="1" applyFont="1" applyFill="1" applyBorder="1" applyAlignment="1" applyProtection="1">
      <alignment horizontal="left"/>
      <protection locked="0"/>
    </xf>
    <xf numFmtId="167" fontId="6" fillId="4" borderId="70" xfId="0" applyNumberFormat="1" applyFont="1" applyFill="1" applyBorder="1" applyAlignment="1" applyProtection="1">
      <alignment horizontal="left"/>
      <protection locked="0"/>
    </xf>
    <xf numFmtId="167" fontId="6" fillId="4" borderId="71" xfId="0" applyNumberFormat="1" applyFont="1" applyFill="1" applyBorder="1" applyAlignment="1" applyProtection="1">
      <alignment horizontal="left"/>
      <protection locked="0"/>
    </xf>
    <xf numFmtId="167" fontId="6" fillId="4" borderId="56" xfId="0" applyNumberFormat="1" applyFont="1" applyFill="1" applyBorder="1" applyAlignment="1" applyProtection="1">
      <alignment horizontal="left"/>
      <protection locked="0"/>
    </xf>
    <xf numFmtId="167"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165" fontId="6" fillId="4" borderId="107" xfId="0" applyNumberFormat="1" applyFont="1" applyFill="1" applyBorder="1" applyAlignment="1" applyProtection="1">
      <alignment horizontal="left"/>
      <protection locked="0"/>
    </xf>
    <xf numFmtId="165" fontId="6" fillId="4" borderId="106" xfId="0" applyNumberFormat="1" applyFont="1" applyFill="1" applyBorder="1" applyAlignment="1" applyProtection="1">
      <alignment horizontal="left"/>
      <protection locked="0"/>
    </xf>
    <xf numFmtId="165" fontId="6" fillId="4" borderId="108" xfId="0" applyNumberFormat="1"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165" fontId="6" fillId="4" borderId="83"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5"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5" fontId="6" fillId="4" borderId="59" xfId="0" applyNumberFormat="1" applyFont="1" applyFill="1" applyBorder="1" applyAlignment="1" applyProtection="1">
      <alignment horizontal="left"/>
      <protection locked="0"/>
    </xf>
    <xf numFmtId="165" fontId="6" fillId="4" borderId="57"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5" fontId="6" fillId="4" borderId="69" xfId="0" applyNumberFormat="1" applyFont="1" applyFill="1" applyBorder="1" applyAlignment="1" applyProtection="1">
      <alignment horizontal="left"/>
      <protection locked="0"/>
    </xf>
    <xf numFmtId="165" fontId="6" fillId="4" borderId="46" xfId="0" applyNumberFormat="1" applyFont="1" applyFill="1" applyBorder="1" applyAlignment="1" applyProtection="1">
      <alignment horizontal="left"/>
      <protection locked="0"/>
    </xf>
    <xf numFmtId="165" fontId="6" fillId="4" borderId="52" xfId="0" applyNumberFormat="1" applyFont="1" applyFill="1" applyBorder="1" applyAlignment="1" applyProtection="1">
      <alignment horizontal="left"/>
      <protection locked="0"/>
    </xf>
    <xf numFmtId="165" fontId="6" fillId="4" borderId="49" xfId="0" applyNumberFormat="1" applyFont="1" applyFill="1" applyBorder="1" applyAlignment="1" applyProtection="1">
      <alignment horizontal="left"/>
      <protection locked="0"/>
    </xf>
    <xf numFmtId="167" fontId="6" fillId="4" borderId="68" xfId="0" applyNumberFormat="1" applyFont="1" applyFill="1" applyBorder="1" applyAlignment="1" applyProtection="1">
      <alignment horizontal="left"/>
      <protection locked="0"/>
    </xf>
    <xf numFmtId="167" fontId="6" fillId="4" borderId="51" xfId="0" applyNumberFormat="1" applyFont="1" applyFill="1" applyBorder="1" applyAlignment="1" applyProtection="1">
      <alignment horizontal="left"/>
      <protection locked="0"/>
    </xf>
    <xf numFmtId="167" fontId="6" fillId="4" borderId="72" xfId="0" applyNumberFormat="1" applyFont="1" applyFill="1" applyBorder="1" applyAlignment="1" applyProtection="1">
      <alignment horizontal="left"/>
      <protection locked="0"/>
    </xf>
    <xf numFmtId="167" fontId="6" fillId="4" borderId="73" xfId="0" applyNumberFormat="1" applyFont="1" applyFill="1" applyBorder="1" applyAlignment="1" applyProtection="1">
      <alignment horizontal="left"/>
      <protection locked="0"/>
    </xf>
    <xf numFmtId="167" fontId="6" fillId="4" borderId="69" xfId="0" applyNumberFormat="1" applyFont="1" applyFill="1" applyBorder="1" applyAlignment="1" applyProtection="1">
      <alignment horizontal="left"/>
      <protection locked="0"/>
    </xf>
    <xf numFmtId="167" fontId="6" fillId="4" borderId="52" xfId="0" applyNumberFormat="1" applyFont="1" applyFill="1" applyBorder="1" applyAlignment="1" applyProtection="1">
      <alignment horizontal="left"/>
      <protection locked="0"/>
    </xf>
    <xf numFmtId="167" fontId="6" fillId="4" borderId="59"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6" xfId="0" applyFont="1" applyFill="1" applyBorder="1" applyAlignment="1">
      <alignment horizontal="left"/>
    </xf>
    <xf numFmtId="1" fontId="6" fillId="4" borderId="42"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2" xfId="0" applyFont="1" applyFill="1" applyBorder="1" applyAlignment="1">
      <alignment horizontal="left"/>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2" xfId="0" applyNumberFormat="1" applyFont="1" applyFill="1" applyBorder="1" applyAlignment="1">
      <alignment horizontal="center"/>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5" fontId="6" fillId="4" borderId="42" xfId="0" applyNumberFormat="1" applyFont="1" applyFill="1" applyBorder="1" applyAlignment="1" applyProtection="1">
      <alignment horizontal="center"/>
      <protection locked="0"/>
    </xf>
    <xf numFmtId="165" fontId="6" fillId="4" borderId="46" xfId="0" applyNumberFormat="1" applyFont="1" applyFill="1" applyBorder="1" applyAlignment="1" applyProtection="1">
      <alignment horizontal="center"/>
      <protection locked="0"/>
    </xf>
    <xf numFmtId="165" fontId="6" fillId="4" borderId="84" xfId="0" applyNumberFormat="1" applyFont="1" applyFill="1" applyBorder="1" applyAlignment="1" applyProtection="1">
      <alignment horizontal="center"/>
      <protection locked="0"/>
    </xf>
    <xf numFmtId="165" fontId="6" fillId="4" borderId="49" xfId="0" applyNumberFormat="1" applyFont="1" applyFill="1" applyBorder="1" applyAlignment="1" applyProtection="1">
      <alignment horizontal="center"/>
      <protection locked="0"/>
    </xf>
    <xf numFmtId="165" fontId="6" fillId="4" borderId="54" xfId="0" applyNumberFormat="1" applyFont="1" applyFill="1" applyBorder="1" applyAlignment="1" applyProtection="1">
      <alignment horizontal="center"/>
      <protection locked="0"/>
    </xf>
    <xf numFmtId="165"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7" fontId="6" fillId="4" borderId="14" xfId="0" applyNumberFormat="1" applyFont="1" applyFill="1" applyBorder="1" applyAlignment="1" applyProtection="1">
      <alignment horizontal="left"/>
      <protection locked="0"/>
    </xf>
    <xf numFmtId="167" fontId="6" fillId="4" borderId="0" xfId="0" applyNumberFormat="1" applyFont="1" applyFill="1" applyAlignment="1" applyProtection="1">
      <alignment horizontal="left"/>
      <protection locked="0"/>
    </xf>
    <xf numFmtId="0" fontId="6" fillId="2" borderId="225" xfId="0" applyFont="1" applyFill="1" applyBorder="1" applyAlignment="1">
      <alignment horizontal="center"/>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5"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5" fontId="6" fillId="4" borderId="14" xfId="0" applyNumberFormat="1" applyFont="1" applyFill="1" applyBorder="1" applyAlignment="1" applyProtection="1">
      <alignment horizontal="left"/>
      <protection locked="0"/>
    </xf>
    <xf numFmtId="165" fontId="6" fillId="4" borderId="0" xfId="0" applyNumberFormat="1" applyFont="1" applyFill="1" applyAlignment="1" applyProtection="1">
      <alignment horizontal="left"/>
      <protection locked="0"/>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0" xfId="0" applyNumberFormat="1" applyFont="1" applyFill="1" applyAlignment="1" applyProtection="1">
      <alignment horizontal="left"/>
      <protection locked="0"/>
    </xf>
    <xf numFmtId="167" fontId="6" fillId="4" borderId="23" xfId="0" applyNumberFormat="1" applyFont="1" applyFill="1" applyBorder="1" applyAlignment="1" applyProtection="1">
      <alignment horizontal="left"/>
      <protection locked="0"/>
    </xf>
    <xf numFmtId="165" fontId="6" fillId="2" borderId="43" xfId="0" applyNumberFormat="1" applyFont="1" applyFill="1" applyBorder="1" applyAlignment="1">
      <alignment horizontal="center"/>
    </xf>
    <xf numFmtId="165" fontId="6" fillId="2" borderId="49"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165" fontId="6" fillId="2" borderId="42" xfId="0" applyNumberFormat="1" applyFont="1" applyFill="1" applyBorder="1" applyAlignment="1">
      <alignment horizontal="center"/>
    </xf>
    <xf numFmtId="165" fontId="6" fillId="2" borderId="46" xfId="0" applyNumberFormat="1" applyFont="1" applyFill="1" applyBorder="1" applyAlignment="1">
      <alignment horizontal="center"/>
    </xf>
    <xf numFmtId="165" fontId="6" fillId="2" borderId="54" xfId="0" applyNumberFormat="1" applyFont="1" applyFill="1" applyBorder="1" applyAlignment="1">
      <alignment horizontal="center"/>
    </xf>
    <xf numFmtId="165" fontId="6" fillId="2" borderId="57" xfId="0" applyNumberFormat="1" applyFont="1" applyFill="1" applyBorder="1" applyAlignment="1">
      <alignment horizontal="center"/>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124" xfId="0" applyFont="1" applyBorder="1" applyAlignment="1" applyProtection="1">
      <alignment horizontal="left"/>
      <protection locked="0"/>
    </xf>
    <xf numFmtId="0" fontId="6" fillId="0" borderId="3" xfId="0" applyFont="1" applyBorder="1" applyAlignment="1" applyProtection="1">
      <alignment horizontal="left"/>
      <protection locked="0"/>
    </xf>
    <xf numFmtId="1" fontId="6" fillId="2" borderId="43" xfId="0" applyNumberFormat="1" applyFont="1" applyFill="1" applyBorder="1" applyAlignment="1">
      <alignment horizontal="center"/>
    </xf>
    <xf numFmtId="0" fontId="6" fillId="4" borderId="146" xfId="0" applyFont="1" applyFill="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0" fontId="6" fillId="2" borderId="0" xfId="0" applyFont="1" applyFill="1" applyAlignment="1">
      <alignment horizontal="left"/>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0" fontId="6" fillId="0" borderId="125" xfId="0" applyFont="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168" fontId="6" fillId="0" borderId="130" xfId="0" applyNumberFormat="1" applyFont="1" applyBorder="1" applyAlignment="1" applyProtection="1">
      <alignment horizontal="center"/>
      <protection locked="0"/>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0" fontId="6" fillId="0" borderId="1" xfId="0" applyFont="1" applyBorder="1" applyAlignment="1" applyProtection="1">
      <alignment horizontal="center"/>
      <protection locked="0"/>
    </xf>
    <xf numFmtId="0" fontId="6" fillId="0" borderId="124"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19" fillId="0" borderId="0" xfId="0" applyFont="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31" fillId="0" borderId="182" xfId="0" applyFont="1" applyBorder="1" applyAlignment="1">
      <alignment horizontal="right" vertical="center"/>
    </xf>
    <xf numFmtId="0" fontId="31" fillId="0" borderId="179" xfId="0" applyFont="1" applyBorder="1" applyAlignment="1">
      <alignment horizontal="right" vertical="center"/>
    </xf>
    <xf numFmtId="167" fontId="31" fillId="0" borderId="182" xfId="0" applyNumberFormat="1" applyFont="1" applyBorder="1" applyAlignment="1">
      <alignment horizontal="right" vertical="center"/>
    </xf>
    <xf numFmtId="167"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7" fontId="31" fillId="0" borderId="157" xfId="0" applyNumberFormat="1" applyFont="1" applyBorder="1" applyAlignment="1">
      <alignment horizontal="right" vertical="center"/>
    </xf>
    <xf numFmtId="0" fontId="31" fillId="0" borderId="0" xfId="0" applyFont="1" applyAlignment="1">
      <alignment horizontal="right" vertical="center"/>
    </xf>
    <xf numFmtId="165" fontId="31" fillId="0" borderId="182" xfId="0" applyNumberFormat="1" applyFont="1" applyBorder="1" applyAlignment="1">
      <alignment horizontal="right" vertical="center"/>
    </xf>
    <xf numFmtId="165" fontId="31" fillId="0" borderId="179" xfId="0" applyNumberFormat="1" applyFont="1" applyBorder="1" applyAlignment="1">
      <alignment horizontal="right"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5" fontId="31" fillId="0" borderId="197" xfId="0" applyNumberFormat="1" applyFont="1" applyBorder="1" applyAlignment="1">
      <alignment horizontal="center" vertical="center"/>
    </xf>
    <xf numFmtId="165" fontId="31" fillId="0" borderId="198" xfId="0" applyNumberFormat="1" applyFont="1" applyBorder="1" applyAlignment="1">
      <alignment horizontal="center" vertical="center"/>
    </xf>
    <xf numFmtId="165" fontId="31" fillId="0" borderId="178" xfId="0" applyNumberFormat="1" applyFont="1" applyBorder="1" applyAlignment="1">
      <alignment horizontal="center" vertical="center"/>
    </xf>
    <xf numFmtId="165" fontId="31" fillId="0" borderId="179" xfId="0" applyNumberFormat="1" applyFont="1" applyBorder="1" applyAlignment="1">
      <alignment horizontal="center" vertical="center"/>
    </xf>
    <xf numFmtId="165" fontId="31" fillId="0" borderId="205" xfId="0" applyNumberFormat="1" applyFont="1" applyBorder="1" applyAlignment="1">
      <alignment horizontal="center" vertical="center"/>
    </xf>
    <xf numFmtId="165"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165" fontId="31" fillId="0" borderId="184" xfId="0" applyNumberFormat="1" applyFont="1" applyBorder="1" applyAlignment="1">
      <alignment horizontal="center" vertical="center"/>
    </xf>
    <xf numFmtId="165" fontId="31" fillId="0" borderId="185" xfId="0" applyNumberFormat="1" applyFont="1" applyBorder="1" applyAlignment="1">
      <alignment horizontal="center" vertical="center"/>
    </xf>
    <xf numFmtId="165" fontId="31" fillId="0" borderId="182" xfId="0" applyNumberFormat="1" applyFont="1" applyBorder="1" applyAlignment="1">
      <alignment horizontal="center" vertical="center"/>
    </xf>
    <xf numFmtId="165" fontId="31" fillId="0" borderId="180" xfId="0" applyNumberFormat="1" applyFont="1" applyBorder="1" applyAlignment="1">
      <alignment horizontal="center" vertical="center"/>
    </xf>
    <xf numFmtId="165"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5" fontId="31" fillId="0" borderId="183" xfId="0" applyNumberFormat="1" applyFont="1" applyBorder="1" applyAlignment="1">
      <alignment horizontal="center" vertical="center"/>
    </xf>
    <xf numFmtId="165"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5" fontId="31" fillId="0" borderId="200" xfId="0" applyNumberFormat="1" applyFont="1" applyBorder="1" applyAlignment="1">
      <alignment horizontal="center" vertical="center"/>
    </xf>
    <xf numFmtId="165" fontId="31" fillId="0" borderId="154" xfId="0" applyNumberFormat="1" applyFont="1" applyBorder="1" applyAlignment="1">
      <alignment horizontal="center" vertical="center"/>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0" fontId="33" fillId="0" borderId="170" xfId="0" applyFont="1" applyBorder="1" applyAlignment="1">
      <alignment horizontal="left"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left" vertical="top" textRotation="180"/>
    </xf>
    <xf numFmtId="0" fontId="35" fillId="2" borderId="251" xfId="0" applyFont="1" applyFill="1" applyBorder="1" applyAlignment="1">
      <alignment horizontal="center" textRotation="180"/>
    </xf>
    <xf numFmtId="0" fontId="33" fillId="0" borderId="170" xfId="0" applyFont="1" applyBorder="1" applyAlignment="1">
      <alignment horizontal="center" vertical="top" textRotation="180"/>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14" fontId="31" fillId="0" borderId="195" xfId="0" applyNumberFormat="1" applyFont="1" applyBorder="1" applyAlignment="1">
      <alignment horizontal="left"/>
    </xf>
    <xf numFmtId="164" fontId="31" fillId="0" borderId="166" xfId="0" applyNumberFormat="1" applyFont="1" applyBorder="1" applyAlignment="1">
      <alignment horizontal="left"/>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65" fontId="31" fillId="0" borderId="304" xfId="0" applyNumberFormat="1" applyFont="1" applyBorder="1" applyAlignment="1">
      <alignment horizontal="center" vertical="center"/>
    </xf>
    <xf numFmtId="165" fontId="31" fillId="0" borderId="157" xfId="0" applyNumberFormat="1" applyFont="1" applyBorder="1" applyAlignment="1">
      <alignment horizontal="center" vertical="center"/>
    </xf>
    <xf numFmtId="165" fontId="31" fillId="0" borderId="193" xfId="0" applyNumberFormat="1" applyFont="1" applyBorder="1" applyAlignment="1">
      <alignment horizontal="center" vertical="center"/>
    </xf>
    <xf numFmtId="165" fontId="31" fillId="0" borderId="301" xfId="0" applyNumberFormat="1" applyFont="1" applyBorder="1" applyAlignment="1">
      <alignment horizontal="center" vertical="center"/>
    </xf>
    <xf numFmtId="165" fontId="31" fillId="0" borderId="305" xfId="0" applyNumberFormat="1" applyFont="1" applyBorder="1" applyAlignment="1">
      <alignment horizontal="center" vertical="center"/>
    </xf>
    <xf numFmtId="165" fontId="31" fillId="0" borderId="204"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7"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0" fontId="6" fillId="2" borderId="213" xfId="0" applyFont="1" applyFill="1" applyBorder="1"/>
    <xf numFmtId="14" fontId="19" fillId="2" borderId="0" xfId="0" applyNumberFormat="1" applyFont="1" applyFill="1" applyAlignment="1">
      <alignment horizontal="center"/>
    </xf>
    <xf numFmtId="2" fontId="19" fillId="2" borderId="0" xfId="0" applyNumberFormat="1" applyFont="1" applyFill="1" applyAlignment="1">
      <alignment horizontal="center"/>
    </xf>
  </cellXfs>
  <cellStyles count="3">
    <cellStyle name="Hyperlink" xfId="1" builtinId="8"/>
    <cellStyle name="Komma" xfId="2" builtinId="3"/>
    <cellStyle name="Standaard"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07" workbookViewId="0">
      <selection activeCell="F129" sqref="F129:H129"/>
    </sheetView>
  </sheetViews>
  <sheetFormatPr defaultColWidth="9.140625" defaultRowHeight="14.25" x14ac:dyDescent="0.2"/>
  <cols>
    <col min="1" max="6" width="9.140625" style="1"/>
    <col min="7" max="7" width="9.140625" style="1" customWidth="1"/>
    <col min="8" max="16384" width="9.140625" style="1"/>
  </cols>
  <sheetData>
    <row r="1" spans="1:29" ht="15" x14ac:dyDescent="0.25">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5" x14ac:dyDescent="0.25">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2">
      <c r="A4" s="4"/>
      <c r="B4" s="2" t="s">
        <v>0</v>
      </c>
      <c r="C4" s="2"/>
      <c r="D4" s="2"/>
      <c r="E4" s="1937" t="s">
        <v>8</v>
      </c>
      <c r="F4" s="1937"/>
      <c r="G4" s="1937"/>
      <c r="H4" s="1937"/>
      <c r="I4" s="1937"/>
      <c r="J4" s="4"/>
      <c r="K4" s="4"/>
      <c r="L4" s="4"/>
      <c r="M4" s="4"/>
      <c r="N4" s="4"/>
      <c r="O4" s="4"/>
      <c r="P4" s="4"/>
      <c r="Q4" s="4"/>
      <c r="R4" s="4"/>
      <c r="S4" s="4"/>
      <c r="T4" s="4"/>
      <c r="U4" s="4"/>
      <c r="V4" s="4"/>
      <c r="W4" s="4"/>
      <c r="X4" s="4"/>
      <c r="Y4" s="4"/>
      <c r="Z4" s="4"/>
      <c r="AA4" s="4"/>
      <c r="AB4" s="4"/>
      <c r="AC4" s="4"/>
    </row>
    <row r="5" spans="1:29" x14ac:dyDescent="0.2">
      <c r="A5" s="4"/>
      <c r="B5" s="2" t="s">
        <v>5</v>
      </c>
      <c r="C5" s="2"/>
      <c r="D5" s="3" t="s">
        <v>7</v>
      </c>
      <c r="E5" s="1938" t="s">
        <v>9</v>
      </c>
      <c r="F5" s="1938"/>
      <c r="G5" s="1938"/>
      <c r="H5" s="1938"/>
      <c r="I5" s="1938"/>
      <c r="J5" s="4"/>
      <c r="K5" s="4"/>
      <c r="L5" s="4"/>
      <c r="M5" s="4"/>
      <c r="N5" s="4"/>
      <c r="O5" s="4"/>
      <c r="P5" s="4"/>
      <c r="Q5" s="4"/>
      <c r="R5" s="4"/>
      <c r="S5" s="4"/>
      <c r="T5" s="4"/>
      <c r="U5" s="4"/>
      <c r="V5" s="4"/>
      <c r="W5" s="4"/>
      <c r="X5" s="4"/>
      <c r="Y5" s="4"/>
      <c r="Z5" s="4"/>
      <c r="AA5" s="4"/>
      <c r="AB5" s="4"/>
      <c r="AC5" s="4"/>
    </row>
    <row r="6" spans="1:29" x14ac:dyDescent="0.2">
      <c r="A6" s="4"/>
      <c r="B6" s="2"/>
      <c r="C6" s="2"/>
      <c r="D6" s="3" t="s">
        <v>6</v>
      </c>
      <c r="E6" s="1938" t="s">
        <v>10</v>
      </c>
      <c r="F6" s="1938"/>
      <c r="G6" s="1938"/>
      <c r="H6" s="1938"/>
      <c r="I6" s="1938"/>
      <c r="J6" s="134" t="s">
        <v>898</v>
      </c>
      <c r="K6" s="4"/>
      <c r="L6" s="4"/>
      <c r="M6" s="4"/>
      <c r="N6" s="4"/>
      <c r="O6" s="4"/>
      <c r="P6" s="4"/>
      <c r="Q6" s="4"/>
      <c r="R6" s="4"/>
      <c r="S6" s="4"/>
      <c r="T6" s="4"/>
      <c r="U6" s="4"/>
      <c r="V6" s="4"/>
      <c r="W6" s="4"/>
      <c r="X6" s="4"/>
      <c r="Y6" s="4"/>
      <c r="Z6" s="4"/>
      <c r="AA6" s="4"/>
      <c r="AB6" s="4"/>
      <c r="AC6" s="4"/>
    </row>
    <row r="7" spans="1:29" x14ac:dyDescent="0.2">
      <c r="A7" s="4"/>
      <c r="B7" s="2" t="s">
        <v>1</v>
      </c>
      <c r="C7" s="2"/>
      <c r="D7" s="3" t="s">
        <v>2</v>
      </c>
      <c r="E7" s="1938" t="s">
        <v>651</v>
      </c>
      <c r="F7" s="1938"/>
      <c r="G7" s="1938"/>
      <c r="H7" s="1938"/>
      <c r="I7" s="1938"/>
      <c r="J7" s="134" t="s">
        <v>13</v>
      </c>
      <c r="K7" s="4"/>
      <c r="L7" s="4"/>
      <c r="M7" s="4"/>
      <c r="N7" s="4"/>
      <c r="O7" s="4"/>
      <c r="P7" s="4"/>
      <c r="Q7" s="4"/>
      <c r="R7" s="4"/>
      <c r="S7" s="4"/>
      <c r="T7" s="4"/>
      <c r="U7" s="4"/>
      <c r="V7" s="4"/>
      <c r="W7" s="4"/>
      <c r="X7" s="4"/>
      <c r="Y7" s="4"/>
      <c r="Z7" s="4"/>
      <c r="AA7" s="4"/>
      <c r="AB7" s="4"/>
      <c r="AC7" s="4"/>
    </row>
    <row r="8" spans="1:29" x14ac:dyDescent="0.2">
      <c r="A8" s="4"/>
      <c r="B8" s="2"/>
      <c r="C8" s="2"/>
      <c r="D8" s="3" t="s">
        <v>3</v>
      </c>
      <c r="E8" s="1938" t="s">
        <v>11</v>
      </c>
      <c r="F8" s="1938"/>
      <c r="G8" s="1938"/>
      <c r="H8" s="1938"/>
      <c r="I8" s="1938"/>
      <c r="J8" s="4"/>
      <c r="K8" s="4"/>
      <c r="L8" s="4"/>
      <c r="M8" s="4"/>
      <c r="N8" s="4"/>
      <c r="O8" s="4"/>
      <c r="P8" s="4"/>
      <c r="Q8" s="4"/>
      <c r="R8" s="4"/>
      <c r="S8" s="4"/>
      <c r="T8" s="4"/>
      <c r="U8" s="4"/>
      <c r="V8" s="4"/>
      <c r="W8" s="4"/>
      <c r="X8" s="4"/>
      <c r="Y8" s="4"/>
      <c r="Z8" s="4"/>
      <c r="AA8" s="4"/>
      <c r="AB8" s="4"/>
      <c r="AC8" s="4"/>
    </row>
    <row r="9" spans="1:29" x14ac:dyDescent="0.2">
      <c r="A9" s="4"/>
      <c r="B9" s="2"/>
      <c r="C9" s="2"/>
      <c r="D9" s="3" t="s">
        <v>4</v>
      </c>
      <c r="E9" s="1939" t="s">
        <v>12</v>
      </c>
      <c r="F9" s="1939"/>
      <c r="G9" s="1939"/>
      <c r="H9" s="1939"/>
      <c r="I9" s="1939"/>
      <c r="J9" s="4"/>
      <c r="K9" s="4"/>
      <c r="L9" s="4"/>
      <c r="M9" s="4"/>
      <c r="N9" s="4"/>
      <c r="O9" s="4"/>
      <c r="P9" s="4"/>
      <c r="Q9" s="4"/>
      <c r="R9" s="4"/>
      <c r="S9" s="4"/>
      <c r="T9" s="4"/>
      <c r="U9" s="4"/>
      <c r="V9" s="4"/>
      <c r="W9" s="4"/>
      <c r="X9" s="4"/>
      <c r="Y9" s="4"/>
      <c r="Z9" s="4"/>
      <c r="AA9" s="4"/>
      <c r="AB9" s="4"/>
      <c r="AC9" s="4"/>
    </row>
    <row r="10" spans="1:29" x14ac:dyDescent="0.2">
      <c r="A10" s="4"/>
      <c r="B10" s="2" t="s">
        <v>1117</v>
      </c>
      <c r="C10" s="2"/>
      <c r="D10" s="3"/>
      <c r="E10" s="1940" t="s">
        <v>1118</v>
      </c>
      <c r="F10" s="1940"/>
      <c r="G10" s="1940"/>
      <c r="H10" s="1940"/>
      <c r="I10" s="1940"/>
      <c r="J10" s="4"/>
      <c r="K10" s="4"/>
      <c r="L10" s="4"/>
      <c r="M10" s="4"/>
      <c r="N10" s="4"/>
      <c r="O10" s="4"/>
      <c r="P10" s="4"/>
      <c r="Q10" s="4"/>
      <c r="R10" s="4"/>
      <c r="S10" s="4"/>
      <c r="T10" s="4"/>
      <c r="U10" s="4"/>
      <c r="V10" s="4"/>
      <c r="W10" s="4"/>
      <c r="X10" s="4"/>
      <c r="Y10" s="4"/>
      <c r="Z10" s="4"/>
      <c r="AA10" s="4"/>
      <c r="AB10" s="4"/>
      <c r="AC10" s="4"/>
    </row>
    <row r="11" spans="1:29" x14ac:dyDescent="0.2">
      <c r="A11" s="4"/>
      <c r="B11" s="2"/>
      <c r="C11" s="2"/>
      <c r="D11" s="3" t="s">
        <v>1134</v>
      </c>
      <c r="E11" s="1940" t="s">
        <v>1135</v>
      </c>
      <c r="F11" s="1940"/>
      <c r="G11" s="1940"/>
      <c r="H11" s="1940"/>
      <c r="I11" s="1940"/>
      <c r="J11" s="4"/>
      <c r="K11" s="4"/>
      <c r="L11" s="4"/>
      <c r="M11" s="4"/>
      <c r="N11" s="4"/>
      <c r="O11" s="4"/>
      <c r="P11" s="4"/>
      <c r="Q11" s="4"/>
      <c r="R11" s="4"/>
      <c r="S11" s="4"/>
      <c r="T11" s="4"/>
      <c r="U11" s="4"/>
      <c r="V11" s="4"/>
      <c r="W11" s="4"/>
      <c r="X11" s="4"/>
      <c r="Y11" s="4"/>
      <c r="Z11" s="4"/>
      <c r="AA11" s="4"/>
      <c r="AB11" s="4"/>
      <c r="AC11" s="4"/>
    </row>
    <row r="12" spans="1:29" x14ac:dyDescent="0.2">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2">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ht="15" x14ac:dyDescent="0.25">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x14ac:dyDescent="0.2">
      <c r="A15" s="4"/>
      <c r="B15" s="2" t="s">
        <v>1112</v>
      </c>
      <c r="C15" s="2"/>
      <c r="D15" s="2"/>
      <c r="E15" s="1944" t="s">
        <v>1114</v>
      </c>
      <c r="F15" s="1944"/>
      <c r="G15" s="1944"/>
      <c r="H15" s="1944"/>
      <c r="I15" s="1944"/>
      <c r="J15" s="134" t="s">
        <v>1113</v>
      </c>
      <c r="K15" s="4"/>
      <c r="L15" s="4"/>
      <c r="M15" s="4"/>
      <c r="N15" s="4"/>
      <c r="O15" s="4"/>
      <c r="P15" s="4"/>
      <c r="Q15" s="4"/>
      <c r="R15" s="4"/>
      <c r="S15" s="4"/>
      <c r="T15" s="4"/>
      <c r="U15" s="4"/>
      <c r="V15" s="4"/>
      <c r="W15" s="4"/>
      <c r="X15" s="4"/>
      <c r="Y15" s="4"/>
      <c r="Z15" s="4"/>
      <c r="AA15" s="4"/>
      <c r="AB15" s="4"/>
      <c r="AC15" s="4"/>
    </row>
    <row r="16" spans="1:29" x14ac:dyDescent="0.2">
      <c r="A16" s="4"/>
      <c r="B16" s="2" t="s">
        <v>5</v>
      </c>
      <c r="C16" s="2"/>
      <c r="D16" s="3" t="s">
        <v>7</v>
      </c>
      <c r="E16" s="1945" t="s">
        <v>1116</v>
      </c>
      <c r="F16" s="1945"/>
      <c r="G16" s="1945"/>
      <c r="H16" s="1945"/>
      <c r="I16" s="1945"/>
      <c r="J16" s="4"/>
      <c r="K16" s="4"/>
      <c r="L16" s="4"/>
      <c r="M16" s="4"/>
      <c r="N16" s="4"/>
      <c r="O16" s="4"/>
      <c r="P16" s="4"/>
      <c r="Q16" s="4"/>
      <c r="R16" s="4"/>
      <c r="S16" s="4"/>
      <c r="T16" s="4"/>
      <c r="U16" s="4"/>
      <c r="V16" s="4"/>
      <c r="W16" s="4"/>
      <c r="X16" s="4"/>
      <c r="Y16" s="4"/>
      <c r="Z16" s="4"/>
      <c r="AA16" s="4"/>
      <c r="AB16" s="4"/>
      <c r="AC16" s="4"/>
    </row>
    <row r="17" spans="1:29" x14ac:dyDescent="0.2">
      <c r="A17" s="4"/>
      <c r="B17" s="2"/>
      <c r="C17" s="2"/>
      <c r="D17" s="3" t="s">
        <v>6</v>
      </c>
      <c r="E17" s="1946" t="s">
        <v>1115</v>
      </c>
      <c r="F17" s="1946"/>
      <c r="G17" s="1946"/>
      <c r="H17" s="1946"/>
      <c r="I17" s="1946"/>
      <c r="J17" s="134" t="s">
        <v>898</v>
      </c>
      <c r="K17" s="4"/>
      <c r="L17" s="4"/>
      <c r="M17" s="4"/>
      <c r="N17" s="4"/>
      <c r="O17" s="4"/>
      <c r="P17" s="4"/>
      <c r="Q17" s="4"/>
      <c r="R17" s="4"/>
      <c r="S17" s="4"/>
      <c r="T17" s="4"/>
      <c r="U17" s="4"/>
      <c r="V17" s="4"/>
      <c r="W17" s="4"/>
      <c r="X17" s="4"/>
      <c r="Y17" s="4"/>
      <c r="Z17" s="4"/>
      <c r="AA17" s="4"/>
      <c r="AB17" s="4"/>
      <c r="AC17" s="4"/>
    </row>
    <row r="18" spans="1:29" x14ac:dyDescent="0.2">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ht="15" x14ac:dyDescent="0.25">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2">
      <c r="A21" s="4"/>
      <c r="B21" s="2" t="s">
        <v>0</v>
      </c>
      <c r="C21" s="2"/>
      <c r="D21" s="2"/>
      <c r="E21" s="1947" t="s">
        <v>20</v>
      </c>
      <c r="F21" s="1947"/>
      <c r="G21" s="1948"/>
      <c r="H21" s="1950" t="s">
        <v>21</v>
      </c>
      <c r="I21" s="1947"/>
      <c r="J21" s="1948"/>
      <c r="K21" s="1950" t="s">
        <v>22</v>
      </c>
      <c r="L21" s="1947"/>
      <c r="M21" s="1947"/>
      <c r="N21" s="4"/>
      <c r="O21" s="4"/>
      <c r="P21" s="4"/>
      <c r="Q21" s="4"/>
      <c r="R21" s="4"/>
      <c r="S21" s="4"/>
      <c r="T21" s="4"/>
      <c r="U21" s="4"/>
      <c r="V21" s="4"/>
      <c r="W21" s="4"/>
      <c r="X21" s="4"/>
      <c r="Y21" s="4"/>
      <c r="Z21" s="4"/>
      <c r="AA21" s="4"/>
      <c r="AB21" s="4"/>
      <c r="AC21" s="4"/>
    </row>
    <row r="22" spans="1:29" x14ac:dyDescent="0.2">
      <c r="A22" s="4"/>
      <c r="B22" s="2" t="s">
        <v>5</v>
      </c>
      <c r="C22" s="2"/>
      <c r="D22" s="3" t="s">
        <v>7</v>
      </c>
      <c r="E22" s="1932" t="s">
        <v>23</v>
      </c>
      <c r="F22" s="1932"/>
      <c r="G22" s="1933"/>
      <c r="H22" s="1934" t="s">
        <v>24</v>
      </c>
      <c r="I22" s="1932"/>
      <c r="J22" s="1933"/>
      <c r="K22" s="1934" t="s">
        <v>25</v>
      </c>
      <c r="L22" s="1932"/>
      <c r="M22" s="1932"/>
      <c r="N22" s="4"/>
      <c r="O22" s="4"/>
      <c r="P22" s="4"/>
      <c r="Q22" s="4"/>
      <c r="R22" s="4"/>
      <c r="S22" s="4"/>
      <c r="T22" s="4"/>
      <c r="U22" s="4"/>
      <c r="V22" s="4"/>
      <c r="W22" s="4"/>
      <c r="X22" s="4"/>
      <c r="Y22" s="4"/>
      <c r="Z22" s="4"/>
      <c r="AA22" s="4"/>
      <c r="AB22" s="4"/>
      <c r="AC22" s="4"/>
    </row>
    <row r="23" spans="1:29" x14ac:dyDescent="0.2">
      <c r="A23" s="4"/>
      <c r="B23" s="2"/>
      <c r="C23" s="2"/>
      <c r="D23" s="3" t="s">
        <v>602</v>
      </c>
      <c r="E23" s="1932">
        <v>1000</v>
      </c>
      <c r="F23" s="1932"/>
      <c r="G23" s="1933"/>
      <c r="H23" s="1934">
        <v>2000</v>
      </c>
      <c r="I23" s="1932"/>
      <c r="J23" s="1933"/>
      <c r="K23" s="1934">
        <v>3000</v>
      </c>
      <c r="L23" s="1932"/>
      <c r="M23" s="1932"/>
      <c r="N23" s="4"/>
      <c r="O23" s="4"/>
      <c r="P23" s="4"/>
      <c r="Q23" s="4"/>
      <c r="R23" s="4"/>
      <c r="S23" s="4"/>
      <c r="T23" s="4"/>
      <c r="U23" s="4"/>
      <c r="V23" s="4"/>
      <c r="W23" s="4"/>
      <c r="X23" s="4"/>
      <c r="Y23" s="4"/>
      <c r="Z23" s="4"/>
      <c r="AA23" s="4"/>
      <c r="AB23" s="4"/>
      <c r="AC23" s="4"/>
    </row>
    <row r="24" spans="1:29" x14ac:dyDescent="0.2">
      <c r="A24" s="4"/>
      <c r="B24" s="2"/>
      <c r="C24" s="2"/>
      <c r="D24" s="3" t="s">
        <v>603</v>
      </c>
      <c r="E24" s="1932" t="s">
        <v>608</v>
      </c>
      <c r="F24" s="1932"/>
      <c r="G24" s="1933"/>
      <c r="H24" s="1934" t="s">
        <v>248</v>
      </c>
      <c r="I24" s="1932"/>
      <c r="J24" s="1933"/>
      <c r="K24" s="1934" t="s">
        <v>604</v>
      </c>
      <c r="L24" s="1932"/>
      <c r="M24" s="1932"/>
      <c r="N24" s="134" t="s">
        <v>898</v>
      </c>
      <c r="O24" s="4"/>
      <c r="P24" s="4"/>
      <c r="Q24" s="4"/>
      <c r="R24" s="4"/>
      <c r="S24" s="4"/>
      <c r="T24" s="4"/>
      <c r="U24" s="4"/>
      <c r="V24" s="4"/>
      <c r="W24" s="4"/>
      <c r="X24" s="4"/>
      <c r="Y24" s="4"/>
      <c r="Z24" s="4"/>
      <c r="AA24" s="4"/>
      <c r="AB24" s="4"/>
      <c r="AC24" s="4"/>
    </row>
    <row r="25" spans="1:29" x14ac:dyDescent="0.2">
      <c r="A25" s="4"/>
      <c r="B25" s="2" t="s">
        <v>1</v>
      </c>
      <c r="C25" s="2"/>
      <c r="D25" s="3" t="s">
        <v>2</v>
      </c>
      <c r="E25" s="1932" t="s">
        <v>26</v>
      </c>
      <c r="F25" s="1932"/>
      <c r="G25" s="1933"/>
      <c r="H25" s="1934" t="s">
        <v>27</v>
      </c>
      <c r="I25" s="1932"/>
      <c r="J25" s="1933"/>
      <c r="K25" s="1934" t="s">
        <v>28</v>
      </c>
      <c r="L25" s="1932"/>
      <c r="M25" s="1932"/>
      <c r="N25" s="134" t="s">
        <v>35</v>
      </c>
      <c r="O25" s="4"/>
      <c r="P25" s="4"/>
      <c r="Q25" s="4"/>
      <c r="R25" s="4"/>
      <c r="S25" s="4"/>
      <c r="T25" s="4"/>
      <c r="U25" s="4"/>
      <c r="V25" s="4"/>
      <c r="W25" s="4"/>
      <c r="X25" s="4"/>
      <c r="Y25" s="4"/>
      <c r="Z25" s="4"/>
      <c r="AA25" s="4"/>
      <c r="AB25" s="4"/>
      <c r="AC25" s="4"/>
    </row>
    <row r="26" spans="1:29" ht="15" thickBot="1" x14ac:dyDescent="0.25">
      <c r="A26" s="4"/>
      <c r="B26" s="2"/>
      <c r="C26" s="2"/>
      <c r="D26" s="3" t="s">
        <v>3</v>
      </c>
      <c r="E26" s="1958" t="s">
        <v>29</v>
      </c>
      <c r="F26" s="1958"/>
      <c r="G26" s="1959"/>
      <c r="H26" s="1957" t="s">
        <v>30</v>
      </c>
      <c r="I26" s="1958"/>
      <c r="J26" s="1959"/>
      <c r="K26" s="1957" t="s">
        <v>31</v>
      </c>
      <c r="L26" s="1958"/>
      <c r="M26" s="1958"/>
      <c r="N26" s="913"/>
      <c r="O26" s="4"/>
      <c r="P26" s="4"/>
      <c r="Q26" s="4"/>
      <c r="R26" s="4"/>
      <c r="S26" s="4"/>
      <c r="T26" s="4"/>
      <c r="U26" s="4"/>
      <c r="V26" s="4"/>
      <c r="W26" s="4"/>
      <c r="X26" s="4"/>
      <c r="Y26" s="4"/>
      <c r="Z26" s="4"/>
      <c r="AA26" s="4"/>
      <c r="AB26" s="4"/>
      <c r="AC26" s="4"/>
    </row>
    <row r="27" spans="1:29" ht="15" thickTop="1" x14ac:dyDescent="0.2">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x14ac:dyDescent="0.2">
      <c r="A28" s="4"/>
      <c r="B28" s="2"/>
      <c r="C28" s="2"/>
      <c r="D28" s="3" t="s">
        <v>649</v>
      </c>
      <c r="E28" s="1941">
        <v>801</v>
      </c>
      <c r="F28" s="1941"/>
      <c r="G28" s="1942"/>
      <c r="H28" s="1943">
        <v>802</v>
      </c>
      <c r="I28" s="1941"/>
      <c r="J28" s="1942"/>
      <c r="K28" s="1943">
        <v>8031</v>
      </c>
      <c r="L28" s="1941"/>
      <c r="M28" s="1941"/>
      <c r="N28" s="134" t="s">
        <v>650</v>
      </c>
      <c r="O28" s="4"/>
      <c r="P28" s="4"/>
      <c r="Q28" s="4"/>
      <c r="R28" s="4"/>
      <c r="S28" s="4"/>
      <c r="T28" s="4"/>
      <c r="U28" s="4"/>
      <c r="V28" s="4"/>
      <c r="W28" s="4"/>
      <c r="X28" s="4"/>
      <c r="Y28" s="4"/>
      <c r="Z28" s="4"/>
      <c r="AA28" s="4"/>
      <c r="AB28" s="4"/>
      <c r="AC28" s="4"/>
    </row>
    <row r="29" spans="1:29" x14ac:dyDescent="0.2">
      <c r="A29" s="4"/>
      <c r="B29" s="2"/>
      <c r="C29" s="2"/>
      <c r="D29" s="3" t="s">
        <v>900</v>
      </c>
      <c r="E29" s="1951" t="s">
        <v>901</v>
      </c>
      <c r="F29" s="1951"/>
      <c r="G29" s="1952"/>
      <c r="H29" s="1953" t="s">
        <v>973</v>
      </c>
      <c r="I29" s="1951"/>
      <c r="J29" s="1952"/>
      <c r="K29" s="1953" t="s">
        <v>974</v>
      </c>
      <c r="L29" s="1951"/>
      <c r="M29" s="1951"/>
      <c r="N29" s="134" t="s">
        <v>902</v>
      </c>
      <c r="O29" s="4"/>
      <c r="P29" s="4"/>
      <c r="Q29" s="4"/>
      <c r="R29" s="4"/>
      <c r="S29" s="4"/>
      <c r="T29" s="4"/>
      <c r="U29" s="4"/>
      <c r="V29" s="4"/>
      <c r="W29" s="4"/>
      <c r="X29" s="4"/>
      <c r="Y29" s="4"/>
      <c r="Z29" s="4"/>
      <c r="AA29" s="4"/>
      <c r="AB29" s="4"/>
      <c r="AC29" s="4"/>
    </row>
    <row r="30" spans="1:29" ht="15.75" customHeight="1" thickBot="1" x14ac:dyDescent="0.25">
      <c r="A30" s="4"/>
      <c r="B30" s="10"/>
      <c r="C30" s="10"/>
      <c r="D30" s="11" t="s">
        <v>1122</v>
      </c>
      <c r="E30" s="1954" t="s">
        <v>1123</v>
      </c>
      <c r="F30" s="1954"/>
      <c r="G30" s="1955"/>
      <c r="H30" s="1956" t="s">
        <v>1124</v>
      </c>
      <c r="I30" s="1954"/>
      <c r="J30" s="1955"/>
      <c r="K30" s="1956" t="s">
        <v>1124</v>
      </c>
      <c r="L30" s="1954"/>
      <c r="M30" s="1954"/>
      <c r="N30" s="134" t="s">
        <v>1125</v>
      </c>
      <c r="O30" s="4"/>
      <c r="P30" s="4"/>
      <c r="Q30" s="4"/>
      <c r="R30" s="4"/>
      <c r="S30" s="4"/>
      <c r="T30" s="4"/>
      <c r="U30" s="4"/>
      <c r="V30" s="4"/>
      <c r="W30" s="4"/>
      <c r="X30" s="4"/>
      <c r="Y30" s="4"/>
      <c r="Z30" s="4"/>
      <c r="AA30" s="4"/>
      <c r="AB30" s="4"/>
      <c r="AC30" s="4"/>
    </row>
    <row r="31" spans="1:29" ht="15" thickTop="1" x14ac:dyDescent="0.2">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2">
      <c r="A32" s="4"/>
      <c r="B32" s="2"/>
      <c r="C32" s="2"/>
      <c r="D32" s="3" t="s">
        <v>18</v>
      </c>
      <c r="E32" s="1932" t="s">
        <v>32</v>
      </c>
      <c r="F32" s="1932"/>
      <c r="G32" s="1933"/>
      <c r="H32" s="1934" t="s">
        <v>33</v>
      </c>
      <c r="I32" s="1932"/>
      <c r="J32" s="1933"/>
      <c r="K32" s="1934" t="s">
        <v>34</v>
      </c>
      <c r="L32" s="1932"/>
      <c r="M32" s="1932"/>
      <c r="N32" s="4"/>
      <c r="O32" s="4"/>
      <c r="P32" s="4"/>
      <c r="Q32" s="4"/>
      <c r="R32" s="4"/>
      <c r="S32" s="4"/>
      <c r="T32" s="4"/>
      <c r="U32" s="4"/>
      <c r="V32" s="4"/>
      <c r="W32" s="4"/>
      <c r="X32" s="4"/>
      <c r="Y32" s="4"/>
      <c r="Z32" s="4"/>
      <c r="AA32" s="4"/>
      <c r="AB32" s="4"/>
      <c r="AC32" s="4"/>
    </row>
    <row r="33" spans="1:29" x14ac:dyDescent="0.2">
      <c r="A33" s="4"/>
      <c r="B33" s="2"/>
      <c r="C33" s="2"/>
      <c r="D33" s="3" t="s">
        <v>19</v>
      </c>
      <c r="E33" s="1932">
        <v>350</v>
      </c>
      <c r="F33" s="1932"/>
      <c r="G33" s="1933"/>
      <c r="H33" s="1934">
        <v>350</v>
      </c>
      <c r="I33" s="1932"/>
      <c r="J33" s="1933"/>
      <c r="K33" s="1934">
        <v>300</v>
      </c>
      <c r="L33" s="1932"/>
      <c r="M33" s="1932"/>
      <c r="N33" s="4"/>
      <c r="O33" s="4"/>
      <c r="P33" s="4"/>
      <c r="Q33" s="4"/>
      <c r="R33" s="4"/>
      <c r="S33" s="4"/>
      <c r="T33" s="4"/>
      <c r="U33" s="4"/>
      <c r="V33" s="4"/>
      <c r="W33" s="4"/>
      <c r="X33" s="4"/>
      <c r="Y33" s="4"/>
      <c r="Z33" s="4"/>
      <c r="AA33" s="4"/>
      <c r="AB33" s="4"/>
      <c r="AC33" s="4"/>
    </row>
    <row r="34" spans="1:29" x14ac:dyDescent="0.2">
      <c r="A34" s="4"/>
      <c r="B34" s="2"/>
      <c r="C34" s="2"/>
      <c r="D34" s="3" t="s">
        <v>87</v>
      </c>
      <c r="E34" s="1932" t="s">
        <v>1630</v>
      </c>
      <c r="F34" s="1932"/>
      <c r="G34" s="1933"/>
      <c r="H34" s="1934" t="s">
        <v>1630</v>
      </c>
      <c r="I34" s="1932"/>
      <c r="J34" s="1933"/>
      <c r="K34" s="1934" t="s">
        <v>1630</v>
      </c>
      <c r="L34" s="1932"/>
      <c r="M34" s="1932"/>
      <c r="N34" s="6" t="s">
        <v>88</v>
      </c>
      <c r="O34" s="4"/>
      <c r="P34" s="4"/>
      <c r="Q34" s="4"/>
      <c r="R34" s="4"/>
      <c r="S34" s="4"/>
      <c r="T34" s="4"/>
      <c r="U34" s="4"/>
      <c r="V34" s="4"/>
      <c r="W34" s="4"/>
      <c r="X34" s="4"/>
      <c r="Y34" s="4"/>
      <c r="Z34" s="4"/>
      <c r="AA34" s="4"/>
      <c r="AB34" s="4"/>
      <c r="AC34" s="4"/>
    </row>
    <row r="35" spans="1:29" x14ac:dyDescent="0.2">
      <c r="A35" s="4"/>
      <c r="B35" s="2"/>
      <c r="C35" s="2"/>
      <c r="D35" s="3" t="s">
        <v>1672</v>
      </c>
      <c r="E35" s="1932" t="s">
        <v>1697</v>
      </c>
      <c r="F35" s="1932"/>
      <c r="G35" s="1933"/>
      <c r="H35" s="1934" t="s">
        <v>1698</v>
      </c>
      <c r="I35" s="1932"/>
      <c r="J35" s="1933"/>
      <c r="K35" s="1934" t="s">
        <v>1699</v>
      </c>
      <c r="L35" s="1932"/>
      <c r="M35" s="1932"/>
      <c r="N35" s="1930" t="s">
        <v>1673</v>
      </c>
      <c r="O35" s="4"/>
      <c r="P35" s="4"/>
      <c r="Q35" s="4"/>
      <c r="R35" s="4"/>
      <c r="S35" s="4"/>
      <c r="T35" s="4"/>
      <c r="U35" s="4"/>
      <c r="V35" s="4"/>
      <c r="W35" s="4"/>
      <c r="X35" s="4"/>
      <c r="Y35" s="4"/>
      <c r="Z35" s="4"/>
      <c r="AA35" s="4"/>
      <c r="AB35" s="4"/>
      <c r="AC35" s="4"/>
    </row>
    <row r="36" spans="1:29" x14ac:dyDescent="0.2">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ht="15" x14ac:dyDescent="0.25">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2">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ht="15" x14ac:dyDescent="0.25">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2">
      <c r="A40" s="4"/>
      <c r="B40" s="2" t="s">
        <v>39</v>
      </c>
      <c r="C40" s="2"/>
      <c r="D40" s="2"/>
      <c r="E40" s="2"/>
      <c r="F40" s="1944" t="s">
        <v>605</v>
      </c>
      <c r="G40" s="1944"/>
      <c r="H40" s="1944"/>
      <c r="I40" s="1944"/>
      <c r="J40" s="1944"/>
      <c r="K40" s="4"/>
      <c r="L40" s="4"/>
      <c r="M40" s="4"/>
      <c r="N40" s="4"/>
      <c r="O40" s="4"/>
      <c r="P40" s="4"/>
      <c r="Q40" s="4"/>
      <c r="R40" s="4"/>
      <c r="S40" s="4"/>
      <c r="T40" s="4"/>
      <c r="U40" s="4"/>
      <c r="V40" s="4"/>
      <c r="W40" s="4"/>
      <c r="X40" s="4"/>
      <c r="Y40" s="4"/>
      <c r="Z40" s="4"/>
      <c r="AA40" s="4"/>
      <c r="AB40" s="4"/>
      <c r="AC40" s="4"/>
    </row>
    <row r="41" spans="1:29" x14ac:dyDescent="0.2">
      <c r="A41" s="4"/>
      <c r="B41" s="2" t="s">
        <v>40</v>
      </c>
      <c r="C41" s="2"/>
      <c r="D41" s="2"/>
      <c r="E41" s="2"/>
      <c r="F41" s="1945" t="s">
        <v>1628</v>
      </c>
      <c r="G41" s="1945"/>
      <c r="H41" s="1945"/>
      <c r="I41" s="1945"/>
      <c r="J41" s="1945"/>
      <c r="K41" s="4"/>
      <c r="L41" s="4"/>
      <c r="M41" s="4"/>
      <c r="N41" s="4"/>
      <c r="O41" s="4"/>
      <c r="P41" s="4"/>
      <c r="Q41" s="4"/>
      <c r="R41" s="4"/>
      <c r="S41" s="4"/>
      <c r="T41" s="4"/>
      <c r="U41" s="4"/>
      <c r="V41" s="4"/>
      <c r="W41" s="4"/>
      <c r="X41" s="4"/>
      <c r="Y41" s="4"/>
      <c r="Z41" s="4"/>
      <c r="AA41" s="4"/>
      <c r="AB41" s="4"/>
      <c r="AC41" s="4"/>
    </row>
    <row r="42" spans="1:29" x14ac:dyDescent="0.2">
      <c r="A42" s="4"/>
      <c r="B42" s="2" t="s">
        <v>41</v>
      </c>
      <c r="C42" s="2"/>
      <c r="D42" s="2"/>
      <c r="E42" s="2"/>
      <c r="F42" s="1945" t="s">
        <v>1627</v>
      </c>
      <c r="G42" s="1945"/>
      <c r="H42" s="1945"/>
      <c r="I42" s="1945"/>
      <c r="J42" s="1945"/>
      <c r="K42" s="134" t="s">
        <v>43</v>
      </c>
      <c r="L42" s="4"/>
      <c r="M42" s="4"/>
      <c r="N42" s="4"/>
      <c r="O42" s="4"/>
      <c r="P42" s="4"/>
      <c r="Q42" s="4"/>
      <c r="R42" s="4"/>
      <c r="S42" s="4"/>
      <c r="T42" s="4"/>
      <c r="U42" s="4"/>
      <c r="V42" s="4"/>
      <c r="W42" s="4"/>
      <c r="X42" s="4"/>
      <c r="Y42" s="4"/>
      <c r="Z42" s="4"/>
      <c r="AA42" s="4"/>
      <c r="AB42" s="4"/>
      <c r="AC42" s="4"/>
    </row>
    <row r="43" spans="1:29" x14ac:dyDescent="0.2">
      <c r="A43" s="4"/>
      <c r="B43" s="2" t="s">
        <v>903</v>
      </c>
      <c r="C43" s="2"/>
      <c r="D43" s="2"/>
      <c r="E43" s="2"/>
      <c r="F43" s="1945" t="s">
        <v>1302</v>
      </c>
      <c r="G43" s="1945"/>
      <c r="H43" s="1945"/>
      <c r="I43" s="1945"/>
      <c r="J43" s="1945"/>
      <c r="K43" s="134" t="s">
        <v>1240</v>
      </c>
      <c r="L43" s="4"/>
      <c r="M43" s="4"/>
      <c r="N43" s="4"/>
      <c r="O43" s="4"/>
      <c r="P43" s="4"/>
      <c r="Q43" s="4"/>
      <c r="R43" s="4"/>
      <c r="S43" s="4"/>
      <c r="T43" s="4"/>
      <c r="U43" s="4"/>
      <c r="V43" s="4"/>
      <c r="W43" s="4"/>
      <c r="X43" s="4"/>
      <c r="Y43" s="4"/>
      <c r="Z43" s="4"/>
      <c r="AA43" s="4"/>
      <c r="AB43" s="4"/>
      <c r="AC43" s="4"/>
    </row>
    <row r="44" spans="1:29" x14ac:dyDescent="0.2">
      <c r="A44" s="4"/>
      <c r="B44" s="2" t="s">
        <v>42</v>
      </c>
      <c r="C44" s="2"/>
      <c r="D44" s="2"/>
      <c r="E44" s="2"/>
      <c r="F44" s="1946" t="s">
        <v>606</v>
      </c>
      <c r="G44" s="1946"/>
      <c r="H44" s="1946"/>
      <c r="I44" s="1946"/>
      <c r="J44" s="1946"/>
      <c r="K44" s="134" t="s">
        <v>44</v>
      </c>
      <c r="L44" s="4"/>
      <c r="M44" s="4"/>
      <c r="N44" s="4"/>
      <c r="O44" s="4"/>
      <c r="P44" s="4"/>
      <c r="Q44" s="4"/>
      <c r="R44" s="4"/>
      <c r="S44" s="4"/>
      <c r="T44" s="4"/>
      <c r="U44" s="4"/>
      <c r="V44" s="4"/>
      <c r="W44" s="4"/>
      <c r="X44" s="4"/>
      <c r="Y44" s="4"/>
      <c r="Z44" s="4"/>
      <c r="AA44" s="4"/>
      <c r="AB44" s="4"/>
      <c r="AC44" s="4"/>
    </row>
    <row r="45" spans="1:29" x14ac:dyDescent="0.2">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ht="15" x14ac:dyDescent="0.25">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x14ac:dyDescent="0.2">
      <c r="A47" s="4"/>
      <c r="B47" s="2" t="s">
        <v>47</v>
      </c>
      <c r="C47" s="2"/>
      <c r="D47" s="1944" t="s">
        <v>1668</v>
      </c>
      <c r="E47" s="1944"/>
      <c r="F47" s="1944"/>
      <c r="G47" s="1944"/>
      <c r="H47" s="134" t="s">
        <v>1669</v>
      </c>
      <c r="I47" s="4"/>
      <c r="J47" s="4"/>
      <c r="K47" s="4"/>
      <c r="L47" s="4"/>
      <c r="M47" s="4"/>
      <c r="N47" s="4"/>
      <c r="O47" s="4"/>
      <c r="P47" s="4"/>
      <c r="Q47" s="4"/>
      <c r="R47" s="4"/>
      <c r="S47" s="4"/>
      <c r="T47" s="4"/>
      <c r="U47" s="4"/>
      <c r="V47" s="4"/>
      <c r="W47" s="4"/>
      <c r="X47" s="4"/>
      <c r="Y47" s="4"/>
      <c r="Z47" s="4"/>
      <c r="AA47" s="4"/>
      <c r="AB47" s="4"/>
      <c r="AC47" s="4"/>
    </row>
    <row r="48" spans="1:29" x14ac:dyDescent="0.2">
      <c r="A48" s="4"/>
      <c r="B48" s="2" t="s">
        <v>46</v>
      </c>
      <c r="C48" s="2"/>
      <c r="D48" s="1946" t="s">
        <v>1608</v>
      </c>
      <c r="E48" s="1946"/>
      <c r="F48" s="1946"/>
      <c r="G48" s="1946"/>
      <c r="H48" s="134" t="s">
        <v>1613</v>
      </c>
      <c r="I48" s="4"/>
      <c r="J48" s="4"/>
      <c r="K48" s="4"/>
      <c r="L48" s="4"/>
      <c r="M48" s="4"/>
      <c r="N48" s="4"/>
      <c r="O48" s="4"/>
      <c r="P48" s="4"/>
      <c r="Q48" s="4"/>
      <c r="R48" s="4"/>
      <c r="S48" s="4"/>
      <c r="T48" s="4"/>
      <c r="U48" s="4"/>
      <c r="V48" s="4"/>
      <c r="W48" s="4"/>
      <c r="X48" s="4"/>
      <c r="Y48" s="4"/>
      <c r="Z48" s="4"/>
      <c r="AA48" s="4"/>
      <c r="AB48" s="4"/>
      <c r="AC48" s="4"/>
    </row>
    <row r="49" spans="1:29" x14ac:dyDescent="0.2">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2">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ht="15" x14ac:dyDescent="0.25">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2">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2">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x14ac:dyDescent="0.2">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x14ac:dyDescent="0.2">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x14ac:dyDescent="0.2">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ht="15" x14ac:dyDescent="0.25">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x14ac:dyDescent="0.2">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ht="15" x14ac:dyDescent="0.25">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ht="15" x14ac:dyDescent="0.25">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x14ac:dyDescent="0.2">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5" x14ac:dyDescent="0.2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x14ac:dyDescent="0.2">
      <c r="A65" s="4"/>
      <c r="B65" s="2" t="s">
        <v>51</v>
      </c>
      <c r="C65" s="2"/>
      <c r="D65" s="2"/>
      <c r="E65" s="2"/>
      <c r="F65" s="2"/>
      <c r="G65" s="2"/>
      <c r="H65" s="12"/>
      <c r="I65" s="197"/>
      <c r="J65" s="1944">
        <v>64</v>
      </c>
      <c r="K65" s="1944"/>
      <c r="L65" s="1944"/>
      <c r="M65" s="6" t="s">
        <v>58</v>
      </c>
      <c r="N65" s="4"/>
      <c r="O65" s="4"/>
      <c r="P65" s="4"/>
      <c r="Q65" s="4"/>
      <c r="R65" s="4"/>
      <c r="S65" s="4"/>
      <c r="T65" s="4"/>
      <c r="U65" s="4"/>
      <c r="V65" s="4"/>
      <c r="W65" s="4"/>
      <c r="X65" s="4"/>
      <c r="Y65" s="4"/>
      <c r="Z65" s="4"/>
      <c r="AA65" s="4"/>
      <c r="AB65" s="4"/>
      <c r="AC65" s="4"/>
    </row>
    <row r="66" spans="1:29" x14ac:dyDescent="0.2">
      <c r="A66" s="4"/>
      <c r="B66" s="2" t="s">
        <v>49</v>
      </c>
      <c r="C66" s="2"/>
      <c r="D66" s="2"/>
      <c r="E66" s="2"/>
      <c r="F66" s="2"/>
      <c r="G66" s="2"/>
      <c r="H66" s="15"/>
      <c r="I66" s="204" t="s">
        <v>596</v>
      </c>
      <c r="J66" s="1945" t="s">
        <v>597</v>
      </c>
      <c r="K66" s="1945"/>
      <c r="L66" s="1945"/>
      <c r="M66" s="134" t="s">
        <v>1235</v>
      </c>
      <c r="N66" s="4"/>
      <c r="O66" s="4"/>
      <c r="P66" s="4"/>
      <c r="Q66" s="4"/>
      <c r="R66" s="4"/>
      <c r="S66" s="4"/>
      <c r="T66" s="4"/>
      <c r="U66" s="4"/>
      <c r="V66" s="4"/>
      <c r="W66" s="4"/>
      <c r="X66" s="4"/>
      <c r="Y66" s="4"/>
      <c r="Z66" s="4"/>
      <c r="AA66" s="4"/>
      <c r="AB66" s="4"/>
      <c r="AC66" s="4"/>
    </row>
    <row r="67" spans="1:29" x14ac:dyDescent="0.2">
      <c r="A67" s="4"/>
      <c r="B67" s="2" t="s">
        <v>50</v>
      </c>
      <c r="C67" s="2"/>
      <c r="D67" s="2"/>
      <c r="E67" s="2"/>
      <c r="F67" s="2"/>
      <c r="G67" s="2"/>
      <c r="H67" s="16"/>
      <c r="I67" s="204" t="s">
        <v>596</v>
      </c>
      <c r="J67" s="1945" t="s">
        <v>598</v>
      </c>
      <c r="K67" s="1945"/>
      <c r="L67" s="1945"/>
      <c r="M67" s="134" t="s">
        <v>110</v>
      </c>
      <c r="N67" s="4"/>
      <c r="O67" s="4"/>
      <c r="P67" s="4"/>
      <c r="Q67" s="4"/>
      <c r="R67" s="4"/>
      <c r="S67" s="4"/>
      <c r="T67" s="4"/>
      <c r="U67" s="4"/>
      <c r="V67" s="4"/>
      <c r="W67" s="4"/>
      <c r="X67" s="4"/>
      <c r="Y67" s="4"/>
      <c r="Z67" s="4"/>
      <c r="AA67" s="4"/>
      <c r="AB67" s="4"/>
      <c r="AC67" s="4"/>
    </row>
    <row r="68" spans="1:29" x14ac:dyDescent="0.2">
      <c r="A68" s="4"/>
      <c r="B68" s="2" t="s">
        <v>1236</v>
      </c>
      <c r="C68" s="2"/>
      <c r="D68" s="2"/>
      <c r="E68" s="2"/>
      <c r="F68" s="2"/>
      <c r="G68" s="2"/>
      <c r="H68" s="16"/>
      <c r="I68" s="1694" t="s">
        <v>1408</v>
      </c>
      <c r="J68" s="1945" t="s">
        <v>599</v>
      </c>
      <c r="K68" s="1945"/>
      <c r="L68" s="1945"/>
      <c r="M68" s="134" t="s">
        <v>59</v>
      </c>
      <c r="N68" s="4"/>
      <c r="O68" s="4"/>
      <c r="P68" s="4"/>
      <c r="Q68" s="4"/>
      <c r="R68" s="4"/>
      <c r="S68" s="4"/>
      <c r="T68" s="4"/>
      <c r="U68" s="4"/>
      <c r="V68" s="4"/>
      <c r="W68" s="4"/>
      <c r="X68" s="4"/>
      <c r="Y68" s="4"/>
      <c r="Z68" s="4"/>
      <c r="AA68" s="4"/>
      <c r="AB68" s="4"/>
      <c r="AC68" s="4"/>
    </row>
    <row r="69" spans="1:29" x14ac:dyDescent="0.2">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x14ac:dyDescent="0.2">
      <c r="A70" s="4"/>
      <c r="B70" s="2"/>
      <c r="C70" s="2"/>
      <c r="D70" s="2"/>
      <c r="E70" s="2"/>
      <c r="F70" s="2"/>
      <c r="G70" s="2"/>
      <c r="H70" s="17"/>
      <c r="I70" s="204"/>
      <c r="J70" s="1999"/>
      <c r="K70" s="1999"/>
      <c r="L70" s="1999"/>
      <c r="M70" s="134"/>
      <c r="N70" s="4"/>
      <c r="O70" s="4"/>
      <c r="P70" s="4"/>
      <c r="Q70" s="4"/>
      <c r="R70" s="4"/>
      <c r="S70" s="4"/>
      <c r="T70" s="4"/>
      <c r="U70" s="4"/>
      <c r="V70" s="4"/>
      <c r="W70" s="4"/>
      <c r="X70" s="4"/>
      <c r="Y70" s="4"/>
      <c r="Z70" s="4"/>
      <c r="AA70" s="4"/>
      <c r="AB70" s="4"/>
      <c r="AC70" s="4"/>
    </row>
    <row r="71" spans="1:29"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5" x14ac:dyDescent="0.2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x14ac:dyDescent="0.2">
      <c r="A73" s="4"/>
      <c r="B73" s="301" t="s">
        <v>1337</v>
      </c>
      <c r="C73" s="2"/>
      <c r="D73" s="2"/>
      <c r="E73" s="1935" t="s">
        <v>1339</v>
      </c>
      <c r="F73" s="1935"/>
      <c r="G73" s="1935"/>
      <c r="H73" s="1935"/>
      <c r="I73" s="1935"/>
      <c r="J73" s="1935"/>
      <c r="K73" s="1935"/>
      <c r="L73" s="1935"/>
      <c r="M73" s="1935"/>
      <c r="N73" s="1935"/>
      <c r="O73" s="1935"/>
      <c r="P73" s="1935"/>
      <c r="Q73" s="134" t="s">
        <v>1338</v>
      </c>
      <c r="R73" s="4"/>
      <c r="S73" s="4"/>
      <c r="T73" s="4"/>
      <c r="U73" s="4"/>
      <c r="V73" s="4"/>
      <c r="W73" s="4"/>
      <c r="X73" s="4"/>
      <c r="Y73" s="4"/>
      <c r="Z73" s="4"/>
      <c r="AA73" s="4"/>
      <c r="AB73" s="4"/>
      <c r="AC73" s="4"/>
    </row>
    <row r="74" spans="1:29" x14ac:dyDescent="0.2">
      <c r="A74" s="4"/>
      <c r="B74" s="2" t="s">
        <v>1293</v>
      </c>
      <c r="C74" s="2"/>
      <c r="D74" s="2"/>
      <c r="E74" s="2"/>
      <c r="F74" s="2"/>
      <c r="G74" s="2"/>
      <c r="H74" s="15"/>
      <c r="I74" s="1694" t="s">
        <v>1409</v>
      </c>
      <c r="J74" s="1945" t="s">
        <v>597</v>
      </c>
      <c r="K74" s="1945"/>
      <c r="L74" s="134" t="s">
        <v>1297</v>
      </c>
      <c r="M74" s="4"/>
      <c r="N74" s="4"/>
      <c r="O74" s="4"/>
      <c r="P74" s="4"/>
      <c r="Q74" s="4"/>
      <c r="R74" s="4"/>
      <c r="S74" s="4"/>
      <c r="T74" s="4"/>
      <c r="U74" s="4"/>
      <c r="V74" s="4"/>
      <c r="W74" s="4"/>
      <c r="X74" s="4"/>
      <c r="Y74" s="4"/>
      <c r="Z74" s="4"/>
      <c r="AA74" s="4"/>
      <c r="AB74" s="4"/>
      <c r="AC74" s="4"/>
    </row>
    <row r="75" spans="1:29" x14ac:dyDescent="0.2">
      <c r="A75" s="4"/>
      <c r="B75" s="2" t="s">
        <v>1294</v>
      </c>
      <c r="C75" s="2"/>
      <c r="D75" s="2"/>
      <c r="E75" s="2"/>
      <c r="F75" s="2"/>
      <c r="G75" s="2"/>
      <c r="H75" s="17"/>
      <c r="I75" s="204"/>
      <c r="J75" s="1946" t="s">
        <v>1296</v>
      </c>
      <c r="K75" s="1946"/>
      <c r="L75" s="134" t="s">
        <v>1295</v>
      </c>
      <c r="M75" s="4"/>
      <c r="N75" s="4"/>
      <c r="O75" s="4"/>
      <c r="P75" s="4"/>
      <c r="Q75" s="4"/>
      <c r="R75" s="4"/>
      <c r="S75" s="4"/>
      <c r="T75" s="4"/>
      <c r="U75" s="4"/>
      <c r="V75" s="4"/>
      <c r="W75" s="4"/>
      <c r="X75" s="4"/>
      <c r="Y75" s="4"/>
      <c r="Z75" s="4"/>
      <c r="AA75" s="4"/>
      <c r="AB75" s="4"/>
      <c r="AC75" s="4"/>
    </row>
    <row r="76" spans="1:29"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ht="15" x14ac:dyDescent="0.25">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2">
      <c r="A78" s="4"/>
      <c r="B78" s="2" t="s">
        <v>60</v>
      </c>
      <c r="C78" s="2"/>
      <c r="D78" s="2"/>
      <c r="E78" s="2"/>
      <c r="F78" s="2"/>
      <c r="G78" s="1963">
        <v>40409</v>
      </c>
      <c r="H78" s="1963"/>
      <c r="I78" s="4"/>
      <c r="J78" s="4"/>
      <c r="K78" s="2" t="s">
        <v>1658</v>
      </c>
      <c r="L78" s="2"/>
      <c r="M78" s="2"/>
      <c r="N78" s="2"/>
      <c r="O78" s="2"/>
      <c r="P78" s="1963">
        <v>40409</v>
      </c>
      <c r="Q78" s="1963"/>
      <c r="R78" s="4"/>
      <c r="S78" s="4"/>
      <c r="T78" s="4"/>
      <c r="U78" s="4"/>
      <c r="V78" s="4"/>
      <c r="W78" s="4"/>
      <c r="X78" s="4"/>
      <c r="Y78" s="4"/>
      <c r="Z78" s="4"/>
      <c r="AA78" s="4"/>
      <c r="AB78" s="4"/>
      <c r="AC78" s="4"/>
    </row>
    <row r="79" spans="1:29" ht="15" customHeight="1" x14ac:dyDescent="0.2">
      <c r="A79" s="4"/>
      <c r="B79" s="2" t="s">
        <v>668</v>
      </c>
      <c r="C79" s="2"/>
      <c r="D79" s="2"/>
      <c r="E79" s="2"/>
      <c r="F79" s="2"/>
      <c r="G79" s="1965">
        <v>39563</v>
      </c>
      <c r="H79" s="1965"/>
      <c r="I79" s="4"/>
      <c r="J79" s="4"/>
      <c r="K79" s="4"/>
      <c r="L79" s="4"/>
      <c r="M79" s="4"/>
      <c r="N79" s="4"/>
      <c r="O79" s="4"/>
      <c r="P79" s="4"/>
      <c r="Q79" s="4"/>
      <c r="R79" s="4"/>
      <c r="S79" s="4"/>
      <c r="T79" s="4"/>
      <c r="U79" s="4"/>
      <c r="V79" s="4"/>
      <c r="W79" s="4"/>
      <c r="X79" s="4"/>
      <c r="Y79" s="4"/>
      <c r="Z79" s="4"/>
      <c r="AA79" s="4"/>
      <c r="AB79" s="4"/>
      <c r="AC79" s="4"/>
    </row>
    <row r="80" spans="1:29"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ht="15" x14ac:dyDescent="0.25">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x14ac:dyDescent="0.2">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2">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2">
      <c r="A84" s="4"/>
      <c r="B84" s="2" t="s">
        <v>63</v>
      </c>
      <c r="C84" s="1944" t="s">
        <v>64</v>
      </c>
      <c r="D84" s="1944"/>
      <c r="E84" s="1944"/>
      <c r="F84" s="1944"/>
      <c r="G84" s="1966"/>
      <c r="H84" s="1472" t="s">
        <v>56</v>
      </c>
      <c r="I84" s="4"/>
      <c r="J84" s="4"/>
      <c r="K84" s="4"/>
      <c r="L84" s="4"/>
      <c r="M84" s="4"/>
      <c r="N84" s="4"/>
      <c r="O84" s="4"/>
      <c r="P84" s="4"/>
      <c r="Q84" s="4"/>
      <c r="R84" s="4"/>
      <c r="S84" s="4"/>
      <c r="T84" s="4"/>
      <c r="U84" s="4"/>
      <c r="V84" s="4"/>
      <c r="W84" s="4"/>
      <c r="X84" s="4"/>
      <c r="Y84" s="4"/>
      <c r="Z84" s="4"/>
      <c r="AA84" s="4"/>
      <c r="AB84" s="4"/>
      <c r="AC84" s="4"/>
    </row>
    <row r="85" spans="1:29" x14ac:dyDescent="0.2">
      <c r="A85" s="4"/>
      <c r="B85" s="2"/>
      <c r="C85" s="1945" t="s">
        <v>109</v>
      </c>
      <c r="D85" s="1945"/>
      <c r="E85" s="1945"/>
      <c r="F85" s="1945"/>
      <c r="G85" s="1949"/>
      <c r="H85" s="1472" t="s">
        <v>56</v>
      </c>
      <c r="I85" s="4"/>
      <c r="J85" s="4"/>
      <c r="K85" s="4"/>
      <c r="L85" s="4"/>
      <c r="M85" s="4"/>
      <c r="N85" s="4"/>
      <c r="O85" s="4"/>
      <c r="P85" s="4"/>
      <c r="Q85" s="4"/>
      <c r="R85" s="4"/>
      <c r="S85" s="4"/>
      <c r="T85" s="4"/>
      <c r="U85" s="4"/>
      <c r="V85" s="4"/>
      <c r="W85" s="4"/>
      <c r="X85" s="4"/>
      <c r="Y85" s="4"/>
      <c r="Z85" s="4"/>
      <c r="AA85" s="4"/>
      <c r="AB85" s="4"/>
      <c r="AC85" s="4"/>
    </row>
    <row r="86" spans="1:29" x14ac:dyDescent="0.2">
      <c r="A86" s="4"/>
      <c r="B86" s="2"/>
      <c r="C86" s="1945" t="s">
        <v>1237</v>
      </c>
      <c r="D86" s="1945"/>
      <c r="E86" s="1945"/>
      <c r="F86" s="1945"/>
      <c r="G86" s="1949"/>
      <c r="H86" s="1466" t="s">
        <v>56</v>
      </c>
      <c r="I86" s="4"/>
      <c r="J86" s="4"/>
      <c r="K86" s="4"/>
      <c r="L86" s="4"/>
      <c r="M86" s="4"/>
      <c r="N86" s="4"/>
      <c r="O86" s="4"/>
      <c r="P86" s="4"/>
      <c r="Q86" s="4"/>
      <c r="R86" s="4"/>
      <c r="S86" s="4"/>
      <c r="T86" s="4"/>
      <c r="U86" s="4"/>
      <c r="V86" s="4"/>
      <c r="W86" s="4"/>
      <c r="X86" s="4"/>
      <c r="Y86" s="4"/>
      <c r="Z86" s="4"/>
      <c r="AA86" s="4"/>
      <c r="AB86" s="4"/>
      <c r="AC86" s="4"/>
    </row>
    <row r="87" spans="1:29" x14ac:dyDescent="0.2">
      <c r="A87" s="4"/>
      <c r="B87" s="2"/>
      <c r="C87" s="1946" t="s">
        <v>601</v>
      </c>
      <c r="D87" s="1946"/>
      <c r="E87" s="1946"/>
      <c r="F87" s="1946"/>
      <c r="G87" s="1994"/>
      <c r="H87" s="1466"/>
      <c r="I87" s="4"/>
      <c r="J87" s="4"/>
      <c r="K87" s="4"/>
      <c r="L87" s="4"/>
      <c r="M87" s="4"/>
      <c r="N87" s="4"/>
      <c r="O87" s="4"/>
      <c r="P87" s="4"/>
      <c r="Q87" s="4"/>
      <c r="R87" s="4"/>
      <c r="S87" s="4"/>
      <c r="T87" s="4"/>
      <c r="U87" s="4"/>
      <c r="V87" s="4"/>
      <c r="W87" s="4"/>
      <c r="X87" s="4"/>
      <c r="Y87" s="4"/>
      <c r="Z87" s="4"/>
      <c r="AA87" s="4"/>
      <c r="AB87" s="4"/>
      <c r="AC87" s="4"/>
    </row>
    <row r="88" spans="1:29"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ht="15" x14ac:dyDescent="0.25">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ht="15" x14ac:dyDescent="0.25">
      <c r="A92" s="4"/>
      <c r="B92" s="5" t="s">
        <v>70</v>
      </c>
      <c r="C92" s="4"/>
      <c r="D92" s="4"/>
      <c r="E92" s="4"/>
      <c r="F92" s="19">
        <f>E$28</f>
        <v>801</v>
      </c>
      <c r="G92" s="19"/>
      <c r="H92" s="19"/>
      <c r="I92" s="19">
        <f>H$28</f>
        <v>802</v>
      </c>
      <c r="J92" s="19"/>
      <c r="K92" s="19"/>
      <c r="L92" s="1962">
        <f>K$28</f>
        <v>8031</v>
      </c>
      <c r="M92" s="1962"/>
      <c r="N92" s="1962"/>
      <c r="O92" s="4"/>
      <c r="P92" s="4"/>
      <c r="Q92" s="4"/>
      <c r="R92" s="4"/>
      <c r="S92" s="4"/>
      <c r="T92" s="4"/>
      <c r="U92" s="4"/>
      <c r="V92" s="4"/>
      <c r="W92" s="4"/>
      <c r="X92" s="4"/>
      <c r="Y92" s="4"/>
      <c r="Z92" s="4"/>
      <c r="AA92" s="4"/>
      <c r="AB92" s="4"/>
      <c r="AC92" s="4"/>
    </row>
    <row r="93" spans="1:29" x14ac:dyDescent="0.2">
      <c r="A93" s="4"/>
      <c r="B93" s="2" t="s">
        <v>71</v>
      </c>
      <c r="C93" s="2"/>
      <c r="D93" s="2"/>
      <c r="E93" s="2"/>
      <c r="F93" s="1995" t="s">
        <v>679</v>
      </c>
      <c r="G93" s="1995"/>
      <c r="H93" s="1996"/>
      <c r="I93" s="1997" t="s">
        <v>680</v>
      </c>
      <c r="J93" s="1995"/>
      <c r="K93" s="1996"/>
      <c r="L93" s="1997" t="s">
        <v>1330</v>
      </c>
      <c r="M93" s="1995"/>
      <c r="N93" s="1995"/>
      <c r="O93" s="134" t="s">
        <v>72</v>
      </c>
      <c r="P93" s="4"/>
      <c r="Q93" s="4"/>
      <c r="R93" s="4"/>
      <c r="S93" s="4"/>
      <c r="T93" s="4"/>
      <c r="U93" s="4"/>
      <c r="V93" s="4"/>
      <c r="W93" s="4"/>
      <c r="X93" s="4"/>
      <c r="Y93" s="4"/>
      <c r="Z93" s="4"/>
      <c r="AA93" s="4"/>
      <c r="AB93" s="4"/>
      <c r="AC93" s="4"/>
    </row>
    <row r="94" spans="1:29"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ht="15" x14ac:dyDescent="0.25">
      <c r="A95" s="4"/>
      <c r="B95" s="5" t="s">
        <v>73</v>
      </c>
      <c r="C95" s="4"/>
      <c r="D95" s="4"/>
      <c r="E95" s="4"/>
      <c r="F95" s="19">
        <f>E$28</f>
        <v>801</v>
      </c>
      <c r="G95" s="19"/>
      <c r="H95" s="19"/>
      <c r="I95" s="19">
        <f>H$28</f>
        <v>802</v>
      </c>
      <c r="J95" s="19"/>
      <c r="K95" s="19"/>
      <c r="L95" s="1962">
        <f>K$28</f>
        <v>8031</v>
      </c>
      <c r="M95" s="1962"/>
      <c r="N95" s="1962"/>
      <c r="O95" s="4"/>
      <c r="P95" s="4"/>
      <c r="Q95" s="4"/>
      <c r="R95" s="4"/>
      <c r="S95" s="4"/>
      <c r="T95" s="4"/>
      <c r="U95" s="4"/>
      <c r="V95" s="4"/>
      <c r="W95" s="4"/>
      <c r="X95" s="4"/>
      <c r="Y95" s="4"/>
      <c r="Z95" s="4"/>
      <c r="AA95" s="4"/>
      <c r="AB95" s="4"/>
      <c r="AC95" s="4"/>
    </row>
    <row r="96" spans="1:29" x14ac:dyDescent="0.2">
      <c r="A96" s="4"/>
      <c r="B96" s="2" t="s">
        <v>75</v>
      </c>
      <c r="C96" s="2"/>
      <c r="D96" s="2"/>
      <c r="E96" s="2"/>
      <c r="F96" s="1995" t="s">
        <v>801</v>
      </c>
      <c r="G96" s="1995"/>
      <c r="H96" s="1996"/>
      <c r="I96" s="1997"/>
      <c r="J96" s="1995"/>
      <c r="K96" s="1996"/>
      <c r="L96" s="1997"/>
      <c r="M96" s="1995"/>
      <c r="N96" s="1995"/>
      <c r="O96" s="6" t="s">
        <v>74</v>
      </c>
      <c r="P96" s="4"/>
      <c r="Q96" s="4"/>
      <c r="R96" s="4"/>
      <c r="S96" s="4"/>
      <c r="T96" s="4"/>
      <c r="U96" s="4"/>
      <c r="V96" s="4"/>
      <c r="W96" s="4"/>
      <c r="X96" s="4"/>
      <c r="Y96" s="4"/>
      <c r="Z96" s="4"/>
      <c r="AA96" s="4"/>
      <c r="AB96" s="4"/>
      <c r="AC96" s="4"/>
    </row>
    <row r="97" spans="1:29"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2">
      <c r="A98" s="4"/>
      <c r="B98" s="2" t="s">
        <v>76</v>
      </c>
      <c r="C98" s="2"/>
      <c r="D98" s="2"/>
      <c r="E98" s="2"/>
      <c r="F98" s="1964" t="s">
        <v>81</v>
      </c>
      <c r="G98" s="1964"/>
      <c r="H98" s="20" t="s">
        <v>77</v>
      </c>
      <c r="I98" s="1964" t="s">
        <v>81</v>
      </c>
      <c r="J98" s="1964"/>
      <c r="K98" s="20" t="s">
        <v>77</v>
      </c>
      <c r="L98" s="1964" t="s">
        <v>81</v>
      </c>
      <c r="M98" s="1964"/>
      <c r="N98" s="20" t="s">
        <v>77</v>
      </c>
      <c r="O98" s="4"/>
      <c r="P98" s="4"/>
      <c r="Q98" s="4"/>
      <c r="R98" s="4"/>
      <c r="S98" s="4"/>
      <c r="T98" s="4"/>
      <c r="U98" s="4"/>
      <c r="V98" s="4"/>
      <c r="W98" s="4"/>
      <c r="X98" s="4"/>
      <c r="Y98" s="4"/>
      <c r="Z98" s="4"/>
      <c r="AA98" s="4"/>
      <c r="AB98" s="4"/>
      <c r="AC98" s="4"/>
    </row>
    <row r="99" spans="1:29" x14ac:dyDescent="0.2">
      <c r="A99" s="4"/>
      <c r="B99" s="2"/>
      <c r="C99" s="2"/>
      <c r="D99" s="2"/>
      <c r="E99" s="3" t="s">
        <v>78</v>
      </c>
      <c r="F99" s="2001" t="s">
        <v>800</v>
      </c>
      <c r="G99" s="2002"/>
      <c r="H99" s="1473"/>
      <c r="I99" s="2003"/>
      <c r="J99" s="2002"/>
      <c r="K99" s="1473"/>
      <c r="L99" s="2003"/>
      <c r="M99" s="2002"/>
      <c r="N99" s="1474"/>
      <c r="O99" s="134" t="s">
        <v>111</v>
      </c>
      <c r="P99" s="4"/>
      <c r="Q99" s="4"/>
      <c r="R99" s="4"/>
      <c r="S99" s="4"/>
      <c r="T99" s="4"/>
      <c r="U99" s="4"/>
      <c r="V99" s="4"/>
      <c r="W99" s="4"/>
      <c r="X99" s="4"/>
      <c r="Y99" s="4"/>
      <c r="Z99" s="4"/>
      <c r="AA99" s="4"/>
      <c r="AB99" s="4"/>
      <c r="AC99" s="4"/>
    </row>
    <row r="100" spans="1:29" x14ac:dyDescent="0.2">
      <c r="A100" s="4"/>
      <c r="B100" s="2"/>
      <c r="C100" s="2"/>
      <c r="D100" s="2"/>
      <c r="E100" s="2"/>
      <c r="F100" s="1973" t="s">
        <v>799</v>
      </c>
      <c r="G100" s="1974"/>
      <c r="H100" s="1475"/>
      <c r="I100" s="1988"/>
      <c r="J100" s="1974"/>
      <c r="K100" s="1475"/>
      <c r="L100" s="1988"/>
      <c r="M100" s="1974"/>
      <c r="N100" s="1476"/>
      <c r="O100" s="134" t="s">
        <v>1238</v>
      </c>
      <c r="P100" s="4"/>
      <c r="Q100" s="4"/>
      <c r="R100" s="4"/>
      <c r="S100" s="4"/>
      <c r="T100" s="4"/>
      <c r="U100" s="4"/>
      <c r="V100" s="4"/>
      <c r="W100" s="4"/>
      <c r="X100" s="4"/>
      <c r="Y100" s="4"/>
      <c r="Z100" s="4"/>
      <c r="AA100" s="4"/>
      <c r="AB100" s="4"/>
      <c r="AC100" s="4"/>
    </row>
    <row r="101" spans="1:29" x14ac:dyDescent="0.2">
      <c r="A101" s="4"/>
      <c r="B101" s="2"/>
      <c r="C101" s="2"/>
      <c r="D101" s="2"/>
      <c r="E101" s="2"/>
      <c r="F101" s="1975" t="s">
        <v>798</v>
      </c>
      <c r="G101" s="1976"/>
      <c r="H101" s="1477"/>
      <c r="I101" s="1989"/>
      <c r="J101" s="1976"/>
      <c r="K101" s="1477"/>
      <c r="L101" s="1989"/>
      <c r="M101" s="1976"/>
      <c r="N101" s="1478"/>
      <c r="O101" s="134" t="s">
        <v>1400</v>
      </c>
      <c r="P101" s="4"/>
      <c r="Q101" s="4"/>
      <c r="R101" s="4"/>
      <c r="S101" s="4"/>
      <c r="T101" s="4"/>
      <c r="U101" s="4"/>
      <c r="V101" s="4"/>
      <c r="W101" s="4"/>
      <c r="X101" s="4"/>
      <c r="Y101" s="4"/>
      <c r="Z101" s="4"/>
      <c r="AA101" s="4"/>
      <c r="AB101" s="4"/>
      <c r="AC101" s="4"/>
    </row>
    <row r="102" spans="1:29" x14ac:dyDescent="0.2">
      <c r="A102" s="4"/>
      <c r="B102" s="2"/>
      <c r="C102" s="2"/>
      <c r="D102" s="2"/>
      <c r="E102" s="2"/>
      <c r="F102" s="1977" t="s">
        <v>797</v>
      </c>
      <c r="G102" s="1978"/>
      <c r="H102" s="1479"/>
      <c r="I102" s="1990"/>
      <c r="J102" s="1978"/>
      <c r="K102" s="1479"/>
      <c r="L102" s="1990"/>
      <c r="M102" s="1978"/>
      <c r="N102" s="1480"/>
      <c r="O102" s="4"/>
      <c r="P102" s="4"/>
      <c r="Q102" s="4"/>
      <c r="R102" s="4"/>
      <c r="S102" s="4"/>
      <c r="T102" s="4"/>
      <c r="U102" s="4"/>
      <c r="V102" s="4"/>
      <c r="W102" s="4"/>
      <c r="X102" s="4"/>
      <c r="Y102" s="4"/>
      <c r="Z102" s="4"/>
      <c r="AA102" s="4"/>
      <c r="AB102" s="4"/>
      <c r="AC102" s="4"/>
    </row>
    <row r="103" spans="1:29" ht="14.45" customHeight="1" x14ac:dyDescent="0.2">
      <c r="A103" s="4"/>
      <c r="B103" s="2"/>
      <c r="C103" s="2"/>
      <c r="D103" s="2"/>
      <c r="E103" s="2"/>
      <c r="F103" s="1979" t="s">
        <v>796</v>
      </c>
      <c r="G103" s="1980"/>
      <c r="H103" s="1481"/>
      <c r="I103" s="1991"/>
      <c r="J103" s="1980"/>
      <c r="K103" s="1481"/>
      <c r="L103" s="1991"/>
      <c r="M103" s="1980"/>
      <c r="N103" s="1482"/>
      <c r="O103" s="4"/>
      <c r="P103" s="4"/>
      <c r="Q103" s="4"/>
      <c r="R103" s="4"/>
      <c r="S103" s="4"/>
      <c r="T103" s="4"/>
      <c r="U103" s="4"/>
      <c r="V103" s="4"/>
      <c r="W103" s="4"/>
      <c r="X103" s="4"/>
      <c r="Y103" s="4"/>
      <c r="Z103" s="4"/>
      <c r="AA103" s="4"/>
      <c r="AB103" s="4"/>
      <c r="AC103" s="4"/>
    </row>
    <row r="104" spans="1:29" ht="15" customHeight="1" thickBot="1" x14ac:dyDescent="0.25">
      <c r="A104" s="4"/>
      <c r="B104" s="2"/>
      <c r="C104" s="2"/>
      <c r="D104" s="2"/>
      <c r="E104" s="3" t="s">
        <v>79</v>
      </c>
      <c r="F104" s="2000" t="s">
        <v>795</v>
      </c>
      <c r="G104" s="1993"/>
      <c r="H104" s="1483"/>
      <c r="I104" s="1992"/>
      <c r="J104" s="1993"/>
      <c r="K104" s="1483"/>
      <c r="L104" s="1992"/>
      <c r="M104" s="1993"/>
      <c r="N104" s="1484"/>
      <c r="O104" s="4"/>
      <c r="P104" s="4"/>
      <c r="Q104" s="4"/>
      <c r="R104" s="4"/>
      <c r="S104" s="4"/>
      <c r="T104" s="4"/>
      <c r="U104" s="4"/>
      <c r="V104" s="4"/>
      <c r="W104" s="4"/>
      <c r="X104" s="4"/>
      <c r="Y104" s="4"/>
      <c r="Z104" s="4"/>
      <c r="AA104" s="4"/>
      <c r="AB104" s="4"/>
      <c r="AC104" s="4"/>
    </row>
    <row r="105" spans="1:29" ht="15" thickTop="1" x14ac:dyDescent="0.2">
      <c r="A105" s="4"/>
      <c r="B105" s="9" t="s">
        <v>80</v>
      </c>
      <c r="C105" s="9"/>
      <c r="D105" s="9"/>
      <c r="E105" s="21"/>
      <c r="F105" s="1981" t="s">
        <v>82</v>
      </c>
      <c r="G105" s="1981"/>
      <c r="H105" s="22" t="s">
        <v>77</v>
      </c>
      <c r="I105" s="1981" t="s">
        <v>82</v>
      </c>
      <c r="J105" s="1981"/>
      <c r="K105" s="22" t="s">
        <v>77</v>
      </c>
      <c r="L105" s="1981" t="s">
        <v>82</v>
      </c>
      <c r="M105" s="1981"/>
      <c r="N105" s="22" t="s">
        <v>77</v>
      </c>
      <c r="O105" s="4"/>
      <c r="P105" s="4"/>
      <c r="Q105" s="4"/>
      <c r="R105" s="4"/>
      <c r="S105" s="4"/>
      <c r="T105" s="4"/>
      <c r="U105" s="4"/>
      <c r="V105" s="4"/>
      <c r="W105" s="4"/>
      <c r="X105" s="4"/>
      <c r="Y105" s="4"/>
      <c r="Z105" s="4"/>
      <c r="AA105" s="4"/>
      <c r="AB105" s="4"/>
      <c r="AC105" s="4"/>
    </row>
    <row r="106" spans="1:29" x14ac:dyDescent="0.2">
      <c r="A106" s="4"/>
      <c r="B106" s="2"/>
      <c r="C106" s="2"/>
      <c r="D106" s="2"/>
      <c r="E106" s="73" t="str">
        <f>samenstelling!K56</f>
        <v>onderlaag 14/2</v>
      </c>
      <c r="F106" s="1947" t="s">
        <v>1483</v>
      </c>
      <c r="G106" s="1947"/>
      <c r="H106" s="1485"/>
      <c r="I106" s="1950" t="s">
        <v>681</v>
      </c>
      <c r="J106" s="1947"/>
      <c r="K106" s="1485"/>
      <c r="L106" s="1947" t="s">
        <v>682</v>
      </c>
      <c r="M106" s="1947"/>
      <c r="N106" s="1486"/>
      <c r="O106" s="134" t="s">
        <v>1607</v>
      </c>
      <c r="P106" s="4"/>
      <c r="Q106" s="4"/>
      <c r="R106" s="4"/>
      <c r="S106" s="4"/>
      <c r="T106" s="4"/>
      <c r="U106" s="4"/>
      <c r="V106" s="4"/>
      <c r="W106" s="4"/>
      <c r="X106" s="4"/>
      <c r="Y106" s="4"/>
      <c r="Z106" s="4"/>
      <c r="AA106" s="4"/>
      <c r="AB106" s="4"/>
      <c r="AC106" s="4"/>
    </row>
    <row r="107" spans="1:29" x14ac:dyDescent="0.2">
      <c r="A107" s="4"/>
      <c r="B107" s="2"/>
      <c r="C107" s="2"/>
      <c r="D107" s="2"/>
      <c r="E107" s="73" t="str">
        <f>samenstelling!K57</f>
        <v/>
      </c>
      <c r="F107" s="1984"/>
      <c r="G107" s="1984"/>
      <c r="H107" s="1487"/>
      <c r="I107" s="1985"/>
      <c r="J107" s="1984"/>
      <c r="K107" s="1487"/>
      <c r="L107" s="1984"/>
      <c r="M107" s="1984"/>
      <c r="N107" s="1488"/>
      <c r="O107" s="4"/>
      <c r="P107" s="4"/>
      <c r="Q107" s="4"/>
      <c r="R107" s="4"/>
      <c r="S107" s="4"/>
      <c r="T107" s="4"/>
      <c r="U107" s="4"/>
      <c r="V107" s="4"/>
      <c r="W107" s="4"/>
      <c r="X107" s="4"/>
      <c r="Y107" s="4"/>
      <c r="Z107" s="4"/>
      <c r="AA107" s="4"/>
      <c r="AB107" s="4"/>
      <c r="AC107" s="4"/>
    </row>
    <row r="108" spans="1:29" ht="15" thickBot="1" x14ac:dyDescent="0.25">
      <c r="A108" s="4"/>
      <c r="B108" s="10"/>
      <c r="C108" s="10"/>
      <c r="D108" s="10"/>
      <c r="E108" s="74" t="str">
        <f>samenstelling!K58</f>
        <v/>
      </c>
      <c r="F108" s="1982"/>
      <c r="G108" s="1982"/>
      <c r="H108" s="1489"/>
      <c r="I108" s="1983"/>
      <c r="J108" s="1982"/>
      <c r="K108" s="1489"/>
      <c r="L108" s="1982"/>
      <c r="M108" s="1982"/>
      <c r="N108" s="1490"/>
      <c r="O108" s="4"/>
      <c r="P108" s="4"/>
      <c r="Q108" s="4"/>
      <c r="R108" s="4"/>
      <c r="S108" s="4"/>
      <c r="T108" s="4"/>
      <c r="U108" s="4"/>
      <c r="V108" s="4"/>
      <c r="W108" s="4"/>
      <c r="X108" s="4"/>
      <c r="Y108" s="4"/>
      <c r="Z108" s="4"/>
      <c r="AA108" s="4"/>
      <c r="AB108" s="4"/>
      <c r="AC108" s="4"/>
    </row>
    <row r="109" spans="1:29" ht="15" thickTop="1" x14ac:dyDescent="0.2">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25">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5" thickTop="1" x14ac:dyDescent="0.2">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5" thickBot="1" x14ac:dyDescent="0.2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5" thickTop="1" x14ac:dyDescent="0.2">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25">
      <c r="A114" s="4"/>
      <c r="B114" s="2"/>
      <c r="C114" s="2"/>
      <c r="D114" s="1960"/>
      <c r="E114" s="1961"/>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5" thickTop="1" x14ac:dyDescent="0.2">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5" x14ac:dyDescent="0.25">
      <c r="A117" s="4"/>
      <c r="B117" s="5" t="s">
        <v>89</v>
      </c>
      <c r="C117" s="4"/>
      <c r="D117" s="4"/>
      <c r="E117" s="4"/>
      <c r="F117" s="19">
        <f>E$28</f>
        <v>801</v>
      </c>
      <c r="G117" s="19"/>
      <c r="H117" s="19"/>
      <c r="I117" s="19">
        <f>H$28</f>
        <v>802</v>
      </c>
      <c r="J117" s="19"/>
      <c r="K117" s="19"/>
      <c r="L117" s="1962">
        <f>K$28</f>
        <v>8031</v>
      </c>
      <c r="M117" s="1962"/>
      <c r="N117" s="1962"/>
      <c r="O117" s="4"/>
      <c r="P117" s="4"/>
      <c r="Q117" s="4"/>
      <c r="R117" s="4"/>
      <c r="S117" s="4"/>
      <c r="T117" s="4"/>
      <c r="U117" s="4"/>
      <c r="V117" s="4"/>
      <c r="W117" s="6" t="s">
        <v>1471</v>
      </c>
      <c r="X117" s="4"/>
      <c r="Y117" s="4"/>
      <c r="Z117" s="4"/>
      <c r="AA117" s="4"/>
      <c r="AB117" s="4"/>
      <c r="AC117" s="4"/>
    </row>
    <row r="118" spans="1:29" x14ac:dyDescent="0.2">
      <c r="A118" s="4"/>
      <c r="B118" s="1935" t="s">
        <v>1469</v>
      </c>
      <c r="C118" s="1935"/>
      <c r="D118" s="1935"/>
      <c r="E118" s="1936"/>
      <c r="F118" s="1971" t="s">
        <v>1401</v>
      </c>
      <c r="G118" s="1971"/>
      <c r="H118" s="1972"/>
      <c r="I118" s="1970" t="s">
        <v>1402</v>
      </c>
      <c r="J118" s="1971"/>
      <c r="K118" s="1972"/>
      <c r="L118" s="1970" t="s">
        <v>1403</v>
      </c>
      <c r="M118" s="1971"/>
      <c r="N118" s="1971"/>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x14ac:dyDescent="0.2">
      <c r="A119" s="4"/>
      <c r="B119" s="1935" t="s">
        <v>1470</v>
      </c>
      <c r="C119" s="1935"/>
      <c r="D119" s="1935"/>
      <c r="E119" s="1936"/>
      <c r="F119" s="1968" t="s">
        <v>1624</v>
      </c>
      <c r="G119" s="1968"/>
      <c r="H119" s="1969"/>
      <c r="I119" s="1967"/>
      <c r="J119" s="1968"/>
      <c r="K119" s="1969"/>
      <c r="L119" s="1967"/>
      <c r="M119" s="1968"/>
      <c r="N119" s="1968"/>
      <c r="O119" s="6" t="s">
        <v>90</v>
      </c>
      <c r="P119" s="4"/>
      <c r="Q119" s="4"/>
      <c r="R119" s="4"/>
      <c r="S119" s="4"/>
      <c r="T119" s="4"/>
      <c r="U119" s="4"/>
      <c r="V119" s="4"/>
      <c r="W119" s="1704" t="str">
        <f>IF(samenstelling!B69="","",samenstelling!E69&amp;" "&amp;samenstelling!H69)</f>
        <v/>
      </c>
      <c r="X119" s="4"/>
      <c r="Y119" s="4"/>
      <c r="Z119" s="4"/>
      <c r="AA119" s="1705"/>
      <c r="AB119" s="4"/>
      <c r="AC119" s="4"/>
    </row>
    <row r="120" spans="1:29" x14ac:dyDescent="0.2">
      <c r="A120" s="4"/>
      <c r="B120" s="1935" t="s">
        <v>162</v>
      </c>
      <c r="C120" s="1935"/>
      <c r="D120" s="1935"/>
      <c r="E120" s="1936"/>
      <c r="F120" s="1968" t="s">
        <v>1623</v>
      </c>
      <c r="G120" s="1968"/>
      <c r="H120" s="1969"/>
      <c r="I120" s="1967"/>
      <c r="J120" s="1968"/>
      <c r="K120" s="1969"/>
      <c r="L120" s="1967"/>
      <c r="M120" s="1968"/>
      <c r="N120" s="1968"/>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x14ac:dyDescent="0.2">
      <c r="A121" s="4"/>
      <c r="B121" s="1935"/>
      <c r="C121" s="1935"/>
      <c r="D121" s="1935"/>
      <c r="E121" s="1936"/>
      <c r="F121" s="1968"/>
      <c r="G121" s="1968"/>
      <c r="H121" s="1969"/>
      <c r="I121" s="1967"/>
      <c r="J121" s="1968"/>
      <c r="K121" s="1969"/>
      <c r="L121" s="1967"/>
      <c r="M121" s="1968"/>
      <c r="N121" s="1968"/>
      <c r="O121" s="4"/>
      <c r="P121" s="4"/>
      <c r="Q121" s="4"/>
      <c r="R121" s="4"/>
      <c r="S121" s="4"/>
      <c r="T121" s="4"/>
      <c r="U121" s="4"/>
      <c r="V121" s="4"/>
      <c r="W121" s="1704" t="str">
        <f>IF(samenstelling!B71="","",samenstelling!E71&amp;" "&amp;samenstelling!H71)</f>
        <v/>
      </c>
      <c r="X121" s="4"/>
      <c r="Y121" s="4"/>
      <c r="Z121" s="4"/>
      <c r="AA121" s="1705"/>
      <c r="AB121" s="4"/>
      <c r="AC121" s="4"/>
    </row>
    <row r="122" spans="1:29" x14ac:dyDescent="0.2">
      <c r="A122" s="4"/>
      <c r="B122" s="1935"/>
      <c r="C122" s="1935"/>
      <c r="D122" s="1935"/>
      <c r="E122" s="1936"/>
      <c r="F122" s="1968"/>
      <c r="G122" s="1968"/>
      <c r="H122" s="1969"/>
      <c r="I122" s="1967"/>
      <c r="J122" s="1968"/>
      <c r="K122" s="1969"/>
      <c r="L122" s="1967"/>
      <c r="M122" s="1968"/>
      <c r="N122" s="1968"/>
      <c r="O122" s="4"/>
      <c r="P122" s="4"/>
      <c r="Q122" s="4"/>
      <c r="R122" s="4"/>
      <c r="S122" s="4"/>
      <c r="T122" s="4"/>
      <c r="U122" s="4"/>
      <c r="V122" s="4"/>
      <c r="W122" s="1704" t="str">
        <f>IF(samenstelling!B72="","",samenstelling!E72&amp;" "&amp;samenstelling!H72)</f>
        <v/>
      </c>
      <c r="X122" s="4"/>
      <c r="Y122" s="4"/>
      <c r="Z122" s="4"/>
      <c r="AA122" s="1705"/>
      <c r="AB122" s="4"/>
      <c r="AC122" s="4"/>
    </row>
    <row r="123" spans="1:29" x14ac:dyDescent="0.2">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5" x14ac:dyDescent="0.25">
      <c r="A124" s="4"/>
      <c r="B124" s="5" t="s">
        <v>92</v>
      </c>
      <c r="C124" s="4"/>
      <c r="D124" s="4"/>
      <c r="E124" s="4"/>
      <c r="F124" s="19">
        <f>E$28</f>
        <v>801</v>
      </c>
      <c r="G124" s="19"/>
      <c r="H124" s="19"/>
      <c r="I124" s="19">
        <f>H$28</f>
        <v>802</v>
      </c>
      <c r="J124" s="19"/>
      <c r="K124" s="19"/>
      <c r="L124" s="1962">
        <f>K$28</f>
        <v>8031</v>
      </c>
      <c r="M124" s="1962"/>
      <c r="N124" s="1962"/>
      <c r="O124" s="4"/>
      <c r="P124" s="4"/>
      <c r="Q124" s="4"/>
      <c r="R124" s="4"/>
      <c r="S124" s="4"/>
      <c r="T124" s="4"/>
      <c r="U124" s="4"/>
      <c r="V124" s="4"/>
      <c r="W124" s="1704" t="str">
        <f>IF(samenstelling!B74="","",samenstelling!E74&amp;" "&amp;samenstelling!H74)</f>
        <v/>
      </c>
      <c r="X124" s="4"/>
      <c r="Y124" s="4"/>
      <c r="Z124" s="4"/>
      <c r="AA124" s="1705"/>
      <c r="AB124" s="4"/>
      <c r="AC124" s="4"/>
    </row>
    <row r="125" spans="1:29" x14ac:dyDescent="0.2">
      <c r="A125" s="4"/>
      <c r="B125" s="2" t="s">
        <v>810</v>
      </c>
      <c r="C125" s="2"/>
      <c r="D125" s="2"/>
      <c r="E125" s="3" t="s">
        <v>488</v>
      </c>
      <c r="F125" s="1947" t="s">
        <v>1670</v>
      </c>
      <c r="G125" s="1947"/>
      <c r="H125" s="1948"/>
      <c r="I125" s="1950" t="s">
        <v>1670</v>
      </c>
      <c r="J125" s="1947"/>
      <c r="K125" s="1948"/>
      <c r="L125" s="1950" t="s">
        <v>1670</v>
      </c>
      <c r="M125" s="1947"/>
      <c r="N125" s="1947"/>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x14ac:dyDescent="0.2">
      <c r="A126" s="4"/>
      <c r="B126" s="2" t="s">
        <v>811</v>
      </c>
      <c r="C126" s="2"/>
      <c r="D126" s="2"/>
      <c r="E126" s="3" t="s">
        <v>488</v>
      </c>
      <c r="F126" s="1932" t="s">
        <v>683</v>
      </c>
      <c r="G126" s="1932"/>
      <c r="H126" s="1933"/>
      <c r="I126" s="1934" t="s">
        <v>687</v>
      </c>
      <c r="J126" s="1932"/>
      <c r="K126" s="1933"/>
      <c r="L126" s="1934" t="s">
        <v>691</v>
      </c>
      <c r="M126" s="1932"/>
      <c r="N126" s="1932"/>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x14ac:dyDescent="0.2">
      <c r="A127" s="4"/>
      <c r="B127" s="2" t="s">
        <v>134</v>
      </c>
      <c r="C127" s="2"/>
      <c r="D127" s="2"/>
      <c r="E127" s="3" t="s">
        <v>488</v>
      </c>
      <c r="F127" s="1932"/>
      <c r="G127" s="1932"/>
      <c r="H127" s="1933"/>
      <c r="I127" s="1934" t="s">
        <v>684</v>
      </c>
      <c r="J127" s="1932"/>
      <c r="K127" s="1933"/>
      <c r="L127" s="1934" t="s">
        <v>692</v>
      </c>
      <c r="M127" s="1932"/>
      <c r="N127" s="1932"/>
      <c r="O127" s="4"/>
      <c r="P127" s="4"/>
      <c r="Q127" s="4"/>
      <c r="R127" s="4"/>
      <c r="S127" s="4"/>
      <c r="T127" s="4"/>
      <c r="U127" s="4"/>
      <c r="V127" s="4"/>
      <c r="W127" s="1706" t="str">
        <f>IF(samenstelling!B77="","",samenstelling!E77&amp;" "&amp;samenstelling!H77)</f>
        <v/>
      </c>
      <c r="X127" s="1707"/>
      <c r="Y127" s="1707"/>
      <c r="Z127" s="1707"/>
      <c r="AA127" s="1708"/>
      <c r="AB127" s="4"/>
      <c r="AC127" s="4"/>
    </row>
    <row r="128" spans="1:29" x14ac:dyDescent="0.2">
      <c r="A128" s="4"/>
      <c r="B128" s="2" t="s">
        <v>183</v>
      </c>
      <c r="C128" s="2"/>
      <c r="D128" s="2"/>
      <c r="E128" s="3" t="s">
        <v>488</v>
      </c>
      <c r="F128" s="1932" t="s">
        <v>685</v>
      </c>
      <c r="G128" s="1932"/>
      <c r="H128" s="1933"/>
      <c r="I128" s="1934" t="s">
        <v>688</v>
      </c>
      <c r="J128" s="1932"/>
      <c r="K128" s="1933"/>
      <c r="L128" s="1934" t="s">
        <v>693</v>
      </c>
      <c r="M128" s="1932"/>
      <c r="N128" s="1932"/>
      <c r="O128" s="4"/>
      <c r="P128" s="4"/>
      <c r="Q128" s="4"/>
      <c r="R128" s="4"/>
      <c r="S128" s="4"/>
      <c r="T128" s="4"/>
      <c r="U128" s="4"/>
      <c r="V128" s="4"/>
      <c r="W128" s="6"/>
      <c r="X128" s="4"/>
      <c r="Y128" s="4"/>
      <c r="Z128" s="4"/>
      <c r="AA128" s="4"/>
      <c r="AB128" s="4"/>
      <c r="AC128" s="4"/>
    </row>
    <row r="129" spans="1:29" x14ac:dyDescent="0.2">
      <c r="A129" s="4"/>
      <c r="B129" s="2" t="s">
        <v>768</v>
      </c>
      <c r="C129" s="2"/>
      <c r="D129" s="2"/>
      <c r="E129" s="3" t="s">
        <v>488</v>
      </c>
      <c r="F129" s="1986" t="s">
        <v>686</v>
      </c>
      <c r="G129" s="1986"/>
      <c r="H129" s="1987"/>
      <c r="I129" s="1998" t="s">
        <v>689</v>
      </c>
      <c r="J129" s="1986"/>
      <c r="K129" s="1987"/>
      <c r="L129" s="1998" t="s">
        <v>694</v>
      </c>
      <c r="M129" s="1986"/>
      <c r="N129" s="1986"/>
      <c r="O129" s="4"/>
      <c r="P129" s="4"/>
      <c r="Q129" s="4"/>
      <c r="R129" s="4"/>
      <c r="S129" s="4"/>
      <c r="T129" s="4"/>
      <c r="U129" s="4"/>
      <c r="V129" s="4"/>
      <c r="W129" s="4"/>
      <c r="X129" s="4"/>
      <c r="Y129" s="4"/>
      <c r="Z129" s="4"/>
      <c r="AA129" s="4"/>
      <c r="AB129" s="4"/>
      <c r="AC129" s="4"/>
    </row>
    <row r="130" spans="1:29" x14ac:dyDescent="0.2">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ht="15" x14ac:dyDescent="0.25">
      <c r="A131" s="4"/>
      <c r="B131" s="5" t="s">
        <v>94</v>
      </c>
      <c r="C131" s="4"/>
      <c r="D131" s="4"/>
      <c r="E131" s="4"/>
      <c r="F131" s="19">
        <f>E$28</f>
        <v>801</v>
      </c>
      <c r="G131" s="19"/>
      <c r="H131" s="19"/>
      <c r="I131" s="19">
        <f>H$28</f>
        <v>802</v>
      </c>
      <c r="J131" s="19"/>
      <c r="K131" s="19"/>
      <c r="L131" s="1962">
        <f>K$28</f>
        <v>8031</v>
      </c>
      <c r="M131" s="1962"/>
      <c r="N131" s="1962"/>
      <c r="O131" s="4"/>
      <c r="P131" s="4"/>
      <c r="Q131" s="4"/>
      <c r="R131" s="4"/>
      <c r="S131" s="4"/>
      <c r="T131" s="4"/>
      <c r="U131" s="4"/>
      <c r="V131" s="4"/>
      <c r="W131" s="23" t="s">
        <v>101</v>
      </c>
      <c r="X131" s="23" t="s">
        <v>101</v>
      </c>
      <c r="Y131" s="23" t="s">
        <v>103</v>
      </c>
      <c r="Z131" s="23"/>
      <c r="AA131" s="4"/>
      <c r="AB131" s="4"/>
      <c r="AC131" s="4"/>
    </row>
    <row r="132" spans="1:29" x14ac:dyDescent="0.2">
      <c r="A132" s="4"/>
      <c r="B132" s="2" t="s">
        <v>804</v>
      </c>
      <c r="C132" s="2"/>
      <c r="D132" s="2"/>
      <c r="E132" s="3" t="s">
        <v>803</v>
      </c>
      <c r="F132" s="1947">
        <v>11</v>
      </c>
      <c r="G132" s="1947"/>
      <c r="H132" s="1948"/>
      <c r="I132" s="1950">
        <v>16</v>
      </c>
      <c r="J132" s="1947"/>
      <c r="K132" s="1948"/>
      <c r="L132" s="1950">
        <v>21</v>
      </c>
      <c r="M132" s="1947"/>
      <c r="N132" s="1947"/>
      <c r="O132" s="134" t="s">
        <v>95</v>
      </c>
      <c r="P132" s="4"/>
      <c r="Q132" s="4"/>
      <c r="R132" s="4"/>
      <c r="S132" s="4"/>
      <c r="T132" s="4"/>
      <c r="U132" s="4"/>
      <c r="V132" s="4"/>
      <c r="W132" s="14"/>
      <c r="X132" s="4"/>
      <c r="Y132" s="4"/>
      <c r="Z132" s="4"/>
      <c r="AA132" s="4"/>
      <c r="AB132" s="4"/>
      <c r="AC132" s="4"/>
    </row>
    <row r="133" spans="1:29" x14ac:dyDescent="0.2">
      <c r="A133" s="4"/>
      <c r="B133" s="2" t="s">
        <v>805</v>
      </c>
      <c r="C133" s="2"/>
      <c r="D133" s="2"/>
      <c r="E133" s="3" t="s">
        <v>803</v>
      </c>
      <c r="F133" s="1932">
        <v>12</v>
      </c>
      <c r="G133" s="1932"/>
      <c r="H133" s="1933"/>
      <c r="I133" s="1934">
        <v>17</v>
      </c>
      <c r="J133" s="1932"/>
      <c r="K133" s="1933"/>
      <c r="L133" s="1934">
        <v>22</v>
      </c>
      <c r="M133" s="1932"/>
      <c r="N133" s="1932"/>
      <c r="O133" s="134" t="s">
        <v>96</v>
      </c>
      <c r="P133" s="4"/>
      <c r="Q133" s="4"/>
      <c r="R133" s="4"/>
      <c r="S133" s="4"/>
      <c r="T133" s="4"/>
      <c r="U133" s="4"/>
      <c r="V133" s="4"/>
      <c r="W133" s="14"/>
      <c r="X133" s="14"/>
      <c r="Y133" s="4"/>
      <c r="Z133" s="4"/>
      <c r="AA133" s="4"/>
      <c r="AB133" s="4"/>
      <c r="AC133" s="4"/>
    </row>
    <row r="134" spans="1:29" x14ac:dyDescent="0.2">
      <c r="A134" s="4"/>
      <c r="B134" s="2" t="s">
        <v>806</v>
      </c>
      <c r="C134" s="2"/>
      <c r="D134" s="2"/>
      <c r="E134" s="3" t="s">
        <v>803</v>
      </c>
      <c r="F134" s="1932">
        <v>13</v>
      </c>
      <c r="G134" s="1932"/>
      <c r="H134" s="1933"/>
      <c r="I134" s="1934">
        <v>18</v>
      </c>
      <c r="J134" s="1932"/>
      <c r="K134" s="1933"/>
      <c r="L134" s="1934">
        <v>23</v>
      </c>
      <c r="M134" s="1932"/>
      <c r="N134" s="1932"/>
      <c r="O134" s="134" t="s">
        <v>97</v>
      </c>
      <c r="P134" s="4"/>
      <c r="Q134" s="4"/>
      <c r="R134" s="4"/>
      <c r="S134" s="4"/>
      <c r="T134" s="4"/>
      <c r="U134" s="4"/>
      <c r="V134" s="4"/>
      <c r="W134" s="4"/>
      <c r="X134" s="4"/>
      <c r="Y134" s="4"/>
      <c r="Z134" s="14"/>
      <c r="AA134" s="4"/>
      <c r="AB134" s="4"/>
      <c r="AC134" s="4"/>
    </row>
    <row r="135" spans="1:29" x14ac:dyDescent="0.2">
      <c r="A135" s="4"/>
      <c r="B135" s="2" t="s">
        <v>807</v>
      </c>
      <c r="C135" s="2"/>
      <c r="D135" s="2"/>
      <c r="E135" s="3" t="s">
        <v>803</v>
      </c>
      <c r="F135" s="1932">
        <v>14</v>
      </c>
      <c r="G135" s="1932"/>
      <c r="H135" s="1933"/>
      <c r="I135" s="1934">
        <v>19</v>
      </c>
      <c r="J135" s="1932"/>
      <c r="K135" s="1933"/>
      <c r="L135" s="1934">
        <v>24</v>
      </c>
      <c r="M135" s="1932"/>
      <c r="N135" s="1932"/>
      <c r="O135" s="134" t="s">
        <v>98</v>
      </c>
      <c r="P135" s="4"/>
      <c r="Q135" s="4"/>
      <c r="R135" s="4"/>
      <c r="S135" s="4"/>
      <c r="T135" s="4"/>
      <c r="U135" s="4"/>
      <c r="V135" s="4"/>
      <c r="W135" s="4"/>
      <c r="X135" s="4"/>
      <c r="Y135" s="14"/>
      <c r="Z135" s="14"/>
      <c r="AA135" s="4"/>
      <c r="AB135" s="4"/>
      <c r="AC135" s="4"/>
    </row>
    <row r="136" spans="1:29" x14ac:dyDescent="0.2">
      <c r="A136" s="4"/>
      <c r="B136" s="2" t="s">
        <v>808</v>
      </c>
      <c r="C136" s="2"/>
      <c r="D136" s="2"/>
      <c r="E136" s="3" t="s">
        <v>803</v>
      </c>
      <c r="F136" s="1986">
        <v>15</v>
      </c>
      <c r="G136" s="1986"/>
      <c r="H136" s="1987"/>
      <c r="I136" s="1998">
        <v>20</v>
      </c>
      <c r="J136" s="1986"/>
      <c r="K136" s="1987"/>
      <c r="L136" s="1998">
        <v>25</v>
      </c>
      <c r="M136" s="1986"/>
      <c r="N136" s="1986"/>
      <c r="O136" s="134" t="s">
        <v>99</v>
      </c>
      <c r="P136" s="4"/>
      <c r="Q136" s="4"/>
      <c r="R136" s="4"/>
      <c r="S136" s="4"/>
      <c r="T136" s="4"/>
      <c r="U136" s="4"/>
      <c r="V136" s="4"/>
      <c r="W136" s="14"/>
      <c r="X136" s="14"/>
      <c r="Y136" s="14"/>
      <c r="Z136" s="14"/>
      <c r="AA136" s="4"/>
      <c r="AB136" s="4"/>
      <c r="AC136" s="4"/>
    </row>
    <row r="137" spans="1:29" x14ac:dyDescent="0.2">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x14ac:dyDescent="0.2">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ht="15" x14ac:dyDescent="0.25">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2">
      <c r="A140" s="4"/>
      <c r="B140" s="1944"/>
      <c r="C140" s="1944"/>
      <c r="D140" s="1944"/>
      <c r="E140" s="1944"/>
      <c r="F140" s="1944"/>
      <c r="G140" s="1944"/>
      <c r="H140" s="1944"/>
      <c r="I140" s="1944"/>
      <c r="J140" s="1944"/>
      <c r="K140" s="1944"/>
      <c r="L140" s="1944"/>
      <c r="M140" s="1944"/>
      <c r="N140" s="1944"/>
      <c r="O140" s="4"/>
      <c r="P140" s="4"/>
      <c r="Q140" s="4"/>
      <c r="R140" s="4"/>
      <c r="S140" s="4"/>
      <c r="T140" s="4"/>
      <c r="U140" s="4"/>
      <c r="V140" s="4"/>
      <c r="W140" s="4"/>
      <c r="X140" s="4"/>
      <c r="Y140" s="4"/>
      <c r="Z140" s="4"/>
      <c r="AA140" s="4"/>
      <c r="AB140" s="4"/>
      <c r="AC140" s="4"/>
    </row>
    <row r="141" spans="1:29" x14ac:dyDescent="0.2">
      <c r="A141" s="4"/>
      <c r="B141" s="1945"/>
      <c r="C141" s="1945"/>
      <c r="D141" s="1945"/>
      <c r="E141" s="1945"/>
      <c r="F141" s="1945"/>
      <c r="G141" s="1945"/>
      <c r="H141" s="1945"/>
      <c r="I141" s="1945"/>
      <c r="J141" s="1945"/>
      <c r="K141" s="1945"/>
      <c r="L141" s="1945"/>
      <c r="M141" s="1945"/>
      <c r="N141" s="1945"/>
      <c r="O141" s="4"/>
      <c r="P141" s="4"/>
      <c r="Q141" s="4"/>
      <c r="R141" s="4"/>
      <c r="S141" s="4"/>
      <c r="T141" s="4"/>
      <c r="U141" s="4"/>
      <c r="V141" s="4"/>
      <c r="W141" s="4"/>
      <c r="X141" s="4"/>
      <c r="Y141" s="4"/>
      <c r="Z141" s="4"/>
      <c r="AA141" s="4"/>
      <c r="AB141" s="4"/>
      <c r="AC141" s="4"/>
    </row>
    <row r="142" spans="1:29" x14ac:dyDescent="0.2">
      <c r="A142" s="4"/>
      <c r="B142" s="1946"/>
      <c r="C142" s="1946"/>
      <c r="D142" s="1946"/>
      <c r="E142" s="1946"/>
      <c r="F142" s="1946"/>
      <c r="G142" s="1946"/>
      <c r="H142" s="1946"/>
      <c r="I142" s="1946"/>
      <c r="J142" s="1946"/>
      <c r="K142" s="1946"/>
      <c r="L142" s="1946"/>
      <c r="M142" s="1946"/>
      <c r="N142" s="1946"/>
      <c r="O142" s="4"/>
      <c r="P142" s="4"/>
      <c r="Q142" s="4"/>
      <c r="R142" s="4"/>
      <c r="S142" s="4"/>
      <c r="T142" s="4"/>
      <c r="U142" s="4"/>
      <c r="V142" s="4"/>
      <c r="W142" s="4"/>
      <c r="X142" s="4"/>
      <c r="Y142" s="4"/>
      <c r="Z142" s="4"/>
      <c r="AA142" s="4"/>
      <c r="AB142" s="4"/>
      <c r="AC142" s="4"/>
    </row>
    <row r="143" spans="1:29"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5" x14ac:dyDescent="0.25">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5" x14ac:dyDescent="0.25">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x14ac:dyDescent="0.2">
      <c r="A148" s="4"/>
      <c r="B148" s="2" t="s">
        <v>1406</v>
      </c>
      <c r="C148" s="2"/>
      <c r="D148" s="2"/>
      <c r="E148" s="2"/>
      <c r="F148" s="2"/>
      <c r="G148" s="2"/>
      <c r="H148" s="2"/>
      <c r="I148" s="2"/>
      <c r="J148" s="2"/>
      <c r="K148" s="1947" t="s">
        <v>697</v>
      </c>
      <c r="L148" s="1947"/>
      <c r="M148" s="134" t="s">
        <v>106</v>
      </c>
      <c r="N148" s="4"/>
      <c r="O148" s="4"/>
      <c r="P148" s="4"/>
      <c r="Q148" s="4"/>
      <c r="R148" s="4"/>
      <c r="S148" s="4"/>
      <c r="T148" s="4"/>
      <c r="U148" s="4"/>
      <c r="V148" s="4"/>
      <c r="W148" s="4"/>
      <c r="X148" s="4"/>
      <c r="Y148" s="4"/>
      <c r="Z148" s="4"/>
      <c r="AA148" s="4"/>
      <c r="AB148" s="4"/>
      <c r="AC148" s="4"/>
    </row>
    <row r="149" spans="1:29" x14ac:dyDescent="0.2">
      <c r="A149" s="4"/>
      <c r="B149" s="2" t="s">
        <v>1407</v>
      </c>
      <c r="C149" s="2"/>
      <c r="D149" s="2"/>
      <c r="E149" s="2"/>
      <c r="F149" s="2"/>
      <c r="G149" s="2"/>
      <c r="H149" s="2"/>
      <c r="I149" s="2"/>
      <c r="J149" s="2"/>
      <c r="K149" s="1986" t="s">
        <v>698</v>
      </c>
      <c r="L149" s="1986"/>
      <c r="M149" s="134" t="s">
        <v>106</v>
      </c>
      <c r="N149" s="4"/>
      <c r="O149" s="4"/>
      <c r="P149" s="4"/>
      <c r="Q149" s="4"/>
      <c r="R149" s="4"/>
      <c r="S149" s="4"/>
      <c r="T149" s="4"/>
      <c r="U149" s="4"/>
      <c r="V149" s="4"/>
      <c r="W149" s="4"/>
      <c r="X149" s="4"/>
      <c r="Y149" s="4"/>
      <c r="Z149" s="4"/>
      <c r="AA149" s="4"/>
      <c r="AB149" s="4"/>
      <c r="AC149" s="4"/>
    </row>
    <row r="150" spans="1:29"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K28:M28"/>
    <mergeCell ref="E24:G24"/>
    <mergeCell ref="E25:G25"/>
    <mergeCell ref="E26:G26"/>
    <mergeCell ref="K32:M32"/>
    <mergeCell ref="K33:M33"/>
    <mergeCell ref="K34:M34"/>
    <mergeCell ref="H32:J32"/>
    <mergeCell ref="H33:J33"/>
    <mergeCell ref="H34:J34"/>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56"/>
  <sheetViews>
    <sheetView tabSelected="1" zoomScale="90" zoomScaleNormal="90" workbookViewId="0">
      <selection activeCell="F63" sqref="F63"/>
    </sheetView>
  </sheetViews>
  <sheetFormatPr defaultRowHeight="14.25" x14ac:dyDescent="0.2"/>
  <cols>
    <col min="1" max="1" width="9.140625" style="4"/>
    <col min="2" max="2" width="24.85546875" style="4" bestFit="1" customWidth="1"/>
    <col min="3" max="3" width="44.7109375" style="4" bestFit="1" customWidth="1"/>
    <col min="4" max="4" width="12.7109375" style="4" customWidth="1"/>
    <col min="5" max="5" width="37.42578125" style="26" bestFit="1" customWidth="1"/>
    <col min="6" max="6" width="12.5703125" style="26" customWidth="1"/>
    <col min="7" max="7" width="37.42578125" style="26" bestFit="1" customWidth="1"/>
    <col min="8" max="8" width="12.42578125" style="26" customWidth="1"/>
    <col min="9" max="9" width="37.42578125" style="26" bestFit="1" customWidth="1"/>
    <col min="10" max="10" width="13.5703125" style="26" customWidth="1"/>
    <col min="11" max="11" width="34.28515625" style="1930" customWidth="1"/>
    <col min="12" max="16384" width="9.140625" style="4"/>
  </cols>
  <sheetData>
    <row r="1" spans="1:33" s="1" customFormat="1" ht="15" x14ac:dyDescent="0.25">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75" x14ac:dyDescent="0.25">
      <c r="E2" s="2345">
        <f>algemeen!E28</f>
        <v>801</v>
      </c>
      <c r="F2" s="2345"/>
      <c r="G2" s="2345">
        <f>algemeen!H28</f>
        <v>802</v>
      </c>
      <c r="H2" s="2345"/>
      <c r="I2" s="2345">
        <f>algemeen!K28</f>
        <v>8031</v>
      </c>
      <c r="J2" s="2344"/>
    </row>
    <row r="3" spans="1:33" x14ac:dyDescent="0.2">
      <c r="B3" s="8" t="s">
        <v>1675</v>
      </c>
      <c r="C3" s="8" t="s">
        <v>1676</v>
      </c>
      <c r="D3" s="8"/>
    </row>
    <row r="4" spans="1:33" x14ac:dyDescent="0.2">
      <c r="B4" s="2" t="s">
        <v>1677</v>
      </c>
      <c r="C4" s="2" t="s">
        <v>1678</v>
      </c>
      <c r="D4" s="2"/>
      <c r="E4" s="2346">
        <f>algemeen!G78</f>
        <v>40409</v>
      </c>
      <c r="F4" s="2354"/>
      <c r="G4" s="2346">
        <f>algemeen!G78</f>
        <v>40409</v>
      </c>
      <c r="H4" s="2354"/>
      <c r="I4" s="2346">
        <f>algemeen!G78</f>
        <v>40409</v>
      </c>
      <c r="J4" s="2354"/>
      <c r="K4" s="2343"/>
    </row>
    <row r="5" spans="1:33" x14ac:dyDescent="0.2">
      <c r="B5" s="2"/>
      <c r="C5" s="2" t="s">
        <v>1679</v>
      </c>
      <c r="D5" s="2"/>
      <c r="E5" s="2347" t="str">
        <f>E2&amp;"/64/"&amp;algemeen!J66</f>
        <v>801/64/2010/13RE-1234/0</v>
      </c>
      <c r="F5" s="28"/>
      <c r="G5" s="2347" t="str">
        <f>G2&amp;"/64/"&amp;algemeen!J66</f>
        <v>802/64/2010/13RE-1234/0</v>
      </c>
      <c r="H5" s="28"/>
      <c r="I5" s="2347" t="str">
        <f>I2&amp;"/64/"&amp;algemeen!J66</f>
        <v>8031/64/2010/13RE-1234/0</v>
      </c>
      <c r="J5" s="28"/>
      <c r="K5" s="2343"/>
    </row>
    <row r="6" spans="1:33" x14ac:dyDescent="0.2">
      <c r="B6" s="2"/>
      <c r="C6" s="2" t="s">
        <v>1680</v>
      </c>
      <c r="D6" s="2"/>
      <c r="E6" s="2347" t="str">
        <f>algemeen!F40</f>
        <v>AB-3A1</v>
      </c>
      <c r="F6" s="28"/>
      <c r="G6" s="2347" t="str">
        <f>algemeen!F40</f>
        <v>AB-3A1</v>
      </c>
      <c r="H6" s="28"/>
      <c r="I6" s="2347" t="str">
        <f>algemeen!F40</f>
        <v>AB-3A1</v>
      </c>
      <c r="J6" s="28"/>
      <c r="K6" s="2343"/>
    </row>
    <row r="7" spans="1:33" x14ac:dyDescent="0.2">
      <c r="B7" s="2"/>
      <c r="C7" s="2" t="s">
        <v>1681</v>
      </c>
      <c r="D7" s="2"/>
      <c r="E7" s="2347" t="str">
        <f>algemeen!F41</f>
        <v>AC 20 onderlaag 50/70</v>
      </c>
      <c r="F7" s="28"/>
      <c r="G7" s="2347" t="str">
        <f>algemeen!F41</f>
        <v>AC 20 onderlaag 50/70</v>
      </c>
      <c r="H7" s="28"/>
      <c r="I7" s="2347" t="str">
        <f>algemeen!F41</f>
        <v>AC 20 onderlaag 50/70</v>
      </c>
      <c r="J7" s="28"/>
      <c r="K7" s="2343"/>
    </row>
    <row r="8" spans="1:33" x14ac:dyDescent="0.2">
      <c r="B8" s="2"/>
      <c r="C8" s="2" t="s">
        <v>1705</v>
      </c>
      <c r="D8" s="2"/>
      <c r="E8" s="2347">
        <f>samenstelling!C158</f>
        <v>3.85</v>
      </c>
      <c r="F8" s="28"/>
      <c r="G8" s="2347">
        <f>samenstelling!C158</f>
        <v>3.85</v>
      </c>
      <c r="H8" s="28"/>
      <c r="I8" s="2347">
        <f>samenstelling!C158</f>
        <v>3.85</v>
      </c>
      <c r="J8" s="28"/>
      <c r="K8" s="2343" t="s">
        <v>1707</v>
      </c>
    </row>
    <row r="9" spans="1:33" x14ac:dyDescent="0.2">
      <c r="B9" s="2"/>
      <c r="C9" s="2" t="s">
        <v>1696</v>
      </c>
      <c r="D9" s="2"/>
      <c r="E9" s="2349">
        <f>samenstelling!C148</f>
        <v>1.5</v>
      </c>
      <c r="F9" s="2355"/>
      <c r="G9" s="2349">
        <f>samenstelling!C148</f>
        <v>1.5</v>
      </c>
      <c r="H9" s="2355"/>
      <c r="I9" s="2349">
        <f>samenstelling!C148</f>
        <v>1.5</v>
      </c>
      <c r="J9" s="2355"/>
      <c r="K9" s="2343" t="s">
        <v>1707</v>
      </c>
    </row>
    <row r="10" spans="1:33" x14ac:dyDescent="0.2">
      <c r="E10" s="2350"/>
      <c r="F10" s="2351"/>
      <c r="G10" s="2350"/>
      <c r="H10" s="2351"/>
      <c r="I10" s="2350"/>
      <c r="J10" s="2351"/>
      <c r="K10" s="2343"/>
    </row>
    <row r="11" spans="1:33" x14ac:dyDescent="0.2">
      <c r="B11" s="2" t="s">
        <v>1682</v>
      </c>
      <c r="C11" s="2" t="s">
        <v>1683</v>
      </c>
      <c r="D11" s="2"/>
      <c r="E11" s="2347" t="str">
        <f>algemeen!E22&amp;", "&amp;algemeen!E23&amp;" "&amp;algemeen!E24</f>
        <v>straat 1, 1000 Gaurain-Ramecroix</v>
      </c>
      <c r="F11" s="28"/>
      <c r="G11" s="2347" t="str">
        <f>algemeen!H22&amp;", "&amp;algemeen!H23&amp;" "&amp;algemeen!H24</f>
        <v>straat 2, 2000 Antwerpen</v>
      </c>
      <c r="H11" s="28"/>
      <c r="I11" s="2347" t="str">
        <f>algemeen!K22&amp;", "&amp;algemeen!K23&amp;" "&amp;algemeen!K24</f>
        <v>straat 3, 3000 Hasselt</v>
      </c>
      <c r="J11" s="28"/>
      <c r="K11" s="2343"/>
    </row>
    <row r="12" spans="1:33" x14ac:dyDescent="0.2">
      <c r="B12" s="2"/>
      <c r="C12" s="2" t="s">
        <v>1684</v>
      </c>
      <c r="D12" s="2"/>
      <c r="E12" s="2347" t="str">
        <f>algemeen!E35</f>
        <v>aardgas</v>
      </c>
      <c r="F12" s="28"/>
      <c r="G12" s="2347" t="str">
        <f>algemeen!H35</f>
        <v>propaan</v>
      </c>
      <c r="H12" s="28"/>
      <c r="I12" s="2347" t="str">
        <f>algemeen!K35</f>
        <v>elektrisch</v>
      </c>
      <c r="J12" s="28"/>
      <c r="K12" s="2343" t="s">
        <v>1707</v>
      </c>
    </row>
    <row r="13" spans="1:33" x14ac:dyDescent="0.2">
      <c r="B13" s="2"/>
      <c r="C13" s="2" t="s">
        <v>1700</v>
      </c>
      <c r="D13" s="2"/>
      <c r="E13" s="2347">
        <f>algemeen!E33</f>
        <v>350</v>
      </c>
      <c r="F13" s="28"/>
      <c r="G13" s="2347">
        <f>algemeen!H33</f>
        <v>350</v>
      </c>
      <c r="H13" s="28"/>
      <c r="I13" s="2347">
        <f>algemeen!K33</f>
        <v>300</v>
      </c>
      <c r="J13" s="28"/>
      <c r="K13" s="2343" t="s">
        <v>1707</v>
      </c>
    </row>
    <row r="14" spans="1:33" x14ac:dyDescent="0.2">
      <c r="B14" s="2"/>
      <c r="C14" s="2" t="s">
        <v>1685</v>
      </c>
      <c r="D14" s="2"/>
      <c r="E14" s="2347"/>
      <c r="F14" s="28"/>
      <c r="G14" s="2347"/>
      <c r="H14" s="28"/>
      <c r="I14" s="2347"/>
      <c r="J14" s="28"/>
      <c r="K14" s="2343" t="s">
        <v>1701</v>
      </c>
    </row>
    <row r="15" spans="1:33" x14ac:dyDescent="0.2">
      <c r="B15" s="2"/>
      <c r="C15" s="2" t="s">
        <v>1686</v>
      </c>
      <c r="D15" s="2"/>
      <c r="E15" s="2347" t="str">
        <f>algemeen!F129</f>
        <v>145-185</v>
      </c>
      <c r="F15" s="28"/>
      <c r="G15" s="2347" t="str">
        <f>algemeen!I129</f>
        <v>150-190</v>
      </c>
      <c r="H15" s="28"/>
      <c r="I15" s="2347" t="str">
        <f>algemeen!L129</f>
        <v>155-195</v>
      </c>
      <c r="J15" s="28"/>
      <c r="K15" s="2343"/>
    </row>
    <row r="16" spans="1:33" x14ac:dyDescent="0.2">
      <c r="B16" s="2"/>
      <c r="C16" s="2" t="s">
        <v>1687</v>
      </c>
      <c r="D16" s="2"/>
      <c r="E16" s="2347"/>
      <c r="F16" s="28"/>
      <c r="G16" s="2347"/>
      <c r="H16" s="28"/>
      <c r="I16" s="2347"/>
      <c r="J16" s="28"/>
      <c r="K16" s="2343" t="s">
        <v>1701</v>
      </c>
    </row>
    <row r="17" spans="2:11" x14ac:dyDescent="0.2">
      <c r="B17" s="2"/>
      <c r="C17" s="2" t="s">
        <v>1688</v>
      </c>
      <c r="D17" s="2"/>
      <c r="E17" s="2347"/>
      <c r="F17" s="28"/>
      <c r="G17" s="2347"/>
      <c r="H17" s="28"/>
      <c r="I17" s="2347"/>
      <c r="J17" s="28"/>
      <c r="K17" s="2343" t="s">
        <v>1701</v>
      </c>
    </row>
    <row r="18" spans="2:11" x14ac:dyDescent="0.2">
      <c r="E18" s="2350"/>
      <c r="F18" s="7" t="s">
        <v>1711</v>
      </c>
      <c r="G18" s="2350"/>
      <c r="H18" s="7" t="s">
        <v>1711</v>
      </c>
      <c r="I18" s="2350"/>
      <c r="J18" s="7" t="s">
        <v>1711</v>
      </c>
      <c r="K18" s="2343"/>
    </row>
    <row r="19" spans="2:11" x14ac:dyDescent="0.2">
      <c r="B19" s="2" t="s">
        <v>1689</v>
      </c>
      <c r="C19" s="2" t="s">
        <v>1690</v>
      </c>
      <c r="D19" s="2"/>
      <c r="E19" s="2352"/>
      <c r="F19" s="28"/>
      <c r="G19" s="2352"/>
      <c r="H19" s="28"/>
      <c r="I19" s="2352"/>
      <c r="J19" s="28"/>
      <c r="K19" s="2343"/>
    </row>
    <row r="20" spans="2:11" x14ac:dyDescent="0.2">
      <c r="B20" s="2"/>
      <c r="C20" s="3" t="str">
        <f>samenstelling!E43</f>
        <v>synthetisch pigmenteerbaar bindmiddel</v>
      </c>
      <c r="D20" s="2"/>
      <c r="E20" s="2347" t="str">
        <f>samenstelling!N43</f>
        <v>Koudekerk-aan-de-Rijn</v>
      </c>
      <c r="F20" s="2348" t="s">
        <v>1712</v>
      </c>
      <c r="G20" s="2347" t="str">
        <f>samenstelling!N43</f>
        <v>Koudekerk-aan-de-Rijn</v>
      </c>
      <c r="H20" s="2348" t="s">
        <v>1712</v>
      </c>
      <c r="I20" s="2347" t="str">
        <f>samenstelling!N43</f>
        <v>Koudekerk-aan-de-Rijn</v>
      </c>
      <c r="J20" s="2348" t="s">
        <v>1712</v>
      </c>
      <c r="K20" s="2343"/>
    </row>
    <row r="21" spans="2:11" x14ac:dyDescent="0.2">
      <c r="B21" s="2"/>
      <c r="C21" s="3" t="str">
        <f>samenstelling!E44</f>
        <v/>
      </c>
      <c r="D21" s="2"/>
      <c r="E21" s="2347" t="str">
        <f>samenstelling!N44</f>
        <v/>
      </c>
      <c r="F21" s="2348"/>
      <c r="G21" s="2347"/>
      <c r="H21" s="2348"/>
      <c r="I21" s="2347"/>
      <c r="J21" s="2348"/>
      <c r="K21" s="2343"/>
    </row>
    <row r="22" spans="2:11" x14ac:dyDescent="0.2">
      <c r="B22" s="2"/>
      <c r="C22" s="3" t="str">
        <f>samenstelling!E45</f>
        <v/>
      </c>
      <c r="D22" s="2"/>
      <c r="E22" s="2347" t="str">
        <f>samenstelling!N45</f>
        <v/>
      </c>
      <c r="F22" s="2348"/>
      <c r="G22" s="2347"/>
      <c r="H22" s="2348"/>
      <c r="I22" s="2347"/>
      <c r="J22" s="2348"/>
      <c r="K22" s="2343"/>
    </row>
    <row r="23" spans="2:11" x14ac:dyDescent="0.2">
      <c r="B23" s="2"/>
      <c r="C23" s="2" t="s">
        <v>1704</v>
      </c>
      <c r="D23" s="2"/>
      <c r="E23" s="2347">
        <f>E8</f>
        <v>3.85</v>
      </c>
      <c r="F23" s="2348"/>
      <c r="G23" s="2347">
        <f>G8</f>
        <v>3.85</v>
      </c>
      <c r="H23" s="2348"/>
      <c r="I23" s="2347">
        <f>I8</f>
        <v>3.85</v>
      </c>
      <c r="J23" s="2348"/>
      <c r="K23" s="2343" t="s">
        <v>1707</v>
      </c>
    </row>
    <row r="24" spans="2:11" x14ac:dyDescent="0.2">
      <c r="B24" s="2"/>
      <c r="C24" s="2" t="s">
        <v>810</v>
      </c>
      <c r="D24" s="18" t="s">
        <v>182</v>
      </c>
      <c r="E24" s="2352"/>
      <c r="F24" s="28"/>
      <c r="G24" s="2352"/>
      <c r="H24" s="28"/>
      <c r="I24" s="2352"/>
      <c r="J24" s="28"/>
      <c r="K24" s="2343"/>
    </row>
    <row r="25" spans="2:11" x14ac:dyDescent="0.2">
      <c r="B25" s="2"/>
      <c r="C25" s="82" t="str">
        <f>samenstelling!E8&amp;" "&amp;samenstelling!H8</f>
        <v>Kalksteen 14/20</v>
      </c>
      <c r="D25" s="186">
        <f>samenstelling!C8</f>
        <v>5.0999999999999996</v>
      </c>
      <c r="E25" s="2347" t="str">
        <f>samenstelling!N8</f>
        <v>Beez</v>
      </c>
      <c r="F25" s="2348" t="s">
        <v>1712</v>
      </c>
      <c r="G25" s="2347" t="str">
        <f>samenstelling!N8</f>
        <v>Beez</v>
      </c>
      <c r="H25" s="2348" t="s">
        <v>1713</v>
      </c>
      <c r="I25" s="2347" t="str">
        <f>samenstelling!N8</f>
        <v>Beez</v>
      </c>
      <c r="J25" s="2348" t="s">
        <v>1713</v>
      </c>
      <c r="K25" s="2343" t="s">
        <v>1707</v>
      </c>
    </row>
    <row r="26" spans="2:11" x14ac:dyDescent="0.2">
      <c r="B26" s="2"/>
      <c r="C26" s="82" t="str">
        <f>samenstelling!E9&amp;" "&amp;samenstelling!H9</f>
        <v>Porfier 6/14</v>
      </c>
      <c r="D26" s="186">
        <f>samenstelling!C9</f>
        <v>10.199999999999999</v>
      </c>
      <c r="E26" s="2347" t="str">
        <f>samenstelling!N9</f>
        <v>Soignies</v>
      </c>
      <c r="F26" s="2348" t="s">
        <v>1713</v>
      </c>
      <c r="G26" s="2347" t="str">
        <f>samenstelling!N9</f>
        <v>Soignies</v>
      </c>
      <c r="H26" s="2348" t="s">
        <v>1713</v>
      </c>
      <c r="I26" s="2347" t="str">
        <f>samenstelling!N9</f>
        <v>Soignies</v>
      </c>
      <c r="J26" s="2348" t="s">
        <v>1712</v>
      </c>
      <c r="K26" s="2343" t="s">
        <v>1707</v>
      </c>
    </row>
    <row r="27" spans="2:11" x14ac:dyDescent="0.2">
      <c r="B27" s="2"/>
      <c r="C27" s="82" t="str">
        <f>samenstelling!E10&amp;" "&amp;samenstelling!H10</f>
        <v>Rode zandsteen 0/2 (0/0,05)</v>
      </c>
      <c r="D27" s="186">
        <f>samenstelling!C10</f>
        <v>15.3</v>
      </c>
      <c r="E27" s="2347" t="str">
        <f>samenstelling!N10</f>
        <v>Neufvilles</v>
      </c>
      <c r="F27" s="2348" t="s">
        <v>1713</v>
      </c>
      <c r="G27" s="2347" t="str">
        <f>samenstelling!N10</f>
        <v>Neufvilles</v>
      </c>
      <c r="H27" s="2348"/>
      <c r="I27" s="2347" t="str">
        <f>samenstelling!N10</f>
        <v>Neufvilles</v>
      </c>
      <c r="J27" s="2348"/>
      <c r="K27" s="2343" t="s">
        <v>1707</v>
      </c>
    </row>
    <row r="28" spans="2:11" x14ac:dyDescent="0.2">
      <c r="B28" s="2"/>
      <c r="C28" s="82" t="str">
        <f>samenstelling!E11&amp;" "&amp;samenstelling!H11</f>
        <v xml:space="preserve"> </v>
      </c>
      <c r="D28" s="186" t="str">
        <f>samenstelling!C11</f>
        <v/>
      </c>
      <c r="E28" s="2347" t="str">
        <f>samenstelling!N11</f>
        <v/>
      </c>
      <c r="F28" s="2348"/>
      <c r="G28" s="2347" t="str">
        <f>samenstelling!N11</f>
        <v/>
      </c>
      <c r="H28" s="2348"/>
      <c r="I28" s="2347" t="str">
        <f>samenstelling!N11</f>
        <v/>
      </c>
      <c r="J28" s="2348"/>
      <c r="K28" s="2343" t="s">
        <v>1707</v>
      </c>
    </row>
    <row r="29" spans="2:11" x14ac:dyDescent="0.2">
      <c r="B29" s="2"/>
      <c r="C29" s="82" t="str">
        <f>samenstelling!E12&amp;" "&amp;samenstelling!H12</f>
        <v xml:space="preserve"> </v>
      </c>
      <c r="D29" s="186" t="str">
        <f>samenstelling!C12</f>
        <v/>
      </c>
      <c r="E29" s="2347" t="str">
        <f>samenstelling!N12</f>
        <v/>
      </c>
      <c r="F29" s="2348"/>
      <c r="G29" s="2347" t="str">
        <f>samenstelling!N12</f>
        <v/>
      </c>
      <c r="H29" s="2348"/>
      <c r="I29" s="2347" t="str">
        <f>samenstelling!N12</f>
        <v/>
      </c>
      <c r="J29" s="2348"/>
      <c r="K29" s="2343" t="s">
        <v>1707</v>
      </c>
    </row>
    <row r="30" spans="2:11" x14ac:dyDescent="0.2">
      <c r="B30" s="2"/>
      <c r="C30" s="82" t="str">
        <f>samenstelling!E13&amp;" "&amp;samenstelling!H13</f>
        <v>Slakken 6/10</v>
      </c>
      <c r="D30" s="186">
        <f>samenstelling!C13</f>
        <v>35.299999999999997</v>
      </c>
      <c r="E30" s="2347" t="str">
        <f>samenstelling!N13</f>
        <v>Genk</v>
      </c>
      <c r="F30" s="2348" t="s">
        <v>1712</v>
      </c>
      <c r="G30" s="2347" t="str">
        <f>samenstelling!N13</f>
        <v>Genk</v>
      </c>
      <c r="H30" s="2348"/>
      <c r="I30" s="2347" t="str">
        <f>samenstelling!N13</f>
        <v>Genk</v>
      </c>
      <c r="J30" s="2348"/>
      <c r="K30" s="2343" t="s">
        <v>1707</v>
      </c>
    </row>
    <row r="31" spans="2:11" x14ac:dyDescent="0.2">
      <c r="B31" s="2"/>
      <c r="C31" s="82" t="str">
        <f>samenstelling!E14&amp;" "&amp;samenstelling!H14</f>
        <v>Kalksteen 14/20</v>
      </c>
      <c r="D31" s="186">
        <f>samenstelling!C14</f>
        <v>0</v>
      </c>
      <c r="E31" s="2347" t="str">
        <f>samenstelling!N14</f>
        <v>Beez</v>
      </c>
      <c r="F31" s="2348"/>
      <c r="G31" s="2347" t="str">
        <f>samenstelling!N14</f>
        <v>Beez</v>
      </c>
      <c r="H31" s="2348"/>
      <c r="I31" s="2347" t="str">
        <f>samenstelling!N14</f>
        <v>Beez</v>
      </c>
      <c r="J31" s="2348"/>
      <c r="K31" s="2343" t="s">
        <v>1707</v>
      </c>
    </row>
    <row r="32" spans="2:11" x14ac:dyDescent="0.2">
      <c r="B32" s="2"/>
      <c r="C32" s="82" t="str">
        <f>samenstelling!E15&amp;" "&amp;samenstelling!H15</f>
        <v>Porfier 6/14</v>
      </c>
      <c r="D32" s="186">
        <f>samenstelling!C15</f>
        <v>0</v>
      </c>
      <c r="E32" s="2347" t="str">
        <f>samenstelling!N15</f>
        <v>Soignies</v>
      </c>
      <c r="F32" s="2348"/>
      <c r="G32" s="2347" t="str">
        <f>samenstelling!N15</f>
        <v>Soignies</v>
      </c>
      <c r="H32" s="2348"/>
      <c r="I32" s="2347" t="str">
        <f>samenstelling!N15</f>
        <v>Soignies</v>
      </c>
      <c r="J32" s="2348"/>
      <c r="K32" s="2343" t="s">
        <v>1707</v>
      </c>
    </row>
    <row r="33" spans="2:11" x14ac:dyDescent="0.2">
      <c r="B33" s="2"/>
      <c r="C33" s="82" t="str">
        <f>samenstelling!E16&amp;" "&amp;samenstelling!H16</f>
        <v>Slakken 6/10</v>
      </c>
      <c r="D33" s="186">
        <f>samenstelling!C16</f>
        <v>0</v>
      </c>
      <c r="E33" s="2347" t="str">
        <f>samenstelling!N16</f>
        <v>Genk</v>
      </c>
      <c r="F33" s="2348"/>
      <c r="G33" s="2347" t="str">
        <f>samenstelling!N16</f>
        <v>Genk</v>
      </c>
      <c r="H33" s="2348"/>
      <c r="I33" s="2347" t="str">
        <f>samenstelling!N16</f>
        <v>Genk</v>
      </c>
      <c r="J33" s="2348"/>
      <c r="K33" s="2343" t="s">
        <v>1707</v>
      </c>
    </row>
    <row r="34" spans="2:11" x14ac:dyDescent="0.2">
      <c r="B34" s="2"/>
      <c r="C34" s="2" t="s">
        <v>134</v>
      </c>
      <c r="D34" s="186" t="str">
        <f>samenstelling!H26</f>
        <v>IIa</v>
      </c>
      <c r="E34" s="2347" t="str">
        <f>samenstelling!N26</f>
        <v>Ankersmit Maastricht</v>
      </c>
      <c r="F34" s="2348"/>
      <c r="G34" s="2347" t="str">
        <f>samenstelling!N26</f>
        <v>Ankersmit Maastricht</v>
      </c>
      <c r="H34" s="2348"/>
      <c r="I34" s="2347" t="str">
        <f>samenstelling!N26</f>
        <v>Ankersmit Maastricht</v>
      </c>
      <c r="J34" s="2348"/>
      <c r="K34" s="2343" t="s">
        <v>1707</v>
      </c>
    </row>
    <row r="35" spans="2:11" x14ac:dyDescent="0.2">
      <c r="B35" s="2"/>
      <c r="C35" s="2" t="s">
        <v>177</v>
      </c>
      <c r="D35" s="2"/>
      <c r="E35" s="2353"/>
      <c r="F35" s="2"/>
      <c r="G35" s="2353"/>
      <c r="H35" s="2"/>
      <c r="I35" s="2353"/>
      <c r="J35" s="2"/>
      <c r="K35" s="2343" t="s">
        <v>1707</v>
      </c>
    </row>
    <row r="36" spans="2:11" x14ac:dyDescent="0.2">
      <c r="B36" s="2"/>
      <c r="C36" s="3" t="s">
        <v>1708</v>
      </c>
      <c r="D36" s="2"/>
      <c r="E36" s="2347" t="str">
        <f>samenstelling!K56</f>
        <v>onderlaag 14/2</v>
      </c>
      <c r="F36" s="2348"/>
      <c r="G36" s="2347" t="str">
        <f>samenstelling!K56</f>
        <v>onderlaag 14/2</v>
      </c>
      <c r="H36" s="2348"/>
      <c r="I36" s="2347" t="str">
        <f>samenstelling!K56</f>
        <v>onderlaag 14/2</v>
      </c>
      <c r="J36" s="2348"/>
      <c r="K36" s="2343" t="s">
        <v>1707</v>
      </c>
    </row>
    <row r="37" spans="2:11" x14ac:dyDescent="0.2">
      <c r="B37" s="2"/>
      <c r="C37" s="3" t="s">
        <v>1709</v>
      </c>
      <c r="D37" s="2"/>
      <c r="E37" s="2347" t="str">
        <f>samenstelling!K57</f>
        <v/>
      </c>
      <c r="F37" s="2348"/>
      <c r="G37" s="2347" t="str">
        <f>samenstelling!K57</f>
        <v/>
      </c>
      <c r="H37" s="2348"/>
      <c r="I37" s="2347" t="str">
        <f>samenstelling!K57</f>
        <v/>
      </c>
      <c r="J37" s="2348"/>
      <c r="K37" s="2343" t="s">
        <v>1707</v>
      </c>
    </row>
    <row r="38" spans="2:11" x14ac:dyDescent="0.2">
      <c r="B38" s="2"/>
      <c r="C38" s="3" t="s">
        <v>1710</v>
      </c>
      <c r="D38" s="2"/>
      <c r="E38" s="2347" t="str">
        <f>samenstelling!K58</f>
        <v/>
      </c>
      <c r="F38" s="2348"/>
      <c r="G38" s="2347" t="str">
        <f>samenstelling!K58</f>
        <v/>
      </c>
      <c r="H38" s="2348"/>
      <c r="I38" s="2347" t="str">
        <f>samenstelling!K58</f>
        <v/>
      </c>
      <c r="J38" s="2348"/>
      <c r="K38" s="2343" t="s">
        <v>1707</v>
      </c>
    </row>
    <row r="39" spans="2:11" x14ac:dyDescent="0.2">
      <c r="B39" s="2"/>
      <c r="C39" s="2" t="s">
        <v>1691</v>
      </c>
      <c r="D39" s="18" t="s">
        <v>182</v>
      </c>
      <c r="E39" s="2352"/>
      <c r="F39" s="28"/>
      <c r="G39" s="2352"/>
      <c r="H39" s="28"/>
      <c r="I39" s="2352"/>
      <c r="J39" s="28"/>
      <c r="K39" s="2343" t="s">
        <v>1707</v>
      </c>
    </row>
    <row r="40" spans="2:11" x14ac:dyDescent="0.2">
      <c r="B40" s="2"/>
      <c r="C40" s="82" t="str">
        <f>samenstelling!E68</f>
        <v>Afdruipremmer</v>
      </c>
      <c r="D40" s="184">
        <f>samenstelling!C68</f>
        <v>0.2</v>
      </c>
      <c r="E40" s="2347" t="str">
        <f>samenstelling!N68</f>
        <v>Rosenberg, D.</v>
      </c>
      <c r="F40" s="2348"/>
      <c r="G40" s="2347" t="str">
        <f>samenstelling!N68</f>
        <v>Rosenberg, D.</v>
      </c>
      <c r="H40" s="2348"/>
      <c r="I40" s="2347" t="str">
        <f>samenstelling!N68</f>
        <v>Rosenberg, D.</v>
      </c>
      <c r="J40" s="2348"/>
      <c r="K40" s="2343" t="s">
        <v>1707</v>
      </c>
    </row>
    <row r="41" spans="2:11" x14ac:dyDescent="0.2">
      <c r="B41" s="2"/>
      <c r="C41" s="82" t="str">
        <f>samenstelling!E69</f>
        <v/>
      </c>
      <c r="D41" s="184">
        <f>samenstelling!C69</f>
        <v>0</v>
      </c>
      <c r="E41" s="2347" t="str">
        <f>samenstelling!N69</f>
        <v/>
      </c>
      <c r="F41" s="2348"/>
      <c r="G41" s="2347" t="str">
        <f>samenstelling!N69</f>
        <v/>
      </c>
      <c r="H41" s="2348"/>
      <c r="I41" s="2347" t="str">
        <f>samenstelling!N69</f>
        <v/>
      </c>
      <c r="J41" s="2348"/>
      <c r="K41" s="2343" t="s">
        <v>1707</v>
      </c>
    </row>
    <row r="42" spans="2:11" x14ac:dyDescent="0.2">
      <c r="B42" s="2"/>
      <c r="C42" s="82" t="str">
        <f>samenstelling!E70</f>
        <v>Rode kleurstof</v>
      </c>
      <c r="D42" s="184">
        <f>samenstelling!C70</f>
        <v>2.82</v>
      </c>
      <c r="E42" s="2347" t="str">
        <f>samenstelling!N70</f>
        <v>China</v>
      </c>
      <c r="F42" s="2348"/>
      <c r="G42" s="2347" t="str">
        <f>samenstelling!N70</f>
        <v>China</v>
      </c>
      <c r="H42" s="2348"/>
      <c r="I42" s="2347" t="str">
        <f>samenstelling!N70</f>
        <v>China</v>
      </c>
      <c r="J42" s="2348"/>
      <c r="K42" s="2343" t="s">
        <v>1707</v>
      </c>
    </row>
    <row r="43" spans="2:11" x14ac:dyDescent="0.2">
      <c r="B43" s="2"/>
      <c r="C43" s="82" t="str">
        <f>samenstelling!E71</f>
        <v/>
      </c>
      <c r="D43" s="184">
        <f>samenstelling!C71</f>
        <v>0</v>
      </c>
      <c r="E43" s="2347" t="str">
        <f>samenstelling!N71</f>
        <v/>
      </c>
      <c r="F43" s="2348"/>
      <c r="G43" s="2347" t="str">
        <f>samenstelling!N71</f>
        <v/>
      </c>
      <c r="H43" s="2348"/>
      <c r="I43" s="2347" t="str">
        <f>samenstelling!N71</f>
        <v/>
      </c>
      <c r="J43" s="2348"/>
      <c r="K43" s="2343" t="s">
        <v>1707</v>
      </c>
    </row>
    <row r="44" spans="2:11" x14ac:dyDescent="0.2">
      <c r="B44" s="2"/>
      <c r="C44" s="82" t="str">
        <f>samenstelling!E72</f>
        <v/>
      </c>
      <c r="D44" s="184">
        <f>samenstelling!C72</f>
        <v>0</v>
      </c>
      <c r="E44" s="2347" t="str">
        <f>samenstelling!N72</f>
        <v/>
      </c>
      <c r="F44" s="2348"/>
      <c r="G44" s="2347" t="str">
        <f>samenstelling!N72</f>
        <v/>
      </c>
      <c r="H44" s="2348"/>
      <c r="I44" s="2347" t="str">
        <f>samenstelling!N72</f>
        <v/>
      </c>
      <c r="J44" s="2348"/>
      <c r="K44" s="2343" t="s">
        <v>1707</v>
      </c>
    </row>
    <row r="45" spans="2:11" x14ac:dyDescent="0.2">
      <c r="B45" s="2"/>
      <c r="C45" s="82" t="str">
        <f>samenstelling!E73</f>
        <v>Trinidad</v>
      </c>
      <c r="D45" s="184">
        <f>samenstelling!C73</f>
        <v>0</v>
      </c>
      <c r="E45" s="2347" t="str">
        <f>samenstelling!N73</f>
        <v>Trinidad Lake</v>
      </c>
      <c r="F45" s="2348"/>
      <c r="G45" s="2347" t="str">
        <f>samenstelling!N73</f>
        <v>Trinidad Lake</v>
      </c>
      <c r="H45" s="2348"/>
      <c r="I45" s="2347" t="str">
        <f>samenstelling!N73</f>
        <v>Trinidad Lake</v>
      </c>
      <c r="J45" s="2348"/>
      <c r="K45" s="2343" t="s">
        <v>1707</v>
      </c>
    </row>
    <row r="46" spans="2:11" x14ac:dyDescent="0.2">
      <c r="B46" s="2"/>
      <c r="C46" s="82" t="str">
        <f>samenstelling!E74</f>
        <v/>
      </c>
      <c r="D46" s="184">
        <f>samenstelling!C74</f>
        <v>0</v>
      </c>
      <c r="E46" s="2347" t="str">
        <f>samenstelling!N74</f>
        <v/>
      </c>
      <c r="F46" s="2348"/>
      <c r="G46" s="2347" t="str">
        <f>samenstelling!N74</f>
        <v/>
      </c>
      <c r="H46" s="2348"/>
      <c r="I46" s="2347" t="str">
        <f>samenstelling!N74</f>
        <v/>
      </c>
      <c r="J46" s="2348"/>
      <c r="K46" s="2343" t="s">
        <v>1707</v>
      </c>
    </row>
    <row r="47" spans="2:11" x14ac:dyDescent="0.2">
      <c r="B47" s="2"/>
      <c r="C47" s="82" t="str">
        <f>samenstelling!E75</f>
        <v>Uintah</v>
      </c>
      <c r="D47" s="184">
        <f>samenstelling!C75</f>
        <v>0.03</v>
      </c>
      <c r="E47" s="2347" t="str">
        <f>samenstelling!N75</f>
        <v>Uintah</v>
      </c>
      <c r="F47" s="2348"/>
      <c r="G47" s="2347" t="str">
        <f>samenstelling!N75</f>
        <v>Uintah</v>
      </c>
      <c r="H47" s="2348"/>
      <c r="I47" s="2347" t="str">
        <f>samenstelling!N75</f>
        <v>Uintah</v>
      </c>
      <c r="J47" s="2348"/>
      <c r="K47" s="2343" t="s">
        <v>1707</v>
      </c>
    </row>
    <row r="48" spans="2:11" x14ac:dyDescent="0.2">
      <c r="B48" s="2"/>
      <c r="C48" s="82" t="str">
        <f>samenstelling!E76</f>
        <v/>
      </c>
      <c r="D48" s="184">
        <f>samenstelling!C76</f>
        <v>0</v>
      </c>
      <c r="E48" s="2347" t="str">
        <f>samenstelling!N76</f>
        <v/>
      </c>
      <c r="F48" s="2348"/>
      <c r="G48" s="2347" t="str">
        <f>samenstelling!N76</f>
        <v/>
      </c>
      <c r="H48" s="2348"/>
      <c r="I48" s="2347" t="str">
        <f>samenstelling!N76</f>
        <v/>
      </c>
      <c r="J48" s="2348"/>
      <c r="K48" s="2343" t="s">
        <v>1707</v>
      </c>
    </row>
    <row r="49" spans="2:11" x14ac:dyDescent="0.2">
      <c r="B49" s="2"/>
      <c r="C49" s="82" t="str">
        <f>samenstelling!E77</f>
        <v/>
      </c>
      <c r="D49" s="184">
        <f>samenstelling!C77</f>
        <v>0</v>
      </c>
      <c r="E49" s="2347" t="str">
        <f>samenstelling!N77</f>
        <v/>
      </c>
      <c r="F49" s="2348"/>
      <c r="G49" s="2347"/>
      <c r="H49" s="2348"/>
      <c r="I49" s="2347" t="str">
        <f>samenstelling!N77</f>
        <v/>
      </c>
      <c r="J49" s="2348"/>
      <c r="K49" s="2343" t="s">
        <v>1707</v>
      </c>
    </row>
    <row r="50" spans="2:11" x14ac:dyDescent="0.2">
      <c r="B50" s="2"/>
      <c r="C50" s="2" t="s">
        <v>1706</v>
      </c>
      <c r="D50" s="2"/>
      <c r="E50" s="2347">
        <v>0</v>
      </c>
      <c r="F50" s="28"/>
      <c r="G50" s="2347">
        <v>0</v>
      </c>
      <c r="H50" s="28"/>
      <c r="I50" s="2347">
        <v>0</v>
      </c>
      <c r="J50" s="28"/>
      <c r="K50" s="2343" t="s">
        <v>1701</v>
      </c>
    </row>
    <row r="51" spans="2:11" x14ac:dyDescent="0.2">
      <c r="E51" s="2350"/>
      <c r="F51" s="2351"/>
      <c r="G51" s="2350"/>
      <c r="H51" s="2351"/>
      <c r="I51" s="2350"/>
      <c r="J51" s="2351"/>
      <c r="K51" s="2343"/>
    </row>
    <row r="52" spans="2:11" x14ac:dyDescent="0.2">
      <c r="B52" s="2" t="s">
        <v>1703</v>
      </c>
      <c r="C52" s="2" t="s">
        <v>1692</v>
      </c>
      <c r="D52" s="2"/>
      <c r="E52" s="2347">
        <f>studie!I317</f>
        <v>62.7</v>
      </c>
      <c r="F52" s="28"/>
      <c r="G52" s="2347">
        <f>studie!I317</f>
        <v>62.7</v>
      </c>
      <c r="H52" s="28"/>
      <c r="I52" s="2347">
        <f>studie!I317</f>
        <v>62.7</v>
      </c>
      <c r="J52" s="28"/>
      <c r="K52" s="2343"/>
    </row>
    <row r="53" spans="2:11" x14ac:dyDescent="0.2">
      <c r="B53" s="2"/>
      <c r="C53" s="2" t="s">
        <v>1693</v>
      </c>
      <c r="D53" s="2"/>
      <c r="E53" s="2347">
        <f>studie!D341</f>
        <v>7.2</v>
      </c>
      <c r="F53" s="28"/>
      <c r="G53" s="2347">
        <f>studie!D341</f>
        <v>7.2</v>
      </c>
      <c r="H53" s="28"/>
      <c r="I53" s="2347">
        <f>studie!D341</f>
        <v>7.2</v>
      </c>
      <c r="J53" s="28"/>
      <c r="K53" s="2343"/>
    </row>
    <row r="54" spans="2:11" x14ac:dyDescent="0.2">
      <c r="B54" s="2"/>
      <c r="C54" s="2" t="s">
        <v>1694</v>
      </c>
      <c r="D54" s="2" t="str">
        <f>studie!G526&amp;"°C, "&amp;studie!I526&amp;" Hz"</f>
        <v>15°C, 10 Hz</v>
      </c>
      <c r="E54" s="2347">
        <f>studie!K526</f>
        <v>12000</v>
      </c>
      <c r="F54" s="28"/>
      <c r="G54" s="2347">
        <f>studie!K526</f>
        <v>12000</v>
      </c>
      <c r="H54" s="28"/>
      <c r="I54" s="2347">
        <f>studie!K526</f>
        <v>12000</v>
      </c>
      <c r="J54" s="28"/>
      <c r="K54" s="2343"/>
    </row>
    <row r="55" spans="2:11" x14ac:dyDescent="0.2">
      <c r="B55" s="2"/>
      <c r="C55" s="2" t="s">
        <v>1694</v>
      </c>
      <c r="D55" s="2" t="str">
        <f>studie!G527&amp;"°C, "&amp;studie!I527&amp;" Hz"</f>
        <v>°C,  Hz</v>
      </c>
      <c r="E55" s="2347">
        <f>studie!K527</f>
        <v>0</v>
      </c>
      <c r="F55" s="28"/>
      <c r="G55" s="2347">
        <f>studie!K527</f>
        <v>0</v>
      </c>
      <c r="H55" s="28"/>
      <c r="I55" s="2347">
        <f>studie!K527</f>
        <v>0</v>
      </c>
      <c r="J55" s="28"/>
      <c r="K55" s="2343"/>
    </row>
    <row r="56" spans="2:11" x14ac:dyDescent="0.2">
      <c r="B56" s="2"/>
      <c r="C56" s="2" t="s">
        <v>1695</v>
      </c>
      <c r="D56" s="2"/>
      <c r="E56" s="2347">
        <f>studie!K549</f>
        <v>150</v>
      </c>
      <c r="F56" s="28"/>
      <c r="G56" s="2347">
        <f>studie!K549</f>
        <v>150</v>
      </c>
      <c r="H56" s="28"/>
      <c r="I56" s="2347">
        <f>studie!K549</f>
        <v>150</v>
      </c>
      <c r="J56" s="28"/>
      <c r="K56" s="23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60" activePane="bottomRight" state="frozen"/>
      <selection activeCell="A24" sqref="A24"/>
      <selection pane="topRight" activeCell="A24" sqref="A24"/>
      <selection pane="bottomLeft" activeCell="A24" sqref="A24"/>
      <selection pane="bottomRight" activeCell="N83" sqref="N83:P83"/>
    </sheetView>
  </sheetViews>
  <sheetFormatPr defaultColWidth="9.140625" defaultRowHeight="14.25" x14ac:dyDescent="0.2"/>
  <cols>
    <col min="1" max="1" width="9.140625" style="1"/>
    <col min="2" max="49" width="6.7109375" style="1" customWidth="1"/>
    <col min="50" max="16384" width="9.140625" style="1"/>
  </cols>
  <sheetData>
    <row r="1" spans="1:60" ht="15" x14ac:dyDescent="0.25">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x14ac:dyDescent="0.2">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ht="15" x14ac:dyDescent="0.25">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2">
      <c r="A6" s="4"/>
      <c r="B6" s="18" t="s">
        <v>114</v>
      </c>
      <c r="C6" s="2008"/>
      <c r="D6" s="2008"/>
      <c r="E6" s="2008" t="s">
        <v>115</v>
      </c>
      <c r="F6" s="2008"/>
      <c r="G6" s="2008"/>
      <c r="H6" s="2" t="s">
        <v>116</v>
      </c>
      <c r="I6" s="2008" t="s">
        <v>1413</v>
      </c>
      <c r="J6" s="2008"/>
      <c r="K6" s="2008" t="s">
        <v>119</v>
      </c>
      <c r="L6" s="2008"/>
      <c r="M6" s="2008"/>
      <c r="N6" s="2008" t="s">
        <v>120</v>
      </c>
      <c r="O6" s="2008"/>
      <c r="P6" s="2008"/>
      <c r="Q6" s="2008" t="s">
        <v>121</v>
      </c>
      <c r="R6" s="2008"/>
      <c r="S6" s="2008" t="s">
        <v>122</v>
      </c>
      <c r="T6" s="2008"/>
      <c r="U6" s="2008" t="s">
        <v>128</v>
      </c>
      <c r="V6" s="2008"/>
      <c r="W6" s="2008" t="s">
        <v>127</v>
      </c>
      <c r="X6" s="2008"/>
      <c r="Y6" s="2008"/>
      <c r="Z6" s="2008"/>
      <c r="AA6" s="2008"/>
      <c r="AB6" s="2008"/>
      <c r="AC6" s="2008"/>
      <c r="AD6" s="2008"/>
      <c r="AE6" s="2008"/>
      <c r="AF6" s="2008"/>
      <c r="AG6" s="2008"/>
      <c r="AH6" s="2008"/>
      <c r="AI6" s="2008"/>
      <c r="AJ6" s="2008"/>
      <c r="AK6" s="2008"/>
      <c r="AL6" s="2008"/>
      <c r="AM6" s="143" t="s">
        <v>701</v>
      </c>
      <c r="AN6" s="143"/>
      <c r="AO6" s="143"/>
      <c r="AP6" s="143"/>
      <c r="AQ6" s="143"/>
      <c r="AR6" s="143"/>
      <c r="AS6" s="4"/>
      <c r="AT6" s="4"/>
      <c r="AU6" s="4"/>
      <c r="AV6" s="4"/>
      <c r="AW6" s="4"/>
      <c r="AX6" s="4"/>
      <c r="AY6" s="4"/>
      <c r="AZ6" s="4"/>
      <c r="BA6" s="4"/>
      <c r="BB6" s="4"/>
      <c r="BC6" s="4"/>
      <c r="BD6" s="4"/>
      <c r="BE6" s="4"/>
      <c r="BF6" s="4"/>
      <c r="BG6" s="4"/>
      <c r="BH6" s="4"/>
    </row>
    <row r="7" spans="1:60" ht="15" thickBot="1" x14ac:dyDescent="0.25">
      <c r="A7" s="4"/>
      <c r="B7" s="2"/>
      <c r="C7" s="2008"/>
      <c r="D7" s="2008"/>
      <c r="E7" s="2"/>
      <c r="F7" s="2"/>
      <c r="G7" s="2"/>
      <c r="H7" s="2"/>
      <c r="I7" s="2008" t="s">
        <v>118</v>
      </c>
      <c r="J7" s="2008"/>
      <c r="K7" s="2"/>
      <c r="L7" s="2"/>
      <c r="M7" s="2"/>
      <c r="N7" s="2"/>
      <c r="O7" s="2"/>
      <c r="P7" s="2"/>
      <c r="Q7" s="2"/>
      <c r="R7" s="2"/>
      <c r="S7" s="2008" t="s">
        <v>418</v>
      </c>
      <c r="T7" s="2008"/>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2">
      <c r="A8" s="4"/>
      <c r="B8" s="29">
        <v>1</v>
      </c>
      <c r="C8" s="2043"/>
      <c r="D8" s="2044"/>
      <c r="E8" s="2025" t="s">
        <v>228</v>
      </c>
      <c r="F8" s="2026"/>
      <c r="G8" s="2027"/>
      <c r="H8" s="1503" t="s">
        <v>229</v>
      </c>
      <c r="I8" s="2052" t="s">
        <v>230</v>
      </c>
      <c r="J8" s="2053"/>
      <c r="K8" s="2025" t="s">
        <v>231</v>
      </c>
      <c r="L8" s="2026"/>
      <c r="M8" s="2027"/>
      <c r="N8" s="2025" t="s">
        <v>232</v>
      </c>
      <c r="O8" s="2026"/>
      <c r="P8" s="2027"/>
      <c r="Q8" s="2025" t="s">
        <v>117</v>
      </c>
      <c r="R8" s="2027"/>
      <c r="S8" s="2056">
        <v>2.7890000000000001</v>
      </c>
      <c r="T8" s="2057"/>
      <c r="U8" s="2025" t="s">
        <v>288</v>
      </c>
      <c r="V8" s="2027"/>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2">
      <c r="A9" s="4"/>
      <c r="B9" s="31">
        <v>2</v>
      </c>
      <c r="C9" s="2039"/>
      <c r="D9" s="2040"/>
      <c r="E9" s="2028" t="s">
        <v>233</v>
      </c>
      <c r="F9" s="2029"/>
      <c r="G9" s="2030"/>
      <c r="H9" s="1507" t="s">
        <v>235</v>
      </c>
      <c r="I9" s="2048" t="s">
        <v>237</v>
      </c>
      <c r="J9" s="2049"/>
      <c r="K9" s="2028" t="s">
        <v>239</v>
      </c>
      <c r="L9" s="2029"/>
      <c r="M9" s="2030"/>
      <c r="N9" s="2028" t="s">
        <v>241</v>
      </c>
      <c r="O9" s="2029"/>
      <c r="P9" s="2030"/>
      <c r="Q9" s="2028" t="s">
        <v>117</v>
      </c>
      <c r="R9" s="2030"/>
      <c r="S9" s="2010">
        <v>2.7879999999999998</v>
      </c>
      <c r="T9" s="2011"/>
      <c r="U9" s="2028" t="s">
        <v>288</v>
      </c>
      <c r="V9" s="2030"/>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2">
      <c r="A10" s="4"/>
      <c r="B10" s="31">
        <v>3</v>
      </c>
      <c r="C10" s="2039"/>
      <c r="D10" s="2040"/>
      <c r="E10" s="2028" t="s">
        <v>1412</v>
      </c>
      <c r="F10" s="2029"/>
      <c r="G10" s="2030"/>
      <c r="H10" s="1507" t="s">
        <v>1411</v>
      </c>
      <c r="I10" s="2048" t="s">
        <v>1410</v>
      </c>
      <c r="J10" s="2049"/>
      <c r="K10" s="2028" t="s">
        <v>240</v>
      </c>
      <c r="L10" s="2029"/>
      <c r="M10" s="2030"/>
      <c r="N10" s="2028" t="s">
        <v>242</v>
      </c>
      <c r="O10" s="2029"/>
      <c r="P10" s="2030"/>
      <c r="Q10" s="2028" t="s">
        <v>117</v>
      </c>
      <c r="R10" s="2030"/>
      <c r="S10" s="2010">
        <v>2.786</v>
      </c>
      <c r="T10" s="2011"/>
      <c r="U10" s="2028" t="s">
        <v>289</v>
      </c>
      <c r="V10" s="2030"/>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2">
      <c r="A11" s="4"/>
      <c r="B11" s="31">
        <v>4</v>
      </c>
      <c r="C11" s="2039"/>
      <c r="D11" s="2040"/>
      <c r="E11" s="2028"/>
      <c r="F11" s="2029"/>
      <c r="G11" s="2030"/>
      <c r="H11" s="1507"/>
      <c r="I11" s="2048"/>
      <c r="J11" s="2049"/>
      <c r="K11" s="2028"/>
      <c r="L11" s="2029"/>
      <c r="M11" s="2030"/>
      <c r="N11" s="2028"/>
      <c r="O11" s="2029"/>
      <c r="P11" s="2030"/>
      <c r="Q11" s="2028"/>
      <c r="R11" s="2030"/>
      <c r="S11" s="2010"/>
      <c r="T11" s="2011"/>
      <c r="U11" s="2028"/>
      <c r="V11" s="2030"/>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2">
      <c r="A12" s="4"/>
      <c r="B12" s="31">
        <v>5</v>
      </c>
      <c r="C12" s="2039"/>
      <c r="D12" s="2040"/>
      <c r="E12" s="2028"/>
      <c r="F12" s="2029"/>
      <c r="G12" s="2030"/>
      <c r="H12" s="1507"/>
      <c r="I12" s="2048"/>
      <c r="J12" s="2049"/>
      <c r="K12" s="2028"/>
      <c r="L12" s="2029"/>
      <c r="M12" s="2030"/>
      <c r="N12" s="2028"/>
      <c r="O12" s="2029"/>
      <c r="P12" s="2030"/>
      <c r="Q12" s="2028"/>
      <c r="R12" s="2030"/>
      <c r="S12" s="2010"/>
      <c r="T12" s="2011"/>
      <c r="U12" s="2028"/>
      <c r="V12" s="2030"/>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2">
      <c r="A13" s="4"/>
      <c r="B13" s="31">
        <v>6</v>
      </c>
      <c r="C13" s="2039"/>
      <c r="D13" s="2040"/>
      <c r="E13" s="2028" t="s">
        <v>249</v>
      </c>
      <c r="F13" s="2029"/>
      <c r="G13" s="2030"/>
      <c r="H13" s="1507" t="s">
        <v>250</v>
      </c>
      <c r="I13" s="2048" t="s">
        <v>251</v>
      </c>
      <c r="J13" s="2049"/>
      <c r="K13" s="2028" t="s">
        <v>252</v>
      </c>
      <c r="L13" s="2029"/>
      <c r="M13" s="2030"/>
      <c r="N13" s="2028" t="s">
        <v>253</v>
      </c>
      <c r="O13" s="2029"/>
      <c r="P13" s="2030"/>
      <c r="Q13" s="2028" t="s">
        <v>254</v>
      </c>
      <c r="R13" s="2030"/>
      <c r="S13" s="2010">
        <v>3.21</v>
      </c>
      <c r="T13" s="2011"/>
      <c r="U13" s="2028" t="s">
        <v>288</v>
      </c>
      <c r="V13" s="2030"/>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2">
      <c r="A14" s="4"/>
      <c r="B14" s="31">
        <v>7</v>
      </c>
      <c r="C14" s="2039"/>
      <c r="D14" s="2040"/>
      <c r="E14" s="2028"/>
      <c r="F14" s="2029"/>
      <c r="G14" s="2030"/>
      <c r="H14" s="1507"/>
      <c r="I14" s="2048"/>
      <c r="J14" s="2049"/>
      <c r="K14" s="2028"/>
      <c r="L14" s="2029"/>
      <c r="M14" s="2030"/>
      <c r="N14" s="2028"/>
      <c r="O14" s="2029"/>
      <c r="P14" s="2030"/>
      <c r="Q14" s="2028"/>
      <c r="R14" s="2030"/>
      <c r="S14" s="2010"/>
      <c r="T14" s="2011"/>
      <c r="U14" s="2028"/>
      <c r="V14" s="2030"/>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2">
      <c r="A15" s="4"/>
      <c r="B15" s="31">
        <v>8</v>
      </c>
      <c r="C15" s="2039"/>
      <c r="D15" s="2040"/>
      <c r="E15" s="2028"/>
      <c r="F15" s="2029"/>
      <c r="G15" s="2030"/>
      <c r="H15" s="1507"/>
      <c r="I15" s="2048"/>
      <c r="J15" s="2049"/>
      <c r="K15" s="2028"/>
      <c r="L15" s="2029"/>
      <c r="M15" s="2030"/>
      <c r="N15" s="2028"/>
      <c r="O15" s="2029"/>
      <c r="P15" s="2030"/>
      <c r="Q15" s="2028"/>
      <c r="R15" s="2030"/>
      <c r="S15" s="2010"/>
      <c r="T15" s="2011"/>
      <c r="U15" s="2028"/>
      <c r="V15" s="2030"/>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2">
      <c r="A16" s="4"/>
      <c r="B16" s="31">
        <v>9</v>
      </c>
      <c r="C16" s="2039"/>
      <c r="D16" s="2040"/>
      <c r="E16" s="2028"/>
      <c r="F16" s="2029"/>
      <c r="G16" s="2030"/>
      <c r="H16" s="1507"/>
      <c r="I16" s="2048"/>
      <c r="J16" s="2049"/>
      <c r="K16" s="2028"/>
      <c r="L16" s="2029"/>
      <c r="M16" s="2030"/>
      <c r="N16" s="2028"/>
      <c r="O16" s="2029"/>
      <c r="P16" s="2030"/>
      <c r="Q16" s="2028"/>
      <c r="R16" s="2030"/>
      <c r="S16" s="2010"/>
      <c r="T16" s="2011"/>
      <c r="U16" s="2028"/>
      <c r="V16" s="2030"/>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5" thickBot="1" x14ac:dyDescent="0.25">
      <c r="A17" s="4"/>
      <c r="B17" s="42">
        <v>10</v>
      </c>
      <c r="C17" s="2041"/>
      <c r="D17" s="2042"/>
      <c r="E17" s="2022"/>
      <c r="F17" s="2023"/>
      <c r="G17" s="2024"/>
      <c r="H17" s="1511"/>
      <c r="I17" s="2054"/>
      <c r="J17" s="2055"/>
      <c r="K17" s="2022"/>
      <c r="L17" s="2023"/>
      <c r="M17" s="2024"/>
      <c r="N17" s="2022"/>
      <c r="O17" s="2023"/>
      <c r="P17" s="2024"/>
      <c r="Q17" s="2022"/>
      <c r="R17" s="2024"/>
      <c r="S17" s="2058"/>
      <c r="T17" s="2059"/>
      <c r="U17" s="2022"/>
      <c r="V17" s="2024"/>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2">
      <c r="A18" s="4"/>
      <c r="B18" s="29">
        <v>11</v>
      </c>
      <c r="C18" s="2043"/>
      <c r="D18" s="2044"/>
      <c r="E18" s="2025" t="s">
        <v>228</v>
      </c>
      <c r="F18" s="2026"/>
      <c r="G18" s="2027"/>
      <c r="H18" s="1503" t="s">
        <v>229</v>
      </c>
      <c r="I18" s="2052" t="s">
        <v>230</v>
      </c>
      <c r="J18" s="2053"/>
      <c r="K18" s="2025" t="s">
        <v>231</v>
      </c>
      <c r="L18" s="2026"/>
      <c r="M18" s="2027"/>
      <c r="N18" s="2025" t="s">
        <v>232</v>
      </c>
      <c r="O18" s="2026"/>
      <c r="P18" s="2027"/>
      <c r="Q18" s="2025" t="s">
        <v>117</v>
      </c>
      <c r="R18" s="2027"/>
      <c r="S18" s="2056">
        <v>2.7789999999999999</v>
      </c>
      <c r="T18" s="2057"/>
      <c r="U18" s="2025" t="s">
        <v>288</v>
      </c>
      <c r="V18" s="2027"/>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2">
      <c r="A19" s="4"/>
      <c r="B19" s="31">
        <v>12</v>
      </c>
      <c r="C19" s="2039"/>
      <c r="D19" s="2040"/>
      <c r="E19" s="2028" t="s">
        <v>233</v>
      </c>
      <c r="F19" s="2029"/>
      <c r="G19" s="2030"/>
      <c r="H19" s="1507" t="s">
        <v>235</v>
      </c>
      <c r="I19" s="2048" t="s">
        <v>237</v>
      </c>
      <c r="J19" s="2049"/>
      <c r="K19" s="2028" t="s">
        <v>239</v>
      </c>
      <c r="L19" s="2029"/>
      <c r="M19" s="2030"/>
      <c r="N19" s="2028" t="s">
        <v>241</v>
      </c>
      <c r="O19" s="2029"/>
      <c r="P19" s="2030"/>
      <c r="Q19" s="2028" t="s">
        <v>117</v>
      </c>
      <c r="R19" s="2030"/>
      <c r="S19" s="2010">
        <v>2.778</v>
      </c>
      <c r="T19" s="2011"/>
      <c r="U19" s="2028" t="s">
        <v>288</v>
      </c>
      <c r="V19" s="2030"/>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2">
      <c r="A20" s="4"/>
      <c r="B20" s="31">
        <v>13</v>
      </c>
      <c r="C20" s="2039"/>
      <c r="D20" s="2040"/>
      <c r="E20" s="2028" t="s">
        <v>234</v>
      </c>
      <c r="F20" s="2029"/>
      <c r="G20" s="2030"/>
      <c r="H20" s="1507" t="s">
        <v>236</v>
      </c>
      <c r="I20" s="2048" t="s">
        <v>238</v>
      </c>
      <c r="J20" s="2049"/>
      <c r="K20" s="2028" t="s">
        <v>240</v>
      </c>
      <c r="L20" s="2029"/>
      <c r="M20" s="2030"/>
      <c r="N20" s="2028" t="s">
        <v>242</v>
      </c>
      <c r="O20" s="2029"/>
      <c r="P20" s="2030"/>
      <c r="Q20" s="2028" t="s">
        <v>117</v>
      </c>
      <c r="R20" s="2030"/>
      <c r="S20" s="2010">
        <v>2.7759999999999998</v>
      </c>
      <c r="T20" s="2011"/>
      <c r="U20" s="2028" t="s">
        <v>289</v>
      </c>
      <c r="V20" s="2030"/>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2">
      <c r="A21" s="4"/>
      <c r="B21" s="31">
        <v>14</v>
      </c>
      <c r="C21" s="2039"/>
      <c r="D21" s="2040"/>
      <c r="E21" s="2028"/>
      <c r="F21" s="2029"/>
      <c r="G21" s="2030"/>
      <c r="H21" s="1507"/>
      <c r="I21" s="2048"/>
      <c r="J21" s="2049"/>
      <c r="K21" s="2028"/>
      <c r="L21" s="2029"/>
      <c r="M21" s="2030"/>
      <c r="N21" s="2028"/>
      <c r="O21" s="2029"/>
      <c r="P21" s="2030"/>
      <c r="Q21" s="2028"/>
      <c r="R21" s="2030"/>
      <c r="S21" s="2010"/>
      <c r="T21" s="2011"/>
      <c r="U21" s="2028"/>
      <c r="V21" s="2030"/>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2">
      <c r="A22" s="4"/>
      <c r="B22" s="31">
        <v>15</v>
      </c>
      <c r="C22" s="2039"/>
      <c r="D22" s="2040"/>
      <c r="E22" s="2028"/>
      <c r="F22" s="2029"/>
      <c r="G22" s="2030"/>
      <c r="H22" s="1507"/>
      <c r="I22" s="2048"/>
      <c r="J22" s="2049"/>
      <c r="K22" s="2028"/>
      <c r="L22" s="2029"/>
      <c r="M22" s="2030"/>
      <c r="N22" s="2028"/>
      <c r="O22" s="2029"/>
      <c r="P22" s="2030"/>
      <c r="Q22" s="2028"/>
      <c r="R22" s="2030"/>
      <c r="S22" s="2010"/>
      <c r="T22" s="2011"/>
      <c r="U22" s="2028"/>
      <c r="V22" s="2030"/>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2">
      <c r="A23" s="4"/>
      <c r="B23" s="31">
        <v>16</v>
      </c>
      <c r="C23" s="2039"/>
      <c r="D23" s="2040"/>
      <c r="E23" s="2028" t="s">
        <v>249</v>
      </c>
      <c r="F23" s="2029"/>
      <c r="G23" s="2030"/>
      <c r="H23" s="1507" t="s">
        <v>250</v>
      </c>
      <c r="I23" s="2048" t="s">
        <v>251</v>
      </c>
      <c r="J23" s="2049"/>
      <c r="K23" s="2028" t="s">
        <v>252</v>
      </c>
      <c r="L23" s="2029"/>
      <c r="M23" s="2030"/>
      <c r="N23" s="2028" t="s">
        <v>253</v>
      </c>
      <c r="O23" s="2029"/>
      <c r="P23" s="2030"/>
      <c r="Q23" s="2028" t="s">
        <v>254</v>
      </c>
      <c r="R23" s="2030"/>
      <c r="S23" s="2010">
        <v>3.2</v>
      </c>
      <c r="T23" s="2011"/>
      <c r="U23" s="2028" t="s">
        <v>288</v>
      </c>
      <c r="V23" s="2030"/>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2">
      <c r="A24" s="4"/>
      <c r="B24" s="31">
        <v>17</v>
      </c>
      <c r="C24" s="2039"/>
      <c r="D24" s="2040"/>
      <c r="E24" s="2028"/>
      <c r="F24" s="2029"/>
      <c r="G24" s="2030"/>
      <c r="H24" s="1507"/>
      <c r="I24" s="2048"/>
      <c r="J24" s="2049"/>
      <c r="K24" s="2028"/>
      <c r="L24" s="2029"/>
      <c r="M24" s="2030"/>
      <c r="N24" s="2028"/>
      <c r="O24" s="2029"/>
      <c r="P24" s="2030"/>
      <c r="Q24" s="2028"/>
      <c r="R24" s="2030"/>
      <c r="S24" s="2010"/>
      <c r="T24" s="2011"/>
      <c r="U24" s="2028"/>
      <c r="V24" s="2030"/>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2">
      <c r="A25" s="4"/>
      <c r="B25" s="31">
        <v>18</v>
      </c>
      <c r="C25" s="2039"/>
      <c r="D25" s="2040"/>
      <c r="E25" s="2028"/>
      <c r="F25" s="2029"/>
      <c r="G25" s="2030"/>
      <c r="H25" s="1507"/>
      <c r="I25" s="2048"/>
      <c r="J25" s="2049"/>
      <c r="K25" s="2028"/>
      <c r="L25" s="2029"/>
      <c r="M25" s="2030"/>
      <c r="N25" s="2028"/>
      <c r="O25" s="2029"/>
      <c r="P25" s="2030"/>
      <c r="Q25" s="2028"/>
      <c r="R25" s="2030"/>
      <c r="S25" s="2010"/>
      <c r="T25" s="2011"/>
      <c r="U25" s="2028"/>
      <c r="V25" s="2030"/>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2">
      <c r="A26" s="4"/>
      <c r="B26" s="31">
        <v>19</v>
      </c>
      <c r="C26" s="2039"/>
      <c r="D26" s="2040"/>
      <c r="E26" s="2028"/>
      <c r="F26" s="2029"/>
      <c r="G26" s="2030"/>
      <c r="H26" s="1507"/>
      <c r="I26" s="2048"/>
      <c r="J26" s="2049"/>
      <c r="K26" s="2028"/>
      <c r="L26" s="2029"/>
      <c r="M26" s="2030"/>
      <c r="N26" s="2028"/>
      <c r="O26" s="2029"/>
      <c r="P26" s="2030"/>
      <c r="Q26" s="2028"/>
      <c r="R26" s="2030"/>
      <c r="S26" s="2010"/>
      <c r="T26" s="2011"/>
      <c r="U26" s="2028"/>
      <c r="V26" s="2030"/>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5" thickBot="1" x14ac:dyDescent="0.25">
      <c r="A27" s="4"/>
      <c r="B27" s="42">
        <v>20</v>
      </c>
      <c r="C27" s="2041"/>
      <c r="D27" s="2042"/>
      <c r="E27" s="2022"/>
      <c r="F27" s="2023"/>
      <c r="G27" s="2024"/>
      <c r="H27" s="1511"/>
      <c r="I27" s="2054"/>
      <c r="J27" s="2055"/>
      <c r="K27" s="2022"/>
      <c r="L27" s="2023"/>
      <c r="M27" s="2024"/>
      <c r="N27" s="2022"/>
      <c r="O27" s="2023"/>
      <c r="P27" s="2024"/>
      <c r="Q27" s="2022"/>
      <c r="R27" s="2024"/>
      <c r="S27" s="2058"/>
      <c r="T27" s="2059"/>
      <c r="U27" s="2022"/>
      <c r="V27" s="2024"/>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2">
      <c r="A28" s="4"/>
      <c r="B28" s="29">
        <v>21</v>
      </c>
      <c r="C28" s="2043"/>
      <c r="D28" s="2044"/>
      <c r="E28" s="2025" t="s">
        <v>228</v>
      </c>
      <c r="F28" s="2026"/>
      <c r="G28" s="2027"/>
      <c r="H28" s="1503" t="s">
        <v>229</v>
      </c>
      <c r="I28" s="2052" t="s">
        <v>230</v>
      </c>
      <c r="J28" s="2053"/>
      <c r="K28" s="2025" t="s">
        <v>231</v>
      </c>
      <c r="L28" s="2026"/>
      <c r="M28" s="2027"/>
      <c r="N28" s="2025" t="s">
        <v>232</v>
      </c>
      <c r="O28" s="2026"/>
      <c r="P28" s="2027"/>
      <c r="Q28" s="2025" t="s">
        <v>117</v>
      </c>
      <c r="R28" s="2027"/>
      <c r="S28" s="2056">
        <v>2.7690000000000001</v>
      </c>
      <c r="T28" s="2057"/>
      <c r="U28" s="2025" t="s">
        <v>288</v>
      </c>
      <c r="V28" s="2027"/>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2">
      <c r="A29" s="4"/>
      <c r="B29" s="31">
        <v>22</v>
      </c>
      <c r="C29" s="2039"/>
      <c r="D29" s="2040"/>
      <c r="E29" s="2028" t="s">
        <v>233</v>
      </c>
      <c r="F29" s="2029"/>
      <c r="G29" s="2030"/>
      <c r="H29" s="1507" t="s">
        <v>235</v>
      </c>
      <c r="I29" s="2048" t="s">
        <v>237</v>
      </c>
      <c r="J29" s="2049"/>
      <c r="K29" s="2028" t="s">
        <v>239</v>
      </c>
      <c r="L29" s="2029"/>
      <c r="M29" s="2030"/>
      <c r="N29" s="2028" t="s">
        <v>241</v>
      </c>
      <c r="O29" s="2029"/>
      <c r="P29" s="2030"/>
      <c r="Q29" s="2028" t="s">
        <v>117</v>
      </c>
      <c r="R29" s="2030"/>
      <c r="S29" s="2010">
        <v>2.7679999999999998</v>
      </c>
      <c r="T29" s="2011"/>
      <c r="U29" s="2028" t="s">
        <v>288</v>
      </c>
      <c r="V29" s="2030"/>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2">
      <c r="A30" s="4"/>
      <c r="B30" s="31">
        <v>23</v>
      </c>
      <c r="C30" s="2039"/>
      <c r="D30" s="2040"/>
      <c r="E30" s="2028" t="s">
        <v>234</v>
      </c>
      <c r="F30" s="2029"/>
      <c r="G30" s="2030"/>
      <c r="H30" s="1507" t="s">
        <v>236</v>
      </c>
      <c r="I30" s="2048" t="s">
        <v>238</v>
      </c>
      <c r="J30" s="2049"/>
      <c r="K30" s="2028" t="s">
        <v>240</v>
      </c>
      <c r="L30" s="2029"/>
      <c r="M30" s="2030"/>
      <c r="N30" s="2028" t="s">
        <v>242</v>
      </c>
      <c r="O30" s="2029"/>
      <c r="P30" s="2030"/>
      <c r="Q30" s="2028" t="s">
        <v>117</v>
      </c>
      <c r="R30" s="2030"/>
      <c r="S30" s="2010">
        <v>2.7669999999999999</v>
      </c>
      <c r="T30" s="2011"/>
      <c r="U30" s="2028" t="s">
        <v>289</v>
      </c>
      <c r="V30" s="2030"/>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2">
      <c r="A31" s="4"/>
      <c r="B31" s="31">
        <v>24</v>
      </c>
      <c r="C31" s="2039"/>
      <c r="D31" s="2040"/>
      <c r="E31" s="2028"/>
      <c r="F31" s="2029"/>
      <c r="G31" s="2030"/>
      <c r="H31" s="1507"/>
      <c r="I31" s="2048"/>
      <c r="J31" s="2049"/>
      <c r="K31" s="2028"/>
      <c r="L31" s="2029"/>
      <c r="M31" s="2030"/>
      <c r="N31" s="2028"/>
      <c r="O31" s="2029"/>
      <c r="P31" s="2030"/>
      <c r="Q31" s="2028"/>
      <c r="R31" s="2030"/>
      <c r="S31" s="2010"/>
      <c r="T31" s="2011"/>
      <c r="U31" s="2028"/>
      <c r="V31" s="2030"/>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2">
      <c r="A32" s="4"/>
      <c r="B32" s="31">
        <v>25</v>
      </c>
      <c r="C32" s="2039"/>
      <c r="D32" s="2040"/>
      <c r="E32" s="2028"/>
      <c r="F32" s="2029"/>
      <c r="G32" s="2030"/>
      <c r="H32" s="1507"/>
      <c r="I32" s="2048"/>
      <c r="J32" s="2049"/>
      <c r="K32" s="2028"/>
      <c r="L32" s="2029"/>
      <c r="M32" s="2030"/>
      <c r="N32" s="2028"/>
      <c r="O32" s="2029"/>
      <c r="P32" s="2030"/>
      <c r="Q32" s="2028"/>
      <c r="R32" s="2030"/>
      <c r="S32" s="2010"/>
      <c r="T32" s="2011"/>
      <c r="U32" s="2028"/>
      <c r="V32" s="2030"/>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2">
      <c r="A33" s="4"/>
      <c r="B33" s="31">
        <v>26</v>
      </c>
      <c r="C33" s="2039"/>
      <c r="D33" s="2040"/>
      <c r="E33" s="2028" t="s">
        <v>249</v>
      </c>
      <c r="F33" s="2029"/>
      <c r="G33" s="2030"/>
      <c r="H33" s="1507" t="s">
        <v>250</v>
      </c>
      <c r="I33" s="2048" t="s">
        <v>251</v>
      </c>
      <c r="J33" s="2049"/>
      <c r="K33" s="2028" t="s">
        <v>252</v>
      </c>
      <c r="L33" s="2029"/>
      <c r="M33" s="2030"/>
      <c r="N33" s="2028" t="s">
        <v>253</v>
      </c>
      <c r="O33" s="2029"/>
      <c r="P33" s="2030"/>
      <c r="Q33" s="2028" t="s">
        <v>254</v>
      </c>
      <c r="R33" s="2030"/>
      <c r="S33" s="2010">
        <v>3.22</v>
      </c>
      <c r="T33" s="2011"/>
      <c r="U33" s="2028" t="s">
        <v>288</v>
      </c>
      <c r="V33" s="2030"/>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2">
      <c r="A34" s="4"/>
      <c r="B34" s="31">
        <v>27</v>
      </c>
      <c r="C34" s="2039"/>
      <c r="D34" s="2040"/>
      <c r="E34" s="2028"/>
      <c r="F34" s="2029"/>
      <c r="G34" s="2030"/>
      <c r="H34" s="1507"/>
      <c r="I34" s="2048"/>
      <c r="J34" s="2049"/>
      <c r="K34" s="2028"/>
      <c r="L34" s="2029"/>
      <c r="M34" s="2030"/>
      <c r="N34" s="2028"/>
      <c r="O34" s="2029"/>
      <c r="P34" s="2030"/>
      <c r="Q34" s="2028"/>
      <c r="R34" s="2030"/>
      <c r="S34" s="2010"/>
      <c r="T34" s="2011"/>
      <c r="U34" s="2028"/>
      <c r="V34" s="2030"/>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2">
      <c r="A35" s="4"/>
      <c r="B35" s="31">
        <v>28</v>
      </c>
      <c r="C35" s="2039"/>
      <c r="D35" s="2040"/>
      <c r="E35" s="2028"/>
      <c r="F35" s="2029"/>
      <c r="G35" s="2030"/>
      <c r="H35" s="1507"/>
      <c r="I35" s="2048"/>
      <c r="J35" s="2049"/>
      <c r="K35" s="2028"/>
      <c r="L35" s="2029"/>
      <c r="M35" s="2030"/>
      <c r="N35" s="2028"/>
      <c r="O35" s="2029"/>
      <c r="P35" s="2030"/>
      <c r="Q35" s="2028"/>
      <c r="R35" s="2030"/>
      <c r="S35" s="2010"/>
      <c r="T35" s="2011"/>
      <c r="U35" s="2028"/>
      <c r="V35" s="2030"/>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2">
      <c r="A36" s="4"/>
      <c r="B36" s="31">
        <v>29</v>
      </c>
      <c r="C36" s="2039"/>
      <c r="D36" s="2040"/>
      <c r="E36" s="2028"/>
      <c r="F36" s="2029"/>
      <c r="G36" s="2030"/>
      <c r="H36" s="1507"/>
      <c r="I36" s="2048"/>
      <c r="J36" s="2049"/>
      <c r="K36" s="2028"/>
      <c r="L36" s="2029"/>
      <c r="M36" s="2030"/>
      <c r="N36" s="2028"/>
      <c r="O36" s="2029"/>
      <c r="P36" s="2030"/>
      <c r="Q36" s="2028"/>
      <c r="R36" s="2030"/>
      <c r="S36" s="2010"/>
      <c r="T36" s="2011"/>
      <c r="U36" s="2028"/>
      <c r="V36" s="2030"/>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5" thickBot="1" x14ac:dyDescent="0.25">
      <c r="A37" s="4"/>
      <c r="B37" s="42">
        <v>30</v>
      </c>
      <c r="C37" s="2041"/>
      <c r="D37" s="2042"/>
      <c r="E37" s="2022"/>
      <c r="F37" s="2023"/>
      <c r="G37" s="2024"/>
      <c r="H37" s="1511"/>
      <c r="I37" s="2054"/>
      <c r="J37" s="2055"/>
      <c r="K37" s="2022"/>
      <c r="L37" s="2023"/>
      <c r="M37" s="2024"/>
      <c r="N37" s="2022"/>
      <c r="O37" s="2023"/>
      <c r="P37" s="2024"/>
      <c r="Q37" s="2022"/>
      <c r="R37" s="2024"/>
      <c r="S37" s="2058"/>
      <c r="T37" s="2059"/>
      <c r="U37" s="2022"/>
      <c r="V37" s="2024"/>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2">
      <c r="A38" s="4"/>
      <c r="B38" s="29">
        <v>31</v>
      </c>
      <c r="C38" s="2043"/>
      <c r="D38" s="2044"/>
      <c r="E38" s="2025" t="s">
        <v>228</v>
      </c>
      <c r="F38" s="2026"/>
      <c r="G38" s="2027"/>
      <c r="H38" s="1503" t="s">
        <v>229</v>
      </c>
      <c r="I38" s="2052" t="s">
        <v>230</v>
      </c>
      <c r="J38" s="2053"/>
      <c r="K38" s="2025" t="s">
        <v>231</v>
      </c>
      <c r="L38" s="2026"/>
      <c r="M38" s="2027"/>
      <c r="N38" s="2025" t="s">
        <v>232</v>
      </c>
      <c r="O38" s="2026"/>
      <c r="P38" s="2027"/>
      <c r="Q38" s="2025" t="s">
        <v>117</v>
      </c>
      <c r="R38" s="2027"/>
      <c r="S38" s="2056">
        <v>2.8</v>
      </c>
      <c r="T38" s="2057"/>
      <c r="U38" s="2025" t="s">
        <v>288</v>
      </c>
      <c r="V38" s="2027"/>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2">
      <c r="A39" s="4"/>
      <c r="B39" s="31">
        <v>32</v>
      </c>
      <c r="C39" s="2039"/>
      <c r="D39" s="2040"/>
      <c r="E39" s="2028" t="s">
        <v>233</v>
      </c>
      <c r="F39" s="2029"/>
      <c r="G39" s="2030"/>
      <c r="H39" s="1507" t="s">
        <v>235</v>
      </c>
      <c r="I39" s="2048" t="s">
        <v>237</v>
      </c>
      <c r="J39" s="2049"/>
      <c r="K39" s="2028" t="s">
        <v>239</v>
      </c>
      <c r="L39" s="2029"/>
      <c r="M39" s="2030"/>
      <c r="N39" s="2028" t="s">
        <v>241</v>
      </c>
      <c r="O39" s="2029"/>
      <c r="P39" s="2030"/>
      <c r="Q39" s="2028" t="s">
        <v>117</v>
      </c>
      <c r="R39" s="2030"/>
      <c r="S39" s="2010">
        <v>2.8010000000000002</v>
      </c>
      <c r="T39" s="2011"/>
      <c r="U39" s="2028" t="s">
        <v>288</v>
      </c>
      <c r="V39" s="2030"/>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2">
      <c r="A40" s="4"/>
      <c r="B40" s="31">
        <v>33</v>
      </c>
      <c r="C40" s="2039"/>
      <c r="D40" s="2040"/>
      <c r="E40" s="2028" t="s">
        <v>234</v>
      </c>
      <c r="F40" s="2029"/>
      <c r="G40" s="2030"/>
      <c r="H40" s="1507" t="s">
        <v>236</v>
      </c>
      <c r="I40" s="2048" t="s">
        <v>238</v>
      </c>
      <c r="J40" s="2049"/>
      <c r="K40" s="2028" t="s">
        <v>240</v>
      </c>
      <c r="L40" s="2029"/>
      <c r="M40" s="2030"/>
      <c r="N40" s="2028" t="s">
        <v>242</v>
      </c>
      <c r="O40" s="2029"/>
      <c r="P40" s="2030"/>
      <c r="Q40" s="2028" t="s">
        <v>117</v>
      </c>
      <c r="R40" s="2030"/>
      <c r="S40" s="2010">
        <v>2.802</v>
      </c>
      <c r="T40" s="2011"/>
      <c r="U40" s="2028" t="s">
        <v>289</v>
      </c>
      <c r="V40" s="2030"/>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2">
      <c r="A41" s="4"/>
      <c r="B41" s="31">
        <v>34</v>
      </c>
      <c r="C41" s="2039"/>
      <c r="D41" s="2040"/>
      <c r="E41" s="2028"/>
      <c r="F41" s="2029"/>
      <c r="G41" s="2030"/>
      <c r="H41" s="1507"/>
      <c r="I41" s="2048"/>
      <c r="J41" s="2049"/>
      <c r="K41" s="2028"/>
      <c r="L41" s="2029"/>
      <c r="M41" s="2030"/>
      <c r="N41" s="2028"/>
      <c r="O41" s="2029"/>
      <c r="P41" s="2030"/>
      <c r="Q41" s="2028"/>
      <c r="R41" s="2030"/>
      <c r="S41" s="2010"/>
      <c r="T41" s="2011"/>
      <c r="U41" s="2028"/>
      <c r="V41" s="2030"/>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2">
      <c r="A42" s="4"/>
      <c r="B42" s="31">
        <v>35</v>
      </c>
      <c r="C42" s="2039"/>
      <c r="D42" s="2040"/>
      <c r="E42" s="2028"/>
      <c r="F42" s="2029"/>
      <c r="G42" s="2030"/>
      <c r="H42" s="1507"/>
      <c r="I42" s="2048"/>
      <c r="J42" s="2049"/>
      <c r="K42" s="2028"/>
      <c r="L42" s="2029"/>
      <c r="M42" s="2030"/>
      <c r="N42" s="2028"/>
      <c r="O42" s="2029"/>
      <c r="P42" s="2030"/>
      <c r="Q42" s="2028"/>
      <c r="R42" s="2030"/>
      <c r="S42" s="2010"/>
      <c r="T42" s="2011"/>
      <c r="U42" s="2028"/>
      <c r="V42" s="2030"/>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2">
      <c r="A43" s="4"/>
      <c r="B43" s="31">
        <v>36</v>
      </c>
      <c r="C43" s="2039"/>
      <c r="D43" s="2040"/>
      <c r="E43" s="2028" t="s">
        <v>249</v>
      </c>
      <c r="F43" s="2029"/>
      <c r="G43" s="2030"/>
      <c r="H43" s="1507" t="s">
        <v>250</v>
      </c>
      <c r="I43" s="2048" t="s">
        <v>251</v>
      </c>
      <c r="J43" s="2049"/>
      <c r="K43" s="2028" t="s">
        <v>252</v>
      </c>
      <c r="L43" s="2029"/>
      <c r="M43" s="2030"/>
      <c r="N43" s="2028" t="s">
        <v>253</v>
      </c>
      <c r="O43" s="2029"/>
      <c r="P43" s="2030"/>
      <c r="Q43" s="2028" t="s">
        <v>254</v>
      </c>
      <c r="R43" s="2030"/>
      <c r="S43" s="2010">
        <v>3.23</v>
      </c>
      <c r="T43" s="2011"/>
      <c r="U43" s="2028" t="s">
        <v>288</v>
      </c>
      <c r="V43" s="2030"/>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2">
      <c r="A44" s="4"/>
      <c r="B44" s="31">
        <v>37</v>
      </c>
      <c r="C44" s="2039"/>
      <c r="D44" s="2040"/>
      <c r="E44" s="2028"/>
      <c r="F44" s="2029"/>
      <c r="G44" s="2030"/>
      <c r="H44" s="1507"/>
      <c r="I44" s="2048"/>
      <c r="J44" s="2049"/>
      <c r="K44" s="2028"/>
      <c r="L44" s="2029"/>
      <c r="M44" s="2030"/>
      <c r="N44" s="2028"/>
      <c r="O44" s="2029"/>
      <c r="P44" s="2030"/>
      <c r="Q44" s="2028"/>
      <c r="R44" s="2030"/>
      <c r="S44" s="2010"/>
      <c r="T44" s="2011"/>
      <c r="U44" s="2028"/>
      <c r="V44" s="2030"/>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2">
      <c r="A45" s="4"/>
      <c r="B45" s="31">
        <v>38</v>
      </c>
      <c r="C45" s="2039"/>
      <c r="D45" s="2040"/>
      <c r="E45" s="2028"/>
      <c r="F45" s="2029"/>
      <c r="G45" s="2030"/>
      <c r="H45" s="1507"/>
      <c r="I45" s="2048"/>
      <c r="J45" s="2049"/>
      <c r="K45" s="2028"/>
      <c r="L45" s="2029"/>
      <c r="M45" s="2030"/>
      <c r="N45" s="2028"/>
      <c r="O45" s="2029"/>
      <c r="P45" s="2030"/>
      <c r="Q45" s="2028"/>
      <c r="R45" s="2030"/>
      <c r="S45" s="2010"/>
      <c r="T45" s="2011"/>
      <c r="U45" s="2028"/>
      <c r="V45" s="2030"/>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2">
      <c r="A46" s="4"/>
      <c r="B46" s="31">
        <v>39</v>
      </c>
      <c r="C46" s="2039"/>
      <c r="D46" s="2040"/>
      <c r="E46" s="2028"/>
      <c r="F46" s="2029"/>
      <c r="G46" s="2030"/>
      <c r="H46" s="1507"/>
      <c r="I46" s="2048"/>
      <c r="J46" s="2049"/>
      <c r="K46" s="2028"/>
      <c r="L46" s="2029"/>
      <c r="M46" s="2030"/>
      <c r="N46" s="2028"/>
      <c r="O46" s="2029"/>
      <c r="P46" s="2030"/>
      <c r="Q46" s="2028"/>
      <c r="R46" s="2030"/>
      <c r="S46" s="2010"/>
      <c r="T46" s="2011"/>
      <c r="U46" s="2028"/>
      <c r="V46" s="2030"/>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2">
      <c r="A47" s="4"/>
      <c r="B47" s="42">
        <v>40</v>
      </c>
      <c r="C47" s="2041"/>
      <c r="D47" s="2042"/>
      <c r="E47" s="2045"/>
      <c r="F47" s="2046"/>
      <c r="G47" s="2047"/>
      <c r="H47" s="1511"/>
      <c r="I47" s="2050"/>
      <c r="J47" s="2051"/>
      <c r="K47" s="2045"/>
      <c r="L47" s="2046"/>
      <c r="M47" s="2047"/>
      <c r="N47" s="2045"/>
      <c r="O47" s="2046"/>
      <c r="P47" s="2047"/>
      <c r="Q47" s="2045"/>
      <c r="R47" s="2047"/>
      <c r="S47" s="2060"/>
      <c r="T47" s="2061"/>
      <c r="U47" s="2045"/>
      <c r="V47" s="2047"/>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2">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x14ac:dyDescent="0.2">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x14ac:dyDescent="0.2">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2">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2">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2">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x14ac:dyDescent="0.2">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x14ac:dyDescent="0.2">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x14ac:dyDescent="0.2">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x14ac:dyDescent="0.2">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ht="15" x14ac:dyDescent="0.25">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8.75" x14ac:dyDescent="0.35">
      <c r="A60" s="4"/>
      <c r="B60" s="18" t="s">
        <v>114</v>
      </c>
      <c r="C60" s="2008"/>
      <c r="D60" s="2008"/>
      <c r="E60" s="2008" t="s">
        <v>131</v>
      </c>
      <c r="F60" s="2008"/>
      <c r="G60" s="2008"/>
      <c r="H60" s="2008" t="s">
        <v>139</v>
      </c>
      <c r="I60" s="2008"/>
      <c r="J60" s="2008"/>
      <c r="K60" s="2008" t="s">
        <v>1241</v>
      </c>
      <c r="L60" s="2008"/>
      <c r="M60" s="2008"/>
      <c r="N60" s="2008" t="s">
        <v>119</v>
      </c>
      <c r="O60" s="2008"/>
      <c r="P60" s="2008"/>
      <c r="Q60" s="2008" t="s">
        <v>121</v>
      </c>
      <c r="R60" s="2008"/>
      <c r="S60" s="2" t="s">
        <v>122</v>
      </c>
      <c r="T60" s="2"/>
      <c r="U60" s="2008" t="s">
        <v>133</v>
      </c>
      <c r="V60" s="2008"/>
      <c r="W60" s="2008" t="s">
        <v>127</v>
      </c>
      <c r="X60" s="2008"/>
      <c r="Y60" s="2008"/>
      <c r="Z60" s="2008"/>
      <c r="AA60" s="2008"/>
      <c r="AB60" s="2008"/>
      <c r="AC60" s="2008"/>
      <c r="AD60" s="2008"/>
      <c r="AE60" s="2008"/>
      <c r="AF60" s="2008"/>
      <c r="AG60" s="2008"/>
      <c r="AH60" s="2008"/>
      <c r="AI60" s="2008"/>
      <c r="AJ60" s="2008"/>
      <c r="AK60" s="2008"/>
      <c r="AL60" s="2008"/>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5" thickBot="1" x14ac:dyDescent="0.25">
      <c r="A61" s="4"/>
      <c r="B61" s="2"/>
      <c r="C61" s="2008"/>
      <c r="D61" s="2008"/>
      <c r="E61" s="2"/>
      <c r="F61" s="2"/>
      <c r="G61" s="2"/>
      <c r="H61" s="2"/>
      <c r="I61" s="2"/>
      <c r="J61" s="2"/>
      <c r="K61" s="2008" t="s">
        <v>138</v>
      </c>
      <c r="L61" s="2008"/>
      <c r="M61" s="2008"/>
      <c r="N61" s="2008" t="s">
        <v>137</v>
      </c>
      <c r="O61" s="2008"/>
      <c r="P61" s="2008"/>
      <c r="Q61" s="2"/>
      <c r="R61" s="2"/>
      <c r="S61" s="2008" t="s">
        <v>418</v>
      </c>
      <c r="T61" s="2008"/>
      <c r="U61" s="2008" t="s">
        <v>132</v>
      </c>
      <c r="V61" s="2008"/>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2">
      <c r="A62" s="4"/>
      <c r="B62" s="29">
        <v>41</v>
      </c>
      <c r="C62" s="30"/>
      <c r="D62" s="30"/>
      <c r="E62" s="30" t="s">
        <v>134</v>
      </c>
      <c r="F62" s="30"/>
      <c r="G62" s="30"/>
      <c r="H62" s="2026" t="s">
        <v>1667</v>
      </c>
      <c r="I62" s="2026"/>
      <c r="J62" s="2027"/>
      <c r="K62" s="2025" t="s">
        <v>1662</v>
      </c>
      <c r="L62" s="2026"/>
      <c r="M62" s="2027"/>
      <c r="N62" s="2025" t="s">
        <v>1663</v>
      </c>
      <c r="O62" s="2026"/>
      <c r="P62" s="2027"/>
      <c r="Q62" s="2025" t="s">
        <v>117</v>
      </c>
      <c r="R62" s="2027"/>
      <c r="S62" s="2056">
        <v>2.7</v>
      </c>
      <c r="T62" s="2057"/>
      <c r="U62" s="2012">
        <v>45</v>
      </c>
      <c r="V62" s="2013"/>
      <c r="W62" s="1517"/>
      <c r="X62" s="1518"/>
      <c r="Y62" s="1518"/>
      <c r="Z62" s="1518"/>
      <c r="AA62" s="1518"/>
      <c r="AB62" s="1518"/>
      <c r="AC62" s="1518"/>
      <c r="AD62" s="1518"/>
      <c r="AE62" s="1518"/>
      <c r="AF62" s="1518"/>
      <c r="AG62" s="1518">
        <v>100</v>
      </c>
      <c r="AH62" s="1518">
        <v>99</v>
      </c>
      <c r="AI62" s="1518">
        <v>98</v>
      </c>
      <c r="AJ62" s="1518">
        <v>97</v>
      </c>
      <c r="AK62" s="1518">
        <v>90</v>
      </c>
      <c r="AL62" s="1526">
        <v>85</v>
      </c>
      <c r="AM62" s="2004" t="s">
        <v>1615</v>
      </c>
      <c r="AN62" s="2005"/>
      <c r="AO62" s="2005"/>
      <c r="AP62" s="4"/>
      <c r="AQ62" s="4"/>
      <c r="AR62" s="4"/>
      <c r="AS62" s="4"/>
      <c r="AT62" s="4"/>
      <c r="AU62" s="4"/>
      <c r="AV62" s="4"/>
      <c r="AW62" s="4"/>
      <c r="AX62" s="4"/>
      <c r="AY62" s="4"/>
      <c r="AZ62" s="4"/>
      <c r="BA62" s="4"/>
      <c r="BB62" s="4"/>
      <c r="BC62" s="4"/>
      <c r="BD62" s="4"/>
      <c r="BE62" s="4"/>
      <c r="BF62" s="4"/>
      <c r="BG62" s="4"/>
      <c r="BH62" s="4"/>
    </row>
    <row r="63" spans="1:60" x14ac:dyDescent="0.2">
      <c r="A63" s="4"/>
      <c r="B63" s="31">
        <v>42</v>
      </c>
      <c r="C63" s="32"/>
      <c r="D63" s="32"/>
      <c r="E63" s="32" t="s">
        <v>134</v>
      </c>
      <c r="F63" s="32"/>
      <c r="G63" s="32"/>
      <c r="H63" s="2029"/>
      <c r="I63" s="2029"/>
      <c r="J63" s="2030"/>
      <c r="K63" s="2028"/>
      <c r="L63" s="2029"/>
      <c r="M63" s="2030"/>
      <c r="N63" s="2028"/>
      <c r="O63" s="2029"/>
      <c r="P63" s="2030"/>
      <c r="Q63" s="2028"/>
      <c r="R63" s="2030"/>
      <c r="S63" s="2010"/>
      <c r="T63" s="2011"/>
      <c r="U63" s="2014"/>
      <c r="V63" s="2015"/>
      <c r="W63" s="1519"/>
      <c r="X63" s="1520"/>
      <c r="Y63" s="1520"/>
      <c r="Z63" s="1520"/>
      <c r="AA63" s="1520"/>
      <c r="AB63" s="1520"/>
      <c r="AC63" s="1520"/>
      <c r="AD63" s="1520"/>
      <c r="AE63" s="1520"/>
      <c r="AF63" s="1520"/>
      <c r="AG63" s="1520"/>
      <c r="AH63" s="1520"/>
      <c r="AI63" s="1520"/>
      <c r="AJ63" s="1520"/>
      <c r="AK63" s="1520"/>
      <c r="AL63" s="1539"/>
      <c r="AM63" s="2006"/>
      <c r="AN63" s="2007"/>
      <c r="AO63" s="2007"/>
      <c r="AP63" s="4"/>
      <c r="AQ63" s="4"/>
      <c r="AR63" s="4"/>
      <c r="AS63" s="4"/>
      <c r="AT63" s="4"/>
      <c r="AU63" s="4"/>
      <c r="AV63" s="4"/>
      <c r="AW63" s="4"/>
      <c r="AX63" s="4"/>
      <c r="AY63" s="4"/>
      <c r="AZ63" s="4"/>
      <c r="BA63" s="4"/>
      <c r="BB63" s="4"/>
      <c r="BC63" s="4"/>
      <c r="BD63" s="4"/>
      <c r="BE63" s="4"/>
      <c r="BF63" s="4"/>
      <c r="BG63" s="4"/>
      <c r="BH63" s="4"/>
    </row>
    <row r="64" spans="1:60" x14ac:dyDescent="0.2">
      <c r="A64" s="4"/>
      <c r="B64" s="31">
        <v>43</v>
      </c>
      <c r="C64" s="32"/>
      <c r="D64" s="32"/>
      <c r="E64" s="32" t="s">
        <v>134</v>
      </c>
      <c r="F64" s="32"/>
      <c r="G64" s="32"/>
      <c r="H64" s="2029"/>
      <c r="I64" s="2029"/>
      <c r="J64" s="2030"/>
      <c r="K64" s="2028"/>
      <c r="L64" s="2029"/>
      <c r="M64" s="2030"/>
      <c r="N64" s="2028"/>
      <c r="O64" s="2029"/>
      <c r="P64" s="2030"/>
      <c r="Q64" s="2028"/>
      <c r="R64" s="2030"/>
      <c r="S64" s="2010"/>
      <c r="T64" s="2011"/>
      <c r="U64" s="2014"/>
      <c r="V64" s="2015"/>
      <c r="W64" s="1519"/>
      <c r="X64" s="1520"/>
      <c r="Y64" s="1520"/>
      <c r="Z64" s="1520"/>
      <c r="AA64" s="1520"/>
      <c r="AB64" s="1520"/>
      <c r="AC64" s="1520"/>
      <c r="AD64" s="1520"/>
      <c r="AE64" s="1520"/>
      <c r="AF64" s="1520"/>
      <c r="AG64" s="1520"/>
      <c r="AH64" s="1520"/>
      <c r="AI64" s="1520"/>
      <c r="AJ64" s="1520"/>
      <c r="AK64" s="1520"/>
      <c r="AL64" s="1539"/>
      <c r="AM64" s="2006"/>
      <c r="AN64" s="2007"/>
      <c r="AO64" s="2007"/>
      <c r="AP64" s="4"/>
      <c r="AQ64" s="4"/>
      <c r="AR64" s="4"/>
      <c r="AS64" s="4"/>
      <c r="AT64" s="4"/>
      <c r="AU64" s="4"/>
      <c r="AV64" s="4"/>
      <c r="AW64" s="4"/>
      <c r="AX64" s="4"/>
      <c r="AY64" s="4"/>
      <c r="AZ64" s="4"/>
      <c r="BA64" s="4"/>
      <c r="BB64" s="4"/>
      <c r="BC64" s="4"/>
      <c r="BD64" s="4"/>
      <c r="BE64" s="4"/>
      <c r="BF64" s="4"/>
      <c r="BG64" s="4"/>
      <c r="BH64" s="4"/>
    </row>
    <row r="65" spans="1:60" x14ac:dyDescent="0.2">
      <c r="A65" s="4"/>
      <c r="B65" s="31">
        <v>44</v>
      </c>
      <c r="C65" s="32"/>
      <c r="D65" s="32"/>
      <c r="E65" s="32" t="s">
        <v>134</v>
      </c>
      <c r="F65" s="32"/>
      <c r="G65" s="32"/>
      <c r="H65" s="2029"/>
      <c r="I65" s="2029"/>
      <c r="J65" s="2030"/>
      <c r="K65" s="2028"/>
      <c r="L65" s="2029"/>
      <c r="M65" s="2030"/>
      <c r="N65" s="2028"/>
      <c r="O65" s="2029"/>
      <c r="P65" s="2030"/>
      <c r="Q65" s="2028"/>
      <c r="R65" s="2030"/>
      <c r="S65" s="2010"/>
      <c r="T65" s="2011"/>
      <c r="U65" s="2014"/>
      <c r="V65" s="2015"/>
      <c r="W65" s="1519"/>
      <c r="X65" s="1520"/>
      <c r="Y65" s="1520"/>
      <c r="Z65" s="1520"/>
      <c r="AA65" s="1520"/>
      <c r="AB65" s="1520"/>
      <c r="AC65" s="1520"/>
      <c r="AD65" s="1520"/>
      <c r="AE65" s="1520"/>
      <c r="AF65" s="1520"/>
      <c r="AG65" s="1520"/>
      <c r="AH65" s="1520"/>
      <c r="AI65" s="1520"/>
      <c r="AJ65" s="1520"/>
      <c r="AK65" s="1520"/>
      <c r="AL65" s="1539"/>
      <c r="AM65" s="2006"/>
      <c r="AN65" s="2007"/>
      <c r="AO65" s="2007"/>
      <c r="AP65" s="4"/>
      <c r="AQ65" s="4"/>
      <c r="AR65" s="4"/>
      <c r="AS65" s="4"/>
      <c r="AT65" s="4"/>
      <c r="AU65" s="4"/>
      <c r="AV65" s="4"/>
      <c r="AW65" s="4"/>
      <c r="AX65" s="4"/>
      <c r="AY65" s="4"/>
      <c r="AZ65" s="4"/>
      <c r="BA65" s="4"/>
      <c r="BB65" s="4"/>
      <c r="BC65" s="4"/>
      <c r="BD65" s="4"/>
      <c r="BE65" s="4"/>
      <c r="BF65" s="4"/>
      <c r="BG65" s="4"/>
      <c r="BH65" s="4"/>
    </row>
    <row r="66" spans="1:60" x14ac:dyDescent="0.2">
      <c r="A66" s="4"/>
      <c r="B66" s="31">
        <v>45</v>
      </c>
      <c r="C66" s="32"/>
      <c r="D66" s="32"/>
      <c r="E66" s="32" t="s">
        <v>134</v>
      </c>
      <c r="F66" s="32"/>
      <c r="G66" s="32"/>
      <c r="H66" s="2029"/>
      <c r="I66" s="2029"/>
      <c r="J66" s="2030"/>
      <c r="K66" s="2028"/>
      <c r="L66" s="2029"/>
      <c r="M66" s="2030"/>
      <c r="N66" s="2028"/>
      <c r="O66" s="2029"/>
      <c r="P66" s="2030"/>
      <c r="Q66" s="2028"/>
      <c r="R66" s="2030"/>
      <c r="S66" s="2010"/>
      <c r="T66" s="2011"/>
      <c r="U66" s="2014"/>
      <c r="V66" s="2015"/>
      <c r="W66" s="1519"/>
      <c r="X66" s="1520"/>
      <c r="Y66" s="1520"/>
      <c r="Z66" s="1520"/>
      <c r="AA66" s="1520"/>
      <c r="AB66" s="1520"/>
      <c r="AC66" s="1520"/>
      <c r="AD66" s="1520"/>
      <c r="AE66" s="1520"/>
      <c r="AF66" s="1520"/>
      <c r="AG66" s="1520"/>
      <c r="AH66" s="1520"/>
      <c r="AI66" s="1520"/>
      <c r="AJ66" s="1520"/>
      <c r="AK66" s="1520"/>
      <c r="AL66" s="1539"/>
      <c r="AM66" s="2006"/>
      <c r="AN66" s="2007"/>
      <c r="AO66" s="2007"/>
      <c r="AP66" s="4"/>
      <c r="AQ66" s="4"/>
      <c r="AR66" s="4"/>
      <c r="AS66" s="4"/>
      <c r="AT66" s="4"/>
      <c r="AU66" s="4"/>
      <c r="AV66" s="4"/>
      <c r="AW66" s="4"/>
      <c r="AX66" s="4"/>
      <c r="AY66" s="4"/>
      <c r="AZ66" s="4"/>
      <c r="BA66" s="4"/>
      <c r="BB66" s="4"/>
      <c r="BC66" s="4"/>
      <c r="BD66" s="4"/>
      <c r="BE66" s="4"/>
      <c r="BF66" s="4"/>
      <c r="BG66" s="4"/>
      <c r="BH66" s="4"/>
    </row>
    <row r="67" spans="1:60" x14ac:dyDescent="0.2">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x14ac:dyDescent="0.2">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x14ac:dyDescent="0.2">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x14ac:dyDescent="0.2">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x14ac:dyDescent="0.2">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x14ac:dyDescent="0.2">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x14ac:dyDescent="0.2">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x14ac:dyDescent="0.2">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x14ac:dyDescent="0.2">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x14ac:dyDescent="0.2">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x14ac:dyDescent="0.2">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x14ac:dyDescent="0.2">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5" x14ac:dyDescent="0.25">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2">
      <c r="A81" s="4"/>
      <c r="B81" s="18" t="s">
        <v>114</v>
      </c>
      <c r="C81" s="2008"/>
      <c r="D81" s="2008"/>
      <c r="E81" s="2008" t="s">
        <v>139</v>
      </c>
      <c r="F81" s="2008"/>
      <c r="G81" s="2008"/>
      <c r="H81" s="2008" t="s">
        <v>143</v>
      </c>
      <c r="I81" s="2008"/>
      <c r="J81" s="2008"/>
      <c r="K81" s="2008" t="s">
        <v>119</v>
      </c>
      <c r="L81" s="2008"/>
      <c r="M81" s="2008"/>
      <c r="N81" s="2008" t="s">
        <v>120</v>
      </c>
      <c r="O81" s="2008"/>
      <c r="P81" s="2008"/>
      <c r="Q81" s="2008" t="s">
        <v>121</v>
      </c>
      <c r="R81" s="2008"/>
      <c r="S81" s="2008" t="s">
        <v>122</v>
      </c>
      <c r="T81" s="2008"/>
      <c r="U81" s="2008" t="s">
        <v>146</v>
      </c>
      <c r="V81" s="2008"/>
      <c r="W81" s="2008" t="s">
        <v>148</v>
      </c>
      <c r="X81" s="2008"/>
      <c r="Y81" s="2038" t="s">
        <v>181</v>
      </c>
      <c r="Z81" s="2038"/>
      <c r="AA81" s="2038"/>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9.5" thickBot="1" x14ac:dyDescent="0.4">
      <c r="A82" s="4"/>
      <c r="B82" s="2"/>
      <c r="C82" s="2008"/>
      <c r="D82" s="2008"/>
      <c r="E82" s="2"/>
      <c r="F82" s="2"/>
      <c r="G82" s="2"/>
      <c r="H82" s="2"/>
      <c r="I82" s="2"/>
      <c r="J82" s="2"/>
      <c r="K82" s="2008"/>
      <c r="L82" s="2008"/>
      <c r="M82" s="2008"/>
      <c r="N82" s="2008"/>
      <c r="O82" s="2008"/>
      <c r="P82" s="2008"/>
      <c r="Q82" s="2"/>
      <c r="R82" s="2"/>
      <c r="S82" s="2008" t="s">
        <v>418</v>
      </c>
      <c r="T82" s="2008"/>
      <c r="U82" s="2008" t="s">
        <v>147</v>
      </c>
      <c r="V82" s="2008"/>
      <c r="W82" s="2008" t="s">
        <v>149</v>
      </c>
      <c r="X82" s="2008"/>
      <c r="Y82" s="2038" t="s">
        <v>132</v>
      </c>
      <c r="Z82" s="2038"/>
      <c r="AA82" s="2038"/>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2">
      <c r="A83" s="4"/>
      <c r="B83" s="29">
        <v>51</v>
      </c>
      <c r="C83" s="30"/>
      <c r="D83" s="30"/>
      <c r="E83" s="2025" t="s">
        <v>1702</v>
      </c>
      <c r="F83" s="2026"/>
      <c r="G83" s="2027"/>
      <c r="H83" s="2062" t="s">
        <v>1416</v>
      </c>
      <c r="I83" s="2005"/>
      <c r="J83" s="2063"/>
      <c r="K83" s="2025" t="s">
        <v>1418</v>
      </c>
      <c r="L83" s="2026"/>
      <c r="M83" s="2027"/>
      <c r="N83" s="2025" t="s">
        <v>1417</v>
      </c>
      <c r="O83" s="2026"/>
      <c r="P83" s="2027"/>
      <c r="Q83" s="2025" t="s">
        <v>16</v>
      </c>
      <c r="R83" s="2027"/>
      <c r="S83" s="2056">
        <v>1.0249999999999999</v>
      </c>
      <c r="T83" s="2057"/>
      <c r="U83" s="2025">
        <v>60</v>
      </c>
      <c r="V83" s="2027"/>
      <c r="W83" s="2031">
        <v>48</v>
      </c>
      <c r="X83" s="2070"/>
      <c r="Y83" s="2072">
        <v>98</v>
      </c>
      <c r="Z83" s="2026"/>
      <c r="AA83" s="2073"/>
      <c r="AB83" s="2078">
        <v>55</v>
      </c>
      <c r="AC83" s="2070"/>
      <c r="AD83" s="2072">
        <v>7.36</v>
      </c>
      <c r="AE83" s="2073"/>
      <c r="AF83" s="2072">
        <v>7.0000000000000007E-2</v>
      </c>
      <c r="AG83" s="2073"/>
      <c r="AH83" s="2072" t="s">
        <v>549</v>
      </c>
      <c r="AI83" s="2026"/>
      <c r="AJ83" s="2026"/>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2">
      <c r="A84" s="4"/>
      <c r="B84" s="31">
        <v>52</v>
      </c>
      <c r="C84" s="32"/>
      <c r="D84" s="32"/>
      <c r="E84" s="2028"/>
      <c r="F84" s="2029"/>
      <c r="G84" s="2030"/>
      <c r="H84" s="2064"/>
      <c r="I84" s="2007"/>
      <c r="J84" s="2065"/>
      <c r="K84" s="2028"/>
      <c r="L84" s="2029"/>
      <c r="M84" s="2030"/>
      <c r="N84" s="2028"/>
      <c r="O84" s="2029"/>
      <c r="P84" s="2030"/>
      <c r="Q84" s="2028"/>
      <c r="R84" s="2030"/>
      <c r="S84" s="2010"/>
      <c r="T84" s="2011"/>
      <c r="U84" s="2028"/>
      <c r="V84" s="2030"/>
      <c r="W84" s="2033"/>
      <c r="X84" s="2069"/>
      <c r="Y84" s="2074"/>
      <c r="Z84" s="2029"/>
      <c r="AA84" s="2075"/>
      <c r="AB84" s="2074"/>
      <c r="AC84" s="2075"/>
      <c r="AD84" s="2074"/>
      <c r="AE84" s="2075"/>
      <c r="AF84" s="2074"/>
      <c r="AG84" s="2075"/>
      <c r="AH84" s="2074"/>
      <c r="AI84" s="2029"/>
      <c r="AJ84" s="2029"/>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2">
      <c r="A85" s="4"/>
      <c r="B85" s="42">
        <v>53</v>
      </c>
      <c r="C85" s="43"/>
      <c r="D85" s="43"/>
      <c r="E85" s="2028"/>
      <c r="F85" s="2029"/>
      <c r="G85" s="2030"/>
      <c r="H85" s="2064"/>
      <c r="I85" s="2007"/>
      <c r="J85" s="2065"/>
      <c r="K85" s="2028"/>
      <c r="L85" s="2029"/>
      <c r="M85" s="2030"/>
      <c r="N85" s="2028"/>
      <c r="O85" s="2029"/>
      <c r="P85" s="2030"/>
      <c r="Q85" s="2028"/>
      <c r="R85" s="2030"/>
      <c r="S85" s="2010"/>
      <c r="T85" s="2011"/>
      <c r="U85" s="2028"/>
      <c r="V85" s="2030"/>
      <c r="W85" s="2033"/>
      <c r="X85" s="2069"/>
      <c r="Y85" s="2074"/>
      <c r="Z85" s="2029"/>
      <c r="AA85" s="2075"/>
      <c r="AB85" s="2074"/>
      <c r="AC85" s="2075"/>
      <c r="AD85" s="2074"/>
      <c r="AE85" s="2075"/>
      <c r="AF85" s="2074"/>
      <c r="AG85" s="2075"/>
      <c r="AH85" s="2074"/>
      <c r="AI85" s="2029"/>
      <c r="AJ85" s="2029"/>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2">
      <c r="A86" s="4"/>
      <c r="B86" s="42">
        <v>54</v>
      </c>
      <c r="C86" s="43"/>
      <c r="D86" s="43"/>
      <c r="E86" s="2028"/>
      <c r="F86" s="2029"/>
      <c r="G86" s="2030"/>
      <c r="H86" s="2064"/>
      <c r="I86" s="2007"/>
      <c r="J86" s="2065"/>
      <c r="K86" s="2028"/>
      <c r="L86" s="2029"/>
      <c r="M86" s="2030"/>
      <c r="N86" s="2028"/>
      <c r="O86" s="2029"/>
      <c r="P86" s="2030"/>
      <c r="Q86" s="2028"/>
      <c r="R86" s="2030"/>
      <c r="S86" s="2010"/>
      <c r="T86" s="2011"/>
      <c r="U86" s="2028"/>
      <c r="V86" s="2030"/>
      <c r="W86" s="2033"/>
      <c r="X86" s="2069"/>
      <c r="Y86" s="2074"/>
      <c r="Z86" s="2029"/>
      <c r="AA86" s="2075"/>
      <c r="AB86" s="2074"/>
      <c r="AC86" s="2075"/>
      <c r="AD86" s="2074"/>
      <c r="AE86" s="2075"/>
      <c r="AF86" s="2074"/>
      <c r="AG86" s="2075"/>
      <c r="AH86" s="2074"/>
      <c r="AI86" s="2029"/>
      <c r="AJ86" s="2029"/>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2">
      <c r="A87" s="4"/>
      <c r="B87" s="42">
        <v>55</v>
      </c>
      <c r="C87" s="43"/>
      <c r="D87" s="43"/>
      <c r="E87" s="2028"/>
      <c r="F87" s="2029"/>
      <c r="G87" s="2030"/>
      <c r="H87" s="2064"/>
      <c r="I87" s="2007"/>
      <c r="J87" s="2065"/>
      <c r="K87" s="2028"/>
      <c r="L87" s="2029"/>
      <c r="M87" s="2030"/>
      <c r="N87" s="2028"/>
      <c r="O87" s="2029"/>
      <c r="P87" s="2030"/>
      <c r="Q87" s="2028"/>
      <c r="R87" s="2030"/>
      <c r="S87" s="2010"/>
      <c r="T87" s="2011"/>
      <c r="U87" s="2028"/>
      <c r="V87" s="2030"/>
      <c r="W87" s="2033"/>
      <c r="X87" s="2069"/>
      <c r="Y87" s="2074"/>
      <c r="Z87" s="2029"/>
      <c r="AA87" s="2075"/>
      <c r="AB87" s="2074"/>
      <c r="AC87" s="2075"/>
      <c r="AD87" s="2074"/>
      <c r="AE87" s="2075"/>
      <c r="AF87" s="2074"/>
      <c r="AG87" s="2075"/>
      <c r="AH87" s="2074"/>
      <c r="AI87" s="2029"/>
      <c r="AJ87" s="2029"/>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2">
      <c r="A88" s="4"/>
      <c r="B88" s="42">
        <v>56</v>
      </c>
      <c r="C88" s="43"/>
      <c r="D88" s="43"/>
      <c r="E88" s="2028"/>
      <c r="F88" s="2029"/>
      <c r="G88" s="2030"/>
      <c r="H88" s="2064"/>
      <c r="I88" s="2007"/>
      <c r="J88" s="2065"/>
      <c r="K88" s="2028"/>
      <c r="L88" s="2029"/>
      <c r="M88" s="2030"/>
      <c r="N88" s="2028"/>
      <c r="O88" s="2029"/>
      <c r="P88" s="2030"/>
      <c r="Q88" s="2028"/>
      <c r="R88" s="2030"/>
      <c r="S88" s="2010"/>
      <c r="T88" s="2011"/>
      <c r="U88" s="2028"/>
      <c r="V88" s="2030"/>
      <c r="W88" s="2033"/>
      <c r="X88" s="2069"/>
      <c r="Y88" s="2074"/>
      <c r="Z88" s="2029"/>
      <c r="AA88" s="2075"/>
      <c r="AB88" s="2074"/>
      <c r="AC88" s="2075"/>
      <c r="AD88" s="2074"/>
      <c r="AE88" s="2075"/>
      <c r="AF88" s="2074"/>
      <c r="AG88" s="2075"/>
      <c r="AH88" s="2074"/>
      <c r="AI88" s="2029"/>
      <c r="AJ88" s="2029"/>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2">
      <c r="A89" s="4"/>
      <c r="B89" s="42">
        <v>57</v>
      </c>
      <c r="C89" s="43"/>
      <c r="D89" s="43"/>
      <c r="E89" s="2028"/>
      <c r="F89" s="2029"/>
      <c r="G89" s="2030"/>
      <c r="H89" s="2064"/>
      <c r="I89" s="2007"/>
      <c r="J89" s="2065"/>
      <c r="K89" s="2028"/>
      <c r="L89" s="2029"/>
      <c r="M89" s="2030"/>
      <c r="N89" s="2028"/>
      <c r="O89" s="2029"/>
      <c r="P89" s="2030"/>
      <c r="Q89" s="2028"/>
      <c r="R89" s="2030"/>
      <c r="S89" s="2010"/>
      <c r="T89" s="2011"/>
      <c r="U89" s="2028"/>
      <c r="V89" s="2030"/>
      <c r="W89" s="2033"/>
      <c r="X89" s="2069"/>
      <c r="Y89" s="2074"/>
      <c r="Z89" s="2029"/>
      <c r="AA89" s="2075"/>
      <c r="AB89" s="2074"/>
      <c r="AC89" s="2075"/>
      <c r="AD89" s="2074"/>
      <c r="AE89" s="2075"/>
      <c r="AF89" s="2074"/>
      <c r="AG89" s="2075"/>
      <c r="AH89" s="2074"/>
      <c r="AI89" s="2029"/>
      <c r="AJ89" s="2029"/>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2">
      <c r="A90" s="4"/>
      <c r="B90" s="42">
        <v>58</v>
      </c>
      <c r="C90" s="43"/>
      <c r="D90" s="43"/>
      <c r="E90" s="2028"/>
      <c r="F90" s="2029"/>
      <c r="G90" s="2030"/>
      <c r="H90" s="2064"/>
      <c r="I90" s="2007"/>
      <c r="J90" s="2065"/>
      <c r="K90" s="2028"/>
      <c r="L90" s="2029"/>
      <c r="M90" s="2030"/>
      <c r="N90" s="2028"/>
      <c r="O90" s="2029"/>
      <c r="P90" s="2030"/>
      <c r="Q90" s="2028"/>
      <c r="R90" s="2030"/>
      <c r="S90" s="2010"/>
      <c r="T90" s="2011"/>
      <c r="U90" s="2028"/>
      <c r="V90" s="2030"/>
      <c r="W90" s="2033"/>
      <c r="X90" s="2069"/>
      <c r="Y90" s="2074"/>
      <c r="Z90" s="2029"/>
      <c r="AA90" s="2075"/>
      <c r="AB90" s="2074"/>
      <c r="AC90" s="2075"/>
      <c r="AD90" s="2074"/>
      <c r="AE90" s="2075"/>
      <c r="AF90" s="2074"/>
      <c r="AG90" s="2075"/>
      <c r="AH90" s="2074"/>
      <c r="AI90" s="2029"/>
      <c r="AJ90" s="2029"/>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2">
      <c r="A91" s="4"/>
      <c r="B91" s="42">
        <v>59</v>
      </c>
      <c r="C91" s="43"/>
      <c r="D91" s="43"/>
      <c r="E91" s="2028"/>
      <c r="F91" s="2029"/>
      <c r="G91" s="2030"/>
      <c r="H91" s="2064"/>
      <c r="I91" s="2007"/>
      <c r="J91" s="2065"/>
      <c r="K91" s="2028"/>
      <c r="L91" s="2029"/>
      <c r="M91" s="2030"/>
      <c r="N91" s="2028"/>
      <c r="O91" s="2029"/>
      <c r="P91" s="2030"/>
      <c r="Q91" s="2028"/>
      <c r="R91" s="2030"/>
      <c r="S91" s="2010"/>
      <c r="T91" s="2011"/>
      <c r="U91" s="2028"/>
      <c r="V91" s="2030"/>
      <c r="W91" s="2033"/>
      <c r="X91" s="2069"/>
      <c r="Y91" s="2074"/>
      <c r="Z91" s="2029"/>
      <c r="AA91" s="2075"/>
      <c r="AB91" s="2074"/>
      <c r="AC91" s="2075"/>
      <c r="AD91" s="2074"/>
      <c r="AE91" s="2075"/>
      <c r="AF91" s="2074"/>
      <c r="AG91" s="2075"/>
      <c r="AH91" s="2074"/>
      <c r="AI91" s="2029"/>
      <c r="AJ91" s="2029"/>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2">
      <c r="A92" s="4"/>
      <c r="B92" s="42">
        <v>60</v>
      </c>
      <c r="C92" s="43"/>
      <c r="D92" s="43"/>
      <c r="E92" s="2028"/>
      <c r="F92" s="2029"/>
      <c r="G92" s="2030"/>
      <c r="H92" s="2064"/>
      <c r="I92" s="2007"/>
      <c r="J92" s="2065"/>
      <c r="K92" s="2028"/>
      <c r="L92" s="2029"/>
      <c r="M92" s="2030"/>
      <c r="N92" s="2028"/>
      <c r="O92" s="2029"/>
      <c r="P92" s="2030"/>
      <c r="Q92" s="2028"/>
      <c r="R92" s="2030"/>
      <c r="S92" s="2010"/>
      <c r="T92" s="2011"/>
      <c r="U92" s="2028"/>
      <c r="V92" s="2030"/>
      <c r="W92" s="2033"/>
      <c r="X92" s="2069"/>
      <c r="Y92" s="2074"/>
      <c r="Z92" s="2029"/>
      <c r="AA92" s="2075"/>
      <c r="AB92" s="2074"/>
      <c r="AC92" s="2075"/>
      <c r="AD92" s="2074"/>
      <c r="AE92" s="2075"/>
      <c r="AF92" s="2074"/>
      <c r="AG92" s="2075"/>
      <c r="AH92" s="2074"/>
      <c r="AI92" s="2029"/>
      <c r="AJ92" s="2029"/>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2">
      <c r="A93" s="4"/>
      <c r="B93" s="42">
        <v>61</v>
      </c>
      <c r="C93" s="43"/>
      <c r="D93" s="43"/>
      <c r="E93" s="2028"/>
      <c r="F93" s="2029"/>
      <c r="G93" s="2030"/>
      <c r="H93" s="2064"/>
      <c r="I93" s="2007"/>
      <c r="J93" s="2065"/>
      <c r="K93" s="2028"/>
      <c r="L93" s="2029"/>
      <c r="M93" s="2030"/>
      <c r="N93" s="2028"/>
      <c r="O93" s="2029"/>
      <c r="P93" s="2030"/>
      <c r="Q93" s="2028"/>
      <c r="R93" s="2030"/>
      <c r="S93" s="2010"/>
      <c r="T93" s="2011"/>
      <c r="U93" s="2028"/>
      <c r="V93" s="2030"/>
      <c r="W93" s="2033"/>
      <c r="X93" s="2069"/>
      <c r="Y93" s="2074"/>
      <c r="Z93" s="2029"/>
      <c r="AA93" s="2075"/>
      <c r="AB93" s="2074"/>
      <c r="AC93" s="2075"/>
      <c r="AD93" s="2074"/>
      <c r="AE93" s="2075"/>
      <c r="AF93" s="2074"/>
      <c r="AG93" s="2075"/>
      <c r="AH93" s="2074"/>
      <c r="AI93" s="2029"/>
      <c r="AJ93" s="2029"/>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2">
      <c r="A94" s="4"/>
      <c r="B94" s="42">
        <v>62</v>
      </c>
      <c r="C94" s="43"/>
      <c r="D94" s="43"/>
      <c r="E94" s="2028"/>
      <c r="F94" s="2029"/>
      <c r="G94" s="2030"/>
      <c r="H94" s="2064"/>
      <c r="I94" s="2007"/>
      <c r="J94" s="2065"/>
      <c r="K94" s="2028"/>
      <c r="L94" s="2029"/>
      <c r="M94" s="2030"/>
      <c r="N94" s="2028"/>
      <c r="O94" s="2029"/>
      <c r="P94" s="2030"/>
      <c r="Q94" s="2028"/>
      <c r="R94" s="2030"/>
      <c r="S94" s="2010"/>
      <c r="T94" s="2011"/>
      <c r="U94" s="2028"/>
      <c r="V94" s="2030"/>
      <c r="W94" s="2033"/>
      <c r="X94" s="2069"/>
      <c r="Y94" s="2074"/>
      <c r="Z94" s="2029"/>
      <c r="AA94" s="2075"/>
      <c r="AB94" s="2074"/>
      <c r="AC94" s="2075"/>
      <c r="AD94" s="2074"/>
      <c r="AE94" s="2075"/>
      <c r="AF94" s="2074"/>
      <c r="AG94" s="2075"/>
      <c r="AH94" s="2074"/>
      <c r="AI94" s="2029"/>
      <c r="AJ94" s="2029"/>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2">
      <c r="A95" s="4"/>
      <c r="B95" s="42">
        <v>63</v>
      </c>
      <c r="C95" s="43"/>
      <c r="D95" s="43"/>
      <c r="E95" s="2028"/>
      <c r="F95" s="2029"/>
      <c r="G95" s="2030"/>
      <c r="H95" s="2064"/>
      <c r="I95" s="2007"/>
      <c r="J95" s="2065"/>
      <c r="K95" s="2028"/>
      <c r="L95" s="2029"/>
      <c r="M95" s="2030"/>
      <c r="N95" s="2028"/>
      <c r="O95" s="2029"/>
      <c r="P95" s="2030"/>
      <c r="Q95" s="2028"/>
      <c r="R95" s="2030"/>
      <c r="S95" s="2010"/>
      <c r="T95" s="2011"/>
      <c r="U95" s="2028"/>
      <c r="V95" s="2030"/>
      <c r="W95" s="2033"/>
      <c r="X95" s="2069"/>
      <c r="Y95" s="2074"/>
      <c r="Z95" s="2029"/>
      <c r="AA95" s="2075"/>
      <c r="AB95" s="2074"/>
      <c r="AC95" s="2075"/>
      <c r="AD95" s="2074"/>
      <c r="AE95" s="2075"/>
      <c r="AF95" s="2074"/>
      <c r="AG95" s="2075"/>
      <c r="AH95" s="2074"/>
      <c r="AI95" s="2029"/>
      <c r="AJ95" s="2029"/>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2">
      <c r="A96" s="4"/>
      <c r="B96" s="42">
        <v>64</v>
      </c>
      <c r="C96" s="43"/>
      <c r="D96" s="43"/>
      <c r="E96" s="2028"/>
      <c r="F96" s="2029"/>
      <c r="G96" s="2030"/>
      <c r="H96" s="2064"/>
      <c r="I96" s="2007"/>
      <c r="J96" s="2065"/>
      <c r="K96" s="2028"/>
      <c r="L96" s="2029"/>
      <c r="M96" s="2030"/>
      <c r="N96" s="2028"/>
      <c r="O96" s="2029"/>
      <c r="P96" s="2030"/>
      <c r="Q96" s="2028"/>
      <c r="R96" s="2030"/>
      <c r="S96" s="2010"/>
      <c r="T96" s="2011"/>
      <c r="U96" s="2028"/>
      <c r="V96" s="2030"/>
      <c r="W96" s="2033"/>
      <c r="X96" s="2069"/>
      <c r="Y96" s="2074"/>
      <c r="Z96" s="2029"/>
      <c r="AA96" s="2075"/>
      <c r="AB96" s="2074"/>
      <c r="AC96" s="2075"/>
      <c r="AD96" s="1521"/>
      <c r="AE96" s="1521"/>
      <c r="AF96" s="2074"/>
      <c r="AG96" s="2075"/>
      <c r="AH96" s="2074"/>
      <c r="AI96" s="2029"/>
      <c r="AJ96" s="2029"/>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2">
      <c r="A97" s="4"/>
      <c r="B97" s="42">
        <v>65</v>
      </c>
      <c r="C97" s="43"/>
      <c r="D97" s="43"/>
      <c r="E97" s="2028"/>
      <c r="F97" s="2029"/>
      <c r="G97" s="2030"/>
      <c r="H97" s="2064"/>
      <c r="I97" s="2007"/>
      <c r="J97" s="2065"/>
      <c r="K97" s="2028"/>
      <c r="L97" s="2029"/>
      <c r="M97" s="2030"/>
      <c r="N97" s="2028"/>
      <c r="O97" s="2029"/>
      <c r="P97" s="2030"/>
      <c r="Q97" s="2028"/>
      <c r="R97" s="2030"/>
      <c r="S97" s="2010"/>
      <c r="T97" s="2011"/>
      <c r="U97" s="2028"/>
      <c r="V97" s="2030"/>
      <c r="W97" s="2033"/>
      <c r="X97" s="2069"/>
      <c r="Y97" s="2074"/>
      <c r="Z97" s="2029"/>
      <c r="AA97" s="2075"/>
      <c r="AB97" s="2074"/>
      <c r="AC97" s="2075"/>
      <c r="AD97" s="2074"/>
      <c r="AE97" s="2075"/>
      <c r="AF97" s="2074"/>
      <c r="AG97" s="2075"/>
      <c r="AH97" s="2074"/>
      <c r="AI97" s="2029"/>
      <c r="AJ97" s="2029"/>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2">
      <c r="A98" s="4"/>
      <c r="B98" s="42">
        <v>66</v>
      </c>
      <c r="C98" s="43"/>
      <c r="D98" s="43"/>
      <c r="E98" s="2028"/>
      <c r="F98" s="2029"/>
      <c r="G98" s="2030"/>
      <c r="H98" s="2064"/>
      <c r="I98" s="2007"/>
      <c r="J98" s="2065"/>
      <c r="K98" s="2028"/>
      <c r="L98" s="2029"/>
      <c r="M98" s="2030"/>
      <c r="N98" s="2028"/>
      <c r="O98" s="2029"/>
      <c r="P98" s="2030"/>
      <c r="Q98" s="2028"/>
      <c r="R98" s="2030"/>
      <c r="S98" s="2010"/>
      <c r="T98" s="2011"/>
      <c r="U98" s="2028"/>
      <c r="V98" s="2030"/>
      <c r="W98" s="2033"/>
      <c r="X98" s="2069"/>
      <c r="Y98" s="2074"/>
      <c r="Z98" s="2029"/>
      <c r="AA98" s="2075"/>
      <c r="AB98" s="2074"/>
      <c r="AC98" s="2075"/>
      <c r="AD98" s="2074"/>
      <c r="AE98" s="2075"/>
      <c r="AF98" s="2074"/>
      <c r="AG98" s="2075"/>
      <c r="AH98" s="2074"/>
      <c r="AI98" s="2029"/>
      <c r="AJ98" s="2029"/>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2">
      <c r="A99" s="4"/>
      <c r="B99" s="42">
        <v>67</v>
      </c>
      <c r="C99" s="43"/>
      <c r="D99" s="43"/>
      <c r="E99" s="2028"/>
      <c r="F99" s="2029"/>
      <c r="G99" s="2030"/>
      <c r="H99" s="2064"/>
      <c r="I99" s="2007"/>
      <c r="J99" s="2065"/>
      <c r="K99" s="2028"/>
      <c r="L99" s="2029"/>
      <c r="M99" s="2030"/>
      <c r="N99" s="2028"/>
      <c r="O99" s="2029"/>
      <c r="P99" s="2030"/>
      <c r="Q99" s="2028"/>
      <c r="R99" s="2030"/>
      <c r="S99" s="2010"/>
      <c r="T99" s="2011"/>
      <c r="U99" s="2028"/>
      <c r="V99" s="2030"/>
      <c r="W99" s="2033"/>
      <c r="X99" s="2069"/>
      <c r="Y99" s="2074"/>
      <c r="Z99" s="2029"/>
      <c r="AA99" s="2075"/>
      <c r="AB99" s="2074"/>
      <c r="AC99" s="2075"/>
      <c r="AD99" s="2074"/>
      <c r="AE99" s="2075"/>
      <c r="AF99" s="2074"/>
      <c r="AG99" s="2075"/>
      <c r="AH99" s="2074"/>
      <c r="AI99" s="2029"/>
      <c r="AJ99" s="2029"/>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2">
      <c r="A100" s="4"/>
      <c r="B100" s="42">
        <v>68</v>
      </c>
      <c r="C100" s="43"/>
      <c r="D100" s="43"/>
      <c r="E100" s="2028"/>
      <c r="F100" s="2029"/>
      <c r="G100" s="2030"/>
      <c r="H100" s="2064"/>
      <c r="I100" s="2007"/>
      <c r="J100" s="2065"/>
      <c r="K100" s="2028"/>
      <c r="L100" s="2029"/>
      <c r="M100" s="2030"/>
      <c r="N100" s="2028"/>
      <c r="O100" s="2029"/>
      <c r="P100" s="2030"/>
      <c r="Q100" s="2028"/>
      <c r="R100" s="2030"/>
      <c r="S100" s="2010"/>
      <c r="T100" s="2011"/>
      <c r="U100" s="2028"/>
      <c r="V100" s="2030"/>
      <c r="W100" s="2033"/>
      <c r="X100" s="2069"/>
      <c r="Y100" s="2074"/>
      <c r="Z100" s="2029"/>
      <c r="AA100" s="2075"/>
      <c r="AB100" s="2074"/>
      <c r="AC100" s="2075"/>
      <c r="AD100" s="2074"/>
      <c r="AE100" s="2075"/>
      <c r="AF100" s="2074"/>
      <c r="AG100" s="2075"/>
      <c r="AH100" s="2074"/>
      <c r="AI100" s="2029"/>
      <c r="AJ100" s="2029"/>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2">
      <c r="A101" s="4"/>
      <c r="B101" s="42">
        <v>69</v>
      </c>
      <c r="C101" s="43"/>
      <c r="D101" s="43"/>
      <c r="E101" s="2028"/>
      <c r="F101" s="2029"/>
      <c r="G101" s="2030"/>
      <c r="H101" s="2064"/>
      <c r="I101" s="2007"/>
      <c r="J101" s="2065"/>
      <c r="K101" s="2028"/>
      <c r="L101" s="2029"/>
      <c r="M101" s="2030"/>
      <c r="N101" s="2028"/>
      <c r="O101" s="2029"/>
      <c r="P101" s="2030"/>
      <c r="Q101" s="2028"/>
      <c r="R101" s="2030"/>
      <c r="S101" s="2010"/>
      <c r="T101" s="2011"/>
      <c r="U101" s="2028"/>
      <c r="V101" s="2030"/>
      <c r="W101" s="2033"/>
      <c r="X101" s="2069"/>
      <c r="Y101" s="2074"/>
      <c r="Z101" s="2029"/>
      <c r="AA101" s="2075"/>
      <c r="AB101" s="2074"/>
      <c r="AC101" s="2075"/>
      <c r="AD101" s="2074"/>
      <c r="AE101" s="2075"/>
      <c r="AF101" s="2074"/>
      <c r="AG101" s="2075"/>
      <c r="AH101" s="2074"/>
      <c r="AI101" s="2029"/>
      <c r="AJ101" s="2029"/>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2">
      <c r="A102" s="4"/>
      <c r="B102" s="42">
        <v>70</v>
      </c>
      <c r="C102" s="43"/>
      <c r="D102" s="43"/>
      <c r="E102" s="2045"/>
      <c r="F102" s="2046"/>
      <c r="G102" s="2047"/>
      <c r="H102" s="2066"/>
      <c r="I102" s="2067"/>
      <c r="J102" s="2068"/>
      <c r="K102" s="2045"/>
      <c r="L102" s="2046"/>
      <c r="M102" s="2047"/>
      <c r="N102" s="2045"/>
      <c r="O102" s="2046"/>
      <c r="P102" s="2047"/>
      <c r="Q102" s="2045"/>
      <c r="R102" s="2047"/>
      <c r="S102" s="2060"/>
      <c r="T102" s="2061"/>
      <c r="U102" s="2045"/>
      <c r="V102" s="2047"/>
      <c r="W102" s="2035"/>
      <c r="X102" s="2071"/>
      <c r="Y102" s="2076"/>
      <c r="Z102" s="2046"/>
      <c r="AA102" s="2077"/>
      <c r="AB102" s="2076"/>
      <c r="AC102" s="2077"/>
      <c r="AD102" s="2076"/>
      <c r="AE102" s="2077"/>
      <c r="AF102" s="2076"/>
      <c r="AG102" s="2077"/>
      <c r="AH102" s="2076"/>
      <c r="AI102" s="2046"/>
      <c r="AJ102" s="2046"/>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2">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2">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2">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2">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2">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x14ac:dyDescent="0.2">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x14ac:dyDescent="0.2">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x14ac:dyDescent="0.2">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2">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2">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2">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2">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2">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ht="15" x14ac:dyDescent="0.25">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2">
      <c r="A118" s="4"/>
      <c r="B118" s="18" t="s">
        <v>114</v>
      </c>
      <c r="C118" s="2008"/>
      <c r="D118" s="2008"/>
      <c r="E118" s="2008" t="s">
        <v>131</v>
      </c>
      <c r="F118" s="2008"/>
      <c r="G118" s="2008"/>
      <c r="H118" s="2008" t="s">
        <v>256</v>
      </c>
      <c r="I118" s="2008"/>
      <c r="J118" s="2008"/>
      <c r="K118" s="2008" t="s">
        <v>257</v>
      </c>
      <c r="L118" s="2008"/>
      <c r="M118" s="2008"/>
      <c r="N118" s="2008" t="s">
        <v>173</v>
      </c>
      <c r="O118" s="2008"/>
      <c r="P118" s="2" t="s">
        <v>859</v>
      </c>
      <c r="Q118" s="18"/>
      <c r="R118" s="18"/>
      <c r="S118" s="143" t="s">
        <v>863</v>
      </c>
      <c r="T118" s="143"/>
      <c r="U118" s="2008" t="s">
        <v>121</v>
      </c>
      <c r="V118" s="2008"/>
      <c r="W118" s="2009" t="s">
        <v>122</v>
      </c>
      <c r="X118" s="2009"/>
      <c r="Y118" s="2009" t="s">
        <v>122</v>
      </c>
      <c r="Z118" s="2009"/>
      <c r="AA118" s="2009" t="s">
        <v>122</v>
      </c>
      <c r="AB118" s="2009"/>
      <c r="AC118" s="2008" t="s">
        <v>183</v>
      </c>
      <c r="AD118" s="2008"/>
      <c r="AE118" s="2008" t="s">
        <v>146</v>
      </c>
      <c r="AF118" s="2008"/>
      <c r="AG118" s="2008" t="s">
        <v>148</v>
      </c>
      <c r="AH118" s="2008"/>
      <c r="AI118" s="2008" t="s">
        <v>133</v>
      </c>
      <c r="AJ118" s="2008"/>
      <c r="AK118" s="2008" t="s">
        <v>127</v>
      </c>
      <c r="AL118" s="2008"/>
      <c r="AM118" s="2008"/>
      <c r="AN118" s="2008"/>
      <c r="AO118" s="2008"/>
      <c r="AP118" s="2008"/>
      <c r="AQ118" s="2008"/>
      <c r="AR118" s="2008"/>
      <c r="AS118" s="2008"/>
      <c r="AT118" s="2008"/>
      <c r="AU118" s="2008"/>
      <c r="AV118" s="2008"/>
      <c r="AW118" s="2008"/>
      <c r="AX118" s="2008"/>
      <c r="AY118" s="2008"/>
      <c r="AZ118" s="2008"/>
      <c r="BA118" s="2008" t="s">
        <v>199</v>
      </c>
      <c r="BB118" s="2008"/>
      <c r="BC118" s="2008"/>
      <c r="BD118" s="2008"/>
      <c r="BE118" s="2008" t="s">
        <v>179</v>
      </c>
      <c r="BF118" s="2008"/>
      <c r="BG118" s="2008"/>
      <c r="BH118" s="4"/>
    </row>
    <row r="119" spans="1:60" ht="18.75" x14ac:dyDescent="0.35">
      <c r="A119" s="4"/>
      <c r="B119" s="18"/>
      <c r="C119" s="2008"/>
      <c r="D119" s="2008"/>
      <c r="E119" s="2"/>
      <c r="F119" s="2"/>
      <c r="G119" s="2"/>
      <c r="H119" s="2008" t="s">
        <v>258</v>
      </c>
      <c r="I119" s="2008"/>
      <c r="J119" s="2008"/>
      <c r="K119" s="2008" t="s">
        <v>258</v>
      </c>
      <c r="L119" s="2008"/>
      <c r="M119" s="2008"/>
      <c r="N119" s="2"/>
      <c r="O119" s="2"/>
      <c r="P119" s="18" t="s">
        <v>861</v>
      </c>
      <c r="Q119" s="18" t="s">
        <v>860</v>
      </c>
      <c r="R119" s="2"/>
      <c r="S119" s="143" t="s">
        <v>864</v>
      </c>
      <c r="T119" s="143"/>
      <c r="U119" s="2"/>
      <c r="V119" s="2"/>
      <c r="W119" s="2009" t="s">
        <v>186</v>
      </c>
      <c r="X119" s="2009"/>
      <c r="Y119" s="2009" t="s">
        <v>174</v>
      </c>
      <c r="Z119" s="2009"/>
      <c r="AA119" s="2009" t="s">
        <v>175</v>
      </c>
      <c r="AB119" s="2009"/>
      <c r="AC119" s="2008" t="s">
        <v>184</v>
      </c>
      <c r="AD119" s="2008"/>
      <c r="AE119" s="2008" t="s">
        <v>103</v>
      </c>
      <c r="AF119" s="2008"/>
      <c r="AG119" s="2008" t="s">
        <v>149</v>
      </c>
      <c r="AH119" s="2008"/>
      <c r="AI119" s="2008" t="s">
        <v>178</v>
      </c>
      <c r="AJ119" s="2008"/>
      <c r="AK119" s="18"/>
      <c r="AL119" s="18"/>
      <c r="AM119" s="18"/>
      <c r="AN119" s="18"/>
      <c r="AO119" s="18"/>
      <c r="AP119" s="18"/>
      <c r="AQ119" s="18"/>
      <c r="AR119" s="18"/>
      <c r="AS119" s="18"/>
      <c r="AT119" s="18"/>
      <c r="AU119" s="18"/>
      <c r="AV119" s="18"/>
      <c r="AW119" s="18"/>
      <c r="AX119" s="18"/>
      <c r="AY119" s="18"/>
      <c r="AZ119" s="18"/>
      <c r="BA119" s="2"/>
      <c r="BB119" s="2"/>
      <c r="BC119" s="2"/>
      <c r="BD119" s="2"/>
      <c r="BE119" s="2008" t="s">
        <v>180</v>
      </c>
      <c r="BF119" s="2008"/>
      <c r="BG119" s="2008"/>
      <c r="BH119" s="4"/>
    </row>
    <row r="120" spans="1:60" ht="15" thickBot="1" x14ac:dyDescent="0.25">
      <c r="A120" s="4"/>
      <c r="B120" s="18"/>
      <c r="C120" s="2008"/>
      <c r="D120" s="2008"/>
      <c r="E120" s="2"/>
      <c r="F120" s="2"/>
      <c r="G120" s="2"/>
      <c r="H120" s="2"/>
      <c r="I120" s="2"/>
      <c r="J120" s="2"/>
      <c r="K120" s="2"/>
      <c r="L120" s="2"/>
      <c r="M120" s="2"/>
      <c r="N120" s="2"/>
      <c r="O120" s="2"/>
      <c r="P120" s="828" t="s">
        <v>862</v>
      </c>
      <c r="Q120" s="2"/>
      <c r="R120" s="2"/>
      <c r="S120" s="2"/>
      <c r="T120" s="2"/>
      <c r="U120" s="2"/>
      <c r="V120" s="2"/>
      <c r="W120" s="2008" t="s">
        <v>418</v>
      </c>
      <c r="X120" s="2008"/>
      <c r="Y120" s="2008" t="s">
        <v>418</v>
      </c>
      <c r="Z120" s="2008"/>
      <c r="AA120" s="2008" t="s">
        <v>418</v>
      </c>
      <c r="AB120" s="2008"/>
      <c r="AC120" s="2008" t="s">
        <v>185</v>
      </c>
      <c r="AD120" s="2008"/>
      <c r="AE120" s="2008" t="s">
        <v>147</v>
      </c>
      <c r="AF120" s="2008"/>
      <c r="AG120" s="2008"/>
      <c r="AH120" s="2008"/>
      <c r="AI120" s="2008" t="s">
        <v>132</v>
      </c>
      <c r="AJ120" s="2008"/>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2">
      <c r="A121" s="4"/>
      <c r="B121" s="29">
        <v>71</v>
      </c>
      <c r="C121" s="30"/>
      <c r="D121" s="30"/>
      <c r="E121" s="35" t="s">
        <v>177</v>
      </c>
      <c r="F121" s="30"/>
      <c r="G121" s="36"/>
      <c r="H121" s="2025" t="s">
        <v>1666</v>
      </c>
      <c r="I121" s="2026"/>
      <c r="J121" s="2027"/>
      <c r="K121" s="2025" t="s">
        <v>259</v>
      </c>
      <c r="L121" s="2026"/>
      <c r="M121" s="2027"/>
      <c r="N121" s="1504" t="s">
        <v>937</v>
      </c>
      <c r="O121" s="1522"/>
      <c r="P121" s="1523" t="s">
        <v>857</v>
      </c>
      <c r="Q121" s="1524" t="s">
        <v>858</v>
      </c>
      <c r="R121" s="1525"/>
      <c r="S121" s="1504" t="s">
        <v>865</v>
      </c>
      <c r="T121" s="1522"/>
      <c r="U121" s="2025" t="s">
        <v>16</v>
      </c>
      <c r="V121" s="2027"/>
      <c r="W121" s="2056">
        <v>2.4500000000000002</v>
      </c>
      <c r="X121" s="2057"/>
      <c r="Y121" s="2056">
        <f>berekeningen!W49</f>
        <v>2.6416804407713501</v>
      </c>
      <c r="Z121" s="2057"/>
      <c r="AA121" s="2056">
        <v>1.03</v>
      </c>
      <c r="AB121" s="2057"/>
      <c r="AC121" s="2031">
        <v>5</v>
      </c>
      <c r="AD121" s="2032"/>
      <c r="AE121" s="2084">
        <v>25</v>
      </c>
      <c r="AF121" s="2085"/>
      <c r="AG121" s="2090">
        <v>48</v>
      </c>
      <c r="AH121" s="2091"/>
      <c r="AI121" s="2012">
        <v>29</v>
      </c>
      <c r="AJ121" s="2013"/>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25" t="s">
        <v>394</v>
      </c>
      <c r="BB121" s="2026"/>
      <c r="BC121" s="2026"/>
      <c r="BD121" s="2027"/>
      <c r="BE121" s="2025" t="s">
        <v>247</v>
      </c>
      <c r="BF121" s="2026"/>
      <c r="BG121" s="2026"/>
      <c r="BH121" s="4"/>
    </row>
    <row r="122" spans="1:60" x14ac:dyDescent="0.2">
      <c r="A122" s="4"/>
      <c r="B122" s="47">
        <v>72</v>
      </c>
      <c r="C122" s="49"/>
      <c r="D122" s="49"/>
      <c r="E122" s="38" t="s">
        <v>177</v>
      </c>
      <c r="F122" s="49"/>
      <c r="G122" s="99"/>
      <c r="H122" s="2028"/>
      <c r="I122" s="2029"/>
      <c r="J122" s="2030"/>
      <c r="K122" s="2028"/>
      <c r="L122" s="2029"/>
      <c r="M122" s="2030"/>
      <c r="N122" s="1527" t="s">
        <v>937</v>
      </c>
      <c r="O122" s="1528"/>
      <c r="P122" s="1529"/>
      <c r="Q122" s="1530"/>
      <c r="R122" s="1531"/>
      <c r="S122" s="1527"/>
      <c r="T122" s="1528"/>
      <c r="U122" s="2028"/>
      <c r="V122" s="2030"/>
      <c r="W122" s="2010">
        <v>2.4500000000000002</v>
      </c>
      <c r="X122" s="2011"/>
      <c r="Y122" s="2010">
        <f>berekeningen!W50</f>
        <v>2.6416804407713501</v>
      </c>
      <c r="Z122" s="2011"/>
      <c r="AA122" s="2010">
        <v>1.03</v>
      </c>
      <c r="AB122" s="2011"/>
      <c r="AC122" s="2033">
        <v>5</v>
      </c>
      <c r="AD122" s="2083"/>
      <c r="AE122" s="2079"/>
      <c r="AF122" s="2080"/>
      <c r="AG122" s="2092"/>
      <c r="AH122" s="2093"/>
      <c r="AI122" s="2014"/>
      <c r="AJ122" s="2015"/>
      <c r="AK122" s="1532"/>
      <c r="AL122" s="1533"/>
      <c r="AM122" s="1533"/>
      <c r="AN122" s="1533"/>
      <c r="AO122" s="1533"/>
      <c r="AP122" s="1533"/>
      <c r="AQ122" s="1533"/>
      <c r="AR122" s="1533"/>
      <c r="AS122" s="1533"/>
      <c r="AT122" s="1533"/>
      <c r="AU122" s="1533"/>
      <c r="AV122" s="1533"/>
      <c r="AW122" s="1533"/>
      <c r="AX122" s="1533"/>
      <c r="AY122" s="1533"/>
      <c r="AZ122" s="1534"/>
      <c r="BA122" s="2028"/>
      <c r="BB122" s="2029"/>
      <c r="BC122" s="2029"/>
      <c r="BD122" s="2030"/>
      <c r="BE122" s="2028"/>
      <c r="BF122" s="2029"/>
      <c r="BG122" s="2029"/>
      <c r="BH122" s="4"/>
    </row>
    <row r="123" spans="1:60" x14ac:dyDescent="0.2">
      <c r="A123" s="4"/>
      <c r="B123" s="47">
        <v>73</v>
      </c>
      <c r="C123" s="49"/>
      <c r="D123" s="49"/>
      <c r="E123" s="38" t="s">
        <v>177</v>
      </c>
      <c r="F123" s="49"/>
      <c r="G123" s="99"/>
      <c r="H123" s="2028"/>
      <c r="I123" s="2029"/>
      <c r="J123" s="2030"/>
      <c r="K123" s="2028"/>
      <c r="L123" s="2029"/>
      <c r="M123" s="2030"/>
      <c r="N123" s="1527" t="s">
        <v>937</v>
      </c>
      <c r="O123" s="1528"/>
      <c r="P123" s="1529"/>
      <c r="Q123" s="1530"/>
      <c r="R123" s="1531"/>
      <c r="S123" s="1527"/>
      <c r="T123" s="1528"/>
      <c r="U123" s="2028"/>
      <c r="V123" s="2030"/>
      <c r="W123" s="2010"/>
      <c r="X123" s="2011"/>
      <c r="Y123" s="2010" t="str">
        <f>berekeningen!W51</f>
        <v/>
      </c>
      <c r="Z123" s="2011"/>
      <c r="AA123" s="2010"/>
      <c r="AB123" s="2011"/>
      <c r="AC123" s="2033"/>
      <c r="AD123" s="2083"/>
      <c r="AE123" s="2079"/>
      <c r="AF123" s="2080"/>
      <c r="AG123" s="2092"/>
      <c r="AH123" s="2093"/>
      <c r="AI123" s="2014"/>
      <c r="AJ123" s="2015"/>
      <c r="AK123" s="1532"/>
      <c r="AL123" s="1533"/>
      <c r="AM123" s="1533"/>
      <c r="AN123" s="1533"/>
      <c r="AO123" s="1533"/>
      <c r="AP123" s="1533"/>
      <c r="AQ123" s="1533"/>
      <c r="AR123" s="1533"/>
      <c r="AS123" s="1533"/>
      <c r="AT123" s="1533"/>
      <c r="AU123" s="1533"/>
      <c r="AV123" s="1533"/>
      <c r="AW123" s="1533"/>
      <c r="AX123" s="1533"/>
      <c r="AY123" s="1533"/>
      <c r="AZ123" s="1534"/>
      <c r="BA123" s="2028"/>
      <c r="BB123" s="2029"/>
      <c r="BC123" s="2029"/>
      <c r="BD123" s="2030"/>
      <c r="BE123" s="2028"/>
      <c r="BF123" s="2029"/>
      <c r="BG123" s="2029"/>
      <c r="BH123" s="4"/>
    </row>
    <row r="124" spans="1:60" x14ac:dyDescent="0.2">
      <c r="A124" s="4"/>
      <c r="B124" s="47">
        <v>74</v>
      </c>
      <c r="C124" s="49"/>
      <c r="D124" s="49"/>
      <c r="E124" s="38" t="s">
        <v>177</v>
      </c>
      <c r="F124" s="49"/>
      <c r="G124" s="99"/>
      <c r="H124" s="2028"/>
      <c r="I124" s="2029"/>
      <c r="J124" s="2030"/>
      <c r="K124" s="2028"/>
      <c r="L124" s="2029"/>
      <c r="M124" s="2030"/>
      <c r="N124" s="1527" t="s">
        <v>937</v>
      </c>
      <c r="O124" s="1528"/>
      <c r="P124" s="1529"/>
      <c r="Q124" s="1530"/>
      <c r="R124" s="1531"/>
      <c r="S124" s="1527"/>
      <c r="T124" s="1528"/>
      <c r="U124" s="2028"/>
      <c r="V124" s="2030"/>
      <c r="W124" s="2010"/>
      <c r="X124" s="2011"/>
      <c r="Y124" s="2010" t="str">
        <f>berekeningen!W52</f>
        <v/>
      </c>
      <c r="Z124" s="2011"/>
      <c r="AA124" s="2010"/>
      <c r="AB124" s="2011"/>
      <c r="AC124" s="2033"/>
      <c r="AD124" s="2083"/>
      <c r="AE124" s="2079"/>
      <c r="AF124" s="2080"/>
      <c r="AG124" s="2092"/>
      <c r="AH124" s="2093"/>
      <c r="AI124" s="2014"/>
      <c r="AJ124" s="2015"/>
      <c r="AK124" s="1532"/>
      <c r="AL124" s="1533"/>
      <c r="AM124" s="1533"/>
      <c r="AN124" s="1533"/>
      <c r="AO124" s="1533"/>
      <c r="AP124" s="1533"/>
      <c r="AQ124" s="1533"/>
      <c r="AR124" s="1533"/>
      <c r="AS124" s="1533"/>
      <c r="AT124" s="1533"/>
      <c r="AU124" s="1533"/>
      <c r="AV124" s="1533"/>
      <c r="AW124" s="1533"/>
      <c r="AX124" s="1533"/>
      <c r="AY124" s="1533"/>
      <c r="AZ124" s="1534"/>
      <c r="BA124" s="2028"/>
      <c r="BB124" s="2029"/>
      <c r="BC124" s="2029"/>
      <c r="BD124" s="2030"/>
      <c r="BE124" s="2028"/>
      <c r="BF124" s="2029"/>
      <c r="BG124" s="2029"/>
      <c r="BH124" s="4"/>
    </row>
    <row r="125" spans="1:60" x14ac:dyDescent="0.2">
      <c r="A125" s="4"/>
      <c r="B125" s="47">
        <v>75</v>
      </c>
      <c r="C125" s="49"/>
      <c r="D125" s="49"/>
      <c r="E125" s="38" t="s">
        <v>177</v>
      </c>
      <c r="F125" s="49"/>
      <c r="G125" s="99"/>
      <c r="H125" s="2028"/>
      <c r="I125" s="2029"/>
      <c r="J125" s="2030"/>
      <c r="K125" s="2028"/>
      <c r="L125" s="2029"/>
      <c r="M125" s="2030"/>
      <c r="N125" s="1527" t="s">
        <v>937</v>
      </c>
      <c r="O125" s="1528"/>
      <c r="P125" s="1529"/>
      <c r="Q125" s="1530"/>
      <c r="R125" s="1531"/>
      <c r="S125" s="1527"/>
      <c r="T125" s="1528"/>
      <c r="U125" s="2028"/>
      <c r="V125" s="2030"/>
      <c r="W125" s="2010"/>
      <c r="X125" s="2011"/>
      <c r="Y125" s="2010" t="str">
        <f>berekeningen!W53</f>
        <v/>
      </c>
      <c r="Z125" s="2011"/>
      <c r="AA125" s="2010"/>
      <c r="AB125" s="2011"/>
      <c r="AC125" s="2033"/>
      <c r="AD125" s="2083"/>
      <c r="AE125" s="2079"/>
      <c r="AF125" s="2080"/>
      <c r="AG125" s="2092"/>
      <c r="AH125" s="2093"/>
      <c r="AI125" s="2014"/>
      <c r="AJ125" s="2015"/>
      <c r="AK125" s="1532"/>
      <c r="AL125" s="1533"/>
      <c r="AM125" s="1533"/>
      <c r="AN125" s="1533"/>
      <c r="AO125" s="1533"/>
      <c r="AP125" s="1533"/>
      <c r="AQ125" s="1533"/>
      <c r="AR125" s="1533"/>
      <c r="AS125" s="1533"/>
      <c r="AT125" s="1533"/>
      <c r="AU125" s="1533"/>
      <c r="AV125" s="1533"/>
      <c r="AW125" s="1533"/>
      <c r="AX125" s="1533"/>
      <c r="AY125" s="1533"/>
      <c r="AZ125" s="1534"/>
      <c r="BA125" s="2028"/>
      <c r="BB125" s="2029"/>
      <c r="BC125" s="2029"/>
      <c r="BD125" s="2030"/>
      <c r="BE125" s="2028"/>
      <c r="BF125" s="2029"/>
      <c r="BG125" s="2029"/>
      <c r="BH125" s="4"/>
    </row>
    <row r="126" spans="1:60" x14ac:dyDescent="0.2">
      <c r="A126" s="4"/>
      <c r="B126" s="47">
        <v>76</v>
      </c>
      <c r="C126" s="49"/>
      <c r="D126" s="49"/>
      <c r="E126" s="38" t="s">
        <v>177</v>
      </c>
      <c r="F126" s="49"/>
      <c r="G126" s="99"/>
      <c r="H126" s="2028"/>
      <c r="I126" s="2029"/>
      <c r="J126" s="2030"/>
      <c r="K126" s="2028"/>
      <c r="L126" s="2029"/>
      <c r="M126" s="2030"/>
      <c r="N126" s="1527" t="s">
        <v>937</v>
      </c>
      <c r="O126" s="1528"/>
      <c r="P126" s="1529"/>
      <c r="Q126" s="1530"/>
      <c r="R126" s="1531"/>
      <c r="S126" s="1527"/>
      <c r="T126" s="1528"/>
      <c r="U126" s="2028"/>
      <c r="V126" s="2030"/>
      <c r="W126" s="2010"/>
      <c r="X126" s="2011"/>
      <c r="Y126" s="2010" t="str">
        <f>berekeningen!W54</f>
        <v/>
      </c>
      <c r="Z126" s="2011"/>
      <c r="AA126" s="2010"/>
      <c r="AB126" s="2011"/>
      <c r="AC126" s="2033"/>
      <c r="AD126" s="2083"/>
      <c r="AE126" s="2079"/>
      <c r="AF126" s="2080"/>
      <c r="AG126" s="2092"/>
      <c r="AH126" s="2093"/>
      <c r="AI126" s="2014"/>
      <c r="AJ126" s="2015"/>
      <c r="AK126" s="1532"/>
      <c r="AL126" s="1533"/>
      <c r="AM126" s="1533"/>
      <c r="AN126" s="1533"/>
      <c r="AO126" s="1533"/>
      <c r="AP126" s="1533"/>
      <c r="AQ126" s="1533"/>
      <c r="AR126" s="1533"/>
      <c r="AS126" s="1533"/>
      <c r="AT126" s="1533"/>
      <c r="AU126" s="1533"/>
      <c r="AV126" s="1533"/>
      <c r="AW126" s="1533"/>
      <c r="AX126" s="1533"/>
      <c r="AY126" s="1533"/>
      <c r="AZ126" s="1534"/>
      <c r="BA126" s="2028"/>
      <c r="BB126" s="2029"/>
      <c r="BC126" s="2029"/>
      <c r="BD126" s="2030"/>
      <c r="BE126" s="2028"/>
      <c r="BF126" s="2029"/>
      <c r="BG126" s="2029"/>
      <c r="BH126" s="4"/>
    </row>
    <row r="127" spans="1:60" x14ac:dyDescent="0.2">
      <c r="A127" s="4"/>
      <c r="B127" s="47">
        <v>77</v>
      </c>
      <c r="C127" s="49"/>
      <c r="D127" s="49"/>
      <c r="E127" s="38" t="s">
        <v>177</v>
      </c>
      <c r="F127" s="49"/>
      <c r="G127" s="99"/>
      <c r="H127" s="2028"/>
      <c r="I127" s="2029"/>
      <c r="J127" s="2030"/>
      <c r="K127" s="2028"/>
      <c r="L127" s="2029"/>
      <c r="M127" s="2030"/>
      <c r="N127" s="1527" t="s">
        <v>937</v>
      </c>
      <c r="O127" s="1528"/>
      <c r="P127" s="1529"/>
      <c r="Q127" s="1530"/>
      <c r="R127" s="1531"/>
      <c r="S127" s="1527"/>
      <c r="T127" s="1528"/>
      <c r="U127" s="2028"/>
      <c r="V127" s="2030"/>
      <c r="W127" s="2010"/>
      <c r="X127" s="2011"/>
      <c r="Y127" s="2010" t="str">
        <f>berekeningen!W55</f>
        <v/>
      </c>
      <c r="Z127" s="2011"/>
      <c r="AA127" s="2010"/>
      <c r="AB127" s="2011"/>
      <c r="AC127" s="2033"/>
      <c r="AD127" s="2083"/>
      <c r="AE127" s="2079"/>
      <c r="AF127" s="2080"/>
      <c r="AG127" s="2092"/>
      <c r="AH127" s="2093"/>
      <c r="AI127" s="2014"/>
      <c r="AJ127" s="2015"/>
      <c r="AK127" s="1532"/>
      <c r="AL127" s="1533"/>
      <c r="AM127" s="1533"/>
      <c r="AN127" s="1533"/>
      <c r="AO127" s="1533"/>
      <c r="AP127" s="1533"/>
      <c r="AQ127" s="1533"/>
      <c r="AR127" s="1533"/>
      <c r="AS127" s="1533"/>
      <c r="AT127" s="1533"/>
      <c r="AU127" s="1533"/>
      <c r="AV127" s="1533"/>
      <c r="AW127" s="1533"/>
      <c r="AX127" s="1533"/>
      <c r="AY127" s="1533"/>
      <c r="AZ127" s="1534"/>
      <c r="BA127" s="2028"/>
      <c r="BB127" s="2029"/>
      <c r="BC127" s="2029"/>
      <c r="BD127" s="2030"/>
      <c r="BE127" s="2028"/>
      <c r="BF127" s="2029"/>
      <c r="BG127" s="2029"/>
      <c r="BH127" s="4"/>
    </row>
    <row r="128" spans="1:60" x14ac:dyDescent="0.2">
      <c r="A128" s="4"/>
      <c r="B128" s="31">
        <v>78</v>
      </c>
      <c r="C128" s="32"/>
      <c r="D128" s="32"/>
      <c r="E128" s="38" t="s">
        <v>177</v>
      </c>
      <c r="F128" s="32"/>
      <c r="G128" s="39"/>
      <c r="H128" s="2028"/>
      <c r="I128" s="2029"/>
      <c r="J128" s="2030"/>
      <c r="K128" s="2028"/>
      <c r="L128" s="2029"/>
      <c r="M128" s="2030"/>
      <c r="N128" s="1508" t="s">
        <v>937</v>
      </c>
      <c r="O128" s="1535"/>
      <c r="P128" s="1536"/>
      <c r="Q128" s="1537"/>
      <c r="R128" s="1538"/>
      <c r="S128" s="1508"/>
      <c r="T128" s="1535"/>
      <c r="U128" s="2028"/>
      <c r="V128" s="2030"/>
      <c r="W128" s="2010"/>
      <c r="X128" s="2011"/>
      <c r="Y128" s="2010" t="str">
        <f>berekeningen!W56</f>
        <v/>
      </c>
      <c r="Z128" s="2011"/>
      <c r="AA128" s="2010"/>
      <c r="AB128" s="2011"/>
      <c r="AC128" s="2033"/>
      <c r="AD128" s="2034"/>
      <c r="AE128" s="2079"/>
      <c r="AF128" s="2080"/>
      <c r="AG128" s="2092"/>
      <c r="AH128" s="2093"/>
      <c r="AI128" s="2014"/>
      <c r="AJ128" s="2015"/>
      <c r="AK128" s="1519"/>
      <c r="AL128" s="1520"/>
      <c r="AM128" s="1520"/>
      <c r="AN128" s="1520"/>
      <c r="AO128" s="1520"/>
      <c r="AP128" s="1520"/>
      <c r="AQ128" s="1520"/>
      <c r="AR128" s="1520"/>
      <c r="AS128" s="1520"/>
      <c r="AT128" s="1520"/>
      <c r="AU128" s="1520"/>
      <c r="AV128" s="1520"/>
      <c r="AW128" s="1520"/>
      <c r="AX128" s="1520"/>
      <c r="AY128" s="1520"/>
      <c r="AZ128" s="1539"/>
      <c r="BA128" s="2028"/>
      <c r="BB128" s="2029"/>
      <c r="BC128" s="2029"/>
      <c r="BD128" s="2030"/>
      <c r="BE128" s="2028"/>
      <c r="BF128" s="2029"/>
      <c r="BG128" s="2029"/>
      <c r="BH128" s="4"/>
    </row>
    <row r="129" spans="1:60" x14ac:dyDescent="0.2">
      <c r="A129" s="4"/>
      <c r="B129" s="31">
        <v>79</v>
      </c>
      <c r="C129" s="32"/>
      <c r="D129" s="32"/>
      <c r="E129" s="2028"/>
      <c r="F129" s="2029"/>
      <c r="G129" s="2030"/>
      <c r="H129" s="2028"/>
      <c r="I129" s="2029"/>
      <c r="J129" s="2030"/>
      <c r="K129" s="2028"/>
      <c r="L129" s="2029"/>
      <c r="M129" s="2030"/>
      <c r="N129" s="1508" t="s">
        <v>937</v>
      </c>
      <c r="O129" s="1535"/>
      <c r="P129" s="1536"/>
      <c r="Q129" s="1537"/>
      <c r="R129" s="1538"/>
      <c r="S129" s="1508"/>
      <c r="T129" s="1535"/>
      <c r="U129" s="2028"/>
      <c r="V129" s="2030"/>
      <c r="W129" s="2010"/>
      <c r="X129" s="2011"/>
      <c r="Y129" s="2010" t="str">
        <f>berekeningen!W57</f>
        <v/>
      </c>
      <c r="Z129" s="2011"/>
      <c r="AA129" s="2010"/>
      <c r="AB129" s="2011"/>
      <c r="AC129" s="2033"/>
      <c r="AD129" s="2034"/>
      <c r="AE129" s="2079"/>
      <c r="AF129" s="2080"/>
      <c r="AG129" s="2092"/>
      <c r="AH129" s="2093"/>
      <c r="AI129" s="2014"/>
      <c r="AJ129" s="2015"/>
      <c r="AK129" s="1519"/>
      <c r="AL129" s="1520"/>
      <c r="AM129" s="1520"/>
      <c r="AN129" s="1520"/>
      <c r="AO129" s="1520"/>
      <c r="AP129" s="1520"/>
      <c r="AQ129" s="1520"/>
      <c r="AR129" s="1520"/>
      <c r="AS129" s="1520"/>
      <c r="AT129" s="1520"/>
      <c r="AU129" s="1520"/>
      <c r="AV129" s="1520"/>
      <c r="AW129" s="1520"/>
      <c r="AX129" s="1520"/>
      <c r="AY129" s="1520"/>
      <c r="AZ129" s="1539"/>
      <c r="BA129" s="2028"/>
      <c r="BB129" s="2029"/>
      <c r="BC129" s="2029"/>
      <c r="BD129" s="2030"/>
      <c r="BE129" s="2028"/>
      <c r="BF129" s="2029"/>
      <c r="BG129" s="2029"/>
      <c r="BH129" s="4"/>
    </row>
    <row r="130" spans="1:60" x14ac:dyDescent="0.2">
      <c r="A130" s="4"/>
      <c r="B130" s="42">
        <v>80</v>
      </c>
      <c r="C130" s="43"/>
      <c r="D130" s="43"/>
      <c r="E130" s="2045"/>
      <c r="F130" s="2046"/>
      <c r="G130" s="2047"/>
      <c r="H130" s="2045"/>
      <c r="I130" s="2046"/>
      <c r="J130" s="2047"/>
      <c r="K130" s="2045"/>
      <c r="L130" s="2046"/>
      <c r="M130" s="2047"/>
      <c r="N130" s="1512" t="s">
        <v>937</v>
      </c>
      <c r="O130" s="1540"/>
      <c r="P130" s="1541"/>
      <c r="Q130" s="1542"/>
      <c r="R130" s="1543"/>
      <c r="S130" s="1512"/>
      <c r="T130" s="1540"/>
      <c r="U130" s="2045"/>
      <c r="V130" s="2047"/>
      <c r="W130" s="2060"/>
      <c r="X130" s="2061"/>
      <c r="Y130" s="2010" t="str">
        <f>berekeningen!W58</f>
        <v/>
      </c>
      <c r="Z130" s="2011"/>
      <c r="AA130" s="2060"/>
      <c r="AB130" s="2061"/>
      <c r="AC130" s="2035"/>
      <c r="AD130" s="2036"/>
      <c r="AE130" s="2081"/>
      <c r="AF130" s="2082"/>
      <c r="AG130" s="2086"/>
      <c r="AH130" s="2087"/>
      <c r="AI130" s="2088"/>
      <c r="AJ130" s="2089"/>
      <c r="AK130" s="1544"/>
      <c r="AL130" s="1545"/>
      <c r="AM130" s="1545"/>
      <c r="AN130" s="1545"/>
      <c r="AO130" s="1545"/>
      <c r="AP130" s="1545"/>
      <c r="AQ130" s="1545"/>
      <c r="AR130" s="1545"/>
      <c r="AS130" s="1545"/>
      <c r="AT130" s="1545"/>
      <c r="AU130" s="1545"/>
      <c r="AV130" s="1545"/>
      <c r="AW130" s="1545"/>
      <c r="AX130" s="1545"/>
      <c r="AY130" s="1545"/>
      <c r="AZ130" s="1546"/>
      <c r="BA130" s="2045"/>
      <c r="BB130" s="2046"/>
      <c r="BC130" s="2046"/>
      <c r="BD130" s="2047"/>
      <c r="BE130" s="2045"/>
      <c r="BF130" s="2046"/>
      <c r="BG130" s="2046"/>
      <c r="BH130" s="4"/>
    </row>
    <row r="131" spans="1:60" x14ac:dyDescent="0.2">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x14ac:dyDescent="0.2">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x14ac:dyDescent="0.2">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x14ac:dyDescent="0.2">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x14ac:dyDescent="0.2">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2">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x14ac:dyDescent="0.2">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x14ac:dyDescent="0.2">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2">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2">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2">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2">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2">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x14ac:dyDescent="0.2">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x14ac:dyDescent="0.2">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2">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x14ac:dyDescent="0.2">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x14ac:dyDescent="0.2">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x14ac:dyDescent="0.2">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2">
      <c r="A150" s="4"/>
      <c r="B150" s="2"/>
      <c r="C150" s="875"/>
      <c r="D150" s="2"/>
      <c r="E150" s="2"/>
      <c r="F150" s="2"/>
      <c r="G150" s="2"/>
      <c r="H150" s="875"/>
      <c r="I150" s="2"/>
      <c r="J150" s="2"/>
      <c r="K150" s="1547"/>
      <c r="L150" s="2037"/>
      <c r="M150" s="2037"/>
      <c r="N150" s="2037"/>
      <c r="O150" s="2037"/>
      <c r="P150" s="2037"/>
      <c r="Q150" s="2037"/>
      <c r="R150" s="4"/>
      <c r="S150" s="2"/>
      <c r="T150" s="2"/>
      <c r="U150" s="2"/>
      <c r="V150" s="2"/>
      <c r="W150" s="2"/>
      <c r="X150" s="2"/>
      <c r="Y150" s="2"/>
      <c r="Z150" s="2"/>
      <c r="AA150" s="2"/>
      <c r="AB150" s="1548"/>
      <c r="AC150" s="1935"/>
      <c r="AD150" s="1935"/>
      <c r="AE150" s="1935"/>
      <c r="AF150" s="1935"/>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5" x14ac:dyDescent="0.25">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5" x14ac:dyDescent="0.25">
      <c r="A153" s="4"/>
      <c r="B153" s="18" t="s">
        <v>114</v>
      </c>
      <c r="C153" s="2008"/>
      <c r="D153" s="2008"/>
      <c r="E153" s="2008" t="s">
        <v>131</v>
      </c>
      <c r="F153" s="2008"/>
      <c r="G153" s="2008"/>
      <c r="H153" s="2008" t="s">
        <v>170</v>
      </c>
      <c r="I153" s="2008"/>
      <c r="J153" s="2008"/>
      <c r="K153" s="2008" t="s">
        <v>119</v>
      </c>
      <c r="L153" s="2008"/>
      <c r="M153" s="2008"/>
      <c r="N153" s="2008" t="s">
        <v>120</v>
      </c>
      <c r="O153" s="2008"/>
      <c r="P153" s="2008"/>
      <c r="Q153" s="2008" t="s">
        <v>121</v>
      </c>
      <c r="R153" s="2008"/>
      <c r="S153" s="2009" t="s">
        <v>122</v>
      </c>
      <c r="T153" s="2009"/>
      <c r="U153" s="2009" t="s">
        <v>122</v>
      </c>
      <c r="V153" s="2009"/>
      <c r="W153" s="2008" t="s">
        <v>127</v>
      </c>
      <c r="X153" s="2008"/>
      <c r="Y153" s="2008"/>
      <c r="Z153" s="2008"/>
      <c r="AA153" s="2008"/>
      <c r="AB153" s="2008"/>
      <c r="AC153" s="2008"/>
      <c r="AD153" s="2008"/>
      <c r="AE153" s="2008"/>
      <c r="AF153" s="2008"/>
      <c r="AG153" s="2008"/>
      <c r="AH153" s="2008"/>
      <c r="AI153" s="2008"/>
      <c r="AJ153" s="2008"/>
      <c r="AK153" s="2008"/>
      <c r="AL153" s="2008"/>
      <c r="AM153" s="2009" t="s">
        <v>277</v>
      </c>
      <c r="AN153" s="2009"/>
      <c r="AO153" s="2009" t="s">
        <v>146</v>
      </c>
      <c r="AP153" s="2009"/>
      <c r="AQ153" s="2009" t="s">
        <v>278</v>
      </c>
      <c r="AR153" s="2009"/>
      <c r="AS153" s="2008" t="s">
        <v>133</v>
      </c>
      <c r="AT153" s="2008"/>
      <c r="AU153" s="4"/>
      <c r="AV153" s="4"/>
      <c r="AW153" s="4"/>
      <c r="AX153" s="4"/>
      <c r="AY153" s="4"/>
      <c r="AZ153" s="4"/>
      <c r="BA153" s="4"/>
      <c r="BB153" s="4"/>
      <c r="BC153" s="4"/>
      <c r="BD153" s="4"/>
      <c r="BE153" s="4"/>
      <c r="BF153" s="4"/>
      <c r="BG153" s="4"/>
      <c r="BH153" s="4"/>
    </row>
    <row r="154" spans="1:60" x14ac:dyDescent="0.2">
      <c r="A154" s="4"/>
      <c r="B154" s="18"/>
      <c r="C154" s="18"/>
      <c r="D154" s="18"/>
      <c r="E154" s="18"/>
      <c r="F154" s="18"/>
      <c r="G154" s="18"/>
      <c r="H154" s="18"/>
      <c r="I154" s="18"/>
      <c r="J154" s="18"/>
      <c r="K154" s="18"/>
      <c r="L154" s="18"/>
      <c r="M154" s="18"/>
      <c r="N154" s="18"/>
      <c r="O154" s="18"/>
      <c r="P154" s="18"/>
      <c r="Q154" s="18"/>
      <c r="R154" s="18"/>
      <c r="S154" s="2009" t="s">
        <v>174</v>
      </c>
      <c r="T154" s="2009"/>
      <c r="U154" s="2009" t="s">
        <v>176</v>
      </c>
      <c r="V154" s="2009"/>
      <c r="W154" s="18"/>
      <c r="X154" s="18"/>
      <c r="Y154" s="18"/>
      <c r="Z154" s="18"/>
      <c r="AA154" s="18"/>
      <c r="AB154" s="18"/>
      <c r="AC154" s="18"/>
      <c r="AD154" s="18"/>
      <c r="AE154" s="18"/>
      <c r="AF154" s="18"/>
      <c r="AG154" s="18"/>
      <c r="AH154" s="18"/>
      <c r="AI154" s="18"/>
      <c r="AJ154" s="18"/>
      <c r="AK154" s="18"/>
      <c r="AL154" s="18"/>
      <c r="AM154" s="2009" t="s">
        <v>176</v>
      </c>
      <c r="AN154" s="2009"/>
      <c r="AO154" s="2009" t="s">
        <v>176</v>
      </c>
      <c r="AP154" s="2009"/>
      <c r="AQ154" s="2009" t="s">
        <v>176</v>
      </c>
      <c r="AR154" s="2009"/>
      <c r="AS154" s="2008" t="s">
        <v>178</v>
      </c>
      <c r="AT154" s="2008"/>
      <c r="AU154" s="4"/>
      <c r="AV154" s="4"/>
      <c r="AW154" s="4"/>
      <c r="AX154" s="4"/>
      <c r="AY154" s="4"/>
      <c r="AZ154" s="4"/>
      <c r="BA154" s="4"/>
      <c r="BB154" s="4"/>
      <c r="BC154" s="4"/>
      <c r="BD154" s="4"/>
      <c r="BE154" s="4"/>
      <c r="BF154" s="4"/>
      <c r="BG154" s="4"/>
      <c r="BH154" s="4"/>
    </row>
    <row r="155" spans="1:60" ht="15" thickBot="1" x14ac:dyDescent="0.25">
      <c r="A155" s="4"/>
      <c r="B155" s="18"/>
      <c r="C155" s="2008"/>
      <c r="D155" s="2008"/>
      <c r="E155" s="2"/>
      <c r="F155" s="2"/>
      <c r="G155" s="2"/>
      <c r="H155" s="2"/>
      <c r="I155" s="2"/>
      <c r="J155" s="2"/>
      <c r="K155" s="2008"/>
      <c r="L155" s="2008"/>
      <c r="M155" s="2008"/>
      <c r="N155" s="2008"/>
      <c r="O155" s="2008"/>
      <c r="P155" s="2008"/>
      <c r="Q155" s="2"/>
      <c r="R155" s="2"/>
      <c r="S155" s="2008" t="s">
        <v>418</v>
      </c>
      <c r="T155" s="2008"/>
      <c r="U155" s="2008" t="s">
        <v>418</v>
      </c>
      <c r="V155" s="2008"/>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008" t="s">
        <v>132</v>
      </c>
      <c r="AN155" s="2008"/>
      <c r="AO155" s="2008" t="s">
        <v>147</v>
      </c>
      <c r="AP155" s="2008"/>
      <c r="AQ155" s="2008" t="s">
        <v>488</v>
      </c>
      <c r="AR155" s="2008"/>
      <c r="AS155" s="2008" t="s">
        <v>132</v>
      </c>
      <c r="AT155" s="2008"/>
      <c r="AU155" s="4"/>
      <c r="AV155" s="4"/>
      <c r="AW155" s="4"/>
      <c r="AX155" s="4"/>
      <c r="AY155" s="4"/>
      <c r="AZ155" s="4"/>
      <c r="BA155" s="4"/>
      <c r="BB155" s="4"/>
      <c r="BC155" s="4"/>
      <c r="BD155" s="4"/>
      <c r="BE155" s="4"/>
      <c r="BF155" s="4"/>
      <c r="BG155" s="4"/>
      <c r="BH155" s="4"/>
    </row>
    <row r="156" spans="1:60" ht="15" customHeight="1" thickTop="1" x14ac:dyDescent="0.2">
      <c r="A156" s="4"/>
      <c r="B156" s="29">
        <v>81</v>
      </c>
      <c r="C156" s="30"/>
      <c r="D156" s="30"/>
      <c r="E156" s="35" t="s">
        <v>162</v>
      </c>
      <c r="F156" s="30"/>
      <c r="G156" s="36"/>
      <c r="H156" s="2025" t="s">
        <v>400</v>
      </c>
      <c r="I156" s="2026"/>
      <c r="J156" s="2027"/>
      <c r="K156" s="2025" t="s">
        <v>401</v>
      </c>
      <c r="L156" s="2026"/>
      <c r="M156" s="2027"/>
      <c r="N156" s="2025" t="s">
        <v>402</v>
      </c>
      <c r="O156" s="2026"/>
      <c r="P156" s="2027"/>
      <c r="Q156" s="2025" t="s">
        <v>16</v>
      </c>
      <c r="R156" s="2027"/>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5" thickBot="1" x14ac:dyDescent="0.25">
      <c r="A157" s="4"/>
      <c r="B157" s="42">
        <v>82</v>
      </c>
      <c r="C157" s="43"/>
      <c r="D157" s="43"/>
      <c r="E157" s="2022"/>
      <c r="F157" s="2023"/>
      <c r="G157" s="2024"/>
      <c r="H157" s="2022"/>
      <c r="I157" s="2023"/>
      <c r="J157" s="2024"/>
      <c r="K157" s="2022"/>
      <c r="L157" s="2023"/>
      <c r="M157" s="2024"/>
      <c r="N157" s="2022"/>
      <c r="O157" s="2023"/>
      <c r="P157" s="2024"/>
      <c r="Q157" s="2022"/>
      <c r="R157" s="2024"/>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2">
      <c r="A158" s="4"/>
      <c r="B158" s="29">
        <v>83</v>
      </c>
      <c r="C158" s="30"/>
      <c r="D158" s="30"/>
      <c r="E158" s="2025" t="s">
        <v>615</v>
      </c>
      <c r="F158" s="2026"/>
      <c r="G158" s="2027"/>
      <c r="H158" s="2025" t="s">
        <v>616</v>
      </c>
      <c r="I158" s="2026"/>
      <c r="J158" s="2027"/>
      <c r="K158" s="2025" t="s">
        <v>403</v>
      </c>
      <c r="L158" s="2026"/>
      <c r="M158" s="2027"/>
      <c r="N158" s="2025" t="s">
        <v>404</v>
      </c>
      <c r="O158" s="2026"/>
      <c r="P158" s="2027"/>
      <c r="Q158" s="2025" t="s">
        <v>405</v>
      </c>
      <c r="R158" s="2027"/>
      <c r="S158" s="2056">
        <v>5</v>
      </c>
      <c r="T158" s="2094"/>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12">
        <v>40</v>
      </c>
      <c r="AT158" s="2103"/>
      <c r="AU158" s="4"/>
      <c r="AV158" s="4"/>
      <c r="AW158" s="4"/>
      <c r="AX158" s="4"/>
      <c r="AY158" s="4"/>
      <c r="AZ158" s="4"/>
      <c r="BA158" s="4"/>
      <c r="BB158" s="4"/>
      <c r="BC158" s="4"/>
      <c r="BD158" s="4"/>
      <c r="BE158" s="4"/>
      <c r="BF158" s="4"/>
      <c r="BG158" s="4"/>
      <c r="BH158" s="4"/>
    </row>
    <row r="159" spans="1:60" x14ac:dyDescent="0.2">
      <c r="A159" s="4"/>
      <c r="B159" s="47">
        <v>84</v>
      </c>
      <c r="C159" s="49"/>
      <c r="D159" s="49"/>
      <c r="E159" s="2028" t="s">
        <v>163</v>
      </c>
      <c r="F159" s="2029"/>
      <c r="G159" s="2030"/>
      <c r="H159" s="2028"/>
      <c r="I159" s="2029"/>
      <c r="J159" s="2030"/>
      <c r="K159" s="2028"/>
      <c r="L159" s="2029"/>
      <c r="M159" s="2030"/>
      <c r="N159" s="2028"/>
      <c r="O159" s="2029"/>
      <c r="P159" s="2030"/>
      <c r="Q159" s="2028"/>
      <c r="R159" s="2030"/>
      <c r="S159" s="2010"/>
      <c r="T159" s="2095"/>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14"/>
      <c r="AT159" s="2104"/>
      <c r="AU159" s="4"/>
      <c r="AV159" s="4"/>
      <c r="AW159" s="4"/>
      <c r="AX159" s="4"/>
      <c r="AY159" s="4"/>
      <c r="AZ159" s="4"/>
      <c r="BA159" s="4"/>
      <c r="BB159" s="4"/>
      <c r="BC159" s="4"/>
      <c r="BD159" s="4"/>
      <c r="BE159" s="4"/>
      <c r="BF159" s="4"/>
      <c r="BG159" s="4"/>
      <c r="BH159" s="4"/>
    </row>
    <row r="160" spans="1:60" x14ac:dyDescent="0.2">
      <c r="A160" s="4"/>
      <c r="B160" s="47">
        <v>85</v>
      </c>
      <c r="C160" s="49"/>
      <c r="D160" s="49"/>
      <c r="E160" s="2028" t="s">
        <v>163</v>
      </c>
      <c r="F160" s="2029"/>
      <c r="G160" s="2030"/>
      <c r="H160" s="2028"/>
      <c r="I160" s="2029"/>
      <c r="J160" s="2030"/>
      <c r="K160" s="2028"/>
      <c r="L160" s="2029"/>
      <c r="M160" s="2030"/>
      <c r="N160" s="2028"/>
      <c r="O160" s="2029"/>
      <c r="P160" s="2030"/>
      <c r="Q160" s="2028"/>
      <c r="R160" s="2030"/>
      <c r="S160" s="2010"/>
      <c r="T160" s="2095"/>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14"/>
      <c r="AT160" s="2104"/>
      <c r="AU160" s="4"/>
      <c r="AV160" s="4"/>
      <c r="AW160" s="4"/>
      <c r="AX160" s="4"/>
      <c r="AY160" s="4"/>
      <c r="AZ160" s="4"/>
      <c r="BA160" s="4"/>
      <c r="BB160" s="4"/>
      <c r="BC160" s="4"/>
      <c r="BD160" s="4"/>
      <c r="BE160" s="4"/>
      <c r="BF160" s="4"/>
      <c r="BG160" s="4"/>
      <c r="BH160" s="4"/>
    </row>
    <row r="161" spans="1:60" x14ac:dyDescent="0.2">
      <c r="A161" s="4"/>
      <c r="B161" s="47">
        <v>86</v>
      </c>
      <c r="C161" s="49"/>
      <c r="D161" s="49"/>
      <c r="E161" s="2028" t="s">
        <v>163</v>
      </c>
      <c r="F161" s="2029"/>
      <c r="G161" s="2030"/>
      <c r="H161" s="2028"/>
      <c r="I161" s="2029"/>
      <c r="J161" s="2030"/>
      <c r="K161" s="2028"/>
      <c r="L161" s="2029"/>
      <c r="M161" s="2030"/>
      <c r="N161" s="2028"/>
      <c r="O161" s="2029"/>
      <c r="P161" s="2030"/>
      <c r="Q161" s="2028"/>
      <c r="R161" s="2030"/>
      <c r="S161" s="2010"/>
      <c r="T161" s="2095"/>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14"/>
      <c r="AT161" s="2104"/>
      <c r="AU161" s="4"/>
      <c r="AV161" s="4"/>
      <c r="AW161" s="4"/>
      <c r="AX161" s="4"/>
      <c r="AY161" s="4"/>
      <c r="AZ161" s="4"/>
      <c r="BA161" s="4"/>
      <c r="BB161" s="4"/>
      <c r="BC161" s="4"/>
      <c r="BD161" s="4"/>
      <c r="BE161" s="4"/>
      <c r="BF161" s="4"/>
      <c r="BG161" s="4"/>
      <c r="BH161" s="4"/>
    </row>
    <row r="162" spans="1:60" x14ac:dyDescent="0.2">
      <c r="A162" s="4"/>
      <c r="B162" s="47">
        <v>87</v>
      </c>
      <c r="C162" s="49"/>
      <c r="D162" s="49"/>
      <c r="E162" s="2028" t="s">
        <v>163</v>
      </c>
      <c r="F162" s="2029"/>
      <c r="G162" s="2030"/>
      <c r="H162" s="2028"/>
      <c r="I162" s="2029"/>
      <c r="J162" s="2030"/>
      <c r="K162" s="2028"/>
      <c r="L162" s="2029"/>
      <c r="M162" s="2030"/>
      <c r="N162" s="2028"/>
      <c r="O162" s="2029"/>
      <c r="P162" s="2030"/>
      <c r="Q162" s="2028"/>
      <c r="R162" s="2030"/>
      <c r="S162" s="2010"/>
      <c r="T162" s="2095"/>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14"/>
      <c r="AT162" s="2104"/>
      <c r="AU162" s="4"/>
      <c r="AV162" s="4"/>
      <c r="AW162" s="4"/>
      <c r="AX162" s="4"/>
      <c r="AY162" s="4"/>
      <c r="AZ162" s="4"/>
      <c r="BA162" s="4"/>
      <c r="BB162" s="4"/>
      <c r="BC162" s="4"/>
      <c r="BD162" s="4"/>
      <c r="BE162" s="4"/>
      <c r="BF162" s="4"/>
      <c r="BG162" s="4"/>
      <c r="BH162" s="4"/>
    </row>
    <row r="163" spans="1:60" x14ac:dyDescent="0.2">
      <c r="A163" s="4"/>
      <c r="B163" s="47">
        <v>88</v>
      </c>
      <c r="C163" s="49"/>
      <c r="D163" s="49"/>
      <c r="E163" s="2028" t="s">
        <v>163</v>
      </c>
      <c r="F163" s="2029"/>
      <c r="G163" s="2030"/>
      <c r="H163" s="2028"/>
      <c r="I163" s="2029"/>
      <c r="J163" s="2030"/>
      <c r="K163" s="2028"/>
      <c r="L163" s="2029"/>
      <c r="M163" s="2030"/>
      <c r="N163" s="2028"/>
      <c r="O163" s="2029"/>
      <c r="P163" s="2030"/>
      <c r="Q163" s="2028"/>
      <c r="R163" s="2030"/>
      <c r="S163" s="2010"/>
      <c r="T163" s="2095"/>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14"/>
      <c r="AT163" s="2104"/>
      <c r="AU163" s="4"/>
      <c r="AV163" s="4"/>
      <c r="AW163" s="4"/>
      <c r="AX163" s="4"/>
      <c r="AY163" s="4"/>
      <c r="AZ163" s="4"/>
      <c r="BA163" s="4"/>
      <c r="BB163" s="4"/>
      <c r="BC163" s="4"/>
      <c r="BD163" s="4"/>
      <c r="BE163" s="4"/>
      <c r="BF163" s="4"/>
      <c r="BG163" s="4"/>
      <c r="BH163" s="4"/>
    </row>
    <row r="164" spans="1:60" x14ac:dyDescent="0.2">
      <c r="A164" s="4"/>
      <c r="B164" s="47">
        <v>89</v>
      </c>
      <c r="C164" s="49"/>
      <c r="D164" s="49"/>
      <c r="E164" s="2028" t="s">
        <v>163</v>
      </c>
      <c r="F164" s="2029"/>
      <c r="G164" s="2030"/>
      <c r="H164" s="2028"/>
      <c r="I164" s="2029"/>
      <c r="J164" s="2030"/>
      <c r="K164" s="2028"/>
      <c r="L164" s="2029"/>
      <c r="M164" s="2030"/>
      <c r="N164" s="2028"/>
      <c r="O164" s="2029"/>
      <c r="P164" s="2030"/>
      <c r="Q164" s="2028"/>
      <c r="R164" s="2030"/>
      <c r="S164" s="2010"/>
      <c r="T164" s="2095"/>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14"/>
      <c r="AT164" s="2104"/>
      <c r="AU164" s="4"/>
      <c r="AV164" s="4"/>
      <c r="AW164" s="4"/>
      <c r="AX164" s="4"/>
      <c r="AY164" s="4"/>
      <c r="AZ164" s="4"/>
      <c r="BA164" s="4"/>
      <c r="BB164" s="4"/>
      <c r="BC164" s="4"/>
      <c r="BD164" s="4"/>
      <c r="BE164" s="4"/>
      <c r="BF164" s="4"/>
      <c r="BG164" s="4"/>
      <c r="BH164" s="4"/>
    </row>
    <row r="165" spans="1:60" x14ac:dyDescent="0.2">
      <c r="A165" s="4"/>
      <c r="B165" s="31">
        <v>90</v>
      </c>
      <c r="C165" s="32"/>
      <c r="D165" s="32"/>
      <c r="E165" s="2028" t="s">
        <v>163</v>
      </c>
      <c r="F165" s="2029"/>
      <c r="G165" s="2030"/>
      <c r="H165" s="2028"/>
      <c r="I165" s="2029"/>
      <c r="J165" s="2030"/>
      <c r="K165" s="2028"/>
      <c r="L165" s="2029"/>
      <c r="M165" s="2030"/>
      <c r="N165" s="2028"/>
      <c r="O165" s="2029"/>
      <c r="P165" s="2030"/>
      <c r="Q165" s="2028"/>
      <c r="R165" s="2030"/>
      <c r="S165" s="2010"/>
      <c r="T165" s="2095"/>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14"/>
      <c r="AT165" s="2104"/>
      <c r="AU165" s="4"/>
      <c r="AV165" s="4"/>
      <c r="AW165" s="4"/>
      <c r="AX165" s="4"/>
      <c r="AY165" s="4"/>
      <c r="AZ165" s="4"/>
      <c r="BA165" s="4"/>
      <c r="BB165" s="4"/>
      <c r="BC165" s="4"/>
      <c r="BD165" s="4"/>
      <c r="BE165" s="4"/>
      <c r="BF165" s="4"/>
      <c r="BG165" s="4"/>
      <c r="BH165" s="4"/>
    </row>
    <row r="166" spans="1:60" x14ac:dyDescent="0.2">
      <c r="A166" s="4"/>
      <c r="B166" s="31">
        <v>91</v>
      </c>
      <c r="C166" s="32"/>
      <c r="D166" s="32"/>
      <c r="E166" s="2028" t="s">
        <v>163</v>
      </c>
      <c r="F166" s="2029"/>
      <c r="G166" s="2030"/>
      <c r="H166" s="2028"/>
      <c r="I166" s="2029"/>
      <c r="J166" s="2030"/>
      <c r="K166" s="2028"/>
      <c r="L166" s="2029"/>
      <c r="M166" s="2030"/>
      <c r="N166" s="2028"/>
      <c r="O166" s="2029"/>
      <c r="P166" s="2030"/>
      <c r="Q166" s="2028"/>
      <c r="R166" s="2030"/>
      <c r="S166" s="2010"/>
      <c r="T166" s="2095"/>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14"/>
      <c r="AT166" s="2104"/>
      <c r="AU166" s="4"/>
      <c r="AV166" s="4"/>
      <c r="AW166" s="4"/>
      <c r="AX166" s="4"/>
      <c r="AY166" s="4"/>
      <c r="AZ166" s="4"/>
      <c r="BA166" s="4"/>
      <c r="BB166" s="4"/>
      <c r="BC166" s="4"/>
      <c r="BD166" s="4"/>
      <c r="BE166" s="4"/>
      <c r="BF166" s="4"/>
      <c r="BG166" s="4"/>
      <c r="BH166" s="4"/>
    </row>
    <row r="167" spans="1:60" x14ac:dyDescent="0.2">
      <c r="A167" s="4"/>
      <c r="B167" s="31">
        <v>92</v>
      </c>
      <c r="C167" s="32"/>
      <c r="D167" s="32"/>
      <c r="E167" s="2028" t="s">
        <v>163</v>
      </c>
      <c r="F167" s="2029"/>
      <c r="G167" s="2030"/>
      <c r="H167" s="2028"/>
      <c r="I167" s="2029"/>
      <c r="J167" s="2030"/>
      <c r="K167" s="2028"/>
      <c r="L167" s="2029"/>
      <c r="M167" s="2030"/>
      <c r="N167" s="2028"/>
      <c r="O167" s="2029"/>
      <c r="P167" s="2030"/>
      <c r="Q167" s="2028"/>
      <c r="R167" s="2030"/>
      <c r="S167" s="2010"/>
      <c r="T167" s="2095"/>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14"/>
      <c r="AT167" s="2104"/>
      <c r="AU167" s="4"/>
      <c r="AV167" s="4"/>
      <c r="AW167" s="4"/>
      <c r="AX167" s="4"/>
      <c r="AY167" s="4"/>
      <c r="AZ167" s="4"/>
      <c r="BA167" s="4"/>
      <c r="BB167" s="4"/>
      <c r="BC167" s="4"/>
      <c r="BD167" s="4"/>
      <c r="BE167" s="4"/>
      <c r="BF167" s="4"/>
      <c r="BG167" s="4"/>
      <c r="BH167" s="4"/>
    </row>
    <row r="168" spans="1:60" x14ac:dyDescent="0.2">
      <c r="A168" s="4"/>
      <c r="B168" s="31">
        <v>93</v>
      </c>
      <c r="C168" s="32"/>
      <c r="D168" s="32"/>
      <c r="E168" s="2028" t="s">
        <v>163</v>
      </c>
      <c r="F168" s="2029"/>
      <c r="G168" s="2030"/>
      <c r="H168" s="2028"/>
      <c r="I168" s="2029"/>
      <c r="J168" s="2030"/>
      <c r="K168" s="2028"/>
      <c r="L168" s="2029"/>
      <c r="M168" s="2030"/>
      <c r="N168" s="2028"/>
      <c r="O168" s="2029"/>
      <c r="P168" s="2030"/>
      <c r="Q168" s="2028"/>
      <c r="R168" s="2030"/>
      <c r="S168" s="2010"/>
      <c r="T168" s="2095"/>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14"/>
      <c r="AT168" s="2104"/>
      <c r="AU168" s="4"/>
      <c r="AV168" s="4"/>
      <c r="AW168" s="4"/>
      <c r="AX168" s="4"/>
      <c r="AY168" s="4"/>
      <c r="AZ168" s="4"/>
      <c r="BA168" s="4"/>
      <c r="BB168" s="4"/>
      <c r="BC168" s="4"/>
      <c r="BD168" s="4"/>
      <c r="BE168" s="4"/>
      <c r="BF168" s="4"/>
      <c r="BG168" s="4"/>
      <c r="BH168" s="4"/>
    </row>
    <row r="169" spans="1:60" x14ac:dyDescent="0.2">
      <c r="A169" s="4"/>
      <c r="B169" s="31">
        <v>94</v>
      </c>
      <c r="C169" s="32"/>
      <c r="D169" s="32"/>
      <c r="E169" s="2028" t="s">
        <v>163</v>
      </c>
      <c r="F169" s="2029"/>
      <c r="G169" s="2030"/>
      <c r="H169" s="2028"/>
      <c r="I169" s="2029"/>
      <c r="J169" s="2030"/>
      <c r="K169" s="2028"/>
      <c r="L169" s="2029"/>
      <c r="M169" s="2030"/>
      <c r="N169" s="2028"/>
      <c r="O169" s="2029"/>
      <c r="P169" s="2030"/>
      <c r="Q169" s="2028"/>
      <c r="R169" s="2030"/>
      <c r="S169" s="2010"/>
      <c r="T169" s="2095"/>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14"/>
      <c r="AT169" s="2104"/>
      <c r="AU169" s="4"/>
      <c r="AV169" s="4"/>
      <c r="AW169" s="4"/>
      <c r="AX169" s="4"/>
      <c r="AY169" s="4"/>
      <c r="AZ169" s="4"/>
      <c r="BA169" s="4"/>
      <c r="BB169" s="4"/>
      <c r="BC169" s="4"/>
      <c r="BD169" s="4"/>
      <c r="BE169" s="4"/>
      <c r="BF169" s="4"/>
      <c r="BG169" s="4"/>
      <c r="BH169" s="4"/>
    </row>
    <row r="170" spans="1:60" ht="15" customHeight="1" thickBot="1" x14ac:dyDescent="0.25">
      <c r="A170" s="4"/>
      <c r="B170" s="33">
        <v>95</v>
      </c>
      <c r="C170" s="34"/>
      <c r="D170" s="34"/>
      <c r="E170" s="2022"/>
      <c r="F170" s="2023"/>
      <c r="G170" s="2024"/>
      <c r="H170" s="2022"/>
      <c r="I170" s="2023"/>
      <c r="J170" s="2024"/>
      <c r="K170" s="2022"/>
      <c r="L170" s="2023"/>
      <c r="M170" s="2024"/>
      <c r="N170" s="2022"/>
      <c r="O170" s="2023"/>
      <c r="P170" s="2024"/>
      <c r="Q170" s="2022"/>
      <c r="R170" s="2024"/>
      <c r="S170" s="2058"/>
      <c r="T170" s="2096"/>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105"/>
      <c r="AT170" s="2106"/>
      <c r="AU170" s="4"/>
      <c r="AV170" s="4"/>
      <c r="AW170" s="4"/>
      <c r="AX170" s="4"/>
      <c r="AY170" s="4"/>
      <c r="AZ170" s="4"/>
      <c r="BA170" s="4"/>
      <c r="BB170" s="4"/>
      <c r="BC170" s="4"/>
      <c r="BD170" s="4"/>
      <c r="BE170" s="4"/>
      <c r="BF170" s="4"/>
      <c r="BG170" s="4"/>
      <c r="BH170" s="4"/>
    </row>
    <row r="171" spans="1:60" ht="15" customHeight="1" thickTop="1" x14ac:dyDescent="0.2">
      <c r="A171" s="4"/>
      <c r="B171" s="29">
        <v>96</v>
      </c>
      <c r="C171" s="30"/>
      <c r="D171" s="100"/>
      <c r="E171" s="1259" t="s">
        <v>164</v>
      </c>
      <c r="F171" s="58"/>
      <c r="G171" s="1260"/>
      <c r="H171" s="2025" t="s">
        <v>409</v>
      </c>
      <c r="I171" s="2026"/>
      <c r="J171" s="2027"/>
      <c r="K171" s="2025" t="s">
        <v>410</v>
      </c>
      <c r="L171" s="2026"/>
      <c r="M171" s="2027"/>
      <c r="N171" s="2025" t="s">
        <v>411</v>
      </c>
      <c r="O171" s="2026"/>
      <c r="P171" s="2027"/>
      <c r="Q171" s="2025" t="s">
        <v>412</v>
      </c>
      <c r="R171" s="2027"/>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101">
        <v>54</v>
      </c>
      <c r="AN171" s="2102"/>
      <c r="AO171" s="2101">
        <v>7.5</v>
      </c>
      <c r="AP171" s="2102"/>
      <c r="AQ171" s="2101">
        <v>73</v>
      </c>
      <c r="AR171" s="2102"/>
      <c r="AS171" s="2101" t="s">
        <v>763</v>
      </c>
      <c r="AT171" s="2107"/>
      <c r="AU171" s="4"/>
      <c r="AV171" s="4"/>
      <c r="AW171" s="4"/>
      <c r="AX171" s="4"/>
      <c r="AY171" s="4"/>
      <c r="AZ171" s="4"/>
      <c r="BA171" s="4"/>
      <c r="BB171" s="4"/>
      <c r="BC171" s="4"/>
      <c r="BD171" s="4"/>
      <c r="BE171" s="4"/>
      <c r="BF171" s="4"/>
      <c r="BG171" s="4"/>
      <c r="BH171" s="4"/>
    </row>
    <row r="172" spans="1:60" ht="15" customHeight="1" thickBot="1" x14ac:dyDescent="0.25">
      <c r="A172" s="4"/>
      <c r="B172" s="33">
        <v>97</v>
      </c>
      <c r="C172" s="34"/>
      <c r="D172" s="101"/>
      <c r="E172" s="2022"/>
      <c r="F172" s="2023"/>
      <c r="G172" s="2024"/>
      <c r="H172" s="2022"/>
      <c r="I172" s="2023"/>
      <c r="J172" s="2024"/>
      <c r="K172" s="2022"/>
      <c r="L172" s="2023"/>
      <c r="M172" s="2024"/>
      <c r="N172" s="2022"/>
      <c r="O172" s="2023"/>
      <c r="P172" s="2024"/>
      <c r="Q172" s="2022"/>
      <c r="R172" s="2024"/>
      <c r="S172" s="2058"/>
      <c r="T172" s="2096"/>
      <c r="U172" s="2097"/>
      <c r="V172" s="2059"/>
      <c r="W172" s="1550"/>
      <c r="X172" s="1550"/>
      <c r="Y172" s="1550"/>
      <c r="Z172" s="1550"/>
      <c r="AA172" s="1550"/>
      <c r="AB172" s="1550"/>
      <c r="AC172" s="1550"/>
      <c r="AD172" s="1550"/>
      <c r="AE172" s="1550"/>
      <c r="AF172" s="1550"/>
      <c r="AG172" s="1550"/>
      <c r="AH172" s="1550"/>
      <c r="AI172" s="1550"/>
      <c r="AJ172" s="1550"/>
      <c r="AK172" s="1550"/>
      <c r="AL172" s="1851"/>
      <c r="AM172" s="2022"/>
      <c r="AN172" s="2024"/>
      <c r="AO172" s="2022"/>
      <c r="AP172" s="2024"/>
      <c r="AQ172" s="2022"/>
      <c r="AR172" s="2024"/>
      <c r="AS172" s="2022"/>
      <c r="AT172" s="2023"/>
      <c r="AU172" s="4"/>
      <c r="AV172" s="4"/>
      <c r="AW172" s="4"/>
      <c r="AX172" s="4"/>
      <c r="AY172" s="4"/>
      <c r="AZ172" s="4"/>
      <c r="BA172" s="4"/>
      <c r="BB172" s="4"/>
      <c r="BC172" s="4"/>
      <c r="BD172" s="4"/>
      <c r="BE172" s="4"/>
      <c r="BF172" s="4"/>
      <c r="BG172" s="4"/>
      <c r="BH172" s="4"/>
    </row>
    <row r="173" spans="1:60" ht="15" thickTop="1" x14ac:dyDescent="0.2">
      <c r="A173" s="4"/>
      <c r="B173" s="47">
        <v>98</v>
      </c>
      <c r="C173" s="49"/>
      <c r="D173" s="102"/>
      <c r="E173" s="2025" t="s">
        <v>165</v>
      </c>
      <c r="F173" s="2026"/>
      <c r="G173" s="2027"/>
      <c r="H173" s="2025" t="s">
        <v>413</v>
      </c>
      <c r="I173" s="2026"/>
      <c r="J173" s="2027"/>
      <c r="K173" s="2025" t="s">
        <v>414</v>
      </c>
      <c r="L173" s="2026"/>
      <c r="M173" s="2027"/>
      <c r="N173" s="2025" t="s">
        <v>165</v>
      </c>
      <c r="O173" s="2026"/>
      <c r="P173" s="2027"/>
      <c r="Q173" s="2025" t="s">
        <v>16</v>
      </c>
      <c r="R173" s="2027"/>
      <c r="S173" s="71"/>
      <c r="T173" s="1263"/>
      <c r="U173" s="2098">
        <v>1.07</v>
      </c>
      <c r="V173" s="2057"/>
      <c r="W173" s="50"/>
      <c r="X173" s="50"/>
      <c r="Y173" s="50"/>
      <c r="Z173" s="50"/>
      <c r="AA173" s="50"/>
      <c r="AB173" s="50"/>
      <c r="AC173" s="50"/>
      <c r="AD173" s="50"/>
      <c r="AE173" s="50"/>
      <c r="AF173" s="50"/>
      <c r="AG173" s="50"/>
      <c r="AH173" s="50"/>
      <c r="AI173" s="50"/>
      <c r="AJ173" s="50"/>
      <c r="AK173" s="50"/>
      <c r="AL173" s="48"/>
      <c r="AM173" s="2016">
        <v>100</v>
      </c>
      <c r="AN173" s="2017"/>
      <c r="AO173" s="2025"/>
      <c r="AP173" s="2027"/>
      <c r="AQ173" s="2025"/>
      <c r="AR173" s="2027"/>
      <c r="AS173" s="2101"/>
      <c r="AT173" s="2107"/>
      <c r="AU173" s="4"/>
      <c r="AV173" s="4"/>
      <c r="AW173" s="4"/>
      <c r="AX173" s="4"/>
      <c r="AY173" s="4"/>
      <c r="AZ173" s="4"/>
      <c r="BA173" s="4"/>
      <c r="BB173" s="4"/>
      <c r="BC173" s="4"/>
      <c r="BD173" s="4"/>
      <c r="BE173" s="4"/>
      <c r="BF173" s="4"/>
      <c r="BG173" s="4"/>
      <c r="BH173" s="4"/>
    </row>
    <row r="174" spans="1:60" x14ac:dyDescent="0.2">
      <c r="A174" s="4"/>
      <c r="B174" s="31">
        <v>99</v>
      </c>
      <c r="C174" s="32"/>
      <c r="D174" s="103"/>
      <c r="E174" s="2028" t="s">
        <v>166</v>
      </c>
      <c r="F174" s="2029"/>
      <c r="G174" s="2030"/>
      <c r="H174" s="2028"/>
      <c r="I174" s="2029"/>
      <c r="J174" s="2030"/>
      <c r="K174" s="2028"/>
      <c r="L174" s="2029"/>
      <c r="M174" s="2030"/>
      <c r="N174" s="2028"/>
      <c r="O174" s="2029"/>
      <c r="P174" s="2030"/>
      <c r="Q174" s="2028"/>
      <c r="R174" s="2030"/>
      <c r="S174" s="57"/>
      <c r="T174" s="1264"/>
      <c r="U174" s="2099"/>
      <c r="V174" s="2011"/>
      <c r="W174" s="40"/>
      <c r="X174" s="40"/>
      <c r="Y174" s="40"/>
      <c r="Z174" s="40"/>
      <c r="AA174" s="40"/>
      <c r="AB174" s="40"/>
      <c r="AC174" s="40"/>
      <c r="AD174" s="40"/>
      <c r="AE174" s="40"/>
      <c r="AF174" s="40"/>
      <c r="AG174" s="40"/>
      <c r="AH174" s="40"/>
      <c r="AI174" s="40"/>
      <c r="AJ174" s="40"/>
      <c r="AK174" s="40"/>
      <c r="AL174" s="38"/>
      <c r="AM174" s="2018">
        <v>100</v>
      </c>
      <c r="AN174" s="2019"/>
      <c r="AO174" s="2028"/>
      <c r="AP174" s="2030"/>
      <c r="AQ174" s="2028"/>
      <c r="AR174" s="2030"/>
      <c r="AS174" s="2108"/>
      <c r="AT174" s="2109"/>
      <c r="AU174" s="4"/>
      <c r="AV174" s="4"/>
      <c r="AW174" s="4"/>
      <c r="AX174" s="4"/>
      <c r="AY174" s="4"/>
      <c r="AZ174" s="4"/>
      <c r="BA174" s="4"/>
      <c r="BB174" s="4"/>
      <c r="BC174" s="4"/>
      <c r="BD174" s="4"/>
      <c r="BE174" s="4"/>
      <c r="BF174" s="4"/>
      <c r="BG174" s="4"/>
      <c r="BH174" s="4"/>
    </row>
    <row r="175" spans="1:60" x14ac:dyDescent="0.2">
      <c r="A175" s="4"/>
      <c r="B175" s="42">
        <v>100</v>
      </c>
      <c r="C175" s="43"/>
      <c r="D175" s="104"/>
      <c r="E175" s="2045"/>
      <c r="F175" s="2046"/>
      <c r="G175" s="2047"/>
      <c r="H175" s="2045"/>
      <c r="I175" s="2046"/>
      <c r="J175" s="2047"/>
      <c r="K175" s="2045"/>
      <c r="L175" s="2046"/>
      <c r="M175" s="2047"/>
      <c r="N175" s="2045"/>
      <c r="O175" s="2046"/>
      <c r="P175" s="2047"/>
      <c r="Q175" s="2045"/>
      <c r="R175" s="2047"/>
      <c r="S175" s="66"/>
      <c r="T175" s="1265"/>
      <c r="U175" s="2100"/>
      <c r="V175" s="2061"/>
      <c r="W175" s="44"/>
      <c r="X175" s="44"/>
      <c r="Y175" s="44"/>
      <c r="Z175" s="44"/>
      <c r="AA175" s="44"/>
      <c r="AB175" s="44"/>
      <c r="AC175" s="44"/>
      <c r="AD175" s="44"/>
      <c r="AE175" s="44"/>
      <c r="AF175" s="44"/>
      <c r="AG175" s="44"/>
      <c r="AH175" s="44"/>
      <c r="AI175" s="44"/>
      <c r="AJ175" s="44"/>
      <c r="AK175" s="44"/>
      <c r="AL175" s="45"/>
      <c r="AM175" s="2020">
        <v>100</v>
      </c>
      <c r="AN175" s="2021"/>
      <c r="AO175" s="2045"/>
      <c r="AP175" s="2047"/>
      <c r="AQ175" s="2045"/>
      <c r="AR175" s="2047"/>
      <c r="AS175" s="2110"/>
      <c r="AT175" s="2111"/>
      <c r="AU175" s="4"/>
      <c r="AV175" s="4"/>
      <c r="AW175" s="4"/>
      <c r="AX175" s="4"/>
      <c r="AY175" s="4"/>
      <c r="AZ175" s="4"/>
      <c r="BA175" s="4"/>
      <c r="BB175" s="4"/>
      <c r="BC175" s="4"/>
      <c r="BD175" s="4"/>
      <c r="BE175" s="4"/>
      <c r="BF175" s="4"/>
      <c r="BG175" s="4"/>
      <c r="BH175" s="4"/>
    </row>
    <row r="176" spans="1:60" x14ac:dyDescent="0.2">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x14ac:dyDescent="0.2">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x14ac:dyDescent="0.2">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2">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x14ac:dyDescent="0.2">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x14ac:dyDescent="0.2">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2">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x14ac:dyDescent="0.2">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2">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2">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2">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2">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2">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2">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2">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2">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x14ac:dyDescent="0.2">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S167:AT167"/>
    <mergeCell ref="AS168:AT168"/>
    <mergeCell ref="AS169:AT169"/>
    <mergeCell ref="AS170:AT170"/>
    <mergeCell ref="AS171:AT171"/>
    <mergeCell ref="AS172:AT172"/>
    <mergeCell ref="AS173:AT173"/>
    <mergeCell ref="AS174:AT174"/>
    <mergeCell ref="AS175:AT175"/>
    <mergeCell ref="AS158:AT158"/>
    <mergeCell ref="AS159:AT159"/>
    <mergeCell ref="AS160:AT160"/>
    <mergeCell ref="AS161:AT161"/>
    <mergeCell ref="AS162:AT162"/>
    <mergeCell ref="AS163:AT163"/>
    <mergeCell ref="AS164:AT164"/>
    <mergeCell ref="AS165:AT165"/>
    <mergeCell ref="AS166:AT166"/>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S167:T167"/>
    <mergeCell ref="S168:T168"/>
    <mergeCell ref="S169:T169"/>
    <mergeCell ref="S170:T170"/>
    <mergeCell ref="S172:T172"/>
    <mergeCell ref="U172:V172"/>
    <mergeCell ref="U173:V173"/>
    <mergeCell ref="U174:V174"/>
    <mergeCell ref="U175:V175"/>
    <mergeCell ref="S158:T158"/>
    <mergeCell ref="S159:T159"/>
    <mergeCell ref="S160:T160"/>
    <mergeCell ref="S161:T161"/>
    <mergeCell ref="S162:T162"/>
    <mergeCell ref="S163:T163"/>
    <mergeCell ref="S164:T164"/>
    <mergeCell ref="S165:T165"/>
    <mergeCell ref="S166:T166"/>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E130:G130"/>
    <mergeCell ref="H121:J121"/>
    <mergeCell ref="H122:J122"/>
    <mergeCell ref="H123:J123"/>
    <mergeCell ref="H124:J124"/>
    <mergeCell ref="H125:J125"/>
    <mergeCell ref="H126:J126"/>
    <mergeCell ref="H127:J127"/>
    <mergeCell ref="H128:J128"/>
    <mergeCell ref="H129:J129"/>
    <mergeCell ref="H130:J130"/>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S90:T90"/>
    <mergeCell ref="S91:T91"/>
    <mergeCell ref="S92:T92"/>
    <mergeCell ref="S93:T93"/>
    <mergeCell ref="S94:T94"/>
    <mergeCell ref="S95:T95"/>
    <mergeCell ref="S96:T96"/>
    <mergeCell ref="S97:T97"/>
    <mergeCell ref="S98:T98"/>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N93:P93"/>
    <mergeCell ref="N94:P94"/>
    <mergeCell ref="N95:P95"/>
    <mergeCell ref="N96:P96"/>
    <mergeCell ref="N97:P97"/>
    <mergeCell ref="N98:P98"/>
    <mergeCell ref="N99:P99"/>
    <mergeCell ref="H100:J100"/>
    <mergeCell ref="N100:P100"/>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37:V37"/>
    <mergeCell ref="U38:V38"/>
    <mergeCell ref="U39:V39"/>
    <mergeCell ref="U40:V40"/>
    <mergeCell ref="U41:V41"/>
    <mergeCell ref="U42:V42"/>
    <mergeCell ref="U43:V43"/>
    <mergeCell ref="U44:V44"/>
    <mergeCell ref="U45:V45"/>
    <mergeCell ref="U28:V28"/>
    <mergeCell ref="U29:V29"/>
    <mergeCell ref="U30:V30"/>
    <mergeCell ref="U31:V31"/>
    <mergeCell ref="U32:V32"/>
    <mergeCell ref="U33:V33"/>
    <mergeCell ref="U34:V34"/>
    <mergeCell ref="U35:V35"/>
    <mergeCell ref="U36:V36"/>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S35:T35"/>
    <mergeCell ref="S36:T36"/>
    <mergeCell ref="S37:T37"/>
    <mergeCell ref="S38:T38"/>
    <mergeCell ref="S39:T39"/>
    <mergeCell ref="S40:T40"/>
    <mergeCell ref="S41:T41"/>
    <mergeCell ref="S42:T42"/>
    <mergeCell ref="S43:T43"/>
    <mergeCell ref="S26:T26"/>
    <mergeCell ref="S27:T27"/>
    <mergeCell ref="S28:T28"/>
    <mergeCell ref="S29:T29"/>
    <mergeCell ref="S30:T30"/>
    <mergeCell ref="S31:T31"/>
    <mergeCell ref="S32:T32"/>
    <mergeCell ref="S33:T33"/>
    <mergeCell ref="S34:T34"/>
    <mergeCell ref="S17:T17"/>
    <mergeCell ref="S18:T18"/>
    <mergeCell ref="S19:T19"/>
    <mergeCell ref="S20:T20"/>
    <mergeCell ref="S21:T21"/>
    <mergeCell ref="S22:T22"/>
    <mergeCell ref="S23:T23"/>
    <mergeCell ref="S24:T24"/>
    <mergeCell ref="S25:T25"/>
    <mergeCell ref="S8:T8"/>
    <mergeCell ref="S9:T9"/>
    <mergeCell ref="S10:T10"/>
    <mergeCell ref="S11:T11"/>
    <mergeCell ref="S12:T12"/>
    <mergeCell ref="S13:T13"/>
    <mergeCell ref="S14:T14"/>
    <mergeCell ref="S15:T15"/>
    <mergeCell ref="S16:T16"/>
    <mergeCell ref="Q39:R39"/>
    <mergeCell ref="Q40:R40"/>
    <mergeCell ref="Q41:R41"/>
    <mergeCell ref="Q42:R42"/>
    <mergeCell ref="Q43:R43"/>
    <mergeCell ref="Q44:R44"/>
    <mergeCell ref="Q45:R45"/>
    <mergeCell ref="Q46:R46"/>
    <mergeCell ref="Q47:R47"/>
    <mergeCell ref="Q30:R30"/>
    <mergeCell ref="Q31:R31"/>
    <mergeCell ref="Q32:R32"/>
    <mergeCell ref="Q33:R33"/>
    <mergeCell ref="Q34:R34"/>
    <mergeCell ref="Q35:R35"/>
    <mergeCell ref="Q36:R36"/>
    <mergeCell ref="Q37:R37"/>
    <mergeCell ref="Q38:R38"/>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N37:P37"/>
    <mergeCell ref="N38:P38"/>
    <mergeCell ref="N39:P39"/>
    <mergeCell ref="N40:P40"/>
    <mergeCell ref="N41:P41"/>
    <mergeCell ref="N42:P42"/>
    <mergeCell ref="N43:P43"/>
    <mergeCell ref="N44:P44"/>
    <mergeCell ref="N45:P45"/>
    <mergeCell ref="N28:P28"/>
    <mergeCell ref="N29:P29"/>
    <mergeCell ref="N30:P30"/>
    <mergeCell ref="N31:P31"/>
    <mergeCell ref="N32:P32"/>
    <mergeCell ref="N33:P33"/>
    <mergeCell ref="N34:P34"/>
    <mergeCell ref="N35:P35"/>
    <mergeCell ref="N36:P36"/>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K35:M35"/>
    <mergeCell ref="K36:M36"/>
    <mergeCell ref="K37:M37"/>
    <mergeCell ref="K38:M38"/>
    <mergeCell ref="K39:M39"/>
    <mergeCell ref="K40:M40"/>
    <mergeCell ref="K41:M41"/>
    <mergeCell ref="K42:M42"/>
    <mergeCell ref="K43:M43"/>
    <mergeCell ref="K26:M26"/>
    <mergeCell ref="K27:M27"/>
    <mergeCell ref="K28:M28"/>
    <mergeCell ref="K29:M29"/>
    <mergeCell ref="K30:M30"/>
    <mergeCell ref="K31:M31"/>
    <mergeCell ref="K32:M32"/>
    <mergeCell ref="K33:M33"/>
    <mergeCell ref="K34:M34"/>
    <mergeCell ref="K17:M17"/>
    <mergeCell ref="K18:M18"/>
    <mergeCell ref="K19:M19"/>
    <mergeCell ref="K20:M20"/>
    <mergeCell ref="K21:M21"/>
    <mergeCell ref="K22:M22"/>
    <mergeCell ref="K23:M23"/>
    <mergeCell ref="K24:M24"/>
    <mergeCell ref="K25:M25"/>
    <mergeCell ref="K8:M8"/>
    <mergeCell ref="K9:M9"/>
    <mergeCell ref="K10:M10"/>
    <mergeCell ref="K11:M11"/>
    <mergeCell ref="K12:M12"/>
    <mergeCell ref="K13:M13"/>
    <mergeCell ref="K14:M14"/>
    <mergeCell ref="K15:M15"/>
    <mergeCell ref="K16:M16"/>
    <mergeCell ref="I35:J35"/>
    <mergeCell ref="I36:J36"/>
    <mergeCell ref="I37:J37"/>
    <mergeCell ref="I38:J38"/>
    <mergeCell ref="I39:J39"/>
    <mergeCell ref="I40:J40"/>
    <mergeCell ref="I41:J41"/>
    <mergeCell ref="I42:J42"/>
    <mergeCell ref="I43:J43"/>
    <mergeCell ref="I26:J26"/>
    <mergeCell ref="I27:J27"/>
    <mergeCell ref="I28:J28"/>
    <mergeCell ref="I29:J29"/>
    <mergeCell ref="I30:J30"/>
    <mergeCell ref="I31:J31"/>
    <mergeCell ref="I32:J32"/>
    <mergeCell ref="I33:J33"/>
    <mergeCell ref="I34:J34"/>
    <mergeCell ref="I17:J17"/>
    <mergeCell ref="I18:J18"/>
    <mergeCell ref="I19:J19"/>
    <mergeCell ref="I20:J20"/>
    <mergeCell ref="I21:J21"/>
    <mergeCell ref="I22:J22"/>
    <mergeCell ref="I23:J23"/>
    <mergeCell ref="I24:J24"/>
    <mergeCell ref="I25:J25"/>
    <mergeCell ref="I8:J8"/>
    <mergeCell ref="I9:J9"/>
    <mergeCell ref="I10:J10"/>
    <mergeCell ref="I11:J11"/>
    <mergeCell ref="I12:J12"/>
    <mergeCell ref="I13:J13"/>
    <mergeCell ref="I14:J14"/>
    <mergeCell ref="I15:J15"/>
    <mergeCell ref="I16:J16"/>
    <mergeCell ref="E32:G32"/>
    <mergeCell ref="E33:G33"/>
    <mergeCell ref="E34:G34"/>
    <mergeCell ref="E35:G35"/>
    <mergeCell ref="E36:G36"/>
    <mergeCell ref="E37:G37"/>
    <mergeCell ref="E38:G38"/>
    <mergeCell ref="E39:G39"/>
    <mergeCell ref="E40:G40"/>
    <mergeCell ref="E23:G23"/>
    <mergeCell ref="E24:G24"/>
    <mergeCell ref="E25:G25"/>
    <mergeCell ref="E26:G26"/>
    <mergeCell ref="E27:G27"/>
    <mergeCell ref="E28:G28"/>
    <mergeCell ref="E29:G29"/>
    <mergeCell ref="E30:G30"/>
    <mergeCell ref="E31:G31"/>
    <mergeCell ref="E14:G14"/>
    <mergeCell ref="E15:G15"/>
    <mergeCell ref="E16:G16"/>
    <mergeCell ref="E17:G17"/>
    <mergeCell ref="E18:G18"/>
    <mergeCell ref="E19:G19"/>
    <mergeCell ref="E20:G20"/>
    <mergeCell ref="E21:G21"/>
    <mergeCell ref="E22:G22"/>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C20:D20"/>
    <mergeCell ref="C21:D21"/>
    <mergeCell ref="C22:D22"/>
    <mergeCell ref="C23:D23"/>
    <mergeCell ref="C24:D24"/>
    <mergeCell ref="C25:D25"/>
    <mergeCell ref="C14:D14"/>
    <mergeCell ref="C15:D15"/>
    <mergeCell ref="C16:D16"/>
    <mergeCell ref="C17:D17"/>
    <mergeCell ref="C18:D18"/>
    <mergeCell ref="C19:D19"/>
    <mergeCell ref="C32:D32"/>
    <mergeCell ref="C33:D33"/>
    <mergeCell ref="C34:D34"/>
    <mergeCell ref="C35:D35"/>
    <mergeCell ref="C36:D36"/>
    <mergeCell ref="C37:D37"/>
    <mergeCell ref="C26:D26"/>
    <mergeCell ref="C27:D27"/>
    <mergeCell ref="C28:D28"/>
    <mergeCell ref="C29:D29"/>
    <mergeCell ref="C30:D30"/>
    <mergeCell ref="C31:D31"/>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61:D61"/>
    <mergeCell ref="K61:M61"/>
    <mergeCell ref="N61:P61"/>
    <mergeCell ref="S61:T61"/>
    <mergeCell ref="U61:V61"/>
    <mergeCell ref="H60:J60"/>
    <mergeCell ref="K60:M60"/>
    <mergeCell ref="N60:P60"/>
    <mergeCell ref="Q60:R60"/>
    <mergeCell ref="U60:V60"/>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20" workbookViewId="0">
      <selection activeCell="N45" sqref="N45"/>
    </sheetView>
  </sheetViews>
  <sheetFormatPr defaultColWidth="9.140625" defaultRowHeight="14.25" x14ac:dyDescent="0.2"/>
  <cols>
    <col min="1" max="1" width="9.140625" style="1"/>
    <col min="2" max="2" width="6.7109375" style="1" customWidth="1"/>
    <col min="3" max="3" width="7.85546875" style="1" customWidth="1"/>
    <col min="4" max="52" width="6.7109375" style="1" customWidth="1"/>
    <col min="53" max="16384" width="9.140625" style="1"/>
  </cols>
  <sheetData>
    <row r="1" spans="1:60" ht="15" x14ac:dyDescent="0.25">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x14ac:dyDescent="0.2">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ht="15" x14ac:dyDescent="0.25">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2">
      <c r="A6" s="4"/>
      <c r="B6" s="18" t="s">
        <v>114</v>
      </c>
      <c r="C6" s="2008" t="s">
        <v>150</v>
      </c>
      <c r="D6" s="2008"/>
      <c r="E6" s="2008" t="s">
        <v>115</v>
      </c>
      <c r="F6" s="2008"/>
      <c r="G6" s="2008"/>
      <c r="H6" s="2" t="s">
        <v>116</v>
      </c>
      <c r="I6" s="2008" t="s">
        <v>117</v>
      </c>
      <c r="J6" s="2008"/>
      <c r="K6" s="2008" t="s">
        <v>119</v>
      </c>
      <c r="L6" s="2008"/>
      <c r="M6" s="2008"/>
      <c r="N6" s="2008" t="s">
        <v>120</v>
      </c>
      <c r="O6" s="2008"/>
      <c r="P6" s="2008"/>
      <c r="Q6" s="2008" t="s">
        <v>121</v>
      </c>
      <c r="R6" s="2008"/>
      <c r="S6" s="2008" t="s">
        <v>122</v>
      </c>
      <c r="T6" s="2008"/>
      <c r="U6" s="2008" t="s">
        <v>128</v>
      </c>
      <c r="V6" s="2008"/>
      <c r="W6" s="2129" t="s">
        <v>127</v>
      </c>
      <c r="X6" s="2129"/>
      <c r="Y6" s="2129"/>
      <c r="Z6" s="2129"/>
      <c r="AA6" s="2129"/>
      <c r="AB6" s="2129"/>
      <c r="AC6" s="2129"/>
      <c r="AD6" s="2129"/>
      <c r="AE6" s="2129"/>
      <c r="AF6" s="2129"/>
      <c r="AG6" s="2129"/>
      <c r="AH6" s="2129"/>
      <c r="AI6" s="2129"/>
      <c r="AJ6" s="2129"/>
      <c r="AK6" s="2129"/>
      <c r="AL6" s="2129"/>
      <c r="AM6" s="143" t="s">
        <v>701</v>
      </c>
      <c r="AN6" s="143"/>
      <c r="AO6" s="143"/>
      <c r="AP6" s="143"/>
      <c r="AQ6" s="143"/>
      <c r="AR6" s="143"/>
      <c r="AS6" s="4"/>
      <c r="AT6" s="4"/>
      <c r="AU6" s="4"/>
      <c r="AV6" s="4"/>
      <c r="AW6" s="4"/>
      <c r="AX6" s="4"/>
      <c r="AY6" s="4"/>
      <c r="AZ6" s="4"/>
      <c r="BA6" s="4"/>
      <c r="BB6" s="4"/>
      <c r="BC6" s="4"/>
      <c r="BD6" s="4"/>
      <c r="BE6" s="4"/>
      <c r="BF6" s="4"/>
      <c r="BG6" s="4"/>
      <c r="BH6" s="4"/>
    </row>
    <row r="7" spans="1:60" ht="15" thickBot="1" x14ac:dyDescent="0.25">
      <c r="A7" s="4"/>
      <c r="B7" s="106" t="s">
        <v>385</v>
      </c>
      <c r="C7" s="2008" t="s">
        <v>132</v>
      </c>
      <c r="D7" s="2008"/>
      <c r="E7" s="2"/>
      <c r="F7" s="2"/>
      <c r="G7" s="2"/>
      <c r="H7" s="2"/>
      <c r="I7" s="2008" t="s">
        <v>118</v>
      </c>
      <c r="J7" s="2008"/>
      <c r="K7" s="2"/>
      <c r="L7" s="2"/>
      <c r="M7" s="2"/>
      <c r="N7" s="2"/>
      <c r="O7" s="2"/>
      <c r="P7" s="2"/>
      <c r="Q7" s="2"/>
      <c r="R7" s="2"/>
      <c r="S7" s="2008" t="s">
        <v>418</v>
      </c>
      <c r="T7" s="2008"/>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thickTop="1" x14ac:dyDescent="0.2">
      <c r="A8" s="4"/>
      <c r="B8" s="1552">
        <v>1</v>
      </c>
      <c r="C8" s="2145">
        <f t="shared" ref="C8:C17" si="0">IF(B8="","",C88)</f>
        <v>5.0999999999999996</v>
      </c>
      <c r="D8" s="2146"/>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2">
      <c r="A9" s="4"/>
      <c r="B9" s="1553">
        <v>2</v>
      </c>
      <c r="C9" s="2141">
        <f t="shared" si="0"/>
        <v>10.199999999999999</v>
      </c>
      <c r="D9" s="2142"/>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2">
      <c r="A10" s="4"/>
      <c r="B10" s="1553">
        <v>3</v>
      </c>
      <c r="C10" s="2141">
        <f t="shared" si="0"/>
        <v>15.3</v>
      </c>
      <c r="D10" s="2142"/>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2">
      <c r="A11" s="4"/>
      <c r="B11" s="1553"/>
      <c r="C11" s="2141" t="str">
        <f t="shared" si="0"/>
        <v/>
      </c>
      <c r="D11" s="2142"/>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2">
      <c r="A12" s="4"/>
      <c r="B12" s="1553"/>
      <c r="C12" s="2141" t="str">
        <f t="shared" si="0"/>
        <v/>
      </c>
      <c r="D12" s="2142"/>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2">
      <c r="A13" s="4"/>
      <c r="B13" s="1553">
        <v>6</v>
      </c>
      <c r="C13" s="2141">
        <f t="shared" si="0"/>
        <v>35.299999999999997</v>
      </c>
      <c r="D13" s="2142"/>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2">
      <c r="A14" s="4"/>
      <c r="B14" s="1553">
        <v>11</v>
      </c>
      <c r="C14" s="2141">
        <f t="shared" si="0"/>
        <v>0</v>
      </c>
      <c r="D14" s="2142"/>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2">
      <c r="A15" s="4"/>
      <c r="B15" s="1553">
        <v>12</v>
      </c>
      <c r="C15" s="2141">
        <f t="shared" si="0"/>
        <v>0</v>
      </c>
      <c r="D15" s="2142"/>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2">
      <c r="A16" s="4"/>
      <c r="B16" s="1553">
        <v>16</v>
      </c>
      <c r="C16" s="2141">
        <f t="shared" si="0"/>
        <v>0</v>
      </c>
      <c r="D16" s="2142"/>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2">
      <c r="A17" s="4"/>
      <c r="B17" s="1554"/>
      <c r="C17" s="2147" t="str">
        <f t="shared" si="0"/>
        <v/>
      </c>
      <c r="D17" s="2148"/>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x14ac:dyDescent="0.2">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x14ac:dyDescent="0.2">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x14ac:dyDescent="0.2">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x14ac:dyDescent="0.2">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ht="15" x14ac:dyDescent="0.25">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8.75" x14ac:dyDescent="0.35">
      <c r="A24" s="4"/>
      <c r="B24" s="18" t="s">
        <v>114</v>
      </c>
      <c r="C24" s="2008" t="s">
        <v>150</v>
      </c>
      <c r="D24" s="2008"/>
      <c r="E24" s="2008" t="s">
        <v>131</v>
      </c>
      <c r="F24" s="2008"/>
      <c r="G24" s="2008"/>
      <c r="H24" s="2008" t="s">
        <v>139</v>
      </c>
      <c r="I24" s="2008"/>
      <c r="J24" s="2008"/>
      <c r="K24" s="2008" t="s">
        <v>1241</v>
      </c>
      <c r="L24" s="2008"/>
      <c r="M24" s="2008"/>
      <c r="N24" s="2008" t="s">
        <v>119</v>
      </c>
      <c r="O24" s="2008"/>
      <c r="P24" s="2008"/>
      <c r="Q24" s="2008" t="s">
        <v>121</v>
      </c>
      <c r="R24" s="2008"/>
      <c r="S24" s="2" t="s">
        <v>122</v>
      </c>
      <c r="T24" s="2"/>
      <c r="U24" s="2008" t="s">
        <v>133</v>
      </c>
      <c r="V24" s="2008"/>
      <c r="W24" s="2129" t="s">
        <v>127</v>
      </c>
      <c r="X24" s="2129"/>
      <c r="Y24" s="2129"/>
      <c r="Z24" s="2129"/>
      <c r="AA24" s="2129"/>
      <c r="AB24" s="2129"/>
      <c r="AC24" s="2129"/>
      <c r="AD24" s="2129"/>
      <c r="AE24" s="2129"/>
      <c r="AF24" s="2129"/>
      <c r="AG24" s="2129"/>
      <c r="AH24" s="2129"/>
      <c r="AI24" s="2129"/>
      <c r="AJ24" s="2129"/>
      <c r="AK24" s="2129"/>
      <c r="AL24" s="2129"/>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5" thickBot="1" x14ac:dyDescent="0.25">
      <c r="A25" s="4"/>
      <c r="B25" s="106" t="s">
        <v>388</v>
      </c>
      <c r="C25" s="2008" t="s">
        <v>132</v>
      </c>
      <c r="D25" s="2008"/>
      <c r="E25" s="2"/>
      <c r="F25" s="2"/>
      <c r="G25" s="2"/>
      <c r="H25" s="2"/>
      <c r="I25" s="2"/>
      <c r="J25" s="2"/>
      <c r="K25" s="2008" t="s">
        <v>138</v>
      </c>
      <c r="L25" s="2008"/>
      <c r="M25" s="2008"/>
      <c r="N25" s="2008" t="s">
        <v>137</v>
      </c>
      <c r="O25" s="2008"/>
      <c r="P25" s="2008"/>
      <c r="Q25" s="2"/>
      <c r="R25" s="2"/>
      <c r="S25" s="2008" t="s">
        <v>418</v>
      </c>
      <c r="T25" s="2008"/>
      <c r="U25" s="2008" t="s">
        <v>132</v>
      </c>
      <c r="V25" s="2008"/>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5" thickTop="1" x14ac:dyDescent="0.2">
      <c r="A26" s="4"/>
      <c r="B26" s="1552">
        <v>41</v>
      </c>
      <c r="C26" s="2114">
        <f>IF(B26="","",C98)</f>
        <v>0.55000000000000004</v>
      </c>
      <c r="D26" s="2114"/>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2">
      <c r="A27" s="4"/>
      <c r="B27" s="1553"/>
      <c r="C27" s="2141" t="str">
        <f>IF(B27="","",C99)</f>
        <v/>
      </c>
      <c r="D27" s="2141"/>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2">
      <c r="A28" s="4"/>
      <c r="B28" s="107"/>
      <c r="C28" s="2141" t="s">
        <v>387</v>
      </c>
      <c r="D28" s="2141"/>
      <c r="E28" s="32" t="s">
        <v>135</v>
      </c>
      <c r="F28" s="32"/>
      <c r="G28" s="32"/>
      <c r="H28" s="32"/>
      <c r="I28" s="32"/>
      <c r="J28" s="32"/>
      <c r="K28" s="38"/>
      <c r="L28" s="32"/>
      <c r="M28" s="39"/>
      <c r="N28" s="32" t="s">
        <v>141</v>
      </c>
      <c r="O28" s="32"/>
      <c r="P28" s="32"/>
      <c r="Q28" s="2028"/>
      <c r="R28" s="2030"/>
      <c r="S28" s="2010">
        <f>AA124</f>
        <v>3.05122851704447</v>
      </c>
      <c r="T28" s="2011"/>
      <c r="U28" s="2014">
        <v>38</v>
      </c>
      <c r="V28" s="2150"/>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2">
      <c r="A29" s="4"/>
      <c r="B29" s="388"/>
      <c r="C29" s="2143">
        <f>IF(C100=0,"",C100)</f>
        <v>1</v>
      </c>
      <c r="D29" s="2144"/>
      <c r="E29" s="43" t="s">
        <v>136</v>
      </c>
      <c r="F29" s="43"/>
      <c r="G29" s="43"/>
      <c r="H29" s="43"/>
      <c r="I29" s="43"/>
      <c r="J29" s="43"/>
      <c r="K29" s="45"/>
      <c r="L29" s="43"/>
      <c r="M29" s="46"/>
      <c r="N29" s="43" t="s">
        <v>141</v>
      </c>
      <c r="O29" s="43"/>
      <c r="P29" s="43"/>
      <c r="Q29" s="2045"/>
      <c r="R29" s="2047"/>
      <c r="S29" s="2060">
        <f>AA124</f>
        <v>3.05122851704447</v>
      </c>
      <c r="T29" s="2061"/>
      <c r="U29" s="2088"/>
      <c r="V29" s="2151"/>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2">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x14ac:dyDescent="0.2">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x14ac:dyDescent="0.2">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x14ac:dyDescent="0.2">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x14ac:dyDescent="0.2">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x14ac:dyDescent="0.2">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x14ac:dyDescent="0.2">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x14ac:dyDescent="0.2">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x14ac:dyDescent="0.2">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2">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ht="15" x14ac:dyDescent="0.25">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2">
      <c r="A41" s="4"/>
      <c r="B41" s="18" t="s">
        <v>114</v>
      </c>
      <c r="C41" s="2008" t="s">
        <v>150</v>
      </c>
      <c r="D41" s="2008"/>
      <c r="E41" s="2008" t="s">
        <v>139</v>
      </c>
      <c r="F41" s="2008"/>
      <c r="G41" s="2008"/>
      <c r="H41" s="2008" t="s">
        <v>143</v>
      </c>
      <c r="I41" s="2008"/>
      <c r="J41" s="2008"/>
      <c r="K41" s="2008" t="s">
        <v>119</v>
      </c>
      <c r="L41" s="2008"/>
      <c r="M41" s="2008"/>
      <c r="N41" s="2008" t="s">
        <v>120</v>
      </c>
      <c r="O41" s="2008"/>
      <c r="P41" s="2008"/>
      <c r="Q41" s="2008" t="s">
        <v>121</v>
      </c>
      <c r="R41" s="2008"/>
      <c r="S41" s="2008" t="s">
        <v>122</v>
      </c>
      <c r="T41" s="2008"/>
      <c r="U41" s="2008" t="s">
        <v>146</v>
      </c>
      <c r="V41" s="2008"/>
      <c r="W41" s="2008" t="s">
        <v>148</v>
      </c>
      <c r="X41" s="2008"/>
      <c r="Y41" s="2038" t="s">
        <v>181</v>
      </c>
      <c r="Z41" s="2038"/>
      <c r="AA41" s="2038"/>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9.5" thickBot="1" x14ac:dyDescent="0.4">
      <c r="A42" s="4"/>
      <c r="B42" s="106" t="s">
        <v>390</v>
      </c>
      <c r="C42" s="2008" t="s">
        <v>132</v>
      </c>
      <c r="D42" s="2008"/>
      <c r="E42" s="2"/>
      <c r="F42" s="2"/>
      <c r="G42" s="2"/>
      <c r="H42" s="2"/>
      <c r="I42" s="2"/>
      <c r="J42" s="2"/>
      <c r="K42" s="2008"/>
      <c r="L42" s="2008"/>
      <c r="M42" s="2008"/>
      <c r="N42" s="2008"/>
      <c r="O42" s="2008"/>
      <c r="P42" s="2008"/>
      <c r="Q42" s="2"/>
      <c r="R42" s="2"/>
      <c r="S42" s="2008" t="s">
        <v>418</v>
      </c>
      <c r="T42" s="2008"/>
      <c r="U42" s="2008" t="s">
        <v>147</v>
      </c>
      <c r="V42" s="2008"/>
      <c r="W42" s="2008" t="s">
        <v>149</v>
      </c>
      <c r="X42" s="2008"/>
      <c r="Y42" s="2038" t="s">
        <v>132</v>
      </c>
      <c r="Z42" s="2038"/>
      <c r="AA42" s="2038"/>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5" thickTop="1" x14ac:dyDescent="0.2">
      <c r="A43" s="4"/>
      <c r="B43" s="1506">
        <v>51</v>
      </c>
      <c r="C43" s="2114">
        <f>IF(samenstelling!C158-SUM(samenstelling!C146:C150)-SUM(samenstelling!C153:C157)&lt;0.01,0,samenstelling!C158-SUM(samenstelling!C146:C150)-SUM(samenstelling!C153:C157))</f>
        <v>2.2160500000000001</v>
      </c>
      <c r="D43" s="2115"/>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2">
      <c r="A44" s="4"/>
      <c r="B44" s="1510"/>
      <c r="C44" s="2116"/>
      <c r="D44" s="2117"/>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2">
      <c r="A45" s="4"/>
      <c r="B45" s="1516"/>
      <c r="C45" s="2118"/>
      <c r="D45" s="2119"/>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x14ac:dyDescent="0.2">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x14ac:dyDescent="0.2">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x14ac:dyDescent="0.2">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x14ac:dyDescent="0.2">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x14ac:dyDescent="0.2">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2">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5" x14ac:dyDescent="0.25">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2">
      <c r="A53" s="4"/>
      <c r="B53" s="18" t="s">
        <v>114</v>
      </c>
      <c r="C53" s="2008" t="s">
        <v>150</v>
      </c>
      <c r="D53" s="2008"/>
      <c r="E53" s="2008" t="s">
        <v>131</v>
      </c>
      <c r="F53" s="2008"/>
      <c r="G53" s="2008"/>
      <c r="H53" s="2008" t="s">
        <v>256</v>
      </c>
      <c r="I53" s="2008"/>
      <c r="J53" s="2008"/>
      <c r="K53" s="2008" t="s">
        <v>257</v>
      </c>
      <c r="L53" s="2008"/>
      <c r="M53" s="2008"/>
      <c r="N53" s="2" t="s">
        <v>173</v>
      </c>
      <c r="O53" s="2"/>
      <c r="P53" s="2" t="s">
        <v>859</v>
      </c>
      <c r="Q53" s="18"/>
      <c r="R53" s="18"/>
      <c r="S53" s="60" t="s">
        <v>863</v>
      </c>
      <c r="T53" s="18"/>
      <c r="U53" s="2008" t="s">
        <v>121</v>
      </c>
      <c r="V53" s="2008"/>
      <c r="W53" s="2009" t="s">
        <v>122</v>
      </c>
      <c r="X53" s="2009"/>
      <c r="Y53" s="2009" t="s">
        <v>122</v>
      </c>
      <c r="Z53" s="2009"/>
      <c r="AA53" s="2009" t="s">
        <v>122</v>
      </c>
      <c r="AB53" s="2009"/>
      <c r="AC53" s="2008" t="s">
        <v>183</v>
      </c>
      <c r="AD53" s="2008"/>
      <c r="AE53" s="2008" t="s">
        <v>146</v>
      </c>
      <c r="AF53" s="2008"/>
      <c r="AG53" s="2008" t="s">
        <v>148</v>
      </c>
      <c r="AH53" s="2008"/>
      <c r="AI53" s="2008" t="s">
        <v>133</v>
      </c>
      <c r="AJ53" s="2008"/>
      <c r="AK53" s="2129" t="s">
        <v>127</v>
      </c>
      <c r="AL53" s="2129"/>
      <c r="AM53" s="2129"/>
      <c r="AN53" s="2129"/>
      <c r="AO53" s="2129"/>
      <c r="AP53" s="2129"/>
      <c r="AQ53" s="2129"/>
      <c r="AR53" s="2129"/>
      <c r="AS53" s="2129"/>
      <c r="AT53" s="2129"/>
      <c r="AU53" s="2129"/>
      <c r="AV53" s="2129"/>
      <c r="AW53" s="2129"/>
      <c r="AX53" s="2129"/>
      <c r="AY53" s="2129"/>
      <c r="AZ53" s="2129"/>
      <c r="BA53" s="2008" t="s">
        <v>199</v>
      </c>
      <c r="BB53" s="2008"/>
      <c r="BC53" s="2008"/>
      <c r="BD53" s="2008"/>
      <c r="BE53" s="2008" t="s">
        <v>179</v>
      </c>
      <c r="BF53" s="2008"/>
      <c r="BG53" s="2008"/>
      <c r="BH53" s="4"/>
    </row>
    <row r="54" spans="1:60" ht="18.75" x14ac:dyDescent="0.35">
      <c r="A54" s="4"/>
      <c r="B54" s="106" t="s">
        <v>391</v>
      </c>
      <c r="C54" s="2008" t="s">
        <v>132</v>
      </c>
      <c r="D54" s="2008"/>
      <c r="E54" s="2"/>
      <c r="F54" s="2"/>
      <c r="G54" s="2"/>
      <c r="H54" s="2008" t="s">
        <v>258</v>
      </c>
      <c r="I54" s="2008"/>
      <c r="J54" s="2008"/>
      <c r="K54" s="2008" t="s">
        <v>258</v>
      </c>
      <c r="L54" s="2008"/>
      <c r="M54" s="2008"/>
      <c r="N54" s="2"/>
      <c r="O54" s="2"/>
      <c r="P54" s="18" t="s">
        <v>861</v>
      </c>
      <c r="Q54" s="18" t="s">
        <v>860</v>
      </c>
      <c r="R54" s="2"/>
      <c r="S54" s="2" t="s">
        <v>864</v>
      </c>
      <c r="T54" s="2"/>
      <c r="U54" s="2"/>
      <c r="V54" s="2"/>
      <c r="W54" s="2009" t="s">
        <v>186</v>
      </c>
      <c r="X54" s="2009"/>
      <c r="Y54" s="2009" t="s">
        <v>174</v>
      </c>
      <c r="Z54" s="2009"/>
      <c r="AA54" s="2009" t="s">
        <v>175</v>
      </c>
      <c r="AB54" s="2009"/>
      <c r="AC54" s="2008" t="s">
        <v>184</v>
      </c>
      <c r="AD54" s="2008"/>
      <c r="AE54" s="2008" t="s">
        <v>103</v>
      </c>
      <c r="AF54" s="2008"/>
      <c r="AG54" s="2008" t="s">
        <v>149</v>
      </c>
      <c r="AH54" s="2008"/>
      <c r="AI54" s="2008" t="s">
        <v>178</v>
      </c>
      <c r="AJ54" s="2008"/>
      <c r="AK54" s="355"/>
      <c r="AL54" s="355"/>
      <c r="AM54" s="355"/>
      <c r="AN54" s="355"/>
      <c r="AO54" s="355"/>
      <c r="AP54" s="355"/>
      <c r="AQ54" s="355"/>
      <c r="AR54" s="355"/>
      <c r="AS54" s="355"/>
      <c r="AT54" s="355"/>
      <c r="AU54" s="355"/>
      <c r="AV54" s="355"/>
      <c r="AW54" s="355"/>
      <c r="AX54" s="355"/>
      <c r="AY54" s="355"/>
      <c r="AZ54" s="355"/>
      <c r="BA54" s="2"/>
      <c r="BB54" s="2"/>
      <c r="BC54" s="2"/>
      <c r="BD54" s="2"/>
      <c r="BE54" s="2008" t="s">
        <v>180</v>
      </c>
      <c r="BF54" s="2008"/>
      <c r="BG54" s="2008"/>
      <c r="BH54" s="4"/>
    </row>
    <row r="55" spans="1:60" ht="15" thickBot="1" x14ac:dyDescent="0.25">
      <c r="A55" s="4"/>
      <c r="B55" s="18"/>
      <c r="C55" s="2008"/>
      <c r="D55" s="2008"/>
      <c r="E55" s="2"/>
      <c r="F55" s="2"/>
      <c r="G55" s="2"/>
      <c r="H55" s="2"/>
      <c r="I55" s="2"/>
      <c r="J55" s="2"/>
      <c r="K55" s="2"/>
      <c r="L55" s="2"/>
      <c r="M55" s="2"/>
      <c r="N55" s="2"/>
      <c r="O55" s="2"/>
      <c r="P55" s="828" t="s">
        <v>869</v>
      </c>
      <c r="Q55" s="18"/>
      <c r="R55" s="2"/>
      <c r="S55" s="2"/>
      <c r="T55" s="2"/>
      <c r="U55" s="2"/>
      <c r="V55" s="2"/>
      <c r="W55" s="2008" t="s">
        <v>418</v>
      </c>
      <c r="X55" s="2008"/>
      <c r="Y55" s="2008" t="s">
        <v>418</v>
      </c>
      <c r="Z55" s="2008"/>
      <c r="AA55" s="2008" t="s">
        <v>418</v>
      </c>
      <c r="AB55" s="2008"/>
      <c r="AC55" s="2008" t="s">
        <v>185</v>
      </c>
      <c r="AD55" s="2008"/>
      <c r="AE55" s="2008" t="s">
        <v>147</v>
      </c>
      <c r="AF55" s="2008"/>
      <c r="AG55" s="2008"/>
      <c r="AH55" s="2008"/>
      <c r="AI55" s="2008" t="s">
        <v>132</v>
      </c>
      <c r="AJ55" s="2008"/>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5" thickTop="1" x14ac:dyDescent="0.2">
      <c r="A56" s="4"/>
      <c r="B56" s="1552">
        <v>71</v>
      </c>
      <c r="C56" s="2120">
        <v>30</v>
      </c>
      <c r="D56" s="2121"/>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2">
      <c r="A57" s="4"/>
      <c r="B57" s="1553"/>
      <c r="C57" s="2122"/>
      <c r="D57" s="2123"/>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2">
      <c r="A58" s="4"/>
      <c r="B58" s="1554"/>
      <c r="C58" s="2124"/>
      <c r="D58" s="2125"/>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x14ac:dyDescent="0.2">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x14ac:dyDescent="0.2">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x14ac:dyDescent="0.2">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x14ac:dyDescent="0.2">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ht="15" x14ac:dyDescent="0.25">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5" x14ac:dyDescent="0.25">
      <c r="A65" s="4"/>
      <c r="B65" s="18" t="s">
        <v>114</v>
      </c>
      <c r="C65" s="2008" t="s">
        <v>150</v>
      </c>
      <c r="D65" s="2008"/>
      <c r="E65" s="2008" t="s">
        <v>131</v>
      </c>
      <c r="F65" s="2008"/>
      <c r="G65" s="2008"/>
      <c r="H65" s="2008" t="s">
        <v>170</v>
      </c>
      <c r="I65" s="2008"/>
      <c r="J65" s="2008"/>
      <c r="K65" s="2008" t="s">
        <v>119</v>
      </c>
      <c r="L65" s="2008"/>
      <c r="M65" s="2008"/>
      <c r="N65" s="2008" t="s">
        <v>120</v>
      </c>
      <c r="O65" s="2008"/>
      <c r="P65" s="2008"/>
      <c r="Q65" s="2008" t="s">
        <v>121</v>
      </c>
      <c r="R65" s="2008"/>
      <c r="S65" s="2009" t="s">
        <v>122</v>
      </c>
      <c r="T65" s="2009"/>
      <c r="U65" s="2009" t="s">
        <v>122</v>
      </c>
      <c r="V65" s="2009"/>
      <c r="W65" s="2129" t="s">
        <v>127</v>
      </c>
      <c r="X65" s="2129"/>
      <c r="Y65" s="2129"/>
      <c r="Z65" s="2129"/>
      <c r="AA65" s="2129"/>
      <c r="AB65" s="2129"/>
      <c r="AC65" s="2129"/>
      <c r="AD65" s="2129"/>
      <c r="AE65" s="2129"/>
      <c r="AF65" s="2129"/>
      <c r="AG65" s="2129"/>
      <c r="AH65" s="2129"/>
      <c r="AI65" s="2129"/>
      <c r="AJ65" s="2129"/>
      <c r="AK65" s="2129"/>
      <c r="AL65" s="2129"/>
      <c r="AM65" s="2009" t="s">
        <v>277</v>
      </c>
      <c r="AN65" s="2009"/>
      <c r="AO65" s="2009" t="s">
        <v>146</v>
      </c>
      <c r="AP65" s="2009"/>
      <c r="AQ65" s="2009" t="s">
        <v>278</v>
      </c>
      <c r="AR65" s="2009"/>
      <c r="AS65" s="2008" t="s">
        <v>133</v>
      </c>
      <c r="AT65" s="2008"/>
      <c r="AU65" s="4"/>
      <c r="AV65" s="4"/>
      <c r="AW65" s="4"/>
      <c r="AX65" s="4"/>
      <c r="AY65" s="4"/>
      <c r="AZ65" s="4"/>
      <c r="BA65" s="4"/>
      <c r="BB65" s="4"/>
      <c r="BC65" s="4"/>
      <c r="BD65" s="4"/>
      <c r="BE65" s="4"/>
      <c r="BF65" s="4"/>
      <c r="BG65" s="4"/>
      <c r="BH65" s="4"/>
    </row>
    <row r="66" spans="1:60" x14ac:dyDescent="0.2">
      <c r="A66" s="4"/>
      <c r="B66" s="106"/>
      <c r="C66" s="18"/>
      <c r="D66" s="18"/>
      <c r="E66" s="18"/>
      <c r="F66" s="18"/>
      <c r="G66" s="18"/>
      <c r="H66" s="18"/>
      <c r="I66" s="18"/>
      <c r="J66" s="18"/>
      <c r="K66" s="18"/>
      <c r="L66" s="18"/>
      <c r="M66" s="18"/>
      <c r="N66" s="18"/>
      <c r="O66" s="18"/>
      <c r="P66" s="18"/>
      <c r="Q66" s="18"/>
      <c r="R66" s="18"/>
      <c r="S66" s="2009" t="s">
        <v>174</v>
      </c>
      <c r="T66" s="2009"/>
      <c r="U66" s="2009" t="s">
        <v>176</v>
      </c>
      <c r="V66" s="2009"/>
      <c r="W66" s="355"/>
      <c r="X66" s="355"/>
      <c r="Y66" s="355"/>
      <c r="Z66" s="355"/>
      <c r="AA66" s="355"/>
      <c r="AB66" s="355"/>
      <c r="AC66" s="355"/>
      <c r="AD66" s="355"/>
      <c r="AE66" s="355"/>
      <c r="AF66" s="355"/>
      <c r="AG66" s="355"/>
      <c r="AH66" s="355"/>
      <c r="AI66" s="355"/>
      <c r="AJ66" s="355"/>
      <c r="AK66" s="355"/>
      <c r="AL66" s="355"/>
      <c r="AM66" s="2009" t="s">
        <v>176</v>
      </c>
      <c r="AN66" s="2009"/>
      <c r="AO66" s="2009" t="s">
        <v>176</v>
      </c>
      <c r="AP66" s="2009"/>
      <c r="AQ66" s="2009" t="s">
        <v>176</v>
      </c>
      <c r="AR66" s="2009"/>
      <c r="AS66" s="2008" t="s">
        <v>178</v>
      </c>
      <c r="AT66" s="2008"/>
      <c r="AU66" s="4"/>
      <c r="AV66" s="4"/>
      <c r="AW66" s="4"/>
      <c r="AX66" s="4"/>
      <c r="AY66" s="4"/>
      <c r="AZ66" s="4"/>
      <c r="BA66" s="4"/>
      <c r="BB66" s="4"/>
      <c r="BC66" s="4"/>
      <c r="BD66" s="4"/>
      <c r="BE66" s="4"/>
      <c r="BF66" s="4"/>
      <c r="BG66" s="4"/>
      <c r="BH66" s="4"/>
    </row>
    <row r="67" spans="1:60" ht="15" thickBot="1" x14ac:dyDescent="0.25">
      <c r="A67" s="4"/>
      <c r="B67" s="18"/>
      <c r="C67" s="2008" t="s">
        <v>132</v>
      </c>
      <c r="D67" s="2008"/>
      <c r="E67" s="2"/>
      <c r="F67" s="2"/>
      <c r="G67" s="2"/>
      <c r="H67" s="2"/>
      <c r="I67" s="2"/>
      <c r="J67" s="2"/>
      <c r="K67" s="2008"/>
      <c r="L67" s="2008"/>
      <c r="M67" s="2008"/>
      <c r="N67" s="2008"/>
      <c r="O67" s="2008"/>
      <c r="P67" s="2008"/>
      <c r="Q67" s="2"/>
      <c r="R67" s="2"/>
      <c r="S67" s="2008" t="s">
        <v>418</v>
      </c>
      <c r="T67" s="2008"/>
      <c r="U67" s="2008" t="s">
        <v>418</v>
      </c>
      <c r="V67" s="2008"/>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008" t="s">
        <v>132</v>
      </c>
      <c r="AN67" s="2008"/>
      <c r="AO67" s="2008" t="s">
        <v>147</v>
      </c>
      <c r="AP67" s="2008"/>
      <c r="AQ67" s="2008" t="s">
        <v>147</v>
      </c>
      <c r="AR67" s="2008"/>
      <c r="AS67" s="2008" t="s">
        <v>132</v>
      </c>
      <c r="AT67" s="2008"/>
      <c r="AU67" s="4"/>
      <c r="AV67" s="4"/>
      <c r="AW67" s="4"/>
      <c r="AX67" s="4"/>
      <c r="AY67" s="4"/>
      <c r="AZ67" s="4"/>
      <c r="BA67" s="4"/>
      <c r="BB67" s="4"/>
      <c r="BC67" s="4"/>
      <c r="BD67" s="4"/>
      <c r="BE67" s="4"/>
      <c r="BF67" s="4"/>
      <c r="BG67" s="4"/>
      <c r="BH67" s="4"/>
    </row>
    <row r="68" spans="1:60" ht="15" thickTop="1" x14ac:dyDescent="0.2">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5" thickBot="1" x14ac:dyDescent="0.2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x14ac:dyDescent="0.2">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2">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5" thickBot="1" x14ac:dyDescent="0.2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x14ac:dyDescent="0.2">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5" thickBot="1" x14ac:dyDescent="0.2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x14ac:dyDescent="0.2">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2">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2">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x14ac:dyDescent="0.2">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2">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2">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x14ac:dyDescent="0.25">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ht="15" x14ac:dyDescent="0.25">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2">
      <c r="A86" s="4"/>
      <c r="B86" s="18" t="s">
        <v>114</v>
      </c>
      <c r="C86" s="2008" t="s">
        <v>211</v>
      </c>
      <c r="D86" s="2008"/>
      <c r="E86" s="2008" t="s">
        <v>223</v>
      </c>
      <c r="F86" s="2008"/>
      <c r="G86" s="2008"/>
      <c r="H86" s="2008" t="s">
        <v>139</v>
      </c>
      <c r="I86" s="2008"/>
      <c r="J86" s="2008"/>
      <c r="K86" s="2129" t="s">
        <v>127</v>
      </c>
      <c r="L86" s="2129"/>
      <c r="M86" s="2129"/>
      <c r="N86" s="2129"/>
      <c r="O86" s="2129"/>
      <c r="P86" s="2129"/>
      <c r="Q86" s="2129"/>
      <c r="R86" s="2129"/>
      <c r="S86" s="2129"/>
      <c r="T86" s="2129"/>
      <c r="U86" s="2129"/>
      <c r="V86" s="2129"/>
      <c r="W86" s="2129"/>
      <c r="X86" s="2129"/>
      <c r="Y86" s="2129"/>
      <c r="Z86" s="2130"/>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5" thickBot="1" x14ac:dyDescent="0.25">
      <c r="A87" s="4"/>
      <c r="B87" s="18"/>
      <c r="C87" s="2126" t="s">
        <v>132</v>
      </c>
      <c r="D87" s="2126"/>
      <c r="E87" s="18"/>
      <c r="F87" s="18"/>
      <c r="G87" s="18"/>
      <c r="H87" s="2126" t="s">
        <v>224</v>
      </c>
      <c r="I87" s="2126"/>
      <c r="J87" s="2126"/>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5" thickTop="1" x14ac:dyDescent="0.2">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2">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2">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2">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2">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2">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2">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2">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2">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5" thickBot="1" x14ac:dyDescent="0.2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2">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2">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5" thickBot="1" x14ac:dyDescent="0.2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2">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2">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5" thickBot="1" x14ac:dyDescent="0.2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2">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2">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2">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2">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5" thickBot="1" x14ac:dyDescent="0.2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5.75" thickTop="1" x14ac:dyDescent="0.25">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x14ac:dyDescent="0.2">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2">
      <c r="A112" s="4"/>
      <c r="B112" s="2" t="s">
        <v>226</v>
      </c>
      <c r="C112" s="2"/>
      <c r="D112" s="2"/>
      <c r="E112" s="2"/>
      <c r="F112" s="2"/>
      <c r="G112" s="2152" t="s">
        <v>769</v>
      </c>
      <c r="H112" s="2152"/>
      <c r="I112" s="2152"/>
      <c r="J112" s="2152"/>
      <c r="K112" s="2152"/>
      <c r="L112" s="2152"/>
      <c r="M112" s="2152"/>
      <c r="N112" s="2152"/>
      <c r="O112" s="2152"/>
      <c r="P112" s="2152"/>
      <c r="Q112" s="2152"/>
      <c r="R112" s="2152"/>
      <c r="S112" s="2152"/>
      <c r="T112" s="2152"/>
      <c r="U112" s="2152"/>
      <c r="V112" s="2152"/>
      <c r="W112" s="2152"/>
      <c r="X112" s="2152"/>
      <c r="Y112" s="2152"/>
      <c r="Z112" s="2152"/>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5" x14ac:dyDescent="0.25">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2">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ht="15" x14ac:dyDescent="0.25">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ht="15" x14ac:dyDescent="0.25">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ht="15" x14ac:dyDescent="0.25">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ht="15" x14ac:dyDescent="0.25">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ht="15" x14ac:dyDescent="0.25">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x14ac:dyDescent="0.2">
      <c r="A124" s="4"/>
      <c r="B124" s="28" t="s">
        <v>114</v>
      </c>
      <c r="C124" s="2008" t="s">
        <v>266</v>
      </c>
      <c r="D124" s="2008"/>
      <c r="E124" s="2008"/>
      <c r="F124" s="2008"/>
      <c r="G124" s="2008" t="s">
        <v>131</v>
      </c>
      <c r="H124" s="2008"/>
      <c r="I124" s="2008"/>
      <c r="J124" s="2008" t="s">
        <v>139</v>
      </c>
      <c r="K124" s="2008"/>
      <c r="L124" s="2008"/>
      <c r="M124" s="2008" t="s">
        <v>122</v>
      </c>
      <c r="N124" s="2008"/>
      <c r="O124" s="2008" t="s">
        <v>133</v>
      </c>
      <c r="P124" s="2008"/>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25">
      <c r="A125" s="4"/>
      <c r="B125" s="28"/>
      <c r="C125" s="81" t="s">
        <v>268</v>
      </c>
      <c r="D125" s="79"/>
      <c r="E125" s="81" t="s">
        <v>267</v>
      </c>
      <c r="F125" s="80"/>
      <c r="G125" s="2"/>
      <c r="H125" s="2"/>
      <c r="I125" s="2"/>
      <c r="J125" s="2"/>
      <c r="K125" s="2"/>
      <c r="L125" s="2"/>
      <c r="M125" s="2008" t="s">
        <v>418</v>
      </c>
      <c r="N125" s="2008"/>
      <c r="O125" s="2008" t="s">
        <v>132</v>
      </c>
      <c r="P125" s="2008"/>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5.75" thickTop="1" x14ac:dyDescent="0.25">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2">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x14ac:dyDescent="0.2">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25">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x14ac:dyDescent="0.2">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2">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5" thickBot="1" x14ac:dyDescent="0.2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2">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2">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5" thickBot="1" x14ac:dyDescent="0.2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2">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5" thickBot="1" x14ac:dyDescent="0.2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2">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2">
      <c r="A139" s="4"/>
      <c r="B139" s="2"/>
      <c r="C139" s="2"/>
      <c r="D139" s="2"/>
      <c r="E139" s="2"/>
      <c r="F139" s="2"/>
      <c r="G139" s="2"/>
      <c r="H139" s="2"/>
      <c r="I139" s="2"/>
      <c r="J139" s="2" t="s">
        <v>212</v>
      </c>
      <c r="K139" s="2"/>
      <c r="L139" s="2"/>
      <c r="M139" s="2128">
        <v>3.39</v>
      </c>
      <c r="N139" s="2140"/>
      <c r="O139" s="2133">
        <v>41</v>
      </c>
      <c r="P139" s="2139"/>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5" x14ac:dyDescent="0.25">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2">
      <c r="A143" s="4"/>
      <c r="B143" s="28" t="s">
        <v>114</v>
      </c>
      <c r="C143" s="2008" t="s">
        <v>211</v>
      </c>
      <c r="D143" s="2008"/>
      <c r="E143" s="2008" t="s">
        <v>131</v>
      </c>
      <c r="F143" s="2008"/>
      <c r="G143" s="2008"/>
      <c r="H143" s="2008" t="s">
        <v>215</v>
      </c>
      <c r="I143" s="2008"/>
      <c r="J143" s="2008"/>
      <c r="K143" s="2008" t="s">
        <v>122</v>
      </c>
      <c r="L143" s="2008"/>
      <c r="M143" s="2008" t="s">
        <v>146</v>
      </c>
      <c r="N143" s="2008"/>
      <c r="O143" s="2008" t="s">
        <v>148</v>
      </c>
      <c r="P143" s="2008"/>
      <c r="Q143" s="2138" t="s">
        <v>181</v>
      </c>
      <c r="R143" s="2138"/>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9.5" thickBot="1" x14ac:dyDescent="0.4">
      <c r="A144" s="4"/>
      <c r="B144" s="28"/>
      <c r="C144" s="2008" t="s">
        <v>132</v>
      </c>
      <c r="D144" s="2008"/>
      <c r="E144" s="2"/>
      <c r="F144" s="2"/>
      <c r="G144" s="2"/>
      <c r="H144" s="2"/>
      <c r="I144" s="2"/>
      <c r="J144" s="2"/>
      <c r="K144" s="2008" t="s">
        <v>418</v>
      </c>
      <c r="L144" s="2008"/>
      <c r="M144" s="2008" t="s">
        <v>147</v>
      </c>
      <c r="N144" s="2008"/>
      <c r="O144" s="2008" t="s">
        <v>149</v>
      </c>
      <c r="P144" s="2008"/>
      <c r="Q144" s="2137" t="s">
        <v>132</v>
      </c>
      <c r="R144" s="2008"/>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5" thickTop="1" x14ac:dyDescent="0.2">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2">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2">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2">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2">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5" thickBot="1" x14ac:dyDescent="0.2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5" thickTop="1" x14ac:dyDescent="0.2">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5" thickBot="1" x14ac:dyDescent="0.25">
      <c r="A152" s="4"/>
      <c r="B152" s="10"/>
      <c r="C152" s="129"/>
      <c r="D152" s="10"/>
      <c r="E152" s="86" t="s">
        <v>218</v>
      </c>
      <c r="F152" s="10"/>
      <c r="G152" s="10"/>
      <c r="H152" s="88" t="s">
        <v>212</v>
      </c>
      <c r="I152" s="10"/>
      <c r="J152" s="10"/>
      <c r="K152" s="2127"/>
      <c r="L152" s="2127"/>
      <c r="M152" s="2131"/>
      <c r="N152" s="2132"/>
      <c r="O152" s="2135"/>
      <c r="P152" s="2135"/>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5" thickTop="1" x14ac:dyDescent="0.2">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2">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2">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2">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5" thickBot="1" x14ac:dyDescent="0.2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2">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2">
      <c r="A159" s="4"/>
      <c r="B159" s="2"/>
      <c r="C159" s="2"/>
      <c r="D159" s="2"/>
      <c r="E159" s="87" t="s">
        <v>225</v>
      </c>
      <c r="F159" s="2"/>
      <c r="G159" s="2"/>
      <c r="H159" s="60" t="s">
        <v>212</v>
      </c>
      <c r="I159" s="2"/>
      <c r="J159" s="2"/>
      <c r="K159" s="2128"/>
      <c r="L159" s="2128"/>
      <c r="M159" s="2133"/>
      <c r="N159" s="2134"/>
      <c r="O159" s="2136"/>
      <c r="P159" s="2136"/>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2">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ht="15" x14ac:dyDescent="0.25">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x14ac:dyDescent="0.2">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2">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2">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12" t="s">
        <v>304</v>
      </c>
      <c r="W166" s="2112"/>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ht="15" x14ac:dyDescent="0.25">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ht="15" x14ac:dyDescent="0.25">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ht="15" x14ac:dyDescent="0.25">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2">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2">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x14ac:dyDescent="0.2">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x14ac:dyDescent="0.2">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2">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2">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ht="15" x14ac:dyDescent="0.25">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2">
      <c r="A178" s="4"/>
      <c r="B178" s="2" t="s">
        <v>586</v>
      </c>
      <c r="C178" s="2"/>
      <c r="D178" s="2113" t="s">
        <v>324</v>
      </c>
      <c r="E178" s="2113"/>
      <c r="F178" s="2113"/>
      <c r="G178" s="2113"/>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x14ac:dyDescent="0.2">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x14ac:dyDescent="0.2">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2">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45" customHeight="1" x14ac:dyDescent="0.2">
      <c r="A183" s="4"/>
      <c r="B183" s="2"/>
      <c r="C183" s="2"/>
      <c r="D183" s="2"/>
      <c r="E183" s="3" t="s">
        <v>589</v>
      </c>
      <c r="F183" s="2149">
        <f>100-G182</f>
        <v>31.079679999999982</v>
      </c>
      <c r="G183" s="2149"/>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2">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2">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2">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42:X42"/>
    <mergeCell ref="W53:X53"/>
    <mergeCell ref="W54:X54"/>
    <mergeCell ref="W55:X55"/>
    <mergeCell ref="Y41:AA41"/>
    <mergeCell ref="Y42:AA42"/>
    <mergeCell ref="AC53:AD53"/>
    <mergeCell ref="AC54:AD54"/>
    <mergeCell ref="AC55:AD55"/>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40625" defaultRowHeight="14.25" x14ac:dyDescent="0.2"/>
  <cols>
    <col min="1" max="41" width="8.7109375" style="1" customWidth="1"/>
    <col min="42" max="42" width="9.140625" style="1" customWidth="1"/>
    <col min="43" max="52" width="8.7109375" style="1" customWidth="1"/>
    <col min="53" max="16384" width="9.140625" style="1"/>
  </cols>
  <sheetData>
    <row r="1" spans="1:29" ht="15" x14ac:dyDescent="0.25">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2">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5" x14ac:dyDescent="0.2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ht="15" x14ac:dyDescent="0.25">
      <c r="A4" s="4"/>
      <c r="B4" s="5" t="s">
        <v>331</v>
      </c>
      <c r="C4" s="4"/>
      <c r="D4" s="4"/>
      <c r="E4" s="2113" t="s">
        <v>941</v>
      </c>
      <c r="F4" s="2113"/>
      <c r="G4" s="2113"/>
      <c r="H4" s="4"/>
      <c r="I4" s="4"/>
      <c r="J4" s="4"/>
      <c r="K4" s="4"/>
      <c r="L4" s="4"/>
      <c r="M4" s="4"/>
      <c r="N4" s="4"/>
      <c r="O4" s="4"/>
      <c r="P4" s="4"/>
      <c r="Q4" s="4"/>
      <c r="R4" s="4"/>
      <c r="S4" s="4"/>
      <c r="T4" s="4"/>
      <c r="U4" s="4"/>
      <c r="V4" s="4"/>
      <c r="W4" s="4"/>
      <c r="X4" s="4"/>
      <c r="Y4" s="4"/>
      <c r="Z4" s="4"/>
      <c r="AA4" s="4"/>
      <c r="AB4" s="4"/>
      <c r="AC4" s="4"/>
    </row>
    <row r="5" spans="1:29" x14ac:dyDescent="0.2">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ht="15" x14ac:dyDescent="0.25">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x14ac:dyDescent="0.2">
      <c r="A7" s="4"/>
      <c r="B7" s="2" t="s">
        <v>780</v>
      </c>
      <c r="C7" s="2"/>
      <c r="D7" s="2"/>
      <c r="E7" s="2"/>
      <c r="F7" s="2"/>
      <c r="G7" s="2"/>
      <c r="H7" s="1491"/>
      <c r="I7" s="2113" t="s">
        <v>326</v>
      </c>
      <c r="J7" s="2113"/>
      <c r="K7" s="6"/>
      <c r="L7" s="134" t="s">
        <v>1015</v>
      </c>
      <c r="M7" s="4"/>
      <c r="N7" s="4"/>
      <c r="O7" s="4"/>
      <c r="P7" s="4"/>
      <c r="Q7" s="4"/>
      <c r="R7" s="4"/>
      <c r="S7" s="4"/>
      <c r="T7" s="4"/>
      <c r="U7" s="4"/>
      <c r="V7" s="4"/>
      <c r="W7" s="26"/>
      <c r="X7" s="6"/>
      <c r="Y7" s="4"/>
      <c r="Z7" s="4"/>
      <c r="AA7" s="4"/>
      <c r="AB7" s="4"/>
      <c r="AC7" s="4"/>
    </row>
    <row r="8" spans="1:29" x14ac:dyDescent="0.2">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2">
      <c r="A9" s="4"/>
      <c r="B9" s="2" t="s">
        <v>552</v>
      </c>
      <c r="C9" s="2"/>
      <c r="D9" s="2"/>
      <c r="E9" s="2"/>
      <c r="F9" s="2"/>
      <c r="G9" s="2"/>
      <c r="H9" s="1984" t="s">
        <v>553</v>
      </c>
      <c r="I9" s="1984"/>
      <c r="J9" s="1984"/>
      <c r="K9" s="4"/>
      <c r="L9" s="913"/>
      <c r="M9" s="4"/>
      <c r="N9" s="4"/>
      <c r="O9" s="4"/>
      <c r="P9" s="4"/>
      <c r="Q9" s="4"/>
      <c r="R9" s="4"/>
      <c r="S9" s="4"/>
      <c r="T9" s="4"/>
      <c r="U9" s="4"/>
      <c r="V9" s="4"/>
      <c r="W9" s="4"/>
      <c r="X9" s="26"/>
      <c r="Y9" s="4"/>
      <c r="Z9" s="4"/>
      <c r="AA9" s="4"/>
      <c r="AB9" s="4"/>
      <c r="AC9" s="4"/>
    </row>
    <row r="10" spans="1:29" x14ac:dyDescent="0.2">
      <c r="A10" s="4"/>
      <c r="B10" s="2" t="s">
        <v>781</v>
      </c>
      <c r="C10" s="2"/>
      <c r="D10" s="2"/>
      <c r="E10" s="2"/>
      <c r="F10" s="2"/>
      <c r="G10" s="2"/>
      <c r="H10" s="1491"/>
      <c r="I10" s="2113" t="s">
        <v>333</v>
      </c>
      <c r="J10" s="2113"/>
      <c r="K10" s="4"/>
      <c r="L10" s="134" t="s">
        <v>938</v>
      </c>
      <c r="M10" s="4"/>
      <c r="N10" s="4"/>
      <c r="O10" s="4"/>
      <c r="P10" s="4"/>
      <c r="Q10" s="4"/>
      <c r="R10" s="4"/>
      <c r="S10" s="4"/>
      <c r="T10" s="4"/>
      <c r="U10" s="4"/>
      <c r="V10" s="4"/>
      <c r="W10" s="4"/>
      <c r="X10" s="26"/>
      <c r="Y10" s="4"/>
      <c r="Z10" s="4"/>
      <c r="AA10" s="4"/>
      <c r="AB10" s="4"/>
      <c r="AC10" s="4"/>
    </row>
    <row r="11" spans="1:29" x14ac:dyDescent="0.2">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ht="15" x14ac:dyDescent="0.25">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2">
      <c r="A14" s="4"/>
      <c r="B14" s="2"/>
      <c r="C14" s="2"/>
      <c r="D14" s="2"/>
      <c r="E14" s="2008" t="s">
        <v>127</v>
      </c>
      <c r="F14" s="2008"/>
      <c r="G14" s="2008"/>
      <c r="H14" s="2008"/>
      <c r="I14" s="2008"/>
      <c r="J14" s="2008"/>
      <c r="K14" s="2008"/>
      <c r="L14" s="2008"/>
      <c r="M14" s="2008"/>
      <c r="N14" s="2008"/>
      <c r="O14" s="2008"/>
      <c r="P14" s="2008"/>
      <c r="Q14" s="2008"/>
      <c r="R14" s="2008"/>
      <c r="S14" s="2008"/>
      <c r="T14" s="2008"/>
      <c r="U14" s="2008" t="s">
        <v>452</v>
      </c>
      <c r="V14" s="2008"/>
      <c r="W14" s="4"/>
      <c r="X14" s="4"/>
      <c r="Y14" s="4"/>
      <c r="Z14" s="4"/>
      <c r="AA14" s="4"/>
      <c r="AB14" s="4"/>
      <c r="AC14" s="4"/>
    </row>
    <row r="15" spans="1:29" x14ac:dyDescent="0.2">
      <c r="A15" s="4"/>
      <c r="B15" s="2"/>
      <c r="C15" s="2"/>
      <c r="D15" s="2"/>
      <c r="E15" s="18"/>
      <c r="F15" s="18"/>
      <c r="G15" s="18"/>
      <c r="H15" s="18"/>
      <c r="I15" s="18"/>
      <c r="J15" s="18"/>
      <c r="K15" s="18"/>
      <c r="L15" s="18"/>
      <c r="M15" s="18"/>
      <c r="N15" s="18"/>
      <c r="O15" s="18"/>
      <c r="P15" s="18"/>
      <c r="Q15" s="18"/>
      <c r="R15" s="18"/>
      <c r="S15" s="18"/>
      <c r="T15" s="18"/>
      <c r="U15" s="2008" t="s">
        <v>184</v>
      </c>
      <c r="V15" s="2008"/>
      <c r="W15" s="4"/>
      <c r="X15" s="4"/>
      <c r="Y15" s="4"/>
      <c r="Z15" s="4"/>
      <c r="AA15" s="4"/>
      <c r="AB15" s="4"/>
      <c r="AC15" s="4"/>
    </row>
    <row r="16" spans="1:29" ht="15" thickBot="1" x14ac:dyDescent="0.2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008" t="s">
        <v>185</v>
      </c>
      <c r="V16" s="2008"/>
      <c r="W16" s="4"/>
      <c r="X16" s="4"/>
      <c r="Y16" s="4"/>
      <c r="Z16" s="4"/>
      <c r="AA16" s="4"/>
      <c r="AB16" s="4"/>
      <c r="AC16" s="4"/>
    </row>
    <row r="17" spans="1:29" ht="15" thickTop="1" x14ac:dyDescent="0.2">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174">
        <v>4.05</v>
      </c>
      <c r="V17" s="2175"/>
      <c r="W17" s="24"/>
      <c r="X17" s="4"/>
      <c r="Y17" s="4"/>
      <c r="Z17" s="4"/>
      <c r="AA17" s="4"/>
      <c r="AB17" s="4"/>
      <c r="AC17" s="4"/>
    </row>
    <row r="18" spans="1:29" x14ac:dyDescent="0.2">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44">
        <f>samenstelling!G176</f>
        <v>3.805679</v>
      </c>
      <c r="V18" s="2144"/>
      <c r="W18" s="24"/>
      <c r="X18" s="4"/>
      <c r="Y18" s="4"/>
      <c r="Z18" s="4"/>
      <c r="AA18" s="4"/>
      <c r="AB18" s="4"/>
      <c r="AC18" s="4"/>
    </row>
    <row r="19" spans="1:29" x14ac:dyDescent="0.2">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177">
        <f t="shared" si="0"/>
        <v>0.24432099999999979</v>
      </c>
      <c r="V19" s="2177"/>
      <c r="W19" s="24"/>
      <c r="X19" s="4"/>
      <c r="Y19" s="4"/>
      <c r="Z19" s="4"/>
      <c r="AA19" s="4"/>
      <c r="AB19" s="4"/>
      <c r="AC19" s="4"/>
    </row>
    <row r="20" spans="1:29" x14ac:dyDescent="0.2">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ht="15" x14ac:dyDescent="0.25">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2">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ht="15" x14ac:dyDescent="0.25">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ht="15" x14ac:dyDescent="0.25">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5" x14ac:dyDescent="0.2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5" x14ac:dyDescent="0.25">
      <c r="A27" s="4"/>
      <c r="B27" s="301" t="s">
        <v>1363</v>
      </c>
      <c r="C27" s="301"/>
      <c r="D27" s="1589"/>
      <c r="E27" s="1589"/>
      <c r="F27" s="1589"/>
      <c r="G27" s="1589"/>
      <c r="H27" s="2113" t="s">
        <v>1450</v>
      </c>
      <c r="I27" s="2113"/>
      <c r="J27" s="134" t="s">
        <v>1452</v>
      </c>
      <c r="K27" s="4"/>
      <c r="L27" s="4"/>
      <c r="M27" s="4"/>
      <c r="N27" s="4"/>
      <c r="O27" s="4"/>
      <c r="P27" s="4"/>
      <c r="Q27" s="4"/>
      <c r="R27" s="4"/>
      <c r="S27" s="4"/>
      <c r="T27" s="4"/>
      <c r="U27" s="5"/>
      <c r="V27" s="4"/>
      <c r="W27" s="4"/>
      <c r="X27" s="4"/>
      <c r="Y27" s="4"/>
      <c r="Z27" s="4"/>
      <c r="AA27" s="4"/>
      <c r="AB27" s="4"/>
      <c r="AC27" s="4"/>
    </row>
    <row r="28" spans="1:29" ht="15" x14ac:dyDescent="0.25">
      <c r="A28" s="4"/>
      <c r="B28" s="301" t="s">
        <v>1364</v>
      </c>
      <c r="C28" s="301"/>
      <c r="D28" s="1589"/>
      <c r="E28" s="1589"/>
      <c r="F28" s="1589"/>
      <c r="G28" s="1589"/>
      <c r="H28" s="2113" t="s">
        <v>1365</v>
      </c>
      <c r="I28" s="2113"/>
      <c r="J28" s="134"/>
      <c r="K28" s="4"/>
      <c r="L28" s="4"/>
      <c r="M28" s="4"/>
      <c r="N28" s="4"/>
      <c r="O28" s="4"/>
      <c r="P28" s="4"/>
      <c r="Q28" s="4"/>
      <c r="R28" s="4"/>
      <c r="S28" s="4"/>
      <c r="T28" s="4"/>
      <c r="U28" s="5"/>
      <c r="V28" s="4"/>
      <c r="W28" s="4"/>
      <c r="X28" s="4"/>
      <c r="Y28" s="4"/>
      <c r="Z28" s="4"/>
      <c r="AA28" s="4"/>
      <c r="AB28" s="4"/>
      <c r="AC28" s="4"/>
    </row>
    <row r="29" spans="1:29" ht="15" x14ac:dyDescent="0.25">
      <c r="A29" s="4"/>
      <c r="B29" s="301" t="s">
        <v>1366</v>
      </c>
      <c r="C29" s="301"/>
      <c r="D29" s="2195" t="s">
        <v>1367</v>
      </c>
      <c r="E29" s="2195"/>
      <c r="F29" s="2195"/>
      <c r="G29" s="2195"/>
      <c r="H29" s="2195"/>
      <c r="I29" s="2195"/>
      <c r="J29" s="134" t="s">
        <v>1631</v>
      </c>
      <c r="K29" s="4"/>
      <c r="L29" s="4"/>
      <c r="M29" s="4"/>
      <c r="N29" s="4"/>
      <c r="O29" s="4"/>
      <c r="P29" s="4"/>
      <c r="Q29" s="4"/>
      <c r="R29" s="4"/>
      <c r="S29" s="4"/>
      <c r="T29" s="4"/>
      <c r="U29" s="5"/>
      <c r="V29" s="4"/>
      <c r="W29" s="4"/>
      <c r="X29" s="4"/>
      <c r="Y29" s="4"/>
      <c r="Z29" s="4"/>
      <c r="AA29" s="4"/>
      <c r="AB29" s="4"/>
      <c r="AC29" s="4"/>
    </row>
    <row r="30" spans="1:29" ht="15" x14ac:dyDescent="0.2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x14ac:dyDescent="0.2">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x14ac:dyDescent="0.2">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2">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2">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ht="15" x14ac:dyDescent="0.25">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2">
      <c r="A36" s="4"/>
      <c r="B36" s="2" t="s">
        <v>336</v>
      </c>
      <c r="C36" s="2"/>
      <c r="D36" s="2" t="s">
        <v>183</v>
      </c>
      <c r="E36" s="2"/>
      <c r="F36" s="2008" t="s">
        <v>374</v>
      </c>
      <c r="G36" s="2008"/>
      <c r="H36" s="2008"/>
      <c r="I36" s="2008"/>
      <c r="J36" s="2008"/>
      <c r="K36" s="2008" t="s">
        <v>346</v>
      </c>
      <c r="L36" s="2008"/>
      <c r="M36" s="2008"/>
      <c r="N36" s="2008"/>
      <c r="O36" s="2008"/>
      <c r="P36" s="2008"/>
      <c r="Q36" s="2008"/>
      <c r="R36" s="2" t="s">
        <v>369</v>
      </c>
      <c r="S36" s="2"/>
      <c r="T36" s="2" t="s">
        <v>370</v>
      </c>
      <c r="U36" s="2"/>
      <c r="V36" s="143" t="s">
        <v>928</v>
      </c>
      <c r="W36" s="143"/>
      <c r="X36" s="143"/>
      <c r="Y36" s="143"/>
      <c r="Z36" s="92"/>
      <c r="AA36" s="92"/>
      <c r="AB36" s="4"/>
      <c r="AC36" s="4"/>
    </row>
    <row r="37" spans="1:29" x14ac:dyDescent="0.2">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x14ac:dyDescent="0.2">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x14ac:dyDescent="0.2">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x14ac:dyDescent="0.2">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x14ac:dyDescent="0.2">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x14ac:dyDescent="0.2">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x14ac:dyDescent="0.2">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x14ac:dyDescent="0.2">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x14ac:dyDescent="0.2">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x14ac:dyDescent="0.2">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x14ac:dyDescent="0.2">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x14ac:dyDescent="0.2">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2">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x14ac:dyDescent="0.2">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x14ac:dyDescent="0.2">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x14ac:dyDescent="0.2">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x14ac:dyDescent="0.2">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x14ac:dyDescent="0.2">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2">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x14ac:dyDescent="0.2">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x14ac:dyDescent="0.2">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x14ac:dyDescent="0.2">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x14ac:dyDescent="0.2">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x14ac:dyDescent="0.2">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x14ac:dyDescent="0.2">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2">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x14ac:dyDescent="0.2">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x14ac:dyDescent="0.2">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x14ac:dyDescent="0.2">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x14ac:dyDescent="0.2">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5" thickBot="1" x14ac:dyDescent="0.2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5" thickTop="1" x14ac:dyDescent="0.2">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2">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2">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2">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2">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2">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2">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2">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2">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2">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2">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2">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2">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2">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2">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2">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2">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2">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2">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2">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2">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2">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2">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2">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2">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2">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2">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2">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2">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5" thickBot="1" x14ac:dyDescent="0.2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5" thickTop="1" x14ac:dyDescent="0.2">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2">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2">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2">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2">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2">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2">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2">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2">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2">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2">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2">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2">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2">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2">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2">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2">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2">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2">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2">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2">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2">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2">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2">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2">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2">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2">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2">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2">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2">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x14ac:dyDescent="0.2">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15" x14ac:dyDescent="0.25">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15" x14ac:dyDescent="0.25">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x14ac:dyDescent="0.2">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x14ac:dyDescent="0.2">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x14ac:dyDescent="0.2">
      <c r="A135" s="4"/>
      <c r="B135" s="2" t="s">
        <v>814</v>
      </c>
      <c r="C135" s="2"/>
      <c r="D135" s="2"/>
      <c r="E135" s="2"/>
      <c r="F135" s="2"/>
      <c r="G135" s="2"/>
      <c r="H135" s="2"/>
      <c r="I135" s="1932" t="s">
        <v>568</v>
      </c>
      <c r="J135" s="1932"/>
      <c r="K135" s="6" t="s">
        <v>815</v>
      </c>
      <c r="L135" s="4"/>
      <c r="M135" s="4"/>
      <c r="N135" s="4"/>
      <c r="O135" s="4"/>
      <c r="P135" s="4"/>
      <c r="Q135" s="4"/>
      <c r="R135" s="4"/>
      <c r="S135" s="4"/>
      <c r="T135" s="4"/>
      <c r="U135" s="4"/>
      <c r="V135" s="4"/>
      <c r="W135" s="4"/>
      <c r="X135" s="4"/>
      <c r="Y135" s="4"/>
      <c r="Z135" s="26"/>
      <c r="AA135" s="4"/>
      <c r="AB135" s="4"/>
      <c r="AC135" s="4"/>
    </row>
    <row r="136" spans="1:29" x14ac:dyDescent="0.2">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2">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x14ac:dyDescent="0.2">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x14ac:dyDescent="0.2">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x14ac:dyDescent="0.2">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x14ac:dyDescent="0.2">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2">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5" x14ac:dyDescent="0.2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8.75" x14ac:dyDescent="0.35">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2">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ht="15" x14ac:dyDescent="0.25">
      <c r="A146" s="4"/>
      <c r="B146" s="2">
        <f>IF(I32="","",samenstelling!C158-I32)</f>
        <v>3.5500000000000003</v>
      </c>
      <c r="C146" s="2"/>
      <c r="D146" s="18"/>
      <c r="E146" s="2"/>
      <c r="F146" s="1596">
        <v>100</v>
      </c>
      <c r="G146" s="1600"/>
      <c r="H146" s="1593">
        <v>1100</v>
      </c>
      <c r="I146" s="1600"/>
      <c r="J146" s="1593">
        <v>2000</v>
      </c>
      <c r="K146" s="1600"/>
      <c r="L146" s="1600"/>
      <c r="M146" s="2182">
        <v>1.2999999999999999E-3</v>
      </c>
      <c r="N146" s="2183"/>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2">
      <c r="A147" s="4"/>
      <c r="B147" s="696"/>
      <c r="C147" s="696"/>
      <c r="D147" s="690"/>
      <c r="E147" s="696" t="s">
        <v>725</v>
      </c>
      <c r="F147" s="1597">
        <v>105</v>
      </c>
      <c r="G147" s="1602"/>
      <c r="H147" s="1603">
        <v>1095</v>
      </c>
      <c r="I147" s="1602"/>
      <c r="J147" s="1603">
        <v>2020</v>
      </c>
      <c r="K147" s="1602"/>
      <c r="L147" s="1602"/>
      <c r="M147" s="2172">
        <v>1.34E-3</v>
      </c>
      <c r="N147" s="2173"/>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ht="15" x14ac:dyDescent="0.25">
      <c r="A148" s="4"/>
      <c r="B148" s="960">
        <f>samenstelling!C158</f>
        <v>3.85</v>
      </c>
      <c r="C148" s="960"/>
      <c r="D148" s="961"/>
      <c r="E148" s="960"/>
      <c r="F148" s="1598">
        <v>101</v>
      </c>
      <c r="G148" s="1605"/>
      <c r="H148" s="1606">
        <v>1101</v>
      </c>
      <c r="I148" s="1605"/>
      <c r="J148" s="1606">
        <v>2001</v>
      </c>
      <c r="K148" s="1605"/>
      <c r="L148" s="1605"/>
      <c r="M148" s="2178">
        <v>1.2340000000000001E-3</v>
      </c>
      <c r="N148" s="2179"/>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2">
      <c r="A149" s="4"/>
      <c r="B149" s="49"/>
      <c r="C149" s="49"/>
      <c r="D149" s="47"/>
      <c r="E149" s="49" t="s">
        <v>725</v>
      </c>
      <c r="F149" s="1599"/>
      <c r="G149" s="1608"/>
      <c r="H149" s="1609"/>
      <c r="I149" s="1608"/>
      <c r="J149" s="1609"/>
      <c r="K149" s="1608"/>
      <c r="L149" s="1608"/>
      <c r="M149" s="2180"/>
      <c r="N149" s="2181"/>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ht="15" x14ac:dyDescent="0.25">
      <c r="A150" s="4"/>
      <c r="B150" s="2">
        <f>IF(I32="","",samenstelling!C158+I32)</f>
        <v>4.1500000000000004</v>
      </c>
      <c r="C150" s="2"/>
      <c r="D150" s="18"/>
      <c r="E150" s="2"/>
      <c r="F150" s="1596">
        <v>102</v>
      </c>
      <c r="G150" s="1600"/>
      <c r="H150" s="1593">
        <v>1102</v>
      </c>
      <c r="I150" s="1600"/>
      <c r="J150" s="1593">
        <v>2002</v>
      </c>
      <c r="K150" s="1600"/>
      <c r="L150" s="1600"/>
      <c r="M150" s="2113">
        <v>1.42E-3</v>
      </c>
      <c r="N150" s="2176"/>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2">
      <c r="A151" s="4"/>
      <c r="B151" s="696"/>
      <c r="C151" s="696"/>
      <c r="D151" s="690"/>
      <c r="E151" s="696" t="s">
        <v>725</v>
      </c>
      <c r="F151" s="1597"/>
      <c r="G151" s="1602"/>
      <c r="H151" s="1603"/>
      <c r="I151" s="1602"/>
      <c r="J151" s="1603"/>
      <c r="K151" s="1602"/>
      <c r="L151" s="1602"/>
      <c r="M151" s="2172"/>
      <c r="N151" s="2173"/>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5" x14ac:dyDescent="0.2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x14ac:dyDescent="0.2">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x14ac:dyDescent="0.2">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15" x14ac:dyDescent="0.25">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15" x14ac:dyDescent="0.25">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x14ac:dyDescent="0.2">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x14ac:dyDescent="0.2">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x14ac:dyDescent="0.2">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5" x14ac:dyDescent="0.2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8.75" x14ac:dyDescent="0.35">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x14ac:dyDescent="0.2">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5" x14ac:dyDescent="0.2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5" x14ac:dyDescent="0.2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5" x14ac:dyDescent="0.2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x14ac:dyDescent="0.2">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x14ac:dyDescent="0.2">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x14ac:dyDescent="0.2">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x14ac:dyDescent="0.2">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x14ac:dyDescent="0.2">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x14ac:dyDescent="0.2">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x14ac:dyDescent="0.2">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x14ac:dyDescent="0.2">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x14ac:dyDescent="0.2">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x14ac:dyDescent="0.2">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x14ac:dyDescent="0.2">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x14ac:dyDescent="0.2">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x14ac:dyDescent="0.2">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25">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75" thickTop="1" x14ac:dyDescent="0.2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5" x14ac:dyDescent="0.2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5" x14ac:dyDescent="0.2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x14ac:dyDescent="0.2">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x14ac:dyDescent="0.2">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x14ac:dyDescent="0.2">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x14ac:dyDescent="0.2">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x14ac:dyDescent="0.2">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x14ac:dyDescent="0.2">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x14ac:dyDescent="0.2">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x14ac:dyDescent="0.2">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x14ac:dyDescent="0.2">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x14ac:dyDescent="0.2">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x14ac:dyDescent="0.2">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x14ac:dyDescent="0.2">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x14ac:dyDescent="0.2">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25">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75" thickTop="1" x14ac:dyDescent="0.2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5" x14ac:dyDescent="0.2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5" x14ac:dyDescent="0.2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x14ac:dyDescent="0.2">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x14ac:dyDescent="0.2">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x14ac:dyDescent="0.2">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x14ac:dyDescent="0.2">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x14ac:dyDescent="0.2">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x14ac:dyDescent="0.2">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x14ac:dyDescent="0.2">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x14ac:dyDescent="0.2">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x14ac:dyDescent="0.2">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x14ac:dyDescent="0.2">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x14ac:dyDescent="0.2">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x14ac:dyDescent="0.2">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x14ac:dyDescent="0.2">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x14ac:dyDescent="0.2">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x14ac:dyDescent="0.2">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x14ac:dyDescent="0.2">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ht="15" x14ac:dyDescent="0.25">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5" x14ac:dyDescent="0.2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ht="15" x14ac:dyDescent="0.25">
      <c r="A223" s="4"/>
      <c r="B223" s="5" t="s">
        <v>331</v>
      </c>
      <c r="C223" s="4"/>
      <c r="D223" s="4"/>
      <c r="E223" s="2113" t="s">
        <v>941</v>
      </c>
      <c r="F223" s="2113"/>
      <c r="G223" s="2113"/>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5" x14ac:dyDescent="0.25">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x14ac:dyDescent="0.2">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x14ac:dyDescent="0.2">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x14ac:dyDescent="0.2">
      <c r="A228" s="4"/>
      <c r="B228" s="2" t="s">
        <v>950</v>
      </c>
      <c r="C228" s="2"/>
      <c r="D228" s="2"/>
      <c r="E228" s="2"/>
      <c r="F228" s="2"/>
      <c r="G228" s="2"/>
      <c r="H228" s="2"/>
      <c r="I228" s="2"/>
      <c r="J228" s="1491"/>
      <c r="K228" s="2113" t="s">
        <v>429</v>
      </c>
      <c r="L228" s="2113"/>
      <c r="M228" s="134" t="s">
        <v>1435</v>
      </c>
      <c r="N228" s="4"/>
      <c r="O228" s="4"/>
      <c r="P228" s="4"/>
      <c r="Q228" s="4"/>
      <c r="R228" s="4"/>
      <c r="S228" s="4"/>
      <c r="T228" s="4"/>
      <c r="U228" s="4"/>
      <c r="V228" s="4"/>
      <c r="W228" s="4"/>
      <c r="X228" s="4"/>
      <c r="Y228" s="4"/>
      <c r="Z228" s="4"/>
      <c r="AA228" s="4"/>
      <c r="AB228" s="4"/>
      <c r="AC228" s="4"/>
    </row>
    <row r="229" spans="1:29" x14ac:dyDescent="0.2">
      <c r="A229" s="4"/>
      <c r="B229" s="2" t="s">
        <v>827</v>
      </c>
      <c r="C229" s="2"/>
      <c r="D229" s="2"/>
      <c r="E229" s="60" t="s">
        <v>1035</v>
      </c>
      <c r="F229" s="2"/>
      <c r="G229" s="2"/>
      <c r="H229" s="2"/>
      <c r="I229" s="3"/>
      <c r="J229" s="2113" t="s">
        <v>951</v>
      </c>
      <c r="K229" s="2113"/>
      <c r="L229" s="2113"/>
      <c r="M229" s="134"/>
      <c r="N229" s="4"/>
      <c r="O229" s="4"/>
      <c r="P229" s="4"/>
      <c r="Q229" s="4"/>
      <c r="R229" s="4"/>
      <c r="S229" s="4"/>
      <c r="T229" s="4"/>
      <c r="U229" s="4"/>
      <c r="V229" s="4"/>
      <c r="W229" s="4"/>
      <c r="X229" s="4"/>
      <c r="Y229" s="4"/>
      <c r="Z229" s="4"/>
      <c r="AA229" s="4"/>
      <c r="AB229" s="4"/>
      <c r="AC229" s="4"/>
    </row>
    <row r="230" spans="1:29" x14ac:dyDescent="0.2">
      <c r="A230" s="4"/>
      <c r="B230" s="2"/>
      <c r="C230" s="2"/>
      <c r="D230" s="2"/>
      <c r="E230" s="60" t="s">
        <v>1036</v>
      </c>
      <c r="F230" s="2"/>
      <c r="G230" s="2"/>
      <c r="H230" s="2"/>
      <c r="I230" s="3"/>
      <c r="J230" s="2113" t="s">
        <v>288</v>
      </c>
      <c r="K230" s="2113"/>
      <c r="L230" s="2113"/>
      <c r="M230" s="134" t="s">
        <v>1637</v>
      </c>
      <c r="N230" s="4"/>
      <c r="O230" s="4"/>
      <c r="P230" s="4"/>
      <c r="Q230" s="4"/>
      <c r="R230" s="4"/>
      <c r="S230" s="4"/>
      <c r="T230" s="4"/>
      <c r="U230" s="4"/>
      <c r="V230" s="4"/>
      <c r="W230" s="4"/>
      <c r="X230" s="4"/>
      <c r="Y230" s="4"/>
      <c r="Z230" s="4"/>
      <c r="AA230" s="4"/>
      <c r="AB230" s="4"/>
      <c r="AC230" s="4"/>
    </row>
    <row r="231" spans="1:29" x14ac:dyDescent="0.2">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x14ac:dyDescent="0.2">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x14ac:dyDescent="0.2">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x14ac:dyDescent="0.2">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x14ac:dyDescent="0.2">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5" x14ac:dyDescent="0.2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2">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2">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5" x14ac:dyDescent="0.2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5" x14ac:dyDescent="0.2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ht="15" x14ac:dyDescent="0.25">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x14ac:dyDescent="0.2">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2">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ht="15" x14ac:dyDescent="0.25">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ht="15" x14ac:dyDescent="0.25">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ht="15" x14ac:dyDescent="0.25">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2">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2">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ht="15" x14ac:dyDescent="0.25">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ht="15" x14ac:dyDescent="0.25">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ht="15" x14ac:dyDescent="0.25">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2">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2">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5" x14ac:dyDescent="0.25">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2">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2">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x14ac:dyDescent="0.2">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x14ac:dyDescent="0.2">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5" x14ac:dyDescent="0.2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x14ac:dyDescent="0.2">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x14ac:dyDescent="0.2">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x14ac:dyDescent="0.2">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x14ac:dyDescent="0.2">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x14ac:dyDescent="0.2">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x14ac:dyDescent="0.2">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x14ac:dyDescent="0.2">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x14ac:dyDescent="0.2">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ht="15" x14ac:dyDescent="0.25">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5" x14ac:dyDescent="0.2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ht="15" x14ac:dyDescent="0.25">
      <c r="A276" s="4"/>
      <c r="B276" s="5" t="s">
        <v>331</v>
      </c>
      <c r="C276" s="4"/>
      <c r="D276" s="4"/>
      <c r="E276" s="2113" t="s">
        <v>941</v>
      </c>
      <c r="F276" s="2113"/>
      <c r="G276" s="2113"/>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ht="15" x14ac:dyDescent="0.25">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x14ac:dyDescent="0.2">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x14ac:dyDescent="0.2">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2">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2">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2">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x14ac:dyDescent="0.2">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x14ac:dyDescent="0.2">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x14ac:dyDescent="0.2">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5" x14ac:dyDescent="0.2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2">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2">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2">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5" x14ac:dyDescent="0.2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5" x14ac:dyDescent="0.2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5" x14ac:dyDescent="0.2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ht="15" x14ac:dyDescent="0.25">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x14ac:dyDescent="0.2">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2">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5" x14ac:dyDescent="0.2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5" x14ac:dyDescent="0.2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5" x14ac:dyDescent="0.2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ht="15" x14ac:dyDescent="0.25">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2">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2">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2">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2">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2">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2">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2">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2">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ht="15" x14ac:dyDescent="0.25">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ht="15" x14ac:dyDescent="0.25">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x14ac:dyDescent="0.2">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x14ac:dyDescent="0.2">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x14ac:dyDescent="0.2">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ht="15" x14ac:dyDescent="0.25">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2">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5" x14ac:dyDescent="0.2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x14ac:dyDescent="0.2">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ht="15" x14ac:dyDescent="0.25">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5" x14ac:dyDescent="0.2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ht="15" x14ac:dyDescent="0.25">
      <c r="A326" s="4"/>
      <c r="B326" s="5" t="s">
        <v>331</v>
      </c>
      <c r="C326" s="4"/>
      <c r="D326" s="4"/>
      <c r="E326" s="2113" t="s">
        <v>941</v>
      </c>
      <c r="F326" s="2113"/>
      <c r="G326" s="2113"/>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ht="15" x14ac:dyDescent="0.25">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5" x14ac:dyDescent="0.2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x14ac:dyDescent="0.2">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x14ac:dyDescent="0.2">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x14ac:dyDescent="0.2">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x14ac:dyDescent="0.2">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x14ac:dyDescent="0.2">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x14ac:dyDescent="0.2">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x14ac:dyDescent="0.2">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5" x14ac:dyDescent="0.2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8.75" x14ac:dyDescent="0.35">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x14ac:dyDescent="0.2">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x14ac:dyDescent="0.2">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5" x14ac:dyDescent="0.2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5" x14ac:dyDescent="0.2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x14ac:dyDescent="0.2">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5" x14ac:dyDescent="0.2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ht="15" x14ac:dyDescent="0.25">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ht="15" x14ac:dyDescent="0.25">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x14ac:dyDescent="0.2">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2">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5" x14ac:dyDescent="0.2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x14ac:dyDescent="0.2">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2">
      <c r="A355" s="4"/>
      <c r="B355" s="301" t="s">
        <v>836</v>
      </c>
      <c r="C355" s="2"/>
      <c r="D355" s="2113" t="s">
        <v>941</v>
      </c>
      <c r="E355" s="2113"/>
      <c r="F355" s="2113"/>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x14ac:dyDescent="0.2">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x14ac:dyDescent="0.2">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2">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2">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2">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x14ac:dyDescent="0.2">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5" x14ac:dyDescent="0.2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5" x14ac:dyDescent="0.2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x14ac:dyDescent="0.2">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x14ac:dyDescent="0.2">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x14ac:dyDescent="0.2">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x14ac:dyDescent="0.2">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ht="15" x14ac:dyDescent="0.25">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ht="15" x14ac:dyDescent="0.25">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2">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2">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2">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2">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ht="15" x14ac:dyDescent="0.25">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ht="15" x14ac:dyDescent="0.25">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2">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2">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2">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ht="15" x14ac:dyDescent="0.25">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ht="15" x14ac:dyDescent="0.25">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5" x14ac:dyDescent="0.2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x14ac:dyDescent="0.2">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2">
      <c r="A384" s="4"/>
      <c r="B384" s="301" t="s">
        <v>836</v>
      </c>
      <c r="C384" s="2"/>
      <c r="D384" s="2113" t="s">
        <v>941</v>
      </c>
      <c r="E384" s="2113"/>
      <c r="F384" s="2113"/>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x14ac:dyDescent="0.2">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x14ac:dyDescent="0.2">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2">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2">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2">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x14ac:dyDescent="0.2">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5" x14ac:dyDescent="0.2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5" x14ac:dyDescent="0.2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x14ac:dyDescent="0.2">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x14ac:dyDescent="0.2">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x14ac:dyDescent="0.2">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x14ac:dyDescent="0.2">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ht="15" x14ac:dyDescent="0.25">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ht="15" x14ac:dyDescent="0.25">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2">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2">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2">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2">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ht="15" x14ac:dyDescent="0.25">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ht="15" x14ac:dyDescent="0.25">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2">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2">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2">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ht="15" x14ac:dyDescent="0.25">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ht="15" x14ac:dyDescent="0.25">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ht="15" x14ac:dyDescent="0.25">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2">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2">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5" x14ac:dyDescent="0.2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x14ac:dyDescent="0.2">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ht="15" x14ac:dyDescent="0.25">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5" x14ac:dyDescent="0.2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ht="15" x14ac:dyDescent="0.25">
      <c r="A422" s="4"/>
      <c r="B422" s="5" t="s">
        <v>331</v>
      </c>
      <c r="C422" s="4"/>
      <c r="D422" s="4"/>
      <c r="E422" s="2113" t="s">
        <v>941</v>
      </c>
      <c r="F422" s="2113"/>
      <c r="G422" s="2113"/>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ht="15" x14ac:dyDescent="0.25">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x14ac:dyDescent="0.2">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x14ac:dyDescent="0.2">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x14ac:dyDescent="0.2">
      <c r="A427" s="4"/>
      <c r="B427" s="2" t="s">
        <v>950</v>
      </c>
      <c r="C427" s="2"/>
      <c r="D427" s="2"/>
      <c r="E427" s="2"/>
      <c r="F427" s="2"/>
      <c r="G427" s="2"/>
      <c r="H427" s="2"/>
      <c r="I427" s="2"/>
      <c r="J427" s="2"/>
      <c r="K427" s="2171" t="s">
        <v>430</v>
      </c>
      <c r="L427" s="2171"/>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x14ac:dyDescent="0.2">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x14ac:dyDescent="0.2">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x14ac:dyDescent="0.2">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x14ac:dyDescent="0.2">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5" x14ac:dyDescent="0.2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2">
      <c r="A434" s="4"/>
      <c r="B434" s="2" t="s">
        <v>183</v>
      </c>
      <c r="C434" s="2"/>
      <c r="D434" s="2" t="s">
        <v>336</v>
      </c>
      <c r="E434" s="2"/>
      <c r="F434" s="18" t="s">
        <v>344</v>
      </c>
      <c r="G434" s="18" t="s">
        <v>1006</v>
      </c>
      <c r="H434" s="18" t="s">
        <v>432</v>
      </c>
      <c r="I434" s="18" t="s">
        <v>433</v>
      </c>
      <c r="J434" s="18" t="s">
        <v>499</v>
      </c>
      <c r="K434" s="18" t="s">
        <v>500</v>
      </c>
      <c r="L434" s="18" t="s">
        <v>489</v>
      </c>
      <c r="M434" s="2008" t="s">
        <v>1347</v>
      </c>
      <c r="N434" s="2008"/>
      <c r="O434" s="2008"/>
      <c r="P434" s="2008"/>
      <c r="Q434" s="4"/>
      <c r="R434" s="4"/>
      <c r="S434" s="4"/>
      <c r="T434" s="4"/>
      <c r="U434" s="4"/>
      <c r="V434" s="4"/>
      <c r="W434" s="4"/>
      <c r="X434" s="4"/>
      <c r="Y434" s="4"/>
      <c r="Z434" s="4"/>
      <c r="AA434" s="4"/>
      <c r="AB434" s="4"/>
      <c r="AC434" s="4"/>
      <c r="AD434" s="4"/>
      <c r="AE434" s="4"/>
      <c r="AF434" s="4"/>
      <c r="AG434" s="4"/>
      <c r="AH434" s="4"/>
      <c r="AI434" s="4"/>
    </row>
    <row r="435" spans="1:35" x14ac:dyDescent="0.2">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5" x14ac:dyDescent="0.2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7" t="s">
        <v>1348</v>
      </c>
      <c r="N436" s="2197"/>
      <c r="O436" s="2197"/>
      <c r="P436" s="2197"/>
      <c r="Q436" s="134" t="s">
        <v>459</v>
      </c>
      <c r="R436" s="4"/>
      <c r="S436" s="4"/>
      <c r="T436" s="4"/>
      <c r="U436" s="4"/>
      <c r="V436" s="4"/>
      <c r="W436" s="4"/>
      <c r="X436" s="4"/>
      <c r="Y436" s="4"/>
      <c r="Z436" s="4"/>
      <c r="AA436" s="4"/>
      <c r="AB436" s="4"/>
      <c r="AC436" s="4"/>
      <c r="AD436" s="4"/>
      <c r="AE436" s="4"/>
      <c r="AF436" s="4"/>
      <c r="AG436" s="4"/>
      <c r="AH436" s="4"/>
      <c r="AI436" s="4"/>
    </row>
    <row r="437" spans="1:35" ht="15" x14ac:dyDescent="0.2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95" t="s">
        <v>1349</v>
      </c>
      <c r="N437" s="2195"/>
      <c r="O437" s="2195"/>
      <c r="P437" s="2195"/>
      <c r="Q437" s="134"/>
      <c r="R437" s="4"/>
      <c r="S437" s="4"/>
      <c r="T437" s="4"/>
      <c r="U437" s="4"/>
      <c r="V437" s="4"/>
      <c r="W437" s="4"/>
      <c r="X437" s="4"/>
      <c r="Y437" s="4"/>
      <c r="Z437" s="4"/>
      <c r="AA437" s="4"/>
      <c r="AB437" s="4"/>
      <c r="AC437" s="4"/>
      <c r="AD437" s="4"/>
      <c r="AE437" s="4"/>
      <c r="AF437" s="4"/>
      <c r="AG437" s="4"/>
      <c r="AH437" s="4"/>
      <c r="AI437" s="4"/>
    </row>
    <row r="438" spans="1:35" ht="15" x14ac:dyDescent="0.2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95" t="s">
        <v>1350</v>
      </c>
      <c r="N438" s="2195"/>
      <c r="O438" s="2195"/>
      <c r="P438" s="2195"/>
      <c r="Q438" s="134" t="s">
        <v>1029</v>
      </c>
      <c r="R438" s="4"/>
      <c r="S438" s="4"/>
      <c r="T438" s="4"/>
      <c r="U438" s="4"/>
      <c r="V438" s="4"/>
      <c r="W438" s="4"/>
      <c r="X438" s="4"/>
      <c r="Y438" s="4"/>
      <c r="Z438" s="4"/>
      <c r="AA438" s="4"/>
      <c r="AB438" s="4"/>
      <c r="AC438" s="4"/>
      <c r="AD438" s="4"/>
      <c r="AE438" s="4"/>
      <c r="AF438" s="4"/>
      <c r="AG438" s="4"/>
      <c r="AH438" s="4"/>
      <c r="AI438" s="4"/>
    </row>
    <row r="439" spans="1:35" ht="15" x14ac:dyDescent="0.2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95"/>
      <c r="N439" s="2195"/>
      <c r="O439" s="2195"/>
      <c r="P439" s="2195"/>
      <c r="Q439" s="134"/>
      <c r="R439" s="4"/>
      <c r="S439" s="4"/>
      <c r="T439" s="4"/>
      <c r="U439" s="4"/>
      <c r="V439" s="4"/>
      <c r="W439" s="4"/>
      <c r="X439" s="4"/>
      <c r="Y439" s="4"/>
      <c r="Z439" s="4"/>
      <c r="AA439" s="4"/>
      <c r="AB439" s="4"/>
      <c r="AC439" s="4"/>
      <c r="AD439" s="4"/>
      <c r="AE439" s="4"/>
      <c r="AF439" s="4"/>
      <c r="AG439" s="4"/>
      <c r="AH439" s="4"/>
      <c r="AI439" s="4"/>
    </row>
    <row r="440" spans="1:35" ht="15" x14ac:dyDescent="0.2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6"/>
      <c r="N440" s="2196"/>
      <c r="O440" s="2196"/>
      <c r="P440" s="2196"/>
      <c r="Q440" s="134"/>
      <c r="R440" s="4"/>
      <c r="S440" s="4"/>
      <c r="T440" s="4"/>
      <c r="U440" s="4"/>
      <c r="V440" s="4"/>
      <c r="W440" s="4"/>
      <c r="X440" s="4"/>
      <c r="Y440" s="4"/>
      <c r="Z440" s="4"/>
      <c r="AA440" s="4"/>
      <c r="AB440" s="4"/>
      <c r="AC440" s="4"/>
      <c r="AD440" s="4"/>
      <c r="AE440" s="4"/>
      <c r="AF440" s="4"/>
      <c r="AG440" s="4"/>
      <c r="AH440" s="4"/>
      <c r="AI440" s="4"/>
    </row>
    <row r="441" spans="1:35" x14ac:dyDescent="0.2">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3"/>
      <c r="N441" s="2193"/>
      <c r="O441" s="2193"/>
      <c r="P441" s="2193"/>
      <c r="Q441" s="134"/>
      <c r="R441" s="4"/>
      <c r="S441" s="4"/>
      <c r="T441" s="4"/>
      <c r="U441" s="4"/>
      <c r="V441" s="4"/>
      <c r="W441" s="4"/>
      <c r="X441" s="4"/>
      <c r="Y441" s="4"/>
      <c r="Z441" s="4"/>
      <c r="AA441" s="4"/>
      <c r="AB441" s="4"/>
      <c r="AC441" s="4"/>
      <c r="AD441" s="4"/>
      <c r="AE441" s="4"/>
      <c r="AF441" s="4"/>
      <c r="AG441" s="4"/>
      <c r="AH441" s="4"/>
      <c r="AI441" s="4"/>
    </row>
    <row r="442" spans="1:35" x14ac:dyDescent="0.2">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8"/>
      <c r="N442" s="2198"/>
      <c r="O442" s="2198"/>
      <c r="P442" s="2198"/>
      <c r="Q442" s="4"/>
      <c r="R442" s="4"/>
      <c r="S442" s="4"/>
      <c r="T442" s="4"/>
      <c r="U442" s="4"/>
      <c r="V442" s="4"/>
      <c r="W442" s="4"/>
      <c r="X442" s="4"/>
      <c r="Y442" s="4"/>
      <c r="Z442" s="4"/>
      <c r="AA442" s="4"/>
      <c r="AB442" s="4"/>
      <c r="AC442" s="4"/>
      <c r="AD442" s="4"/>
      <c r="AE442" s="4"/>
      <c r="AF442" s="4"/>
      <c r="AG442" s="4"/>
      <c r="AH442" s="4"/>
      <c r="AI442" s="4"/>
    </row>
    <row r="443" spans="1:35" ht="15" x14ac:dyDescent="0.2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7"/>
      <c r="N443" s="2197"/>
      <c r="O443" s="2197"/>
      <c r="P443" s="2197"/>
      <c r="Q443" s="134" t="s">
        <v>1351</v>
      </c>
      <c r="R443" s="4"/>
      <c r="S443" s="4"/>
      <c r="T443" s="4"/>
      <c r="U443" s="4"/>
      <c r="V443" s="4"/>
      <c r="W443" s="4"/>
      <c r="X443" s="4"/>
      <c r="Y443" s="4"/>
      <c r="Z443" s="4"/>
      <c r="AA443" s="4"/>
      <c r="AB443" s="4"/>
      <c r="AC443" s="4"/>
      <c r="AD443" s="4"/>
      <c r="AE443" s="4"/>
      <c r="AF443" s="4"/>
      <c r="AG443" s="4"/>
      <c r="AH443" s="4"/>
      <c r="AI443" s="4"/>
    </row>
    <row r="444" spans="1:35" ht="15" x14ac:dyDescent="0.25">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95"/>
      <c r="N444" s="2195"/>
      <c r="O444" s="2195"/>
      <c r="P444" s="2195"/>
      <c r="Q444" s="4"/>
      <c r="R444" s="4"/>
      <c r="S444" s="4"/>
      <c r="T444" s="4"/>
      <c r="U444" s="4"/>
      <c r="V444" s="4"/>
      <c r="W444" s="4"/>
      <c r="X444" s="4"/>
      <c r="Y444" s="4"/>
      <c r="Z444" s="4"/>
      <c r="AA444" s="4"/>
      <c r="AB444" s="4"/>
      <c r="AC444" s="4"/>
      <c r="AD444" s="4"/>
      <c r="AE444" s="4"/>
      <c r="AF444" s="4"/>
      <c r="AG444" s="4"/>
      <c r="AH444" s="4"/>
      <c r="AI444" s="4"/>
    </row>
    <row r="445" spans="1:35" ht="15" x14ac:dyDescent="0.25">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95"/>
      <c r="N445" s="2195"/>
      <c r="O445" s="2195"/>
      <c r="P445" s="2195"/>
      <c r="Q445" s="4"/>
      <c r="R445" s="4"/>
      <c r="S445" s="4"/>
      <c r="T445" s="4"/>
      <c r="U445" s="4"/>
      <c r="V445" s="4"/>
      <c r="W445" s="4"/>
      <c r="X445" s="4"/>
      <c r="Y445" s="4"/>
      <c r="Z445" s="4"/>
      <c r="AA445" s="4"/>
      <c r="AB445" s="4"/>
      <c r="AC445" s="4"/>
      <c r="AD445" s="4"/>
      <c r="AE445" s="4"/>
      <c r="AF445" s="4"/>
      <c r="AG445" s="4"/>
      <c r="AH445" s="4"/>
      <c r="AI445" s="4"/>
    </row>
    <row r="446" spans="1:35" ht="15" x14ac:dyDescent="0.25">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95"/>
      <c r="N446" s="2195"/>
      <c r="O446" s="2195"/>
      <c r="P446" s="2195"/>
      <c r="Q446" s="4"/>
      <c r="R446" s="4"/>
      <c r="S446" s="4"/>
      <c r="T446" s="4"/>
      <c r="U446" s="4"/>
      <c r="V446" s="4"/>
      <c r="W446" s="4"/>
      <c r="X446" s="4"/>
      <c r="Y446" s="4"/>
      <c r="Z446" s="4"/>
      <c r="AA446" s="4"/>
      <c r="AB446" s="4"/>
      <c r="AC446" s="4"/>
      <c r="AD446" s="4"/>
      <c r="AE446" s="4"/>
      <c r="AF446" s="4"/>
      <c r="AG446" s="4"/>
      <c r="AH446" s="4"/>
      <c r="AI446" s="4"/>
    </row>
    <row r="447" spans="1:35" ht="15" x14ac:dyDescent="0.25">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6"/>
      <c r="N447" s="2196"/>
      <c r="O447" s="2196"/>
      <c r="P447" s="2196"/>
      <c r="Q447" s="4"/>
      <c r="R447" s="4"/>
      <c r="S447" s="4"/>
      <c r="T447" s="4"/>
      <c r="U447" s="4"/>
      <c r="V447" s="4"/>
      <c r="W447" s="4"/>
      <c r="X447" s="4"/>
      <c r="Y447" s="4"/>
      <c r="Z447" s="4"/>
      <c r="AA447" s="4"/>
      <c r="AB447" s="4"/>
      <c r="AC447" s="4"/>
      <c r="AD447" s="4"/>
      <c r="AE447" s="4"/>
      <c r="AF447" s="4"/>
      <c r="AG447" s="4"/>
      <c r="AH447" s="4"/>
      <c r="AI447" s="4"/>
    </row>
    <row r="448" spans="1:35" x14ac:dyDescent="0.2">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3"/>
      <c r="N448" s="2193"/>
      <c r="O448" s="2193"/>
      <c r="P448" s="2193"/>
      <c r="Q448" s="4"/>
      <c r="R448" s="4"/>
      <c r="S448" s="4"/>
      <c r="T448" s="4"/>
      <c r="U448" s="4"/>
      <c r="V448" s="4"/>
      <c r="W448" s="4"/>
      <c r="X448" s="4"/>
      <c r="Y448" s="4"/>
      <c r="Z448" s="4"/>
      <c r="AA448" s="4"/>
      <c r="AB448" s="4"/>
      <c r="AC448" s="4"/>
      <c r="AD448" s="4"/>
      <c r="AE448" s="4"/>
      <c r="AF448" s="4"/>
      <c r="AG448" s="4"/>
      <c r="AH448" s="4"/>
      <c r="AI448" s="4"/>
    </row>
    <row r="449" spans="1:35" x14ac:dyDescent="0.2">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8"/>
      <c r="N449" s="2198"/>
      <c r="O449" s="2198"/>
      <c r="P449" s="2198"/>
      <c r="Q449" s="4"/>
      <c r="R449" s="4"/>
      <c r="S449" s="4"/>
      <c r="T449" s="4"/>
      <c r="U449" s="4"/>
      <c r="V449" s="4"/>
      <c r="W449" s="4"/>
      <c r="X449" s="4"/>
      <c r="Y449" s="4"/>
      <c r="Z449" s="4"/>
      <c r="AA449" s="4"/>
      <c r="AB449" s="4"/>
      <c r="AC449" s="4"/>
      <c r="AD449" s="4"/>
      <c r="AE449" s="4"/>
      <c r="AF449" s="4"/>
      <c r="AG449" s="4"/>
      <c r="AH449" s="4"/>
      <c r="AI449" s="4"/>
    </row>
    <row r="450" spans="1:35" ht="15" x14ac:dyDescent="0.25">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7"/>
      <c r="N450" s="2197"/>
      <c r="O450" s="2197"/>
      <c r="P450" s="2197"/>
      <c r="Q450" s="4"/>
      <c r="R450" s="4"/>
      <c r="S450" s="4"/>
      <c r="T450" s="4"/>
      <c r="U450" s="4"/>
      <c r="V450" s="4"/>
      <c r="W450" s="4"/>
      <c r="X450" s="4"/>
      <c r="Y450" s="4"/>
      <c r="Z450" s="4"/>
      <c r="AA450" s="4"/>
      <c r="AB450" s="4"/>
      <c r="AC450" s="4"/>
      <c r="AD450" s="4"/>
      <c r="AE450" s="4"/>
      <c r="AF450" s="4"/>
      <c r="AG450" s="4"/>
      <c r="AH450" s="4"/>
      <c r="AI450" s="4"/>
    </row>
    <row r="451" spans="1:35" ht="15" x14ac:dyDescent="0.25">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95"/>
      <c r="N451" s="2195"/>
      <c r="O451" s="2195"/>
      <c r="P451" s="2195"/>
      <c r="Q451" s="4"/>
      <c r="R451" s="4"/>
      <c r="S451" s="4"/>
      <c r="T451" s="4"/>
      <c r="U451" s="4"/>
      <c r="V451" s="4"/>
      <c r="W451" s="4"/>
      <c r="X451" s="4"/>
      <c r="Y451" s="4"/>
      <c r="Z451" s="4"/>
      <c r="AA451" s="4"/>
      <c r="AB451" s="4"/>
      <c r="AC451" s="4"/>
      <c r="AD451" s="4"/>
      <c r="AE451" s="4"/>
      <c r="AF451" s="4"/>
      <c r="AG451" s="4"/>
      <c r="AH451" s="4"/>
      <c r="AI451" s="4"/>
    </row>
    <row r="452" spans="1:35" ht="15" x14ac:dyDescent="0.25">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95"/>
      <c r="N452" s="2195"/>
      <c r="O452" s="2195"/>
      <c r="P452" s="2195"/>
      <c r="Q452" s="4"/>
      <c r="R452" s="4"/>
      <c r="S452" s="4"/>
      <c r="T452" s="4"/>
      <c r="U452" s="4"/>
      <c r="V452" s="4"/>
      <c r="W452" s="4"/>
      <c r="X452" s="4"/>
      <c r="Y452" s="4"/>
      <c r="Z452" s="4"/>
      <c r="AA452" s="4"/>
      <c r="AB452" s="4"/>
      <c r="AC452" s="4"/>
      <c r="AD452" s="4"/>
      <c r="AE452" s="4"/>
      <c r="AF452" s="4"/>
      <c r="AG452" s="4"/>
      <c r="AH452" s="4"/>
      <c r="AI452" s="4"/>
    </row>
    <row r="453" spans="1:35" ht="15" x14ac:dyDescent="0.25">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95"/>
      <c r="N453" s="2195"/>
      <c r="O453" s="2195"/>
      <c r="P453" s="2195"/>
      <c r="Q453" s="4"/>
      <c r="R453" s="4"/>
      <c r="S453" s="4"/>
      <c r="T453" s="4"/>
      <c r="U453" s="4"/>
      <c r="V453" s="4"/>
      <c r="W453" s="4"/>
      <c r="X453" s="4"/>
      <c r="Y453" s="4"/>
      <c r="Z453" s="4"/>
      <c r="AA453" s="4"/>
      <c r="AB453" s="4"/>
      <c r="AC453" s="4"/>
      <c r="AD453" s="4"/>
      <c r="AE453" s="4"/>
      <c r="AF453" s="4"/>
      <c r="AG453" s="4"/>
      <c r="AH453" s="4"/>
      <c r="AI453" s="4"/>
    </row>
    <row r="454" spans="1:35" ht="15" x14ac:dyDescent="0.25">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6"/>
      <c r="N454" s="2196"/>
      <c r="O454" s="2196"/>
      <c r="P454" s="2196"/>
      <c r="Q454" s="4"/>
      <c r="R454" s="4"/>
      <c r="S454" s="4"/>
      <c r="T454" s="4"/>
      <c r="U454" s="4"/>
      <c r="V454" s="4"/>
      <c r="W454" s="4"/>
      <c r="X454" s="4"/>
      <c r="Y454" s="4"/>
      <c r="Z454" s="4"/>
      <c r="AA454" s="4"/>
      <c r="AB454" s="4"/>
      <c r="AC454" s="4"/>
      <c r="AD454" s="4"/>
      <c r="AE454" s="4"/>
      <c r="AF454" s="4"/>
      <c r="AG454" s="4"/>
      <c r="AH454" s="4"/>
      <c r="AI454" s="4"/>
    </row>
    <row r="455" spans="1:35" x14ac:dyDescent="0.2">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3"/>
      <c r="N455" s="2193"/>
      <c r="O455" s="2193"/>
      <c r="P455" s="2193"/>
      <c r="Q455" s="4"/>
      <c r="R455" s="4"/>
      <c r="S455" s="4"/>
      <c r="T455" s="4"/>
      <c r="U455" s="4"/>
      <c r="V455" s="4"/>
      <c r="W455" s="4"/>
      <c r="X455" s="4"/>
      <c r="Y455" s="4"/>
      <c r="Z455" s="4"/>
      <c r="AA455" s="4"/>
      <c r="AB455" s="4"/>
      <c r="AC455" s="4"/>
      <c r="AD455" s="4"/>
      <c r="AE455" s="4"/>
      <c r="AF455" s="4"/>
      <c r="AG455" s="4"/>
      <c r="AH455" s="4"/>
      <c r="AI455" s="4"/>
    </row>
    <row r="456" spans="1:35" x14ac:dyDescent="0.2">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4"/>
      <c r="N456" s="2194"/>
      <c r="O456" s="2194"/>
      <c r="P456" s="2194"/>
      <c r="Q456" s="4"/>
      <c r="R456" s="4"/>
      <c r="S456" s="4"/>
      <c r="T456" s="4"/>
      <c r="U456" s="4"/>
      <c r="V456" s="4"/>
      <c r="W456" s="4"/>
      <c r="X456" s="4"/>
      <c r="Y456" s="4"/>
      <c r="Z456" s="4"/>
      <c r="AA456" s="4"/>
      <c r="AB456" s="4"/>
      <c r="AC456" s="4"/>
      <c r="AD456" s="4"/>
      <c r="AE456" s="4"/>
      <c r="AF456" s="4"/>
      <c r="AG456" s="4"/>
      <c r="AH456" s="4"/>
      <c r="AI456" s="4"/>
    </row>
    <row r="457" spans="1:3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ht="15" x14ac:dyDescent="0.25">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2">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5" x14ac:dyDescent="0.2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x14ac:dyDescent="0.2">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ht="15" x14ac:dyDescent="0.25">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5" x14ac:dyDescent="0.2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ht="15" x14ac:dyDescent="0.25">
      <c r="A468" s="4"/>
      <c r="B468" s="5" t="s">
        <v>331</v>
      </c>
      <c r="C468" s="4"/>
      <c r="D468" s="4"/>
      <c r="E468" s="2113" t="s">
        <v>941</v>
      </c>
      <c r="F468" s="2113"/>
      <c r="G468" s="2113"/>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ht="15" x14ac:dyDescent="0.25">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x14ac:dyDescent="0.2">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x14ac:dyDescent="0.2">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x14ac:dyDescent="0.2">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x14ac:dyDescent="0.2">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x14ac:dyDescent="0.2">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x14ac:dyDescent="0.2">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x14ac:dyDescent="0.2">
      <c r="A477" s="4"/>
      <c r="B477" s="2" t="s">
        <v>508</v>
      </c>
      <c r="C477" s="2"/>
      <c r="D477" s="2"/>
      <c r="E477" s="2"/>
      <c r="F477" s="2"/>
      <c r="G477" s="2"/>
      <c r="H477" s="2113" t="s">
        <v>509</v>
      </c>
      <c r="I477" s="2113"/>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x14ac:dyDescent="0.2">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x14ac:dyDescent="0.2">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x14ac:dyDescent="0.2">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5" x14ac:dyDescent="0.2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2">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2">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x14ac:dyDescent="0.2">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x14ac:dyDescent="0.2">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2">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x14ac:dyDescent="0.2">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x14ac:dyDescent="0.2">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x14ac:dyDescent="0.2">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2">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2">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2">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2">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2">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2">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2">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2">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2">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2">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2">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2">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2">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2">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5" x14ac:dyDescent="0.2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x14ac:dyDescent="0.2">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x14ac:dyDescent="0.2">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x14ac:dyDescent="0.2">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ht="15" x14ac:dyDescent="0.25">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5" x14ac:dyDescent="0.2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ht="15" x14ac:dyDescent="0.25">
      <c r="A515" s="4"/>
      <c r="B515" s="5" t="s">
        <v>331</v>
      </c>
      <c r="C515" s="4"/>
      <c r="D515" s="4"/>
      <c r="E515" s="2113" t="s">
        <v>941</v>
      </c>
      <c r="F515" s="2113"/>
      <c r="G515" s="2113"/>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ht="15" x14ac:dyDescent="0.25">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5" x14ac:dyDescent="0.2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x14ac:dyDescent="0.2">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x14ac:dyDescent="0.2">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x14ac:dyDescent="0.2">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5" x14ac:dyDescent="0.2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x14ac:dyDescent="0.2">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x14ac:dyDescent="0.2">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x14ac:dyDescent="0.2">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x14ac:dyDescent="0.2">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5" x14ac:dyDescent="0.2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5" x14ac:dyDescent="0.2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5" x14ac:dyDescent="0.2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x14ac:dyDescent="0.2">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x14ac:dyDescent="0.2">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5" x14ac:dyDescent="0.2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ht="15" x14ac:dyDescent="0.25">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5" x14ac:dyDescent="0.2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ht="15" x14ac:dyDescent="0.25">
      <c r="A538" s="4"/>
      <c r="B538" s="5" t="s">
        <v>331</v>
      </c>
      <c r="C538" s="4"/>
      <c r="D538" s="4"/>
      <c r="E538" s="2113" t="s">
        <v>941</v>
      </c>
      <c r="F538" s="2113"/>
      <c r="G538" s="2113"/>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ht="15" x14ac:dyDescent="0.25">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5" x14ac:dyDescent="0.2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x14ac:dyDescent="0.2">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x14ac:dyDescent="0.2">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x14ac:dyDescent="0.2">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5" x14ac:dyDescent="0.2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x14ac:dyDescent="0.2">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8.75" x14ac:dyDescent="0.35">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x14ac:dyDescent="0.2">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x14ac:dyDescent="0.2">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5" x14ac:dyDescent="0.2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5" x14ac:dyDescent="0.2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5" x14ac:dyDescent="0.2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25" x14ac:dyDescent="0.25">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5" x14ac:dyDescent="0.2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ht="15" x14ac:dyDescent="0.25">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5" x14ac:dyDescent="0.2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ht="15" x14ac:dyDescent="0.25">
      <c r="A560" s="4"/>
      <c r="B560" s="5" t="s">
        <v>331</v>
      </c>
      <c r="C560" s="4"/>
      <c r="D560" s="4"/>
      <c r="E560" s="2113" t="s">
        <v>941</v>
      </c>
      <c r="F560" s="2113"/>
      <c r="G560" s="2113"/>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ht="15" x14ac:dyDescent="0.25">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x14ac:dyDescent="0.2">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x14ac:dyDescent="0.2">
      <c r="A564" s="4"/>
      <c r="B564" s="2" t="s">
        <v>1440</v>
      </c>
      <c r="C564" s="2"/>
      <c r="D564" s="2"/>
      <c r="E564" s="2"/>
      <c r="F564" s="2"/>
      <c r="G564" s="2"/>
      <c r="H564" s="18"/>
      <c r="I564" s="2187" t="s">
        <v>561</v>
      </c>
      <c r="J564" s="2187"/>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x14ac:dyDescent="0.2">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x14ac:dyDescent="0.2">
      <c r="A566" s="4"/>
      <c r="B566" s="2" t="s">
        <v>1441</v>
      </c>
      <c r="C566" s="2"/>
      <c r="D566" s="2"/>
      <c r="E566" s="2"/>
      <c r="F566" s="2"/>
      <c r="G566" s="2"/>
      <c r="H566" s="1637"/>
      <c r="I566" s="1944" t="s">
        <v>567</v>
      </c>
      <c r="J566" s="1944"/>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x14ac:dyDescent="0.2">
      <c r="A567" s="4"/>
      <c r="B567" s="2" t="s">
        <v>878</v>
      </c>
      <c r="C567" s="2"/>
      <c r="D567" s="2"/>
      <c r="E567" s="2"/>
      <c r="F567" s="2"/>
      <c r="G567" s="2"/>
      <c r="H567" s="1637"/>
      <c r="I567" s="1945" t="s">
        <v>568</v>
      </c>
      <c r="J567" s="1945"/>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x14ac:dyDescent="0.2">
      <c r="A568" s="4"/>
      <c r="B568" s="2" t="s">
        <v>780</v>
      </c>
      <c r="C568" s="2"/>
      <c r="D568" s="2"/>
      <c r="E568" s="2"/>
      <c r="F568" s="2"/>
      <c r="G568" s="2"/>
      <c r="H568" s="1491"/>
      <c r="I568" s="1941" t="s">
        <v>326</v>
      </c>
      <c r="J568" s="1941"/>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2">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2">
      <c r="A570" s="4"/>
      <c r="B570" s="2" t="s">
        <v>552</v>
      </c>
      <c r="C570" s="2"/>
      <c r="D570" s="2"/>
      <c r="E570" s="2"/>
      <c r="F570" s="2"/>
      <c r="G570" s="2"/>
      <c r="H570" s="1946" t="s">
        <v>553</v>
      </c>
      <c r="I570" s="1946"/>
      <c r="J570" s="1946"/>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5" x14ac:dyDescent="0.2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x14ac:dyDescent="0.2">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8.75" x14ac:dyDescent="0.35">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x14ac:dyDescent="0.2">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x14ac:dyDescent="0.2">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x14ac:dyDescent="0.2">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x14ac:dyDescent="0.2">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5" x14ac:dyDescent="0.2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x14ac:dyDescent="0.2">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x14ac:dyDescent="0.2">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x14ac:dyDescent="0.2">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x14ac:dyDescent="0.2">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x14ac:dyDescent="0.2">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5" x14ac:dyDescent="0.2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5" x14ac:dyDescent="0.2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ht="15" x14ac:dyDescent="0.25">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5" x14ac:dyDescent="0.2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ht="15" x14ac:dyDescent="0.25">
      <c r="A590" s="4"/>
      <c r="B590" s="5" t="s">
        <v>331</v>
      </c>
      <c r="C590" s="4"/>
      <c r="D590" s="4"/>
      <c r="E590" s="2113" t="s">
        <v>941</v>
      </c>
      <c r="F590" s="2113"/>
      <c r="G590" s="2113"/>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ht="15" x14ac:dyDescent="0.25">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5" x14ac:dyDescent="0.2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x14ac:dyDescent="0.2">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x14ac:dyDescent="0.2">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x14ac:dyDescent="0.2">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x14ac:dyDescent="0.2">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x14ac:dyDescent="0.2">
      <c r="A598" s="4"/>
      <c r="B598" s="2" t="s">
        <v>972</v>
      </c>
      <c r="C598" s="2"/>
      <c r="D598" s="2"/>
      <c r="E598" s="2"/>
      <c r="F598" s="2"/>
      <c r="G598" s="2113"/>
      <c r="H598" s="2113"/>
      <c r="I598" s="2113"/>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x14ac:dyDescent="0.2">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5" x14ac:dyDescent="0.2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x14ac:dyDescent="0.2">
      <c r="A602" s="4"/>
      <c r="B602" s="2" t="s">
        <v>965</v>
      </c>
      <c r="C602" s="2"/>
      <c r="D602" s="2"/>
      <c r="E602" s="2"/>
      <c r="F602" s="2"/>
      <c r="G602" s="2"/>
      <c r="H602" s="3" t="s">
        <v>132</v>
      </c>
      <c r="I602" s="1944">
        <v>1</v>
      </c>
      <c r="J602" s="1944"/>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x14ac:dyDescent="0.2">
      <c r="A603" s="4"/>
      <c r="B603" s="2" t="str">
        <f>"Gecumuleerde axiale vervorming na "&amp;I599&amp;" cycli:"</f>
        <v>Gecumuleerde axiale vervorming na 5000 cycli:</v>
      </c>
      <c r="C603" s="2"/>
      <c r="D603" s="2"/>
      <c r="E603" s="2"/>
      <c r="F603" s="2"/>
      <c r="G603" s="2"/>
      <c r="H603" s="3" t="s">
        <v>132</v>
      </c>
      <c r="I603" s="1945">
        <v>2</v>
      </c>
      <c r="J603" s="1945"/>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x14ac:dyDescent="0.2">
      <c r="A604" s="4"/>
      <c r="B604" s="2" t="s">
        <v>966</v>
      </c>
      <c r="C604" s="2"/>
      <c r="D604" s="2"/>
      <c r="E604" s="2"/>
      <c r="F604" s="2"/>
      <c r="G604" s="2"/>
      <c r="H604" s="3" t="s">
        <v>963</v>
      </c>
      <c r="I604" s="2166">
        <v>3</v>
      </c>
      <c r="J604" s="2166"/>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x14ac:dyDescent="0.2">
      <c r="A605" s="4"/>
      <c r="B605" s="49" t="s">
        <v>967</v>
      </c>
      <c r="C605" s="49"/>
      <c r="D605" s="49"/>
      <c r="E605" s="49"/>
      <c r="F605" s="49"/>
      <c r="G605" s="49"/>
      <c r="H605" s="947" t="s">
        <v>964</v>
      </c>
      <c r="I605" s="2188">
        <v>4</v>
      </c>
      <c r="J605" s="2188"/>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x14ac:dyDescent="0.2">
      <c r="A606" s="4"/>
      <c r="B606" s="2" t="s">
        <v>968</v>
      </c>
      <c r="C606" s="2"/>
      <c r="D606" s="2"/>
      <c r="E606" s="2"/>
      <c r="F606" s="2"/>
      <c r="G606" s="2"/>
      <c r="H606" s="3" t="s">
        <v>132</v>
      </c>
      <c r="I606" s="2164">
        <v>5</v>
      </c>
      <c r="J606" s="2164"/>
      <c r="K606" s="2207">
        <v>2.5099999999999998</v>
      </c>
      <c r="L606" s="2207"/>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x14ac:dyDescent="0.2">
      <c r="A607" s="4"/>
      <c r="B607" s="2" t="str">
        <f>"Gemiddelde blijvende vervorming na "&amp;I599&amp;" cycli:"</f>
        <v>Gemiddelde blijvende vervorming na 5000 cycli:</v>
      </c>
      <c r="C607" s="2"/>
      <c r="D607" s="2"/>
      <c r="E607" s="2"/>
      <c r="F607" s="2"/>
      <c r="G607" s="2"/>
      <c r="H607" s="3" t="s">
        <v>132</v>
      </c>
      <c r="I607" s="2166">
        <v>6</v>
      </c>
      <c r="J607" s="2166"/>
      <c r="K607" s="2208">
        <v>2.34</v>
      </c>
      <c r="L607" s="2208"/>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x14ac:dyDescent="0.2">
      <c r="A608" s="4"/>
      <c r="B608" s="2" t="s">
        <v>969</v>
      </c>
      <c r="C608" s="2"/>
      <c r="D608" s="2"/>
      <c r="E608" s="2"/>
      <c r="F608" s="2"/>
      <c r="G608" s="2"/>
      <c r="H608" s="3" t="s">
        <v>963</v>
      </c>
      <c r="I608" s="2189">
        <v>7</v>
      </c>
      <c r="J608" s="2189"/>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x14ac:dyDescent="0.2">
      <c r="A609" s="4"/>
      <c r="B609" s="2" t="s">
        <v>970</v>
      </c>
      <c r="C609" s="2"/>
      <c r="D609" s="2"/>
      <c r="E609" s="2"/>
      <c r="F609" s="2"/>
      <c r="G609" s="2"/>
      <c r="H609" s="3" t="s">
        <v>964</v>
      </c>
      <c r="I609" s="2190">
        <v>8</v>
      </c>
      <c r="J609" s="2190"/>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5" x14ac:dyDescent="0.2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5" x14ac:dyDescent="0.2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ht="15" x14ac:dyDescent="0.25">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5" x14ac:dyDescent="0.2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ht="15" x14ac:dyDescent="0.25">
      <c r="A615" s="4"/>
      <c r="B615" s="5" t="s">
        <v>331</v>
      </c>
      <c r="C615" s="4"/>
      <c r="D615" s="4"/>
      <c r="E615" s="2113" t="s">
        <v>941</v>
      </c>
      <c r="F615" s="2113"/>
      <c r="G615" s="2113"/>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ht="15" x14ac:dyDescent="0.25">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x14ac:dyDescent="0.2">
      <c r="A618" s="4"/>
      <c r="B618" s="2" t="s">
        <v>571</v>
      </c>
      <c r="C618" s="2"/>
      <c r="D618" s="2"/>
      <c r="E618" s="2"/>
      <c r="F618" s="2184" t="s">
        <v>572</v>
      </c>
      <c r="G618" s="2184"/>
      <c r="H618" s="2184"/>
      <c r="I618" s="2184"/>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45" customHeight="1" x14ac:dyDescent="0.2">
      <c r="A619" s="4"/>
      <c r="B619" s="2" t="s">
        <v>962</v>
      </c>
      <c r="C619" s="2"/>
      <c r="D619" s="2"/>
      <c r="E619" s="3" t="s">
        <v>488</v>
      </c>
      <c r="F619" s="2185" t="s">
        <v>573</v>
      </c>
      <c r="G619" s="2185"/>
      <c r="H619" s="2185"/>
      <c r="I619" s="2185"/>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5" x14ac:dyDescent="0.2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x14ac:dyDescent="0.2">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5" x14ac:dyDescent="0.2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5" x14ac:dyDescent="0.2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ht="15" x14ac:dyDescent="0.25">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5" x14ac:dyDescent="0.2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ht="15" x14ac:dyDescent="0.25">
      <c r="A628" s="4"/>
      <c r="B628" s="5" t="s">
        <v>331</v>
      </c>
      <c r="C628" s="4"/>
      <c r="D628" s="4"/>
      <c r="E628" s="2113" t="s">
        <v>941</v>
      </c>
      <c r="F628" s="2113"/>
      <c r="G628" s="2113"/>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ht="15" x14ac:dyDescent="0.25">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x14ac:dyDescent="0.2">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x14ac:dyDescent="0.2">
      <c r="A632" s="4"/>
      <c r="B632" s="2" t="s">
        <v>473</v>
      </c>
      <c r="C632" s="2"/>
      <c r="D632" s="2"/>
      <c r="E632" s="2"/>
      <c r="F632" s="198"/>
      <c r="G632" s="199"/>
      <c r="H632" s="2186" t="s">
        <v>577</v>
      </c>
      <c r="I632" s="2186"/>
      <c r="J632" s="2186"/>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2">
      <c r="A633" s="4"/>
      <c r="B633" s="2" t="s">
        <v>578</v>
      </c>
      <c r="C633" s="2"/>
      <c r="D633" s="2"/>
      <c r="E633" s="2"/>
      <c r="F633" s="200"/>
      <c r="G633" s="2"/>
      <c r="H633" s="1945" t="s">
        <v>475</v>
      </c>
      <c r="I633" s="1945"/>
      <c r="J633" s="1945"/>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2">
      <c r="A634" s="4"/>
      <c r="B634" s="2" t="s">
        <v>579</v>
      </c>
      <c r="C634" s="2"/>
      <c r="D634" s="2"/>
      <c r="E634" s="2"/>
      <c r="F634" s="200"/>
      <c r="G634" s="2"/>
      <c r="H634" s="1945" t="s">
        <v>476</v>
      </c>
      <c r="I634" s="1945"/>
      <c r="J634" s="1945"/>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2">
      <c r="A635" s="4"/>
      <c r="B635" s="2" t="s">
        <v>884</v>
      </c>
      <c r="C635" s="2"/>
      <c r="D635" s="2"/>
      <c r="E635" s="2"/>
      <c r="F635" s="200"/>
      <c r="G635" s="2"/>
      <c r="H635" s="1945" t="s">
        <v>477</v>
      </c>
      <c r="I635" s="1945"/>
      <c r="J635" s="1945"/>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2">
      <c r="A636" s="4"/>
      <c r="B636" s="2" t="s">
        <v>580</v>
      </c>
      <c r="C636" s="2"/>
      <c r="D636" s="2"/>
      <c r="E636" s="2"/>
      <c r="F636" s="200"/>
      <c r="G636" s="2"/>
      <c r="H636" s="1945" t="s">
        <v>549</v>
      </c>
      <c r="I636" s="1945"/>
      <c r="J636" s="1945"/>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5" x14ac:dyDescent="0.2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x14ac:dyDescent="0.2">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x14ac:dyDescent="0.2">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2">
      <c r="A641" s="4"/>
      <c r="B641" s="2" t="s">
        <v>885</v>
      </c>
      <c r="C641" s="2"/>
      <c r="D641" s="2113">
        <v>1</v>
      </c>
      <c r="E641" s="2113"/>
      <c r="F641" s="2113"/>
      <c r="G641" s="2191">
        <v>100</v>
      </c>
      <c r="H641" s="2191"/>
      <c r="I641" s="2191"/>
      <c r="J641" s="2191"/>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2">
      <c r="A642" s="4"/>
      <c r="B642" s="2" t="s">
        <v>886</v>
      </c>
      <c r="C642" s="2"/>
      <c r="D642" s="2113">
        <v>2</v>
      </c>
      <c r="E642" s="2113"/>
      <c r="F642" s="2113"/>
      <c r="G642" s="1941">
        <v>95</v>
      </c>
      <c r="H642" s="1941"/>
      <c r="I642" s="1941"/>
      <c r="J642" s="1941"/>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2">
      <c r="A643" s="4"/>
      <c r="B643" s="2" t="s">
        <v>887</v>
      </c>
      <c r="C643" s="2"/>
      <c r="D643" s="2113">
        <v>3</v>
      </c>
      <c r="E643" s="2113"/>
      <c r="F643" s="2113"/>
      <c r="G643" s="1941">
        <v>90</v>
      </c>
      <c r="H643" s="1941"/>
      <c r="I643" s="1941"/>
      <c r="J643" s="1941"/>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2">
      <c r="A644" s="4"/>
      <c r="B644" s="2" t="s">
        <v>888</v>
      </c>
      <c r="C644" s="2"/>
      <c r="D644" s="2113">
        <v>4</v>
      </c>
      <c r="E644" s="2113"/>
      <c r="F644" s="2113"/>
      <c r="G644" s="1951">
        <v>85</v>
      </c>
      <c r="H644" s="1951"/>
      <c r="I644" s="1951"/>
      <c r="J644" s="1951"/>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x14ac:dyDescent="0.2">
      <c r="A645" s="4"/>
      <c r="B645" s="32" t="s">
        <v>897</v>
      </c>
      <c r="C645" s="32"/>
      <c r="D645" s="2163">
        <f>IF(SUM(D641:D644)=0,"",AVERAGE(D641:D644))</f>
        <v>2.5</v>
      </c>
      <c r="E645" s="2163"/>
      <c r="F645" s="2163"/>
      <c r="G645" s="2163">
        <f>IF(SUM(G641:G644)=0,"",AVERAGE(G641:G644))</f>
        <v>92.5</v>
      </c>
      <c r="H645" s="2163"/>
      <c r="I645" s="2163"/>
      <c r="J645" s="2163"/>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x14ac:dyDescent="0.2">
      <c r="A646" s="4"/>
      <c r="B646" s="2" t="s">
        <v>581</v>
      </c>
      <c r="C646" s="2"/>
      <c r="D646" s="2113" t="s">
        <v>893</v>
      </c>
      <c r="E646" s="2113"/>
      <c r="F646" s="2113"/>
      <c r="G646" s="2113"/>
      <c r="H646" s="2113"/>
      <c r="I646" s="2113"/>
      <c r="J646" s="2113"/>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x14ac:dyDescent="0.2">
      <c r="A647" s="4"/>
      <c r="B647" s="2" t="s">
        <v>894</v>
      </c>
      <c r="C647" s="2"/>
      <c r="D647" s="2113">
        <v>1</v>
      </c>
      <c r="E647" s="2113"/>
      <c r="F647" s="2113"/>
      <c r="G647" s="2113"/>
      <c r="H647" s="2113"/>
      <c r="I647" s="2113"/>
      <c r="J647" s="2113"/>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5" x14ac:dyDescent="0.2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5" x14ac:dyDescent="0.2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x14ac:dyDescent="0.2">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x14ac:dyDescent="0.2">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5" x14ac:dyDescent="0.2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ht="15" x14ac:dyDescent="0.25">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5" x14ac:dyDescent="0.2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ht="15" x14ac:dyDescent="0.25">
      <c r="A656" s="4"/>
      <c r="B656" s="5" t="s">
        <v>331</v>
      </c>
      <c r="C656" s="4"/>
      <c r="D656" s="4"/>
      <c r="E656" s="2113" t="s">
        <v>941</v>
      </c>
      <c r="F656" s="2113"/>
      <c r="G656" s="2113"/>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ht="15" x14ac:dyDescent="0.25">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x14ac:dyDescent="0.2">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x14ac:dyDescent="0.2">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x14ac:dyDescent="0.2">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5" x14ac:dyDescent="0.2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2">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8.75" x14ac:dyDescent="0.35">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5" x14ac:dyDescent="0.2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5" x14ac:dyDescent="0.2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5" x14ac:dyDescent="0.2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ht="15" x14ac:dyDescent="0.25">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x14ac:dyDescent="0.2">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2">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5" x14ac:dyDescent="0.2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5" x14ac:dyDescent="0.2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ht="15" x14ac:dyDescent="0.25">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ht="15" x14ac:dyDescent="0.25">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2">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2">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ht="15" x14ac:dyDescent="0.25">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ht="15" x14ac:dyDescent="0.25">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ht="15" x14ac:dyDescent="0.25">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ht="15" x14ac:dyDescent="0.25">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2">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2">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ht="15" x14ac:dyDescent="0.25">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ht="15" x14ac:dyDescent="0.25">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5" x14ac:dyDescent="0.2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ht="15" x14ac:dyDescent="0.25">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2">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2">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2">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5" x14ac:dyDescent="0.2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x14ac:dyDescent="0.2">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x14ac:dyDescent="0.2">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x14ac:dyDescent="0.2">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x14ac:dyDescent="0.2">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x14ac:dyDescent="0.2">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x14ac:dyDescent="0.2">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5" x14ac:dyDescent="0.2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ht="15" x14ac:dyDescent="0.25">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5" x14ac:dyDescent="0.2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ht="15" x14ac:dyDescent="0.25">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x14ac:dyDescent="0.2">
      <c r="A705" s="4"/>
      <c r="B705" s="2" t="s">
        <v>1258</v>
      </c>
      <c r="C705" s="2"/>
      <c r="D705" s="2"/>
      <c r="E705" s="2"/>
      <c r="F705" s="2"/>
      <c r="G705" s="2"/>
      <c r="H705" s="2"/>
      <c r="I705" s="2113" t="s">
        <v>1259</v>
      </c>
      <c r="J705" s="2113"/>
      <c r="K705" s="2113"/>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5" x14ac:dyDescent="0.2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2">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5" x14ac:dyDescent="0.2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5" x14ac:dyDescent="0.2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ht="15" x14ac:dyDescent="0.25">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2">
      <c r="A713" s="4"/>
      <c r="B713" s="290" t="s">
        <v>628</v>
      </c>
      <c r="C713" s="290"/>
      <c r="D713" s="290"/>
      <c r="E713" s="1104" t="s">
        <v>629</v>
      </c>
      <c r="F713" s="1103" t="s">
        <v>630</v>
      </c>
      <c r="G713" s="2201" t="s">
        <v>1341</v>
      </c>
      <c r="H713" s="2202"/>
      <c r="I713" s="2203"/>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x14ac:dyDescent="0.2">
      <c r="A714" s="4"/>
      <c r="B714" s="2164" t="s">
        <v>631</v>
      </c>
      <c r="C714" s="2164"/>
      <c r="D714" s="2165"/>
      <c r="E714" s="1685" t="s">
        <v>633</v>
      </c>
      <c r="F714" s="1686" t="s">
        <v>626</v>
      </c>
      <c r="G714" s="2204">
        <v>130</v>
      </c>
      <c r="H714" s="2205"/>
      <c r="I714" s="2206"/>
      <c r="J714" s="2199" t="s">
        <v>828</v>
      </c>
      <c r="K714" s="2200"/>
      <c r="L714" s="2200"/>
      <c r="M714" s="2200"/>
      <c r="N714" s="2200"/>
      <c r="O714" s="2200"/>
      <c r="P714" s="134" t="s">
        <v>1343</v>
      </c>
      <c r="Q714" s="4"/>
      <c r="R714" s="4"/>
      <c r="S714" s="4"/>
      <c r="T714" s="4"/>
      <c r="U714" s="4"/>
      <c r="V714" s="4"/>
      <c r="W714" s="4"/>
      <c r="X714" s="4"/>
      <c r="Y714" s="4"/>
      <c r="Z714" s="4"/>
      <c r="AA714" s="4"/>
      <c r="AB714" s="4"/>
      <c r="AC714" s="4"/>
      <c r="AD714" s="4"/>
      <c r="AE714" s="4"/>
      <c r="AF714" s="4"/>
      <c r="AG714" s="4"/>
      <c r="AH714" s="4"/>
      <c r="AI714" s="4"/>
    </row>
    <row r="715" spans="1:35" x14ac:dyDescent="0.2">
      <c r="A715" s="4"/>
      <c r="B715" s="2166" t="s">
        <v>632</v>
      </c>
      <c r="C715" s="2166"/>
      <c r="D715" s="2167"/>
      <c r="E715" s="1687" t="s">
        <v>634</v>
      </c>
      <c r="F715" s="1688" t="s">
        <v>519</v>
      </c>
      <c r="G715" s="2192">
        <v>140</v>
      </c>
      <c r="H715" s="2113"/>
      <c r="I715" s="2176"/>
      <c r="J715" s="2161" t="s">
        <v>288</v>
      </c>
      <c r="K715" s="1935"/>
      <c r="L715" s="1935"/>
      <c r="M715" s="1935"/>
      <c r="N715" s="1935"/>
      <c r="O715" s="1935"/>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2">
      <c r="A716" s="4"/>
      <c r="B716" s="2168" t="s">
        <v>635</v>
      </c>
      <c r="C716" s="2168"/>
      <c r="D716" s="2169"/>
      <c r="E716" s="1689" t="s">
        <v>639</v>
      </c>
      <c r="F716" s="1690" t="s">
        <v>638</v>
      </c>
      <c r="G716" s="2192">
        <v>150</v>
      </c>
      <c r="H716" s="2113"/>
      <c r="I716" s="2176"/>
      <c r="J716" s="2161" t="s">
        <v>428</v>
      </c>
      <c r="K716" s="1935"/>
      <c r="L716" s="1935"/>
      <c r="M716" s="1935"/>
      <c r="N716" s="1935"/>
      <c r="O716" s="1935"/>
      <c r="P716" s="4"/>
      <c r="Q716" s="4"/>
      <c r="R716" s="4"/>
      <c r="S716" s="4"/>
      <c r="T716" s="4"/>
      <c r="U716" s="4"/>
      <c r="V716" s="4"/>
      <c r="W716" s="4"/>
      <c r="X716" s="4"/>
      <c r="Y716" s="4"/>
      <c r="Z716" s="4"/>
      <c r="AA716" s="4"/>
      <c r="AB716" s="4"/>
      <c r="AC716" s="4"/>
      <c r="AD716" s="4"/>
      <c r="AE716" s="4"/>
      <c r="AF716" s="4"/>
      <c r="AG716" s="4"/>
      <c r="AH716" s="4"/>
      <c r="AI716" s="4"/>
    </row>
    <row r="717" spans="1:35" x14ac:dyDescent="0.2">
      <c r="A717" s="4"/>
      <c r="B717" s="1946" t="s">
        <v>636</v>
      </c>
      <c r="C717" s="1946"/>
      <c r="D717" s="2170"/>
      <c r="E717" s="1691" t="s">
        <v>637</v>
      </c>
      <c r="F717" s="1466" t="s">
        <v>57</v>
      </c>
      <c r="G717" s="2192">
        <v>160</v>
      </c>
      <c r="H717" s="2113"/>
      <c r="I717" s="2176"/>
      <c r="J717" s="2161" t="s">
        <v>915</v>
      </c>
      <c r="K717" s="1935"/>
      <c r="L717" s="1935"/>
      <c r="M717" s="1935"/>
      <c r="N717" s="1935"/>
      <c r="O717" s="1935"/>
      <c r="P717" s="4"/>
      <c r="Q717" s="4"/>
      <c r="R717" s="4"/>
      <c r="S717" s="4"/>
      <c r="T717" s="4"/>
      <c r="U717" s="4"/>
      <c r="V717" s="4"/>
      <c r="W717" s="4"/>
      <c r="X717" s="4"/>
      <c r="Y717" s="4"/>
      <c r="Z717" s="4"/>
      <c r="AA717" s="4"/>
      <c r="AB717" s="4"/>
      <c r="AC717" s="4"/>
      <c r="AD717" s="4"/>
      <c r="AE717" s="4"/>
      <c r="AF717" s="4"/>
      <c r="AG717" s="4"/>
      <c r="AH717" s="4"/>
      <c r="AI717" s="4"/>
    </row>
    <row r="718" spans="1:3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ht="15" x14ac:dyDescent="0.25">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x14ac:dyDescent="0.2">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2">
      <c r="A723" s="4"/>
      <c r="B723" s="1106" t="s">
        <v>1057</v>
      </c>
      <c r="C723" s="290"/>
      <c r="D723" s="290"/>
      <c r="E723" s="290"/>
      <c r="F723" s="290"/>
      <c r="G723" s="290"/>
      <c r="H723" s="290"/>
      <c r="I723" s="1145" t="s">
        <v>1058</v>
      </c>
      <c r="J723" s="1146"/>
      <c r="K723" s="1383" t="s">
        <v>872</v>
      </c>
      <c r="L723" s="2159" t="s">
        <v>1301</v>
      </c>
      <c r="M723" s="2160"/>
      <c r="N723" s="2160"/>
      <c r="O723" s="2160"/>
      <c r="P723" s="2201" t="s">
        <v>1341</v>
      </c>
      <c r="Q723" s="2202"/>
      <c r="R723" s="2203"/>
      <c r="S723" s="1392" t="s">
        <v>1342</v>
      </c>
      <c r="T723" s="1392"/>
      <c r="U723" s="49"/>
      <c r="V723" s="49"/>
      <c r="W723" s="49"/>
      <c r="X723" s="49"/>
      <c r="Y723" s="4"/>
      <c r="Z723" s="4"/>
      <c r="AA723" s="4"/>
      <c r="AB723" s="4"/>
      <c r="AC723" s="4"/>
      <c r="AD723" s="4"/>
      <c r="AE723" s="4"/>
      <c r="AF723" s="4"/>
      <c r="AG723" s="4"/>
      <c r="AH723" s="4"/>
      <c r="AI723" s="4"/>
    </row>
    <row r="724" spans="1:35" x14ac:dyDescent="0.2">
      <c r="A724" s="4"/>
      <c r="B724" s="1107" t="s">
        <v>1059</v>
      </c>
      <c r="C724" s="1108"/>
      <c r="D724" s="1108"/>
      <c r="E724" s="1108"/>
      <c r="F724" s="1108"/>
      <c r="G724" s="1108"/>
      <c r="H724" s="1108"/>
      <c r="I724" s="1147"/>
      <c r="J724" s="1148" t="s">
        <v>1374</v>
      </c>
      <c r="K724" s="1692">
        <v>40</v>
      </c>
      <c r="L724" s="60"/>
      <c r="M724" s="60"/>
      <c r="N724" s="60"/>
      <c r="O724" s="60"/>
      <c r="P724" s="2204">
        <v>130</v>
      </c>
      <c r="Q724" s="2205"/>
      <c r="R724" s="2206"/>
      <c r="S724" s="2199" t="s">
        <v>828</v>
      </c>
      <c r="T724" s="2200"/>
      <c r="U724" s="2200"/>
      <c r="V724" s="2200"/>
      <c r="W724" s="2200"/>
      <c r="X724" s="2200"/>
      <c r="Y724" s="134" t="s">
        <v>1146</v>
      </c>
      <c r="Z724" s="4"/>
      <c r="AA724" s="4"/>
      <c r="AB724" s="4"/>
      <c r="AC724" s="4"/>
      <c r="AD724" s="4"/>
      <c r="AE724" s="4"/>
      <c r="AF724" s="4"/>
      <c r="AG724" s="4"/>
      <c r="AH724" s="4"/>
      <c r="AI724" s="4"/>
    </row>
    <row r="725" spans="1:35" ht="15" customHeight="1" x14ac:dyDescent="0.2">
      <c r="A725" s="4"/>
      <c r="B725" s="1109" t="s">
        <v>1060</v>
      </c>
      <c r="C725" s="1110"/>
      <c r="D725" s="1110"/>
      <c r="E725" s="1110"/>
      <c r="F725" s="1110"/>
      <c r="G725" s="1110"/>
      <c r="H725" s="1110"/>
      <c r="I725" s="2153" t="s">
        <v>1061</v>
      </c>
      <c r="J725" s="2154"/>
      <c r="K725" s="1693" t="s">
        <v>1062</v>
      </c>
      <c r="L725" s="60"/>
      <c r="M725" s="60"/>
      <c r="N725" s="60"/>
      <c r="O725" s="60"/>
      <c r="P725" s="2192">
        <v>140</v>
      </c>
      <c r="Q725" s="2113"/>
      <c r="R725" s="2176"/>
      <c r="S725" s="2161" t="s">
        <v>288</v>
      </c>
      <c r="T725" s="1935"/>
      <c r="U725" s="1935"/>
      <c r="V725" s="1935"/>
      <c r="W725" s="1935"/>
      <c r="X725" s="1935"/>
      <c r="Y725" s="4"/>
      <c r="Z725" s="4"/>
      <c r="AA725" s="4"/>
      <c r="AB725" s="4"/>
      <c r="AC725" s="4"/>
      <c r="AD725" s="4"/>
      <c r="AE725" s="4"/>
      <c r="AF725" s="4"/>
      <c r="AG725" s="4"/>
      <c r="AH725" s="4"/>
      <c r="AI725" s="4"/>
    </row>
    <row r="726" spans="1:35" x14ac:dyDescent="0.2">
      <c r="A726" s="4"/>
      <c r="B726" s="1111" t="s">
        <v>1063</v>
      </c>
      <c r="C726" s="1112"/>
      <c r="D726" s="1112"/>
      <c r="E726" s="1112"/>
      <c r="F726" s="1112"/>
      <c r="G726" s="1112"/>
      <c r="H726" s="1112"/>
      <c r="I726" s="1149"/>
      <c r="J726" s="1150" t="s">
        <v>1064</v>
      </c>
      <c r="K726" s="1693">
        <v>1.4</v>
      </c>
      <c r="L726" s="60"/>
      <c r="M726" s="60"/>
      <c r="N726" s="60"/>
      <c r="O726" s="60"/>
      <c r="P726" s="2192">
        <v>150</v>
      </c>
      <c r="Q726" s="2113"/>
      <c r="R726" s="2176"/>
      <c r="S726" s="2161" t="s">
        <v>428</v>
      </c>
      <c r="T726" s="1935"/>
      <c r="U726" s="1935"/>
      <c r="V726" s="1935"/>
      <c r="W726" s="1935"/>
      <c r="X726" s="1935"/>
      <c r="Y726" s="134" t="s">
        <v>1091</v>
      </c>
      <c r="Z726" s="4"/>
      <c r="AA726" s="4"/>
      <c r="AB726" s="4"/>
      <c r="AC726" s="4"/>
      <c r="AD726" s="4"/>
      <c r="AE726" s="4"/>
      <c r="AF726" s="4"/>
      <c r="AG726" s="4"/>
      <c r="AH726" s="4"/>
      <c r="AI726" s="4"/>
    </row>
    <row r="727" spans="1:35" x14ac:dyDescent="0.2">
      <c r="A727" s="4"/>
      <c r="B727" s="60" t="s">
        <v>1076</v>
      </c>
      <c r="C727" s="2"/>
      <c r="D727" s="2"/>
      <c r="E727" s="2"/>
      <c r="F727" s="2"/>
      <c r="G727" s="2"/>
      <c r="H727" s="2"/>
      <c r="I727" s="153"/>
      <c r="J727" s="1151" t="s">
        <v>1069</v>
      </c>
      <c r="K727" s="1693">
        <v>13.5</v>
      </c>
      <c r="L727" s="60"/>
      <c r="M727" s="60"/>
      <c r="N727" s="60"/>
      <c r="O727" s="60"/>
      <c r="P727" s="2192">
        <v>160</v>
      </c>
      <c r="Q727" s="2113"/>
      <c r="R727" s="2176"/>
      <c r="S727" s="2161" t="s">
        <v>915</v>
      </c>
      <c r="T727" s="1935"/>
      <c r="U727" s="1935"/>
      <c r="V727" s="1935"/>
      <c r="W727" s="1935"/>
      <c r="X727" s="1935"/>
      <c r="Y727" s="134" t="s">
        <v>1085</v>
      </c>
      <c r="Z727" s="4"/>
      <c r="AA727" s="4"/>
      <c r="AB727" s="4"/>
      <c r="AC727" s="4"/>
      <c r="AD727" s="4"/>
      <c r="AE727" s="4"/>
      <c r="AF727" s="4"/>
      <c r="AG727" s="4"/>
      <c r="AH727" s="4"/>
      <c r="AI727" s="4"/>
    </row>
    <row r="728" spans="1:35" x14ac:dyDescent="0.2">
      <c r="A728" s="4"/>
      <c r="B728" s="60" t="s">
        <v>1075</v>
      </c>
      <c r="C728" s="2"/>
      <c r="D728" s="2"/>
      <c r="E728" s="2"/>
      <c r="F728" s="2"/>
      <c r="G728" s="2"/>
      <c r="H728" s="3" t="s">
        <v>1077</v>
      </c>
      <c r="I728" s="1152"/>
      <c r="J728" s="1151" t="s">
        <v>1378</v>
      </c>
      <c r="K728" s="1693">
        <v>2.5</v>
      </c>
      <c r="L728" s="60"/>
      <c r="M728" s="60"/>
      <c r="N728" s="60"/>
      <c r="O728" s="60"/>
      <c r="P728" s="2192">
        <v>130</v>
      </c>
      <c r="Q728" s="2113"/>
      <c r="R728" s="2176"/>
      <c r="S728" s="2161" t="s">
        <v>828</v>
      </c>
      <c r="T728" s="1935"/>
      <c r="U728" s="1935"/>
      <c r="V728" s="1935"/>
      <c r="W728" s="1935"/>
      <c r="X728" s="1935"/>
      <c r="Y728" s="134" t="s">
        <v>1088</v>
      </c>
      <c r="Z728" s="4"/>
      <c r="AA728" s="4"/>
      <c r="AB728" s="4"/>
      <c r="AC728" s="4"/>
      <c r="AD728" s="4"/>
      <c r="AE728" s="4"/>
      <c r="AF728" s="4"/>
      <c r="AG728" s="4"/>
      <c r="AH728" s="4"/>
      <c r="AI728" s="4"/>
    </row>
    <row r="729" spans="1:35" x14ac:dyDescent="0.2">
      <c r="A729" s="4"/>
      <c r="B729" s="60"/>
      <c r="C729" s="2"/>
      <c r="D729" s="2"/>
      <c r="E729" s="2"/>
      <c r="F729" s="2"/>
      <c r="G729" s="2"/>
      <c r="H729" s="3" t="s">
        <v>1078</v>
      </c>
      <c r="I729" s="1152"/>
      <c r="J729" s="1151" t="s">
        <v>1379</v>
      </c>
      <c r="K729" s="1693">
        <v>1</v>
      </c>
      <c r="L729" s="60"/>
      <c r="M729" s="60"/>
      <c r="N729" s="60"/>
      <c r="O729" s="60"/>
      <c r="P729" s="2192">
        <v>140</v>
      </c>
      <c r="Q729" s="2113"/>
      <c r="R729" s="2176"/>
      <c r="S729" s="2161" t="s">
        <v>288</v>
      </c>
      <c r="T729" s="1935"/>
      <c r="U729" s="1935"/>
      <c r="V729" s="1935"/>
      <c r="W729" s="1935"/>
      <c r="X729" s="1935"/>
      <c r="Y729" s="134" t="s">
        <v>1088</v>
      </c>
      <c r="Z729" s="4"/>
      <c r="AA729" s="4"/>
      <c r="AB729" s="4"/>
      <c r="AC729" s="4"/>
      <c r="AD729" s="4"/>
      <c r="AE729" s="4"/>
      <c r="AF729" s="4"/>
      <c r="AG729" s="4"/>
      <c r="AH729" s="4"/>
      <c r="AI729" s="4"/>
    </row>
    <row r="730" spans="1:35" x14ac:dyDescent="0.2">
      <c r="A730" s="4"/>
      <c r="B730" s="60" t="s">
        <v>1299</v>
      </c>
      <c r="C730" s="2"/>
      <c r="D730" s="2"/>
      <c r="E730" s="2"/>
      <c r="F730" s="2"/>
      <c r="G730" s="2"/>
      <c r="H730" s="3"/>
      <c r="I730" s="1152"/>
      <c r="J730" s="1151" t="s">
        <v>1300</v>
      </c>
      <c r="K730" s="1693">
        <v>40</v>
      </c>
      <c r="L730" s="60"/>
      <c r="M730" s="60"/>
      <c r="N730" s="60"/>
      <c r="O730" s="60"/>
      <c r="P730" s="2192">
        <v>150</v>
      </c>
      <c r="Q730" s="2113"/>
      <c r="R730" s="2176"/>
      <c r="S730" s="2161" t="s">
        <v>428</v>
      </c>
      <c r="T730" s="1935"/>
      <c r="U730" s="1935"/>
      <c r="V730" s="1935"/>
      <c r="W730" s="1935"/>
      <c r="X730" s="1935"/>
      <c r="Y730" s="134" t="s">
        <v>1298</v>
      </c>
      <c r="Z730" s="4"/>
      <c r="AA730" s="4"/>
      <c r="AB730" s="4"/>
      <c r="AC730" s="4"/>
      <c r="AD730" s="4"/>
      <c r="AE730" s="4"/>
      <c r="AF730" s="4"/>
      <c r="AG730" s="4"/>
      <c r="AH730" s="4"/>
      <c r="AI730" s="4"/>
    </row>
    <row r="731" spans="1:35" x14ac:dyDescent="0.2">
      <c r="A731" s="4"/>
      <c r="B731" s="60" t="s">
        <v>1138</v>
      </c>
      <c r="C731" s="2"/>
      <c r="D731" s="2"/>
      <c r="E731" s="2"/>
      <c r="F731" s="2"/>
      <c r="G731" s="2"/>
      <c r="H731" s="3"/>
      <c r="I731" s="1152"/>
      <c r="J731" s="1151" t="s">
        <v>1373</v>
      </c>
      <c r="K731" s="1693">
        <v>50</v>
      </c>
      <c r="L731" s="60"/>
      <c r="M731" s="60"/>
      <c r="N731" s="60"/>
      <c r="O731" s="60"/>
      <c r="P731" s="2192">
        <v>160</v>
      </c>
      <c r="Q731" s="2113"/>
      <c r="R731" s="2176"/>
      <c r="S731" s="2161" t="s">
        <v>915</v>
      </c>
      <c r="T731" s="1935"/>
      <c r="U731" s="1935"/>
      <c r="V731" s="1935"/>
      <c r="W731" s="1935"/>
      <c r="X731" s="1935"/>
      <c r="Y731" s="134" t="s">
        <v>1298</v>
      </c>
      <c r="Z731" s="4"/>
      <c r="AA731" s="4"/>
      <c r="AB731" s="4"/>
      <c r="AC731" s="4"/>
      <c r="AD731" s="4"/>
      <c r="AE731" s="4"/>
      <c r="AF731" s="4"/>
      <c r="AG731" s="4"/>
      <c r="AH731" s="4"/>
      <c r="AI731" s="4"/>
    </row>
    <row r="732" spans="1:35" x14ac:dyDescent="0.2">
      <c r="A732" s="4"/>
      <c r="B732" s="60" t="s">
        <v>1139</v>
      </c>
      <c r="C732" s="2"/>
      <c r="D732" s="2"/>
      <c r="E732" s="2"/>
      <c r="F732" s="2"/>
      <c r="G732" s="2"/>
      <c r="H732" s="3"/>
      <c r="I732" s="1152"/>
      <c r="J732" s="1151" t="s">
        <v>1140</v>
      </c>
      <c r="K732" s="1693">
        <v>22.5</v>
      </c>
      <c r="L732" s="60"/>
      <c r="M732" s="60"/>
      <c r="N732" s="60"/>
      <c r="O732" s="60"/>
      <c r="P732" s="2192">
        <v>130</v>
      </c>
      <c r="Q732" s="2113"/>
      <c r="R732" s="2176"/>
      <c r="S732" s="2161" t="s">
        <v>828</v>
      </c>
      <c r="T732" s="1935"/>
      <c r="U732" s="1935"/>
      <c r="V732" s="1935"/>
      <c r="W732" s="1935"/>
      <c r="X732" s="1935"/>
      <c r="Y732" s="134" t="s">
        <v>1147</v>
      </c>
      <c r="Z732" s="4"/>
      <c r="AA732" s="4"/>
      <c r="AB732" s="4"/>
      <c r="AC732" s="4"/>
      <c r="AD732" s="4"/>
      <c r="AE732" s="4"/>
      <c r="AF732" s="4"/>
      <c r="AG732" s="4"/>
      <c r="AH732" s="4"/>
      <c r="AI732" s="4"/>
    </row>
    <row r="733" spans="1:35" x14ac:dyDescent="0.2">
      <c r="A733" s="4"/>
      <c r="B733" s="60" t="s">
        <v>1141</v>
      </c>
      <c r="C733" s="2"/>
      <c r="D733" s="2"/>
      <c r="E733" s="2"/>
      <c r="F733" s="2"/>
      <c r="G733" s="2"/>
      <c r="H733" s="3"/>
      <c r="I733" s="1152"/>
      <c r="J733" s="1151" t="s">
        <v>1372</v>
      </c>
      <c r="K733" s="1693">
        <v>45</v>
      </c>
      <c r="L733" s="60"/>
      <c r="M733" s="60"/>
      <c r="N733" s="60"/>
      <c r="O733" s="60"/>
      <c r="P733" s="2192">
        <v>140</v>
      </c>
      <c r="Q733" s="2113"/>
      <c r="R733" s="2176"/>
      <c r="S733" s="2161" t="s">
        <v>288</v>
      </c>
      <c r="T733" s="1935"/>
      <c r="U733" s="1935"/>
      <c r="V733" s="1935"/>
      <c r="W733" s="1935"/>
      <c r="X733" s="1935"/>
      <c r="Y733" s="134" t="s">
        <v>1254</v>
      </c>
      <c r="Z733" s="4"/>
      <c r="AA733" s="4"/>
      <c r="AB733" s="4"/>
      <c r="AC733" s="4"/>
      <c r="AD733" s="4"/>
      <c r="AE733" s="4"/>
      <c r="AF733" s="4"/>
      <c r="AG733" s="4"/>
      <c r="AH733" s="4"/>
      <c r="AI733" s="4"/>
    </row>
    <row r="734" spans="1:35" x14ac:dyDescent="0.2">
      <c r="A734" s="4"/>
      <c r="B734" s="60" t="s">
        <v>1093</v>
      </c>
      <c r="C734" s="2"/>
      <c r="D734" s="2"/>
      <c r="E734" s="2"/>
      <c r="F734" s="2"/>
      <c r="G734" s="2"/>
      <c r="H734" s="3"/>
      <c r="I734" s="1152"/>
      <c r="J734" s="1151" t="s">
        <v>1375</v>
      </c>
      <c r="K734" s="1693">
        <v>8</v>
      </c>
      <c r="L734" s="60"/>
      <c r="M734" s="60"/>
      <c r="N734" s="60"/>
      <c r="O734" s="60"/>
      <c r="P734" s="2192">
        <v>150</v>
      </c>
      <c r="Q734" s="2113"/>
      <c r="R734" s="2176"/>
      <c r="S734" s="2161" t="s">
        <v>428</v>
      </c>
      <c r="T734" s="1935"/>
      <c r="U734" s="1935"/>
      <c r="V734" s="1935"/>
      <c r="W734" s="1935"/>
      <c r="X734" s="1935"/>
      <c r="Y734" s="134" t="s">
        <v>1255</v>
      </c>
      <c r="Z734" s="4"/>
      <c r="AA734" s="4"/>
      <c r="AB734" s="4"/>
      <c r="AC734" s="4"/>
      <c r="AD734" s="4"/>
      <c r="AE734" s="4"/>
      <c r="AF734" s="4"/>
      <c r="AG734" s="4"/>
      <c r="AH734" s="4"/>
      <c r="AI734" s="4"/>
    </row>
    <row r="735" spans="1:35" ht="15" x14ac:dyDescent="0.25">
      <c r="A735" s="4"/>
      <c r="B735" s="60" t="s">
        <v>1094</v>
      </c>
      <c r="C735" s="2"/>
      <c r="D735" s="2"/>
      <c r="E735" s="2"/>
      <c r="F735" s="2"/>
      <c r="G735" s="2"/>
      <c r="H735" s="3"/>
      <c r="I735" s="1152"/>
      <c r="J735" s="1153" t="s">
        <v>1376</v>
      </c>
      <c r="K735" s="1693">
        <v>50</v>
      </c>
      <c r="L735" s="60"/>
      <c r="M735" s="60"/>
      <c r="N735" s="60"/>
      <c r="O735" s="60"/>
      <c r="P735" s="2192">
        <v>160</v>
      </c>
      <c r="Q735" s="2113"/>
      <c r="R735" s="2176"/>
      <c r="S735" s="2161" t="s">
        <v>915</v>
      </c>
      <c r="T735" s="1935"/>
      <c r="U735" s="1935"/>
      <c r="V735" s="1935"/>
      <c r="W735" s="1935"/>
      <c r="X735" s="1935"/>
      <c r="Y735" s="134" t="s">
        <v>1255</v>
      </c>
      <c r="Z735" s="4"/>
      <c r="AA735" s="4"/>
      <c r="AB735" s="4"/>
      <c r="AC735" s="4"/>
      <c r="AD735" s="4"/>
      <c r="AE735" s="4"/>
      <c r="AF735" s="4"/>
      <c r="AG735" s="4"/>
      <c r="AH735" s="4"/>
      <c r="AI735" s="4"/>
    </row>
    <row r="736" spans="1:35" ht="15" customHeight="1" x14ac:dyDescent="0.2">
      <c r="A736" s="4"/>
      <c r="B736" s="2162" t="s">
        <v>1100</v>
      </c>
      <c r="C736" s="2162"/>
      <c r="D736" s="2162"/>
      <c r="E736" s="2162"/>
      <c r="F736" s="2162"/>
      <c r="G736" s="2162"/>
      <c r="H736" s="2162"/>
      <c r="I736" s="2155" t="s">
        <v>828</v>
      </c>
      <c r="J736" s="2156"/>
      <c r="K736" s="1693">
        <v>1</v>
      </c>
      <c r="L736" s="2161">
        <v>6</v>
      </c>
      <c r="M736" s="1935"/>
      <c r="N736" s="1935"/>
      <c r="O736" s="1935"/>
      <c r="P736" s="2192">
        <v>130</v>
      </c>
      <c r="Q736" s="2113"/>
      <c r="R736" s="2176"/>
      <c r="S736" s="2161" t="s">
        <v>828</v>
      </c>
      <c r="T736" s="1935"/>
      <c r="U736" s="1935"/>
      <c r="V736" s="1935"/>
      <c r="W736" s="1935"/>
      <c r="X736" s="1935"/>
      <c r="Y736" s="4"/>
      <c r="Z736" s="4"/>
      <c r="AA736" s="4"/>
      <c r="AB736" s="4"/>
      <c r="AC736" s="4"/>
      <c r="AD736" s="4"/>
      <c r="AE736" s="4"/>
      <c r="AF736" s="4"/>
      <c r="AG736" s="4"/>
      <c r="AH736" s="4"/>
      <c r="AI736" s="4"/>
    </row>
    <row r="737" spans="1:35" ht="15" customHeight="1" x14ac:dyDescent="0.2">
      <c r="A737" s="4"/>
      <c r="B737" s="1935" t="s">
        <v>1101</v>
      </c>
      <c r="C737" s="1935"/>
      <c r="D737" s="1935"/>
      <c r="E737" s="1935"/>
      <c r="F737" s="1935"/>
      <c r="G737" s="1935"/>
      <c r="H737" s="1935"/>
      <c r="I737" s="2157" t="s">
        <v>288</v>
      </c>
      <c r="J737" s="2158"/>
      <c r="K737" s="1693">
        <v>2</v>
      </c>
      <c r="L737" s="2161">
        <v>7</v>
      </c>
      <c r="M737" s="1935"/>
      <c r="N737" s="1935"/>
      <c r="O737" s="1935"/>
      <c r="P737" s="2192">
        <v>140</v>
      </c>
      <c r="Q737" s="2113"/>
      <c r="R737" s="2176"/>
      <c r="S737" s="2161" t="s">
        <v>288</v>
      </c>
      <c r="T737" s="1935"/>
      <c r="U737" s="1935"/>
      <c r="V737" s="1935"/>
      <c r="W737" s="1935"/>
      <c r="X737" s="1935"/>
      <c r="Y737" s="4"/>
      <c r="Z737" s="4"/>
      <c r="AA737" s="4"/>
      <c r="AB737" s="4"/>
      <c r="AC737" s="4"/>
      <c r="AD737" s="4"/>
      <c r="AE737" s="4"/>
      <c r="AF737" s="4"/>
      <c r="AG737" s="4"/>
      <c r="AH737" s="4"/>
      <c r="AI737" s="4"/>
    </row>
    <row r="738" spans="1:35" ht="15" customHeight="1" x14ac:dyDescent="0.2">
      <c r="A738" s="4"/>
      <c r="B738" s="1935" t="s">
        <v>1102</v>
      </c>
      <c r="C738" s="1935"/>
      <c r="D738" s="1935"/>
      <c r="E738" s="1935"/>
      <c r="F738" s="1935"/>
      <c r="G738" s="1935"/>
      <c r="H738" s="1935"/>
      <c r="I738" s="2157" t="s">
        <v>428</v>
      </c>
      <c r="J738" s="2158"/>
      <c r="K738" s="1693">
        <v>3</v>
      </c>
      <c r="L738" s="2161">
        <v>8</v>
      </c>
      <c r="M738" s="1935"/>
      <c r="N738" s="1935"/>
      <c r="O738" s="1935"/>
      <c r="P738" s="2192">
        <v>150</v>
      </c>
      <c r="Q738" s="2113"/>
      <c r="R738" s="2176"/>
      <c r="S738" s="2161" t="s">
        <v>428</v>
      </c>
      <c r="T738" s="1935"/>
      <c r="U738" s="1935"/>
      <c r="V738" s="1935"/>
      <c r="W738" s="1935"/>
      <c r="X738" s="1935"/>
      <c r="Y738" s="4"/>
      <c r="Z738" s="4"/>
      <c r="AA738" s="4"/>
      <c r="AB738" s="4"/>
      <c r="AC738" s="4"/>
      <c r="AD738" s="4"/>
      <c r="AE738" s="4"/>
      <c r="AF738" s="4"/>
      <c r="AG738" s="4"/>
      <c r="AH738" s="4"/>
      <c r="AI738" s="4"/>
    </row>
    <row r="739" spans="1:35" ht="15" customHeight="1" x14ac:dyDescent="0.2">
      <c r="A739" s="4"/>
      <c r="B739" s="1935" t="s">
        <v>1103</v>
      </c>
      <c r="C739" s="1935"/>
      <c r="D739" s="1935"/>
      <c r="E739" s="1935"/>
      <c r="F739" s="1935"/>
      <c r="G739" s="1935"/>
      <c r="H739" s="1935"/>
      <c r="I739" s="2157" t="s">
        <v>915</v>
      </c>
      <c r="J739" s="2158"/>
      <c r="K739" s="1693">
        <v>4</v>
      </c>
      <c r="L739" s="2161">
        <v>9</v>
      </c>
      <c r="M739" s="1935"/>
      <c r="N739" s="1935"/>
      <c r="O739" s="1935"/>
      <c r="P739" s="2192">
        <v>160</v>
      </c>
      <c r="Q739" s="2113"/>
      <c r="R739" s="2176"/>
      <c r="S739" s="2161" t="s">
        <v>915</v>
      </c>
      <c r="T739" s="1935"/>
      <c r="U739" s="1935"/>
      <c r="V739" s="1935"/>
      <c r="W739" s="1935"/>
      <c r="X739" s="1935"/>
      <c r="Y739" s="4"/>
      <c r="Z739" s="4"/>
      <c r="AA739" s="4"/>
      <c r="AB739" s="4"/>
      <c r="AC739" s="4"/>
      <c r="AD739" s="4"/>
      <c r="AE739" s="4"/>
      <c r="AF739" s="4"/>
      <c r="AG739" s="4"/>
      <c r="AH739" s="4"/>
      <c r="AI739" s="4"/>
    </row>
    <row r="740" spans="1:35" x14ac:dyDescent="0.2">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x14ac:dyDescent="0.2">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x14ac:dyDescent="0.2">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5" workbookViewId="0">
      <selection activeCell="R38" sqref="R38:S38"/>
    </sheetView>
  </sheetViews>
  <sheetFormatPr defaultRowHeight="15" x14ac:dyDescent="0.25"/>
  <cols>
    <col min="1" max="26" width="4.7109375" customWidth="1"/>
  </cols>
  <sheetData>
    <row r="1" spans="1:20" s="206" customFormat="1" ht="19.5" thickTop="1" x14ac:dyDescent="0.25">
      <c r="A1" s="211" t="s">
        <v>595</v>
      </c>
      <c r="B1" s="212"/>
      <c r="C1" s="212"/>
      <c r="D1" s="212"/>
      <c r="E1" s="212"/>
      <c r="F1" s="212"/>
      <c r="G1" s="212"/>
      <c r="H1" s="212"/>
      <c r="I1" s="212"/>
      <c r="J1" s="212"/>
      <c r="K1" s="212"/>
      <c r="L1" s="212"/>
      <c r="M1" s="212"/>
      <c r="N1" s="212"/>
      <c r="O1" s="212"/>
      <c r="P1" s="212"/>
      <c r="Q1" s="212"/>
      <c r="R1" s="212"/>
      <c r="S1" s="212"/>
      <c r="T1" s="213"/>
    </row>
    <row r="2" spans="1:20" s="206" customFormat="1" ht="18.75" x14ac:dyDescent="0.2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75" x14ac:dyDescent="0.2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75" x14ac:dyDescent="0.2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2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2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2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75" thickBot="1" x14ac:dyDescent="0.3">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 customHeight="1" thickTop="1" thickBot="1" x14ac:dyDescent="0.3">
      <c r="A9" s="208"/>
      <c r="B9" s="208"/>
      <c r="C9" s="208"/>
      <c r="D9" s="208"/>
      <c r="E9" s="208"/>
      <c r="F9" s="208"/>
      <c r="G9" s="208"/>
      <c r="H9" s="208"/>
      <c r="I9" s="208"/>
      <c r="J9" s="208"/>
      <c r="K9" s="208"/>
      <c r="L9" s="208"/>
      <c r="M9" s="208"/>
      <c r="N9" s="208"/>
      <c r="O9" s="208"/>
      <c r="P9" s="208"/>
      <c r="Q9" s="208"/>
      <c r="R9" s="208"/>
      <c r="S9" s="208"/>
      <c r="T9" s="208"/>
    </row>
    <row r="10" spans="1:20" s="206" customFormat="1" ht="14.1" customHeight="1" x14ac:dyDescent="0.2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 customHeight="1" x14ac:dyDescent="0.25">
      <c r="A11" s="247" t="s">
        <v>611</v>
      </c>
      <c r="B11" s="248"/>
      <c r="C11" s="248"/>
      <c r="D11" s="248"/>
      <c r="E11" s="248"/>
      <c r="F11" s="248"/>
      <c r="G11" s="249"/>
      <c r="H11" s="208"/>
      <c r="I11" s="208"/>
      <c r="J11" s="208"/>
      <c r="K11" s="208"/>
      <c r="L11" s="270" t="s">
        <v>617</v>
      </c>
      <c r="M11" s="209"/>
      <c r="N11" s="209"/>
      <c r="O11" s="209"/>
      <c r="P11" s="209"/>
      <c r="Q11" s="209"/>
      <c r="R11" s="2213">
        <f>samenstelling!G176</f>
        <v>3.805679</v>
      </c>
      <c r="S11" s="2214"/>
      <c r="T11" s="271" t="s">
        <v>182</v>
      </c>
    </row>
    <row r="12" spans="1:20" s="206" customFormat="1" ht="14.1" customHeight="1" x14ac:dyDescent="0.25">
      <c r="A12" s="250" t="s">
        <v>612</v>
      </c>
      <c r="B12" s="208"/>
      <c r="C12" s="208"/>
      <c r="D12" s="208"/>
      <c r="E12" s="208"/>
      <c r="F12" s="2233">
        <f>ROUND(samenstelling!N167,1)</f>
        <v>71.2</v>
      </c>
      <c r="G12" s="2234"/>
      <c r="H12" s="208"/>
      <c r="I12" s="208"/>
      <c r="J12" s="208"/>
      <c r="K12" s="208"/>
      <c r="L12" s="251" t="s">
        <v>618</v>
      </c>
      <c r="M12" s="252"/>
      <c r="N12" s="252"/>
      <c r="O12" s="252"/>
      <c r="P12" s="252"/>
      <c r="Q12" s="252"/>
      <c r="R12" s="272"/>
      <c r="S12" s="252">
        <f>samenstelling!AC143</f>
        <v>38.961038961038966</v>
      </c>
      <c r="T12" s="261" t="s">
        <v>182</v>
      </c>
    </row>
    <row r="13" spans="1:20" s="206" customFormat="1" ht="14.1" customHeight="1" x14ac:dyDescent="0.25">
      <c r="A13" s="251" t="s">
        <v>613</v>
      </c>
      <c r="B13" s="252"/>
      <c r="C13" s="252"/>
      <c r="D13" s="252"/>
      <c r="E13" s="252"/>
      <c r="F13" s="2235">
        <f>ROUND(samenstelling!N168,1)</f>
        <v>22</v>
      </c>
      <c r="G13" s="2236"/>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 customHeight="1" x14ac:dyDescent="0.25">
      <c r="A14" s="250" t="s">
        <v>178</v>
      </c>
      <c r="B14" s="208"/>
      <c r="C14" s="208"/>
      <c r="D14" s="208"/>
      <c r="E14" s="208"/>
      <c r="F14" s="2237">
        <f>100-F12-F13</f>
        <v>6.7999999999999972</v>
      </c>
      <c r="G14" s="2238"/>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 customHeight="1" x14ac:dyDescent="0.25">
      <c r="A15" s="253"/>
      <c r="B15" s="254"/>
      <c r="C15" s="254"/>
      <c r="D15" s="254"/>
      <c r="E15" s="254"/>
      <c r="F15" s="2239">
        <v>100</v>
      </c>
      <c r="G15" s="2240"/>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 customHeight="1" thickBot="1" x14ac:dyDescent="0.3">
      <c r="A16" s="255" t="s">
        <v>614</v>
      </c>
      <c r="B16" s="256"/>
      <c r="C16" s="256"/>
      <c r="D16" s="256"/>
      <c r="E16" s="256"/>
      <c r="F16" s="2241">
        <f>samenstelling!N177</f>
        <v>4.1924204280590098</v>
      </c>
      <c r="G16" s="2242"/>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 customHeight="1" thickBot="1" x14ac:dyDescent="0.3">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 customHeight="1" x14ac:dyDescent="0.2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 customHeight="1" x14ac:dyDescent="0.25">
      <c r="A19" s="2221">
        <f>IF(samenstelling!C8=0,"",samenstelling!C8)</f>
        <v>5.0999999999999996</v>
      </c>
      <c r="B19" s="2222"/>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 customHeight="1" x14ac:dyDescent="0.25">
      <c r="A20" s="2223">
        <f>IF(samenstelling!C9=0,"",samenstelling!C9)</f>
        <v>10.199999999999999</v>
      </c>
      <c r="B20" s="2224"/>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 customHeight="1" x14ac:dyDescent="0.25">
      <c r="A21" s="2223">
        <f>IF(samenstelling!C10=0,"",samenstelling!C10)</f>
        <v>15.3</v>
      </c>
      <c r="B21" s="2224"/>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 customHeight="1" x14ac:dyDescent="0.25">
      <c r="A22" s="2223" t="str">
        <f>IF(samenstelling!C11=0,"",samenstelling!C11)</f>
        <v/>
      </c>
      <c r="B22" s="2224"/>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 customHeight="1" x14ac:dyDescent="0.25">
      <c r="A23" s="2223" t="str">
        <f>IF(samenstelling!C12=0,"",samenstelling!C12)</f>
        <v/>
      </c>
      <c r="B23" s="2224"/>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 customHeight="1" x14ac:dyDescent="0.25">
      <c r="A24" s="2223">
        <f>IF(samenstelling!C13=0,"",samenstelling!C13)</f>
        <v>35.299999999999997</v>
      </c>
      <c r="B24" s="2224"/>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 customHeight="1" x14ac:dyDescent="0.25">
      <c r="A25" s="2223" t="str">
        <f>IF(samenstelling!C14=0,"",samenstelling!C14)</f>
        <v/>
      </c>
      <c r="B25" s="2224"/>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 customHeight="1" x14ac:dyDescent="0.25">
      <c r="A26" s="2223" t="str">
        <f>IF(samenstelling!C15=0,"",samenstelling!C15)</f>
        <v/>
      </c>
      <c r="B26" s="2224"/>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 customHeight="1" x14ac:dyDescent="0.25">
      <c r="A27" s="2223" t="str">
        <f>IF(samenstelling!C16=0,"",samenstelling!C16)</f>
        <v/>
      </c>
      <c r="B27" s="2224"/>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16">
        <f>IF(berekeningen!R$9=0,"",berekeningen!R$9)</f>
        <v>0.125</v>
      </c>
      <c r="P27" s="2216"/>
      <c r="Q27" s="287" t="str">
        <f>IF(O27="","","mm")</f>
        <v>mm</v>
      </c>
      <c r="R27" s="272"/>
      <c r="S27" s="274">
        <f>IF(O27="","",samenstelling!Y$109)</f>
        <v>11.405659629485179</v>
      </c>
      <c r="T27" s="261" t="str">
        <f>IF(O27="","","%")</f>
        <v>%</v>
      </c>
    </row>
    <row r="28" spans="1:20" s="206" customFormat="1" ht="14.1" customHeight="1" x14ac:dyDescent="0.25">
      <c r="A28" s="2245" t="str">
        <f>IF(samenstelling!C17=0,"",samenstelling!C17)</f>
        <v/>
      </c>
      <c r="B28" s="2246"/>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15">
        <f>IF(berekeningen!S$9=0,"",berekeningen!S$9)</f>
        <v>6.3E-2</v>
      </c>
      <c r="P28" s="2215"/>
      <c r="Q28" s="288" t="str">
        <f>IF(O28="","","mm")</f>
        <v>mm</v>
      </c>
      <c r="R28" s="272"/>
      <c r="S28" s="286">
        <f>IF(O28="","",samenstelling!Z$109)</f>
        <v>7.8679135647425893</v>
      </c>
      <c r="T28" s="261" t="str">
        <f>IF(O28="","","%")</f>
        <v>%</v>
      </c>
    </row>
    <row r="29" spans="1:20" s="206" customFormat="1" ht="14.1" customHeight="1" x14ac:dyDescent="0.25">
      <c r="A29" s="2229">
        <f>IF(samenstelling!C26=0,"",samenstelling!C26)</f>
        <v>0.55000000000000004</v>
      </c>
      <c r="B29" s="2230"/>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 customHeight="1" x14ac:dyDescent="0.25">
      <c r="A30" s="2219" t="str">
        <f>IF(samenstelling!C27=0,"",samenstelling!C27)</f>
        <v/>
      </c>
      <c r="B30" s="2220"/>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 customHeight="1" x14ac:dyDescent="0.25">
      <c r="A31" s="2231">
        <f>IF(samenstelling!C29=0,"",samenstelling!C29)</f>
        <v>1</v>
      </c>
      <c r="B31" s="2232"/>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 customHeight="1" x14ac:dyDescent="0.25">
      <c r="A32" s="2227">
        <f>IF(samenstelling!C43=0,"",samenstelling!C43)</f>
        <v>2.2160500000000001</v>
      </c>
      <c r="B32" s="2228"/>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 customHeight="1" x14ac:dyDescent="0.25">
      <c r="A33" s="2219" t="str">
        <f>IF(samenstelling!C44=0,"",samenstelling!C44)</f>
        <v/>
      </c>
      <c r="B33" s="2220"/>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17">
        <f>IF(studie!H258="","",studie!H258)</f>
        <v>15.5</v>
      </c>
      <c r="S33" s="2218"/>
      <c r="T33" s="260" t="str">
        <f>IF(R33="","","%")</f>
        <v>%</v>
      </c>
    </row>
    <row r="34" spans="1:20" s="206" customFormat="1" ht="14.1" customHeight="1" x14ac:dyDescent="0.25">
      <c r="A34" s="2243" t="str">
        <f>IF(samenstelling!C45=0,"",samenstelling!C45)</f>
        <v/>
      </c>
      <c r="B34" s="2244"/>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11">
        <f>studie!H257</f>
        <v>2.684110592447611</v>
      </c>
      <c r="S34" s="2212"/>
      <c r="T34" s="300" t="str">
        <f>IF(R34="","","Mg/m³")</f>
        <v>Mg/m³</v>
      </c>
    </row>
    <row r="35" spans="1:20" s="206" customFormat="1" ht="14.1" customHeight="1" x14ac:dyDescent="0.25">
      <c r="A35" s="2221">
        <f>IF(samenstelling!C56=0,"",samenstelling!C56)</f>
        <v>30</v>
      </c>
      <c r="B35" s="2222"/>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11">
        <f>studie!H154</f>
        <v>3.0154391189857619</v>
      </c>
      <c r="S35" s="2212"/>
      <c r="T35" s="300" t="str">
        <f>IF(R35="","","Mg/m³")</f>
        <v>Mg/m³</v>
      </c>
    </row>
    <row r="36" spans="1:20" s="206" customFormat="1" ht="14.1" customHeight="1" x14ac:dyDescent="0.25">
      <c r="A36" s="2223" t="str">
        <f>IF(samenstelling!C57=0,"",samenstelling!C57)</f>
        <v/>
      </c>
      <c r="B36" s="2224"/>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09">
        <f>IF(studie!E514="J",studie!K526,"")</f>
        <v>12000</v>
      </c>
      <c r="S36" s="2210"/>
      <c r="T36" s="260" t="str">
        <f>IF(R36="","","MPa")</f>
        <v>MPa</v>
      </c>
    </row>
    <row r="37" spans="1:20" s="206" customFormat="1" ht="14.1" customHeight="1" x14ac:dyDescent="0.25">
      <c r="A37" s="2225" t="str">
        <f>IF(samenstelling!C58=0,"",samenstelling!C58)</f>
        <v/>
      </c>
      <c r="B37" s="2226"/>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09" t="str">
        <f>IF(studie!E514="J",IF(studie!K527="","",studie!K527),"")</f>
        <v/>
      </c>
      <c r="S37" s="2210"/>
      <c r="T37" s="260" t="str">
        <f>IF(R37="","","MPa")</f>
        <v/>
      </c>
    </row>
    <row r="38" spans="1:20" s="206" customFormat="1" ht="14.1" customHeight="1" x14ac:dyDescent="0.25">
      <c r="A38" s="2227">
        <f>IF(samenstelling!C68=0,"",samenstelling!C68)</f>
        <v>0.2</v>
      </c>
      <c r="B38" s="2228"/>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09">
        <f>IF(studie!E537="J",studie!K549,"")</f>
        <v>150</v>
      </c>
      <c r="S38" s="2210"/>
      <c r="T38" s="260" t="str">
        <f>IF(R38="","","µS")</f>
        <v>µS</v>
      </c>
    </row>
    <row r="39" spans="1:20" s="206" customFormat="1" ht="14.1" customHeight="1" x14ac:dyDescent="0.25">
      <c r="A39" s="2219" t="str">
        <f>IF(samenstelling!C69=0,"",samenstelling!C69)</f>
        <v/>
      </c>
      <c r="B39" s="2220"/>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 customHeight="1" x14ac:dyDescent="0.25">
      <c r="A40" s="2219">
        <f>IF(samenstelling!C70=0,"",samenstelling!C70)</f>
        <v>2.82</v>
      </c>
      <c r="B40" s="2220"/>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 customHeight="1" x14ac:dyDescent="0.25">
      <c r="A41" s="2219" t="str">
        <f>IF(samenstelling!C71=0,"",samenstelling!C71)</f>
        <v/>
      </c>
      <c r="B41" s="2220"/>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 customHeight="1" x14ac:dyDescent="0.25">
      <c r="A42" s="2219" t="str">
        <f>IF(samenstelling!C72=0,"",samenstelling!C72)</f>
        <v/>
      </c>
      <c r="B42" s="2220"/>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 customHeight="1" x14ac:dyDescent="0.25">
      <c r="A43" s="2219">
        <f>IF(samenstelling!C73=0,IF(samenstelling!D73=0,"",samenstelling!C153),samenstelling!C73)</f>
        <v>0.10395</v>
      </c>
      <c r="B43" s="2220"/>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 customHeight="1" x14ac:dyDescent="0.25">
      <c r="A44" s="2219" t="str">
        <f>IF(samenstelling!C74=0,IF(samenstelling!D74=0,"",samenstelling!C154),samenstelling!C74)</f>
        <v/>
      </c>
      <c r="B44" s="2220"/>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 customHeight="1" x14ac:dyDescent="0.25">
      <c r="A45" s="2219">
        <f>IF(samenstelling!C75=0,IF(samenstelling!D75=0,"",samenstelling!C155),samenstelling!C75)</f>
        <v>0.03</v>
      </c>
      <c r="B45" s="2220"/>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 customHeight="1" x14ac:dyDescent="0.25">
      <c r="A46" s="2219" t="str">
        <f>IF(samenstelling!C76=0,IF(samenstelling!D76=0,"",samenstelling!C156),samenstelling!C76)</f>
        <v/>
      </c>
      <c r="B46" s="2220"/>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47">
        <f>IF(studie!E589="J",studie!K606,IF(studie!E714="","",studie!E714))</f>
        <v>2.5099999999999998</v>
      </c>
      <c r="S46" s="2248"/>
      <c r="T46" s="293" t="str">
        <f>IF(studie!E589="J","mm",IF(studie!E714="","",studie!F714))</f>
        <v>mm</v>
      </c>
    </row>
    <row r="47" spans="1:20" s="206" customFormat="1" ht="14.1" customHeight="1" thickBot="1" x14ac:dyDescent="0.3">
      <c r="A47" s="2252" t="str">
        <f>IF(samenstelling!C77=0,IF(samenstelling!D77=0,"",samenstelling!C157),samenstelling!C77)</f>
        <v/>
      </c>
      <c r="B47" s="2253"/>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47">
        <f>IF(studie!E589="J",studie!K607,IF(studie!E715="","",studie!E715))</f>
        <v>2.34</v>
      </c>
      <c r="S47" s="2248"/>
      <c r="T47" s="293" t="str">
        <f>IF(studie!E589="J","mm",IF(studie!E715="","",studie!F715))</f>
        <v>mm</v>
      </c>
    </row>
    <row r="48" spans="1:20" s="206" customFormat="1" ht="14.1" customHeight="1" x14ac:dyDescent="0.25">
      <c r="A48" s="310" t="s">
        <v>647</v>
      </c>
      <c r="B48" s="296"/>
      <c r="C48" s="208"/>
      <c r="D48" s="208"/>
      <c r="E48" s="208"/>
      <c r="F48" s="208"/>
      <c r="G48" s="208"/>
      <c r="H48" s="291"/>
      <c r="I48" s="291"/>
      <c r="J48" s="291"/>
      <c r="K48" s="208"/>
      <c r="L48" s="292" t="str">
        <f>IF(studie!E716="","",studie!B716)</f>
        <v>proef 3</v>
      </c>
      <c r="M48" s="252"/>
      <c r="N48" s="252"/>
      <c r="O48" s="252"/>
      <c r="P48" s="252"/>
      <c r="Q48" s="252"/>
      <c r="R48" s="2209" t="str">
        <f>IF(studie!E716="","",studie!E716)</f>
        <v>3,00</v>
      </c>
      <c r="S48" s="2210"/>
      <c r="T48" s="293" t="str">
        <f>IF(studie!E716="","",studie!F716)</f>
        <v>hPa</v>
      </c>
    </row>
    <row r="49" spans="1:20" s="206" customFormat="1" ht="14.1" customHeight="1" thickBot="1" x14ac:dyDescent="0.3">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49" t="str">
        <f>IF(studie!E717="","",studie!E717)</f>
        <v>4</v>
      </c>
      <c r="S49" s="2250"/>
      <c r="T49" s="295" t="str">
        <f>IF(studie!E717="","",studie!F717)</f>
        <v>N</v>
      </c>
    </row>
    <row r="50" spans="1:20" s="206" customFormat="1" ht="13.15" customHeight="1" x14ac:dyDescent="0.25">
      <c r="H50" s="208"/>
      <c r="I50" s="208"/>
      <c r="J50" s="208"/>
      <c r="K50" s="208"/>
      <c r="L50" s="311"/>
      <c r="M50" s="208"/>
      <c r="N50" s="208"/>
      <c r="O50" s="208"/>
      <c r="P50" s="208"/>
      <c r="Q50" s="208"/>
      <c r="R50" s="312"/>
      <c r="S50" s="312"/>
      <c r="T50" s="311"/>
    </row>
    <row r="51" spans="1:20" s="206" customFormat="1" ht="14.1" customHeight="1" x14ac:dyDescent="0.2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25">
      <c r="H52" s="208"/>
      <c r="I52" s="208"/>
      <c r="J52" s="208"/>
      <c r="K52" s="208"/>
      <c r="L52" s="311"/>
      <c r="M52" s="208"/>
      <c r="N52" s="208"/>
      <c r="O52" s="208"/>
      <c r="P52" s="208"/>
      <c r="Q52" s="208"/>
      <c r="R52" s="312"/>
      <c r="S52" s="312"/>
      <c r="T52" s="311"/>
    </row>
    <row r="53" spans="1:20" s="210" customFormat="1" ht="11.25" x14ac:dyDescent="0.25">
      <c r="A53" s="2251" t="str">
        <f>IF(I$2="",IF(I$3="",I$4,I$3),I$2)</f>
        <v>801/64/</v>
      </c>
      <c r="B53" s="2251"/>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46:S46"/>
    <mergeCell ref="R47:S47"/>
    <mergeCell ref="R48:S48"/>
    <mergeCell ref="R49:S49"/>
    <mergeCell ref="A53:B53"/>
    <mergeCell ref="A47:B4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A29:B29"/>
    <mergeCell ref="A30:B30"/>
    <mergeCell ref="A31:B31"/>
    <mergeCell ref="A32:B32"/>
    <mergeCell ref="A23:B23"/>
    <mergeCell ref="A24:B24"/>
    <mergeCell ref="A25:B25"/>
    <mergeCell ref="A26:B26"/>
    <mergeCell ref="A27:B27"/>
    <mergeCell ref="A41:B41"/>
    <mergeCell ref="A42:B42"/>
    <mergeCell ref="A35:B35"/>
    <mergeCell ref="A36:B36"/>
    <mergeCell ref="A37:B37"/>
    <mergeCell ref="A38:B38"/>
    <mergeCell ref="A39:B39"/>
    <mergeCell ref="A40:B40"/>
    <mergeCell ref="R37:S37"/>
    <mergeCell ref="R38:S38"/>
    <mergeCell ref="R34:S34"/>
    <mergeCell ref="R11:S11"/>
    <mergeCell ref="O28:P28"/>
    <mergeCell ref="O27:P27"/>
    <mergeCell ref="R35:S35"/>
    <mergeCell ref="R36:S36"/>
    <mergeCell ref="R33:S33"/>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40625" defaultRowHeight="12.75" x14ac:dyDescent="0.2"/>
  <cols>
    <col min="1" max="2" width="2.7109375" style="318" customWidth="1"/>
    <col min="3" max="25" width="5.7109375" style="318" customWidth="1"/>
    <col min="26" max="26" width="3.7109375" style="318" customWidth="1"/>
    <col min="27" max="31" width="5.7109375" style="318" customWidth="1"/>
    <col min="32" max="16384" width="9.140625" style="318"/>
  </cols>
  <sheetData>
    <row r="1" spans="1:26" ht="14.85" customHeight="1" x14ac:dyDescent="0.2">
      <c r="A1" s="2255"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54" t="s">
        <v>699</v>
      </c>
    </row>
    <row r="2" spans="1:26" ht="14.85" customHeight="1" x14ac:dyDescent="0.2">
      <c r="A2" s="2255"/>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54"/>
    </row>
    <row r="3" spans="1:26" ht="14.85" customHeight="1" x14ac:dyDescent="0.2">
      <c r="A3" s="2255"/>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54"/>
    </row>
    <row r="4" spans="1:26" ht="14.85" customHeight="1" x14ac:dyDescent="0.2">
      <c r="A4" s="2256"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54"/>
    </row>
    <row r="5" spans="1:26" ht="14.85" customHeight="1" x14ac:dyDescent="0.2">
      <c r="A5" s="2256"/>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54"/>
    </row>
    <row r="6" spans="1:26" ht="14.85" customHeight="1" x14ac:dyDescent="0.2">
      <c r="A6" s="2256"/>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54"/>
    </row>
    <row r="7" spans="1:26" ht="14.85" customHeight="1" x14ac:dyDescent="0.2">
      <c r="A7" s="2256"/>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54"/>
    </row>
    <row r="8" spans="1:26" ht="14.85" customHeight="1" x14ac:dyDescent="0.2">
      <c r="A8" s="2256"/>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54"/>
    </row>
    <row r="9" spans="1:26" ht="14.85" customHeight="1" x14ac:dyDescent="0.2">
      <c r="A9" s="2256"/>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85" customHeight="1" x14ac:dyDescent="0.2">
      <c r="A10" s="2256"/>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85" customHeight="1" x14ac:dyDescent="0.2">
      <c r="A11" s="2256"/>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85" customHeight="1" x14ac:dyDescent="0.2">
      <c r="A12" s="2256"/>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85" customHeight="1" thickBot="1" x14ac:dyDescent="0.25">
      <c r="A13" s="2256"/>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85" customHeight="1" x14ac:dyDescent="0.2">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85" customHeight="1" x14ac:dyDescent="0.2">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85" customHeight="1" x14ac:dyDescent="0.2">
      <c r="A16" s="2257"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85" customHeight="1" x14ac:dyDescent="0.2">
      <c r="A17" s="2257"/>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85" customHeight="1" x14ac:dyDescent="0.2">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85" customHeight="1" x14ac:dyDescent="0.2">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85" customHeight="1" thickBot="1" x14ac:dyDescent="0.2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85" customHeight="1" x14ac:dyDescent="0.2">
      <c r="A21" s="2256"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85" customHeight="1" x14ac:dyDescent="0.2">
      <c r="A22" s="2256"/>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85" customHeight="1" x14ac:dyDescent="0.2">
      <c r="A23" s="2256"/>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85" customHeight="1" x14ac:dyDescent="0.2">
      <c r="A24" s="2256"/>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85" customHeight="1" x14ac:dyDescent="0.2">
      <c r="A25" s="2256"/>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85" customHeight="1" x14ac:dyDescent="0.2">
      <c r="A26" s="2256"/>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85" customHeight="1" thickBot="1" x14ac:dyDescent="0.25">
      <c r="A27" s="2256"/>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85" customHeight="1" x14ac:dyDescent="0.2">
      <c r="A28" s="2256"/>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85" customHeight="1" x14ac:dyDescent="0.2">
      <c r="A29" s="2256"/>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85" customHeight="1" x14ac:dyDescent="0.2">
      <c r="A30" s="2256"/>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85" customHeight="1" x14ac:dyDescent="0.2">
      <c r="A31" s="2256"/>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85" customHeight="1" x14ac:dyDescent="0.2">
      <c r="A32" s="2256"/>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85" customHeight="1" x14ac:dyDescent="0.2">
      <c r="A33" s="2256"/>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85" customHeight="1" thickBot="1" x14ac:dyDescent="0.25">
      <c r="A34" s="2256"/>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85" customHeight="1" x14ac:dyDescent="0.2">
      <c r="A35" s="2255"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58" t="s">
        <v>743</v>
      </c>
    </row>
    <row r="36" spans="1:26" ht="14.85" customHeight="1" x14ac:dyDescent="0.2">
      <c r="A36" s="2255"/>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58"/>
    </row>
    <row r="37" spans="1:26" ht="14.85" customHeight="1" x14ac:dyDescent="0.2">
      <c r="A37" s="2255"/>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58"/>
    </row>
    <row r="38" spans="1:26" ht="14.85" customHeight="1" x14ac:dyDescent="0.2">
      <c r="A38" s="2256"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58"/>
    </row>
    <row r="39" spans="1:26" ht="14.85" customHeight="1" x14ac:dyDescent="0.2">
      <c r="A39" s="2256"/>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58"/>
    </row>
    <row r="40" spans="1:26" ht="14.85" customHeight="1" x14ac:dyDescent="0.2">
      <c r="A40" s="2256"/>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58"/>
    </row>
    <row r="41" spans="1:26" ht="14.85" customHeight="1" x14ac:dyDescent="0.2">
      <c r="A41" s="2256"/>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58"/>
    </row>
    <row r="42" spans="1:26" ht="14.85" customHeight="1" x14ac:dyDescent="0.2">
      <c r="A42" s="2256"/>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58"/>
    </row>
    <row r="43" spans="1:26" ht="14.85" customHeight="1" x14ac:dyDescent="0.2">
      <c r="A43" s="2256"/>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58"/>
    </row>
    <row r="44" spans="1:26" ht="14.85" customHeight="1" x14ac:dyDescent="0.2">
      <c r="A44" s="2256"/>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85" customHeight="1" x14ac:dyDescent="0.2">
      <c r="A45" s="2256"/>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85" customHeight="1" x14ac:dyDescent="0.2">
      <c r="A46" s="2256"/>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85" customHeight="1" x14ac:dyDescent="0.2">
      <c r="A47" s="2256"/>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85" customHeight="1" thickBot="1" x14ac:dyDescent="0.2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85" customHeight="1" thickBot="1" x14ac:dyDescent="0.2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85" customHeight="1" x14ac:dyDescent="0.2">
      <c r="A50" s="2257"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85" customHeight="1" x14ac:dyDescent="0.2">
      <c r="A51" s="2257"/>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85" customHeight="1" x14ac:dyDescent="0.2">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85" customHeight="1" x14ac:dyDescent="0.2">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85" customHeight="1" x14ac:dyDescent="0.2">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85" customHeight="1" x14ac:dyDescent="0.2">
      <c r="A55" s="2256"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85" customHeight="1" x14ac:dyDescent="0.2">
      <c r="A56" s="2256"/>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85" customHeight="1" x14ac:dyDescent="0.2">
      <c r="A57" s="2256"/>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85" customHeight="1" thickBot="1" x14ac:dyDescent="0.25">
      <c r="A58" s="2256"/>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85" customHeight="1" x14ac:dyDescent="0.2">
      <c r="A59" s="2256"/>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85" customHeight="1" x14ac:dyDescent="0.2">
      <c r="A60" s="2256"/>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85" customHeight="1" x14ac:dyDescent="0.2">
      <c r="A61" s="2256"/>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85" customHeight="1" x14ac:dyDescent="0.2">
      <c r="A62" s="2256"/>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85" customHeight="1" x14ac:dyDescent="0.2">
      <c r="A63" s="2256"/>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85" customHeight="1" x14ac:dyDescent="0.2">
      <c r="A64" s="2256"/>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85" customHeight="1" x14ac:dyDescent="0.2">
      <c r="A65" s="2256"/>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85" customHeight="1" x14ac:dyDescent="0.2">
      <c r="A66" s="2256"/>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85" customHeight="1" x14ac:dyDescent="0.2">
      <c r="A67" s="2256"/>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85" customHeight="1" thickBot="1" x14ac:dyDescent="0.25">
      <c r="A68" s="2256"/>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85" customHeight="1" x14ac:dyDescent="0.2"/>
    <row r="70" spans="1:25" ht="14.85" customHeight="1" x14ac:dyDescent="0.2"/>
    <row r="71" spans="1:25" ht="14.85" customHeight="1" x14ac:dyDescent="0.2"/>
    <row r="72" spans="1:25" ht="14.85" customHeight="1" x14ac:dyDescent="0.2"/>
    <row r="73" spans="1:25" ht="14.85" customHeight="1" x14ac:dyDescent="0.2"/>
    <row r="74" spans="1:25" ht="14.85" customHeight="1" x14ac:dyDescent="0.2"/>
    <row r="75" spans="1:25" ht="14.85" customHeight="1" x14ac:dyDescent="0.2"/>
    <row r="76" spans="1:25" ht="14.85" customHeight="1" x14ac:dyDescent="0.2"/>
    <row r="77" spans="1:25" ht="14.85" customHeight="1" x14ac:dyDescent="0.2"/>
    <row r="78" spans="1:25" ht="14.85" customHeight="1" x14ac:dyDescent="0.2"/>
    <row r="79" spans="1:25" ht="14.85" customHeight="1" x14ac:dyDescent="0.2"/>
    <row r="80" spans="1:25" ht="14.85" customHeight="1" x14ac:dyDescent="0.2"/>
    <row r="81" ht="14.85" customHeight="1" x14ac:dyDescent="0.2"/>
    <row r="82" ht="14.85" customHeight="1" x14ac:dyDescent="0.2"/>
    <row r="83" ht="14.85" customHeight="1" x14ac:dyDescent="0.2"/>
    <row r="84" ht="14.85" customHeight="1" x14ac:dyDescent="0.2"/>
    <row r="85" ht="14.85" customHeight="1" x14ac:dyDescent="0.2"/>
    <row r="86" ht="14.85" customHeight="1" x14ac:dyDescent="0.2"/>
    <row r="87" ht="14.85" customHeight="1" x14ac:dyDescent="0.2"/>
    <row r="88" ht="14.85" customHeight="1" x14ac:dyDescent="0.2"/>
    <row r="89" ht="14.85" customHeight="1" x14ac:dyDescent="0.2"/>
    <row r="90" ht="14.85" customHeight="1" x14ac:dyDescent="0.2"/>
    <row r="91" ht="14.85" customHeight="1" x14ac:dyDescent="0.2"/>
    <row r="92" ht="14.85" customHeight="1" x14ac:dyDescent="0.2"/>
    <row r="93" ht="14.85" customHeight="1" x14ac:dyDescent="0.2"/>
    <row r="94" ht="14.85" customHeight="1" x14ac:dyDescent="0.2"/>
    <row r="95" ht="14.85" customHeight="1" x14ac:dyDescent="0.2"/>
    <row r="96" ht="14.85" customHeight="1" x14ac:dyDescent="0.2"/>
    <row r="97" ht="14.85" customHeight="1" x14ac:dyDescent="0.2"/>
    <row r="98" ht="14.85" customHeight="1" x14ac:dyDescent="0.2"/>
  </sheetData>
  <sheetProtection algorithmName="SHA-512" hashValue="jFuzPULdyWKdF0Y6Mx/YsSx25a9MzHpwMVfBeeu3u9D6KeiMneHACPRofnZ8NVgmuaQBFb0l93MHcs1K0MVvtw==" saltValue="U1c7lP25FTtLaYs+WSGAXg==" spinCount="100000" sheet="1" objects="1" scenarios="1"/>
  <mergeCells count="10">
    <mergeCell ref="A55:A68"/>
    <mergeCell ref="Z35:Z43"/>
    <mergeCell ref="A35:A37"/>
    <mergeCell ref="A38:A47"/>
    <mergeCell ref="A50:A51"/>
    <mergeCell ref="Z1:Z8"/>
    <mergeCell ref="A1:A3"/>
    <mergeCell ref="A4:A13"/>
    <mergeCell ref="A16:A17"/>
    <mergeCell ref="A21:A34"/>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5" x14ac:dyDescent="0.25"/>
  <cols>
    <col min="1" max="26" width="4.7109375" customWidth="1"/>
  </cols>
  <sheetData>
    <row r="1" spans="1:20" ht="12" customHeight="1" thickBot="1" x14ac:dyDescent="0.3">
      <c r="A1" s="317" t="s">
        <v>38</v>
      </c>
    </row>
    <row r="2" spans="1:20" s="318" customFormat="1" ht="15" customHeight="1" x14ac:dyDescent="0.2">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2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2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2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2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2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2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2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2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2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2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2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2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2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2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2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2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2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2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2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2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2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2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2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2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3">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2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25">
      <c r="A29" s="1391"/>
      <c r="B29" s="508"/>
      <c r="C29" s="2263" t="s">
        <v>183</v>
      </c>
      <c r="D29" s="2265" t="s">
        <v>146</v>
      </c>
      <c r="E29" s="508" t="s">
        <v>871</v>
      </c>
      <c r="F29" s="509"/>
      <c r="G29" s="509"/>
      <c r="H29" s="509"/>
      <c r="I29" s="509"/>
      <c r="J29" s="509"/>
      <c r="K29" s="509"/>
      <c r="L29" s="509"/>
      <c r="M29" s="509"/>
      <c r="N29" s="509"/>
      <c r="O29" s="509"/>
      <c r="P29" s="509"/>
      <c r="Q29" s="509"/>
      <c r="R29" s="509"/>
      <c r="S29" s="509"/>
      <c r="T29" s="510"/>
    </row>
    <row r="30" spans="1:20" ht="38.25" customHeight="1" x14ac:dyDescent="0.25">
      <c r="A30" s="880" t="s">
        <v>114</v>
      </c>
      <c r="B30" s="890" t="s">
        <v>872</v>
      </c>
      <c r="C30" s="2264"/>
      <c r="D30" s="2266"/>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2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2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3">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3">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2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2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25">
      <c r="A37" s="448"/>
      <c r="B37" s="449"/>
      <c r="C37" s="449"/>
      <c r="D37" s="459" t="s">
        <v>296</v>
      </c>
      <c r="E37" s="1249">
        <f>samenstelling!N167</f>
        <v>71.182431554471393</v>
      </c>
      <c r="F37" s="1249"/>
      <c r="G37" s="451" t="s">
        <v>182</v>
      </c>
      <c r="H37" s="318"/>
      <c r="I37" s="2267" t="s">
        <v>114</v>
      </c>
      <c r="J37" s="2270" t="s">
        <v>870</v>
      </c>
      <c r="K37" s="2273" t="s">
        <v>875</v>
      </c>
      <c r="L37" s="2276" t="s">
        <v>146</v>
      </c>
      <c r="N37" s="437" t="s">
        <v>297</v>
      </c>
      <c r="O37" s="438"/>
      <c r="P37" s="438"/>
      <c r="Q37" s="438"/>
      <c r="R37" s="1244">
        <f>samenstelling!T168</f>
        <v>2.7087125767186144</v>
      </c>
      <c r="S37" s="1247"/>
      <c r="T37" s="1241" t="s">
        <v>623</v>
      </c>
    </row>
    <row r="38" spans="1:20" ht="14.25" customHeight="1" x14ac:dyDescent="0.25">
      <c r="A38" s="437"/>
      <c r="B38" s="438"/>
      <c r="C38" s="438"/>
      <c r="D38" s="441" t="s">
        <v>297</v>
      </c>
      <c r="E38" s="1250">
        <f>samenstelling!N168</f>
        <v>22.04211398512707</v>
      </c>
      <c r="F38" s="1250"/>
      <c r="G38" s="439" t="s">
        <v>182</v>
      </c>
      <c r="H38" s="318"/>
      <c r="I38" s="2268"/>
      <c r="J38" s="2271"/>
      <c r="K38" s="2274"/>
      <c r="L38" s="2277"/>
      <c r="N38" s="437" t="s">
        <v>298</v>
      </c>
      <c r="O38" s="438"/>
      <c r="P38" s="438"/>
      <c r="Q38" s="438"/>
      <c r="R38" s="1244">
        <f>samenstelling!T169</f>
        <v>3.39</v>
      </c>
      <c r="S38" s="1247"/>
      <c r="T38" s="1241" t="s">
        <v>623</v>
      </c>
    </row>
    <row r="39" spans="1:20" ht="14.25" customHeight="1" x14ac:dyDescent="0.25">
      <c r="A39" s="455"/>
      <c r="B39" s="456"/>
      <c r="C39" s="456"/>
      <c r="D39" s="479" t="s">
        <v>298</v>
      </c>
      <c r="E39" s="1251">
        <f>'VN1'!F14</f>
        <v>6.7999999999999972</v>
      </c>
      <c r="F39" s="1251"/>
      <c r="G39" s="458" t="s">
        <v>182</v>
      </c>
      <c r="H39" s="318"/>
      <c r="I39" s="2268"/>
      <c r="J39" s="2271"/>
      <c r="K39" s="2274"/>
      <c r="L39" s="2277"/>
      <c r="N39" s="437" t="s">
        <v>314</v>
      </c>
      <c r="O39" s="438"/>
      <c r="P39" s="438"/>
      <c r="Q39" s="438"/>
      <c r="R39" s="1244">
        <f>samenstelling!T170</f>
        <v>2.9192987990727475</v>
      </c>
      <c r="S39" s="1247"/>
      <c r="T39" s="1241" t="s">
        <v>623</v>
      </c>
    </row>
    <row r="40" spans="1:20" ht="14.25" customHeight="1" thickBot="1" x14ac:dyDescent="0.3">
      <c r="A40" s="533"/>
      <c r="B40" s="351"/>
      <c r="C40" s="351"/>
      <c r="D40" s="534" t="s">
        <v>299</v>
      </c>
      <c r="E40" s="1252">
        <f>samenstelling!N177</f>
        <v>4.1924204280590098</v>
      </c>
      <c r="F40" s="1252"/>
      <c r="G40" s="535" t="s">
        <v>182</v>
      </c>
      <c r="H40" s="318"/>
      <c r="I40" s="2268"/>
      <c r="J40" s="2271"/>
      <c r="K40" s="2274"/>
      <c r="L40" s="2277"/>
      <c r="N40" s="443" t="s">
        <v>302</v>
      </c>
      <c r="O40" s="444"/>
      <c r="P40" s="444"/>
      <c r="Q40" s="444"/>
      <c r="R40" s="1245">
        <f>samenstelling!T171</f>
        <v>1.0284499727283221</v>
      </c>
      <c r="S40" s="1248"/>
      <c r="T40" s="1242" t="s">
        <v>623</v>
      </c>
    </row>
    <row r="41" spans="1:20" ht="14.25" customHeight="1" thickBot="1" x14ac:dyDescent="0.3">
      <c r="H41" s="318"/>
      <c r="I41" s="2268"/>
      <c r="J41" s="2271"/>
      <c r="K41" s="2274"/>
      <c r="L41" s="2277"/>
      <c r="M41" s="318"/>
      <c r="N41" s="318"/>
      <c r="O41" s="318"/>
      <c r="P41" s="318"/>
      <c r="Q41" s="318"/>
      <c r="R41" s="318"/>
      <c r="S41" s="318"/>
      <c r="T41" s="318"/>
    </row>
    <row r="42" spans="1:20" ht="14.25" customHeight="1" x14ac:dyDescent="0.25">
      <c r="H42" s="318"/>
      <c r="I42" s="2269"/>
      <c r="J42" s="2272"/>
      <c r="K42" s="2275"/>
      <c r="L42" s="2278"/>
      <c r="M42" s="318"/>
      <c r="N42" s="520" t="s">
        <v>776</v>
      </c>
      <c r="O42" s="521"/>
      <c r="P42" s="521"/>
      <c r="Q42" s="521"/>
      <c r="R42" s="521"/>
      <c r="S42" s="521"/>
      <c r="T42" s="522"/>
    </row>
    <row r="43" spans="1:20" ht="14.25" customHeight="1" x14ac:dyDescent="0.2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3">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3">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2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2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3">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2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1.25" x14ac:dyDescent="0.25">
      <c r="A50" s="2251" t="str">
        <f>'VN1'!A53</f>
        <v>801/64/</v>
      </c>
      <c r="B50" s="2251"/>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75" thickBot="1" x14ac:dyDescent="0.3">
      <c r="A51" s="317" t="s">
        <v>14</v>
      </c>
    </row>
    <row r="52" spans="1:20" x14ac:dyDescent="0.2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2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25">
      <c r="A54" s="324"/>
      <c r="B54" s="318" t="s">
        <v>661</v>
      </c>
      <c r="C54" s="318"/>
      <c r="D54" s="318"/>
      <c r="E54" s="318"/>
      <c r="F54" s="2259">
        <f>IF(algemeen!E$62="J",algemeen!E23,"")</f>
        <v>1000</v>
      </c>
      <c r="G54" s="2259"/>
      <c r="H54" s="2259"/>
      <c r="I54" s="2259"/>
      <c r="J54" s="2259"/>
      <c r="K54" s="2259">
        <f>IF(algemeen!F$62="J",algemeen!H23,"")</f>
        <v>2000</v>
      </c>
      <c r="L54" s="2259"/>
      <c r="M54" s="2259"/>
      <c r="N54" s="2259"/>
      <c r="O54" s="2259"/>
      <c r="P54" s="2259">
        <f>IF(algemeen!G$62="J",algemeen!K23,"")</f>
        <v>3000</v>
      </c>
      <c r="Q54" s="2259"/>
      <c r="R54" s="2259"/>
      <c r="S54" s="2259"/>
      <c r="T54" s="2260"/>
    </row>
    <row r="55" spans="1:20" x14ac:dyDescent="0.2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2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2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25">
      <c r="A58" s="324" t="s">
        <v>655</v>
      </c>
      <c r="B58" s="318"/>
      <c r="C58" s="318"/>
      <c r="D58" s="318"/>
      <c r="E58" s="318"/>
      <c r="F58" s="2261">
        <f>IF(algemeen!E$62="J",algemeen!E28,"")</f>
        <v>801</v>
      </c>
      <c r="G58" s="2261"/>
      <c r="H58" s="2261"/>
      <c r="I58" s="2261"/>
      <c r="J58" s="2261"/>
      <c r="K58" s="2261">
        <f>IF(algemeen!F$62="J",algemeen!H28,"")</f>
        <v>802</v>
      </c>
      <c r="L58" s="2261"/>
      <c r="M58" s="2261"/>
      <c r="N58" s="2261"/>
      <c r="O58" s="2261"/>
      <c r="P58" s="2261">
        <f>IF(algemeen!G$62="J",algemeen!K28,"")</f>
        <v>8031</v>
      </c>
      <c r="Q58" s="2261"/>
      <c r="R58" s="2261"/>
      <c r="S58" s="2261"/>
      <c r="T58" s="2262"/>
    </row>
    <row r="59" spans="1:20" x14ac:dyDescent="0.2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2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2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75" thickBot="1" x14ac:dyDescent="0.3">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25"/>
    <row r="64" spans="1:20" ht="15.75" thickBot="1" x14ac:dyDescent="0.3">
      <c r="A64" s="317" t="s">
        <v>672</v>
      </c>
    </row>
    <row r="65" spans="1:20" x14ac:dyDescent="0.2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2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2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2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2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2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2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2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2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2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75" thickBot="1" x14ac:dyDescent="0.3">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25">
      <c r="A76" s="318"/>
      <c r="B76" s="318"/>
      <c r="C76" s="318"/>
      <c r="D76" s="318"/>
      <c r="E76" s="318"/>
      <c r="F76" s="318"/>
      <c r="G76" s="318"/>
      <c r="H76" s="318"/>
      <c r="I76" s="318"/>
      <c r="J76" s="318"/>
      <c r="K76" s="318"/>
      <c r="L76" s="318"/>
      <c r="M76" s="318"/>
      <c r="N76" s="318"/>
      <c r="O76" s="318"/>
      <c r="P76" s="318"/>
      <c r="Q76" s="318"/>
      <c r="R76" s="318"/>
      <c r="S76" s="318"/>
      <c r="T76" s="318"/>
    </row>
    <row r="77" spans="1:20" ht="15.75" thickBot="1" x14ac:dyDescent="0.3">
      <c r="A77" s="317" t="s">
        <v>107</v>
      </c>
      <c r="B77" s="318"/>
      <c r="C77" s="318"/>
      <c r="D77" s="318"/>
      <c r="E77" s="318"/>
      <c r="F77" s="318"/>
      <c r="G77" s="318"/>
      <c r="H77" s="318"/>
      <c r="I77" s="318"/>
      <c r="J77" s="318"/>
      <c r="K77" s="318"/>
      <c r="L77" s="318"/>
      <c r="M77" s="318"/>
      <c r="N77" s="318"/>
      <c r="O77" s="318"/>
      <c r="P77" s="318"/>
      <c r="Q77" s="318"/>
      <c r="R77" s="318"/>
      <c r="S77" s="318"/>
      <c r="T77" s="318"/>
    </row>
    <row r="78" spans="1:20" ht="15.75" thickBot="1" x14ac:dyDescent="0.3">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25">
      <c r="A79" s="318"/>
      <c r="B79" s="318"/>
      <c r="C79" s="318"/>
      <c r="D79" s="318"/>
      <c r="E79" s="318"/>
      <c r="F79" s="318"/>
      <c r="G79" s="318"/>
      <c r="H79" s="318"/>
      <c r="I79" s="318"/>
      <c r="J79" s="318"/>
      <c r="K79" s="318"/>
      <c r="L79" s="318"/>
      <c r="M79" s="318"/>
      <c r="N79" s="318"/>
      <c r="O79" s="318"/>
      <c r="P79" s="318"/>
      <c r="Q79" s="318"/>
      <c r="R79" s="318"/>
      <c r="S79" s="318"/>
      <c r="T79" s="318"/>
    </row>
    <row r="80" spans="1:20" ht="15.75" thickBot="1" x14ac:dyDescent="0.3">
      <c r="A80" s="317" t="s">
        <v>747</v>
      </c>
    </row>
    <row r="81" spans="1:20" x14ac:dyDescent="0.25">
      <c r="A81" s="319" t="s">
        <v>664</v>
      </c>
      <c r="B81" s="320"/>
      <c r="C81" s="320"/>
      <c r="D81" s="320"/>
      <c r="E81" s="320"/>
      <c r="F81" s="320"/>
      <c r="G81" s="320"/>
      <c r="H81" s="320"/>
      <c r="I81" s="320"/>
      <c r="J81" s="320"/>
      <c r="K81" s="2279">
        <f>algemeen!G78</f>
        <v>40409</v>
      </c>
      <c r="L81" s="2279"/>
      <c r="M81" s="2279"/>
      <c r="N81" s="350"/>
      <c r="O81" s="350"/>
      <c r="P81" s="320"/>
      <c r="Q81" s="320"/>
      <c r="R81" s="320"/>
      <c r="S81" s="320"/>
      <c r="T81" s="342"/>
    </row>
    <row r="82" spans="1:20" x14ac:dyDescent="0.2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25">
      <c r="A83" s="332"/>
      <c r="B83" s="333" t="str">
        <f>IF(algemeen!J68="","","Datum volledige voorstudie:")</f>
        <v>Datum volledige voorstudie:</v>
      </c>
      <c r="C83" s="333"/>
      <c r="D83" s="333"/>
      <c r="E83" s="333"/>
      <c r="F83" s="333"/>
      <c r="G83" s="333"/>
      <c r="H83" s="333"/>
      <c r="I83" s="333"/>
      <c r="J83" s="333"/>
      <c r="K83" s="2280">
        <f>IF(K82="","",algemeen!G79)</f>
        <v>39563</v>
      </c>
      <c r="L83" s="2280"/>
      <c r="M83" s="2280"/>
      <c r="N83" s="333"/>
      <c r="O83" s="333"/>
      <c r="P83" s="333"/>
      <c r="Q83" s="333"/>
      <c r="R83" s="333"/>
      <c r="S83" s="333"/>
      <c r="T83" s="346"/>
    </row>
    <row r="84" spans="1:20" x14ac:dyDescent="0.2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2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2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2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2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75" thickBot="1" x14ac:dyDescent="0.3">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75" thickBot="1" x14ac:dyDescent="0.3">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2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2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2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2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75" thickBot="1" x14ac:dyDescent="0.3">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25">
      <c r="A97" s="318"/>
      <c r="B97" s="318"/>
      <c r="C97" s="318"/>
      <c r="D97" s="318"/>
      <c r="E97" s="318"/>
      <c r="F97" s="318"/>
      <c r="G97" s="318"/>
      <c r="H97" s="318"/>
      <c r="I97" s="318"/>
      <c r="J97" s="318"/>
      <c r="K97" s="318"/>
      <c r="L97" s="318"/>
      <c r="M97" s="318"/>
      <c r="N97" s="318"/>
      <c r="O97" s="318"/>
      <c r="P97" s="318"/>
      <c r="Q97" s="318"/>
      <c r="R97" s="318"/>
      <c r="S97" s="318"/>
      <c r="T97" s="318"/>
    </row>
    <row r="98" spans="1:20" ht="15.75" thickBot="1" x14ac:dyDescent="0.3">
      <c r="A98" s="317" t="s">
        <v>669</v>
      </c>
    </row>
    <row r="99" spans="1:20" x14ac:dyDescent="0.2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2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75" thickBot="1" x14ac:dyDescent="0.3">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2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1.25" x14ac:dyDescent="0.25">
      <c r="A103" s="2251" t="str">
        <f>'VN1'!A53</f>
        <v>801/64/</v>
      </c>
      <c r="B103" s="2251"/>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K81:M81"/>
    <mergeCell ref="K83:M83"/>
    <mergeCell ref="A103:B103"/>
    <mergeCell ref="A50:B50"/>
    <mergeCell ref="F54:J54"/>
    <mergeCell ref="K54:O54"/>
    <mergeCell ref="P54:T54"/>
    <mergeCell ref="F58:J58"/>
    <mergeCell ref="K58:O58"/>
    <mergeCell ref="P58:T58"/>
    <mergeCell ref="C29:C30"/>
    <mergeCell ref="D29:D30"/>
    <mergeCell ref="I37:I42"/>
    <mergeCell ref="J37:J42"/>
    <mergeCell ref="K37:K42"/>
    <mergeCell ref="L37:L42"/>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5" x14ac:dyDescent="0.25"/>
  <cols>
    <col min="1" max="26" width="4.7109375" customWidth="1"/>
  </cols>
  <sheetData>
    <row r="1" spans="1:20" x14ac:dyDescent="0.25">
      <c r="A1" s="541" t="s">
        <v>1453</v>
      </c>
      <c r="B1" s="542"/>
      <c r="C1" s="542"/>
      <c r="D1" s="542"/>
      <c r="E1" s="542"/>
      <c r="F1" s="542"/>
      <c r="G1" s="542"/>
      <c r="H1" s="542"/>
      <c r="I1" s="542"/>
      <c r="J1" s="542"/>
      <c r="K1" s="542"/>
      <c r="L1" s="542"/>
      <c r="M1" s="542"/>
      <c r="N1" s="542"/>
      <c r="O1" s="542"/>
      <c r="P1" s="542"/>
      <c r="Q1" s="542"/>
      <c r="R1" s="542"/>
      <c r="S1" s="542"/>
      <c r="T1" s="543"/>
    </row>
    <row r="2" spans="1:20" s="208" customFormat="1" ht="12.75" x14ac:dyDescent="0.25"/>
    <row r="3" spans="1:20" s="208" customFormat="1" ht="12.75" x14ac:dyDescent="0.25"/>
    <row r="4" spans="1:20" s="208" customFormat="1" ht="12.75" x14ac:dyDescent="0.25">
      <c r="A4" s="208" t="s">
        <v>779</v>
      </c>
      <c r="L4" s="208" t="str">
        <f>studie!E4</f>
        <v>laboratoriumvalidatie</v>
      </c>
    </row>
    <row r="5" spans="1:20" s="208" customFormat="1" ht="12.75" x14ac:dyDescent="0.25">
      <c r="A5" s="208" t="str">
        <f>studie!B11</f>
        <v>Mengtemperatuur:</v>
      </c>
      <c r="L5" s="208" t="str">
        <f>studie!J11&amp;" °C"</f>
        <v>165 °C</v>
      </c>
    </row>
    <row r="6" spans="1:20" s="208" customFormat="1" ht="12.75" x14ac:dyDescent="0.25"/>
    <row r="7" spans="1:20" s="208" customFormat="1" ht="12.75" x14ac:dyDescent="0.25"/>
    <row r="8" spans="1:20" s="208" customFormat="1" ht="12.75" x14ac:dyDescent="0.25">
      <c r="A8" s="208" t="str">
        <f>studie!B7</f>
        <v>Toegepaste norm voor de bepaling van het bindmiddelgehalte:</v>
      </c>
      <c r="L8" s="208" t="str">
        <f>studie!I7</f>
        <v>EN 12697-1</v>
      </c>
    </row>
    <row r="9" spans="1:20" s="208" customFormat="1" ht="12.75" x14ac:dyDescent="0.25">
      <c r="A9" s="208" t="str">
        <f>studie!B8</f>
        <v>Extractiemethode volgens EN 12697-1 Annex B.2:</v>
      </c>
      <c r="L9" s="208" t="str">
        <f>studie!J8</f>
        <v>B.2.1</v>
      </c>
    </row>
    <row r="10" spans="1:20" s="208" customFormat="1" ht="12.75" x14ac:dyDescent="0.25">
      <c r="A10" s="208" t="str">
        <f>studie!B9</f>
        <v>Gebruikt oplosmiddel:</v>
      </c>
      <c r="L10" s="208" t="str">
        <f>studie!H9</f>
        <v>dichloormethaan</v>
      </c>
    </row>
    <row r="11" spans="1:20" s="208" customFormat="1" ht="14.45" customHeight="1" thickBot="1" x14ac:dyDescent="0.3"/>
    <row r="12" spans="1:20" s="208" customFormat="1" ht="14.65" customHeight="1" x14ac:dyDescent="0.25">
      <c r="A12" s="548"/>
      <c r="B12" s="549"/>
      <c r="C12" s="549"/>
      <c r="D12" s="549"/>
      <c r="E12" s="2281" t="s">
        <v>875</v>
      </c>
      <c r="F12" s="2282"/>
      <c r="G12" s="2282"/>
      <c r="H12" s="2282"/>
      <c r="I12" s="2283"/>
      <c r="L12" s="1446" t="str">
        <f>IF(studie!E3="J","","PROEF NIET UITGEVOERD !")</f>
        <v/>
      </c>
    </row>
    <row r="13" spans="1:20" s="208" customFormat="1" ht="14.65" customHeight="1" x14ac:dyDescent="0.25">
      <c r="A13" s="551"/>
      <c r="B13" s="552"/>
      <c r="C13" s="552"/>
      <c r="D13" s="552"/>
      <c r="E13" s="2284" t="s">
        <v>185</v>
      </c>
      <c r="F13" s="2285"/>
      <c r="G13" s="2285"/>
      <c r="H13" s="2285"/>
      <c r="I13" s="2286"/>
    </row>
    <row r="14" spans="1:20" s="208" customFormat="1" ht="14.65" customHeight="1" x14ac:dyDescent="0.25">
      <c r="A14" s="582" t="s">
        <v>350</v>
      </c>
      <c r="B14" s="264"/>
      <c r="C14" s="264"/>
      <c r="D14" s="264"/>
      <c r="E14" s="2287">
        <f>IF(studie!U17="","",studie!U17)</f>
        <v>4.05</v>
      </c>
      <c r="F14" s="2288"/>
      <c r="G14" s="2288"/>
      <c r="H14" s="2288"/>
      <c r="I14" s="2289"/>
    </row>
    <row r="15" spans="1:20" s="208" customFormat="1" ht="14.65" customHeight="1" x14ac:dyDescent="0.25">
      <c r="A15" s="251" t="s">
        <v>351</v>
      </c>
      <c r="B15" s="252"/>
      <c r="C15" s="252"/>
      <c r="D15" s="252"/>
      <c r="E15" s="2290">
        <f>IF(studie!U18="","",studie!U18)</f>
        <v>3.805679</v>
      </c>
      <c r="F15" s="2220"/>
      <c r="G15" s="2220"/>
      <c r="H15" s="2220"/>
      <c r="I15" s="2291"/>
    </row>
    <row r="16" spans="1:20" s="208" customFormat="1" ht="14.65" customHeight="1" thickBot="1" x14ac:dyDescent="0.3">
      <c r="A16" s="547" t="s">
        <v>352</v>
      </c>
      <c r="B16" s="262"/>
      <c r="C16" s="262"/>
      <c r="D16" s="262"/>
      <c r="E16" s="2292">
        <f>IF(studie!U19="","",studie!U19)</f>
        <v>0.24432099999999979</v>
      </c>
      <c r="F16" s="2253"/>
      <c r="G16" s="2253"/>
      <c r="H16" s="2253"/>
      <c r="I16" s="2293"/>
    </row>
    <row r="17" spans="1:20" s="208" customFormat="1" ht="12.75" x14ac:dyDescent="0.25"/>
    <row r="18" spans="1:20" s="208" customFormat="1" ht="12.75" x14ac:dyDescent="0.25"/>
    <row r="19" spans="1:20" s="208" customFormat="1" ht="12.75" x14ac:dyDescent="0.25">
      <c r="A19" s="208" t="str">
        <f>studie!B10</f>
        <v>Toegepaste norm voor de bepaling van de korrelverdeling:</v>
      </c>
      <c r="L19" s="208" t="str">
        <f>studie!I10</f>
        <v>EN 12697-2</v>
      </c>
    </row>
    <row r="20" spans="1:20" s="208" customFormat="1" ht="13.5" thickBot="1" x14ac:dyDescent="0.3"/>
    <row r="21" spans="1:20" s="208" customFormat="1" ht="12.75" x14ac:dyDescent="0.2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2.75" x14ac:dyDescent="0.2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2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2.75" x14ac:dyDescent="0.2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2.75" x14ac:dyDescent="0.2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3">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2.75" x14ac:dyDescent="0.25"/>
    <row r="28" spans="1:20" s="208" customFormat="1" ht="12.75" x14ac:dyDescent="0.25"/>
    <row r="29" spans="1:20" s="208" customFormat="1" ht="12.75" x14ac:dyDescent="0.25"/>
    <row r="30" spans="1:20" s="208" customFormat="1" ht="12.75" x14ac:dyDescent="0.25"/>
    <row r="31" spans="1:20" s="208" customFormat="1" ht="12.75" x14ac:dyDescent="0.25"/>
    <row r="32" spans="1:20" s="208" customFormat="1" ht="12.75" x14ac:dyDescent="0.25"/>
    <row r="33" s="208" customFormat="1" ht="12.75" x14ac:dyDescent="0.25"/>
    <row r="34" s="208" customFormat="1" ht="12.75" x14ac:dyDescent="0.25"/>
    <row r="35" s="208" customFormat="1" ht="12.75" x14ac:dyDescent="0.25"/>
    <row r="36" s="208" customFormat="1" ht="12.75" x14ac:dyDescent="0.25"/>
    <row r="37" s="208" customFormat="1" ht="12.75" x14ac:dyDescent="0.25"/>
    <row r="38" s="208" customFormat="1" ht="12.75" x14ac:dyDescent="0.25"/>
    <row r="39" s="208" customFormat="1" ht="12.75" x14ac:dyDescent="0.25"/>
    <row r="40" s="208" customFormat="1" ht="12.75" x14ac:dyDescent="0.25"/>
    <row r="41" s="208" customFormat="1" ht="12.75" x14ac:dyDescent="0.25"/>
    <row r="42" s="208" customFormat="1" ht="12.75" x14ac:dyDescent="0.25"/>
    <row r="43" s="208" customFormat="1" ht="12.75" x14ac:dyDescent="0.25"/>
    <row r="44" s="208" customFormat="1" ht="12.75" x14ac:dyDescent="0.25"/>
    <row r="45" s="208" customFormat="1" ht="12.75" x14ac:dyDescent="0.25"/>
    <row r="46" s="208" customFormat="1" ht="12.75" x14ac:dyDescent="0.25"/>
    <row r="47" s="208" customFormat="1" ht="12.75" x14ac:dyDescent="0.25"/>
    <row r="48" s="208" customFormat="1" ht="12.75" x14ac:dyDescent="0.25"/>
    <row r="49" spans="1:20" s="208" customFormat="1" ht="12.75" x14ac:dyDescent="0.25"/>
    <row r="50" spans="1:20" s="208" customFormat="1" ht="12.75" x14ac:dyDescent="0.25"/>
    <row r="51" spans="1:20" s="210" customFormat="1" ht="11.25" x14ac:dyDescent="0.25">
      <c r="A51" s="2251" t="str">
        <f>'VN1'!A53</f>
        <v>801/64/</v>
      </c>
      <c r="B51" s="2251"/>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5" x14ac:dyDescent="0.25"/>
  <cols>
    <col min="1" max="26" width="4.7109375" customWidth="1"/>
  </cols>
  <sheetData>
    <row r="1" spans="1:20" ht="15" customHeight="1" x14ac:dyDescent="0.2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2.75" x14ac:dyDescent="0.25"/>
    <row r="3" spans="1:20" s="208" customFormat="1" ht="12.75" x14ac:dyDescent="0.25">
      <c r="A3" s="208" t="str">
        <f>studie!B133</f>
        <v>Toegepaste norm voor de bepaling van de mengseldichtheid:</v>
      </c>
      <c r="N3" s="208" t="str">
        <f>studie!I133</f>
        <v>EN 12697-5</v>
      </c>
    </row>
    <row r="4" spans="1:20" s="208" customFormat="1" ht="12.75" x14ac:dyDescent="0.25">
      <c r="A4" s="208" t="str">
        <f>studie!B134</f>
        <v>Toegepaste methode voor de bepaling van de mengseldichtheid:</v>
      </c>
      <c r="N4" s="208" t="str">
        <f>IF(studie!J134="A","A (volumetrisch)",IF(studie!J134="B","B (hydrostatisch)","C (berekend)"))</f>
        <v>A (volumetrisch)</v>
      </c>
    </row>
    <row r="5" spans="1:20" s="208" customFormat="1" ht="12.75" x14ac:dyDescent="0.25">
      <c r="A5" s="208" t="str">
        <f>IF(studie!J134="A",studie!B135,IF(studie!J134="C",studie!B136,""))</f>
        <v>Vloeistof in pyknometers:</v>
      </c>
      <c r="N5" s="311" t="str">
        <f>IF(studie!J134="A",studie!I135,IF(studie!J134="C",studie!H136,""))</f>
        <v>water</v>
      </c>
    </row>
    <row r="6" spans="1:20" s="208" customFormat="1" ht="12.75" x14ac:dyDescent="0.25">
      <c r="A6" s="208" t="str">
        <f>IF(studie!J134="C",studie!B138,studie!B137)</f>
        <v>Gemiddelde temperatuur van het waterbad:</v>
      </c>
      <c r="N6" s="208" t="str">
        <f>IF(studie!J134="C",studie!J138&amp;" Mg/m³",studie!J137&amp;" °C")</f>
        <v>24 °C</v>
      </c>
    </row>
    <row r="7" spans="1:20" s="208" customFormat="1" ht="12.75" x14ac:dyDescent="0.25">
      <c r="A7" s="208" t="str">
        <f>IF(studie!J134="C",studie!B139,studie!B140)</f>
        <v>Volumemassa water bij 24 °C:</v>
      </c>
      <c r="N7" s="208" t="str">
        <f>IF(studie!J134="C",studie!J139&amp;" Mg/m³",ROUND(studie!J140,4)&amp;" Mg/m³")</f>
        <v>0,9974 Mg/m³</v>
      </c>
    </row>
    <row r="8" spans="1:20" s="208" customFormat="1" ht="13.5" thickBot="1" x14ac:dyDescent="0.3"/>
    <row r="9" spans="1:20" s="208" customFormat="1" ht="14.25" x14ac:dyDescent="0.2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2.75" x14ac:dyDescent="0.2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2.75" x14ac:dyDescent="0.2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2.75" x14ac:dyDescent="0.2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3">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25"/>
    <row r="15" spans="1:20" s="208" customFormat="1" ht="15" customHeight="1" x14ac:dyDescent="0.25"/>
    <row r="16" spans="1:20" s="208" customFormat="1" ht="15" customHeight="1" x14ac:dyDescent="0.25"/>
    <row r="17" spans="1:20" ht="15" customHeight="1" x14ac:dyDescent="0.2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2.75" x14ac:dyDescent="0.25"/>
    <row r="19" spans="1:20" s="208" customFormat="1" ht="12.75" x14ac:dyDescent="0.25">
      <c r="A19" s="208" t="str">
        <f>studie!B31</f>
        <v>Toegepaste norm voor de bepaling van de afmetingen:</v>
      </c>
      <c r="L19" s="208" t="str">
        <f>IF(studie!K228="EN 12697-31","",studie!H31)</f>
        <v/>
      </c>
    </row>
    <row r="20" spans="1:20" s="208" customFormat="1" ht="13.5" thickBot="1" x14ac:dyDescent="0.3"/>
    <row r="21" spans="1:20" s="208" customFormat="1" ht="12.75" x14ac:dyDescent="0.2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2.75" x14ac:dyDescent="0.2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2.75" x14ac:dyDescent="0.2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2.75" x14ac:dyDescent="0.2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2.75" x14ac:dyDescent="0.2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2.75" x14ac:dyDescent="0.2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2.75" x14ac:dyDescent="0.2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2.75" x14ac:dyDescent="0.2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2.75" x14ac:dyDescent="0.2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2.75" x14ac:dyDescent="0.2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2.75" x14ac:dyDescent="0.2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3">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25"/>
    <row r="34" spans="1:20" s="208" customFormat="1" ht="12.75" x14ac:dyDescent="0.25">
      <c r="A34" s="208" t="str">
        <f>studie!B160</f>
        <v>Toegepaste norm voor de bepaling van de bulkdichtheid:</v>
      </c>
      <c r="P34" s="311" t="str">
        <f>IF(studie!K228="EN 12697-31","",studie!K160)</f>
        <v/>
      </c>
    </row>
    <row r="35" spans="1:20" s="208" customFormat="1" ht="12.75" x14ac:dyDescent="0.25">
      <c r="A35" s="208" t="str">
        <f>IF(studie!L227="","",studie!B227)</f>
        <v>Toegepaste methode voor de bepaling van de bulkdichtheid:</v>
      </c>
      <c r="P35" s="311" t="str">
        <f>IF(studie!K228="EN 12697-31","",IF(studie!L227="","",studie!L227))</f>
        <v/>
      </c>
    </row>
    <row r="36" spans="1:20" s="208" customFormat="1" ht="13.5" thickBot="1" x14ac:dyDescent="0.3"/>
    <row r="37" spans="1:20" s="208" customFormat="1" ht="14.25" x14ac:dyDescent="0.2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2.75" x14ac:dyDescent="0.2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2.75" x14ac:dyDescent="0.2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2.75" x14ac:dyDescent="0.2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2.75" x14ac:dyDescent="0.2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2.75" x14ac:dyDescent="0.2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2.75" x14ac:dyDescent="0.2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2.75" x14ac:dyDescent="0.2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2.75" x14ac:dyDescent="0.2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2.75" x14ac:dyDescent="0.2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2.75" x14ac:dyDescent="0.2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2.75" x14ac:dyDescent="0.2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2.75" x14ac:dyDescent="0.2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3">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2.75" x14ac:dyDescent="0.25">
      <c r="A51" s="852"/>
      <c r="B51" s="852"/>
      <c r="C51" s="852"/>
      <c r="D51" s="852"/>
      <c r="E51" s="994"/>
      <c r="F51" s="994"/>
      <c r="G51" s="994"/>
      <c r="H51" s="994"/>
      <c r="I51" s="852"/>
      <c r="J51" s="852"/>
      <c r="K51" s="852"/>
      <c r="L51" s="995"/>
      <c r="M51" s="995"/>
    </row>
    <row r="52" spans="1:20" s="208" customFormat="1" ht="12.75" customHeight="1" x14ac:dyDescent="0.25"/>
    <row r="53" spans="1:20" s="210" customFormat="1" ht="11.25" x14ac:dyDescent="0.25">
      <c r="A53" s="2251" t="str">
        <f>'VN1'!$A$53</f>
        <v>801/64/</v>
      </c>
      <c r="B53" s="2251"/>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0999999999999996" customHeight="1" x14ac:dyDescent="0.25"/>
    <row r="55" spans="1:20" x14ac:dyDescent="0.2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2.75" x14ac:dyDescent="0.25"/>
    <row r="57" spans="1:20" s="208" customFormat="1" ht="12.75" x14ac:dyDescent="0.25">
      <c r="A57" s="208" t="s">
        <v>779</v>
      </c>
      <c r="P57" s="208" t="str">
        <f>studie!E223</f>
        <v>laboratoriumvalidatie</v>
      </c>
    </row>
    <row r="58" spans="1:20" s="208" customFormat="1" ht="12.75" x14ac:dyDescent="0.25">
      <c r="A58" s="208" t="str">
        <f>studie!B226</f>
        <v>Toegepaste methode voor de verdichting van de proefstukken (volgens EN 13108-20):</v>
      </c>
      <c r="P58" s="208" t="str">
        <f>studie!L226</f>
        <v>C.1.7</v>
      </c>
    </row>
    <row r="59" spans="1:20" s="208" customFormat="1" ht="12.75" x14ac:dyDescent="0.25">
      <c r="A59" s="208" t="str">
        <f>studie!B228</f>
        <v>Toegepaste norm voor de bepaling van de holle ruimte:</v>
      </c>
      <c r="P59" s="208" t="str">
        <f>studie!K228</f>
        <v>EN 12697-31</v>
      </c>
    </row>
    <row r="60" spans="1:20" s="208" customFormat="1" ht="12.75" x14ac:dyDescent="0.25">
      <c r="A60" s="208" t="str">
        <f>IF(berekeningen!$G$108="N","",studie!$B$229)</f>
        <v>Gyrator:</v>
      </c>
      <c r="E60" s="208" t="str">
        <f>IF(berekeningen!$G$108="N","",studie!$E229)</f>
        <v>type:</v>
      </c>
      <c r="J60" s="2294" t="str">
        <f>IF(berekeningen!G$108="N","",studie!J229)</f>
        <v>Controls</v>
      </c>
      <c r="K60" s="2294"/>
      <c r="L60" s="2294"/>
      <c r="M60" s="2294"/>
    </row>
    <row r="61" spans="1:20" s="208" customFormat="1" ht="12.75" x14ac:dyDescent="0.25">
      <c r="E61" s="208" t="str">
        <f>IF(berekeningen!$G$108="N","",studie!$E230)</f>
        <v>kalibratiemethode:</v>
      </c>
      <c r="J61" s="2294" t="str">
        <f>IF(berekeningen!G$108="N","",studie!J230)</f>
        <v>B</v>
      </c>
      <c r="K61" s="2294"/>
      <c r="L61" s="2294"/>
      <c r="M61" s="2294"/>
    </row>
    <row r="62" spans="1:20" s="208" customFormat="1" ht="12.75" x14ac:dyDescent="0.25">
      <c r="A62" s="208" t="str">
        <f>IF(berekeningen!$G$108="N","",studie!$B$231)</f>
        <v>Proefcondities:</v>
      </c>
      <c r="E62" s="208" t="str">
        <f>IF(berekeningen!$G$108="N","",studie!$E231)</f>
        <v>aantal gyraties:</v>
      </c>
      <c r="J62" s="311">
        <f>IF(berekeningen!G$108="N","",studie!J231)</f>
        <v>60</v>
      </c>
      <c r="K62" s="311"/>
      <c r="L62" s="311"/>
      <c r="M62" s="311"/>
    </row>
    <row r="63" spans="1:20" s="208" customFormat="1" ht="12.75" x14ac:dyDescent="0.25">
      <c r="E63" s="208" t="str">
        <f>IF(berekeningen!$G$108="N","",studie!$E232)</f>
        <v>draaisnelheid:</v>
      </c>
      <c r="J63" s="311" t="str">
        <f>IF(berekeningen!G$108="N","",studie!J232&amp;" tpm")</f>
        <v>30 tpm</v>
      </c>
      <c r="K63" s="311"/>
      <c r="L63" s="311"/>
      <c r="M63" s="311"/>
    </row>
    <row r="64" spans="1:20" s="208" customFormat="1" ht="12.75" x14ac:dyDescent="0.25">
      <c r="E64" s="208" t="str">
        <f>IF(berekeningen!$G$108="N","",studie!$E233)</f>
        <v>proeftemperatuur:</v>
      </c>
      <c r="J64" s="311" t="str">
        <f>IF(berekeningen!G$108="N","",studie!J233&amp;" °C")</f>
        <v>180 °C</v>
      </c>
      <c r="K64" s="311"/>
      <c r="L64" s="311"/>
      <c r="M64" s="311"/>
    </row>
    <row r="65" spans="1:15" s="208" customFormat="1" ht="12.75" x14ac:dyDescent="0.25">
      <c r="E65" s="208" t="str">
        <f>IF(berekeningen!$G$108="N","",studie!$E234)</f>
        <v>hoek:</v>
      </c>
      <c r="J65" s="311" t="str">
        <f>IF(berekeningen!G$108="N","",studie!J234&amp;" °")</f>
        <v>0,82 °</v>
      </c>
      <c r="K65" s="311"/>
      <c r="L65" s="311"/>
      <c r="M65" s="311"/>
    </row>
    <row r="66" spans="1:15" s="208" customFormat="1" ht="12.75" x14ac:dyDescent="0.25">
      <c r="E66" s="208" t="str">
        <f>IF(berekeningen!$G$108="N","",studie!$E235)</f>
        <v>drukspanning:</v>
      </c>
      <c r="J66" s="311" t="str">
        <f>IF(berekeningen!G$108="N","",studie!J235&amp;" kPa")</f>
        <v>600 kPa</v>
      </c>
      <c r="K66" s="311"/>
      <c r="L66" s="311"/>
      <c r="M66" s="311"/>
    </row>
    <row r="67" spans="1:15" s="208" customFormat="1" ht="13.5" thickBot="1" x14ac:dyDescent="0.3"/>
    <row r="68" spans="1:15" s="208" customFormat="1" ht="15.75" x14ac:dyDescent="0.2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2.75" x14ac:dyDescent="0.2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2.75" x14ac:dyDescent="0.2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2.75" x14ac:dyDescent="0.2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2.75" x14ac:dyDescent="0.2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2.75" x14ac:dyDescent="0.2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2.75" x14ac:dyDescent="0.2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2.75" x14ac:dyDescent="0.2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2.75" x14ac:dyDescent="0.2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2.75" x14ac:dyDescent="0.2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2.75" x14ac:dyDescent="0.2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2.75" x14ac:dyDescent="0.2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2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3">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25"/>
    <row r="83" spans="1:15" ht="12.75" customHeight="1" x14ac:dyDescent="0.25">
      <c r="B83" s="1445" t="str">
        <f>IF(studie!E222="J","","KENMERK NIET BEPAALD !")</f>
        <v/>
      </c>
    </row>
    <row r="84" spans="1:15" ht="12.75" customHeight="1" x14ac:dyDescent="0.25"/>
    <row r="85" spans="1:15" ht="12.75" customHeight="1" x14ac:dyDescent="0.25"/>
    <row r="86" spans="1:15" ht="12.75" customHeight="1" x14ac:dyDescent="0.25"/>
    <row r="87" spans="1:15" ht="12.75" customHeight="1" x14ac:dyDescent="0.25"/>
    <row r="88" spans="1:15" ht="12.75" customHeight="1" x14ac:dyDescent="0.25"/>
    <row r="89" spans="1:15" ht="12.75" customHeight="1" x14ac:dyDescent="0.25"/>
    <row r="90" spans="1:15" ht="12.75" customHeight="1" x14ac:dyDescent="0.25"/>
    <row r="91" spans="1:15" ht="12.75" customHeight="1" x14ac:dyDescent="0.25"/>
    <row r="92" spans="1:15" ht="12.75" customHeight="1" x14ac:dyDescent="0.25"/>
    <row r="93" spans="1:15" ht="12.75" customHeight="1" x14ac:dyDescent="0.25"/>
    <row r="94" spans="1:15" ht="12.75" customHeight="1" x14ac:dyDescent="0.25"/>
    <row r="95" spans="1:15" ht="12.75" customHeight="1" x14ac:dyDescent="0.25"/>
    <row r="96" spans="1:15" ht="12.75" customHeight="1" x14ac:dyDescent="0.25"/>
    <row r="97" spans="1:20" ht="12.75" customHeight="1" x14ac:dyDescent="0.25"/>
    <row r="98" spans="1:20" ht="12.75" customHeight="1" x14ac:dyDescent="0.25"/>
    <row r="99" spans="1:20" ht="12.75" customHeight="1" x14ac:dyDescent="0.25"/>
    <row r="100" spans="1:20" ht="12.75" customHeight="1" x14ac:dyDescent="0.25"/>
    <row r="101" spans="1:20" ht="12.75" customHeight="1" x14ac:dyDescent="0.25"/>
    <row r="102" spans="1:20" ht="12.75" customHeight="1" x14ac:dyDescent="0.25"/>
    <row r="103" spans="1:20" ht="12.75" customHeight="1" x14ac:dyDescent="0.25"/>
    <row r="104" spans="1:20" ht="12.75" customHeight="1" x14ac:dyDescent="0.25"/>
    <row r="105" spans="1:20" ht="12.75" customHeight="1" x14ac:dyDescent="0.25"/>
    <row r="106" spans="1:20" ht="12.75" customHeight="1" x14ac:dyDescent="0.25"/>
    <row r="107" spans="1:20" ht="12.75" customHeight="1" x14ac:dyDescent="0.25"/>
    <row r="108" spans="1:20" ht="12.75" customHeight="1" x14ac:dyDescent="0.25"/>
    <row r="109" spans="1:20" ht="12.75" customHeight="1" x14ac:dyDescent="0.25"/>
    <row r="110" spans="1:20" s="210" customFormat="1" ht="11.25" x14ac:dyDescent="0.25">
      <c r="A110" s="2251" t="str">
        <f>'VN1'!$A$53</f>
        <v>801/64/</v>
      </c>
      <c r="B110" s="2251"/>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25"/>
    <row r="112" spans="1:20" ht="12.75" customHeight="1" x14ac:dyDescent="0.25"/>
    <row r="113" ht="12.75" customHeight="1" x14ac:dyDescent="0.25"/>
    <row r="114" ht="12.75" customHeight="1" x14ac:dyDescent="0.25"/>
    <row r="115" ht="12.75" customHeight="1" x14ac:dyDescent="0.2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5" x14ac:dyDescent="0.25"/>
  <cols>
    <col min="1" max="19" width="4.7109375" customWidth="1"/>
    <col min="20" max="20" width="5.42578125" customWidth="1"/>
    <col min="21" max="21" width="4.7109375" customWidth="1"/>
    <col min="22" max="22" width="8.7109375" customWidth="1"/>
    <col min="23" max="26" width="4.7109375" customWidth="1"/>
  </cols>
  <sheetData>
    <row r="1" spans="1:20" ht="15" customHeight="1" x14ac:dyDescent="0.2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25"/>
    <row r="3" spans="1:20" s="208" customFormat="1" ht="12.75" customHeight="1" x14ac:dyDescent="0.25">
      <c r="A3" s="208" t="s">
        <v>779</v>
      </c>
      <c r="P3" s="208" t="str">
        <f>studie!E276</f>
        <v>laboratoriumvalidatie</v>
      </c>
    </row>
    <row r="4" spans="1:20" s="208" customFormat="1" ht="12.75" customHeight="1" x14ac:dyDescent="0.25">
      <c r="A4" s="208" t="str">
        <f>studie!B279</f>
        <v>Toegepaste methode voor de verdichting van de proefstukken (volgens EN 13108-20):</v>
      </c>
      <c r="P4" s="311" t="str">
        <f>studie!L279</f>
        <v>C.1.5</v>
      </c>
    </row>
    <row r="5" spans="1:20" s="208" customFormat="1" ht="12.75" customHeight="1" x14ac:dyDescent="0.25">
      <c r="A5" s="208" t="s">
        <v>442</v>
      </c>
      <c r="P5" s="208" t="str">
        <f>studie!H31</f>
        <v>EN 12697-29</v>
      </c>
    </row>
    <row r="6" spans="1:20" s="208" customFormat="1" ht="12.75" customHeight="1" x14ac:dyDescent="0.25"/>
    <row r="7" spans="1:20" s="208" customFormat="1" ht="12.75" customHeight="1" x14ac:dyDescent="0.25"/>
    <row r="8" spans="1:20" s="208" customFormat="1" ht="12.75" customHeight="1" x14ac:dyDescent="0.25"/>
    <row r="9" spans="1:20" s="208" customFormat="1" ht="12.75" customHeight="1" x14ac:dyDescent="0.25"/>
    <row r="10" spans="1:20" s="208" customFormat="1" ht="12.75" customHeight="1" x14ac:dyDescent="0.25"/>
    <row r="11" spans="1:20" s="208" customFormat="1" ht="12.75" customHeight="1" thickBot="1" x14ac:dyDescent="0.3">
      <c r="A11" s="779" t="s">
        <v>449</v>
      </c>
    </row>
    <row r="12" spans="1:20" s="208" customFormat="1" ht="12.75" customHeight="1" x14ac:dyDescent="0.2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2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2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2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2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2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2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2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2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2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2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2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2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2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2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2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2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3">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25"/>
    <row r="31" spans="1:20" s="208" customFormat="1" ht="12.75" customHeight="1" x14ac:dyDescent="0.25"/>
    <row r="32" spans="1:20" s="208" customFormat="1" ht="12.75" customHeight="1" x14ac:dyDescent="0.25"/>
    <row r="33" spans="1:20" s="208" customFormat="1" ht="12.75" customHeight="1" x14ac:dyDescent="0.25"/>
    <row r="34" spans="1:20" s="208" customFormat="1" ht="12.75" customHeight="1" x14ac:dyDescent="0.25"/>
    <row r="35" spans="1:20" s="208" customFormat="1" ht="12.75" customHeight="1" x14ac:dyDescent="0.25"/>
    <row r="36" spans="1:20" s="208" customFormat="1" ht="12.75" customHeight="1" thickBot="1" x14ac:dyDescent="0.3">
      <c r="A36" s="779" t="s">
        <v>1150</v>
      </c>
    </row>
    <row r="37" spans="1:20" s="208" customFormat="1" ht="12.75" customHeight="1" x14ac:dyDescent="0.2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2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2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2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2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2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2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2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2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2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2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2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2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2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2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2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2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3">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25"/>
    <row r="56" spans="1:20" s="208" customFormat="1" ht="12.75" customHeight="1" x14ac:dyDescent="0.25"/>
    <row r="57" spans="1:20" s="208" customFormat="1" ht="12.75" customHeight="1" x14ac:dyDescent="0.25"/>
    <row r="58" spans="1:20" s="208" customFormat="1" ht="12.75" customHeight="1" x14ac:dyDescent="0.25"/>
    <row r="59" spans="1:20" s="208" customFormat="1" ht="12.75" customHeight="1" x14ac:dyDescent="0.25"/>
    <row r="60" spans="1:20" s="208" customFormat="1" ht="12.75" customHeight="1" x14ac:dyDescent="0.25"/>
    <row r="61" spans="1:20" s="208" customFormat="1" ht="12.75" customHeight="1" x14ac:dyDescent="0.25"/>
    <row r="62" spans="1:20" s="210" customFormat="1" ht="11.25" x14ac:dyDescent="0.25">
      <c r="A62" s="2251" t="str">
        <f>'VN1'!$A$53</f>
        <v>801/64/</v>
      </c>
      <c r="B62" s="2251"/>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1.25" x14ac:dyDescent="0.25">
      <c r="A63" s="1732"/>
      <c r="B63" s="1732"/>
      <c r="C63" s="1348"/>
      <c r="D63" s="1348"/>
      <c r="I63" s="1732"/>
      <c r="J63" s="1348"/>
    </row>
    <row r="64" spans="1:20" s="208" customFormat="1" ht="12.75" customHeight="1" thickBot="1" x14ac:dyDescent="0.3">
      <c r="A64" s="779" t="s">
        <v>1151</v>
      </c>
    </row>
    <row r="65" spans="1:28" s="208" customFormat="1" ht="12.75" customHeight="1" x14ac:dyDescent="0.2">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2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2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2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2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2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2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2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2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2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2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2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2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2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2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2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2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3">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2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3">
      <c r="A84" s="779" t="s">
        <v>1149</v>
      </c>
    </row>
    <row r="85" spans="1:28" s="208" customFormat="1" ht="12.75" customHeight="1" x14ac:dyDescent="0.2">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2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2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2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2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2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2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2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2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2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2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2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2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2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2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2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2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3">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2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25">
      <c r="A104" s="208" t="str">
        <f>studie!$B$160</f>
        <v>Toegepaste norm voor de bepaling van de bulkdichtheid:</v>
      </c>
      <c r="P104" s="311" t="str">
        <f>studie!$K$160</f>
        <v>EN 12697-6</v>
      </c>
    </row>
    <row r="105" spans="1:20" s="208" customFormat="1" ht="12.4" customHeight="1" x14ac:dyDescent="0.25">
      <c r="A105" s="208" t="str">
        <f>IF(studie!L280="","",studie!B280)</f>
        <v>Toegepaste methode voor de bepaling van de bulkdichtheid:</v>
      </c>
      <c r="P105" s="311" t="str">
        <f>IF(studie!L280="","",studie!L280)</f>
        <v>C</v>
      </c>
    </row>
    <row r="106" spans="1:20" s="208" customFormat="1" ht="8.1" customHeight="1" x14ac:dyDescent="0.25"/>
    <row r="107" spans="1:20" s="208" customFormat="1" ht="12.4" customHeight="1" thickBot="1" x14ac:dyDescent="0.3">
      <c r="A107" s="779" t="str">
        <f>A11</f>
        <v>Droge proefstukken</v>
      </c>
    </row>
    <row r="108" spans="1:20" s="208" customFormat="1" ht="12.4" customHeight="1" x14ac:dyDescent="0.2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2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2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2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2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2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2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2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2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2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2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2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2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2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2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2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3">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25"/>
    <row r="126" spans="1:20" s="210" customFormat="1" ht="11.25" x14ac:dyDescent="0.25">
      <c r="A126" s="2251" t="str">
        <f>'VN1'!$A$53</f>
        <v>801/64/</v>
      </c>
      <c r="B126" s="2251"/>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25">
      <c r="A127" s="852"/>
      <c r="B127" s="852"/>
      <c r="C127" s="852"/>
      <c r="D127" s="852"/>
      <c r="E127" s="994"/>
      <c r="F127" s="994"/>
      <c r="G127" s="994"/>
      <c r="H127" s="994"/>
      <c r="I127" s="852"/>
      <c r="J127" s="852"/>
      <c r="K127" s="852"/>
      <c r="L127" s="995"/>
      <c r="M127" s="995"/>
    </row>
    <row r="128" spans="1:20" s="208" customFormat="1" ht="12.75" customHeight="1" x14ac:dyDescent="0.25">
      <c r="A128" s="852"/>
      <c r="B128" s="852"/>
      <c r="C128" s="852"/>
      <c r="D128" s="852"/>
      <c r="E128" s="994"/>
      <c r="F128" s="994"/>
      <c r="G128" s="994"/>
      <c r="H128" s="994"/>
      <c r="I128" s="852"/>
      <c r="J128" s="852"/>
      <c r="K128" s="852"/>
      <c r="L128" s="995"/>
      <c r="M128" s="995"/>
    </row>
    <row r="129" spans="1:20" s="208" customFormat="1" ht="12.75" customHeight="1" x14ac:dyDescent="0.25">
      <c r="A129" s="852"/>
      <c r="B129" s="852"/>
      <c r="C129" s="852"/>
      <c r="D129" s="852"/>
      <c r="E129" s="994"/>
      <c r="F129" s="994"/>
      <c r="G129" s="994"/>
      <c r="H129" s="994"/>
      <c r="I129" s="852"/>
      <c r="J129" s="852"/>
      <c r="K129" s="852"/>
      <c r="L129" s="995"/>
      <c r="M129" s="995"/>
    </row>
    <row r="130" spans="1:20" s="208" customFormat="1" ht="12.4" customHeight="1" thickBot="1" x14ac:dyDescent="0.3">
      <c r="A130" s="779" t="str">
        <f>A36</f>
        <v>Vochtige proefstukken vóór exsiccator</v>
      </c>
    </row>
    <row r="131" spans="1:20" s="208" customFormat="1" ht="12.4" customHeight="1" x14ac:dyDescent="0.2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2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2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2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2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2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2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2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2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2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2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2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2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2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2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2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3">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25">
      <c r="A148" s="852"/>
      <c r="B148" s="852"/>
      <c r="C148" s="852"/>
      <c r="D148" s="852"/>
      <c r="E148" s="994"/>
      <c r="F148" s="994"/>
      <c r="G148" s="994"/>
      <c r="H148" s="994"/>
      <c r="I148" s="852"/>
      <c r="J148" s="852"/>
      <c r="K148" s="852"/>
      <c r="L148" s="995"/>
      <c r="M148" s="995"/>
    </row>
    <row r="149" spans="1:20" s="208" customFormat="1" ht="12.75" customHeight="1" x14ac:dyDescent="0.25">
      <c r="A149" s="852"/>
      <c r="B149" s="852"/>
      <c r="C149" s="852"/>
      <c r="D149" s="852"/>
      <c r="E149" s="994"/>
      <c r="F149" s="994"/>
      <c r="G149" s="994"/>
      <c r="H149" s="994"/>
      <c r="I149" s="852"/>
      <c r="J149" s="852"/>
      <c r="K149" s="852"/>
      <c r="L149" s="995"/>
      <c r="M149" s="995"/>
    </row>
    <row r="150" spans="1:20" s="208" customFormat="1" ht="12.75" customHeight="1" thickBot="1" x14ac:dyDescent="0.3">
      <c r="A150" s="852"/>
      <c r="B150" s="852"/>
      <c r="C150" s="852"/>
      <c r="D150" s="852"/>
      <c r="E150" s="994"/>
      <c r="F150" s="994"/>
      <c r="G150" s="994"/>
      <c r="H150" s="994"/>
      <c r="I150" s="852"/>
      <c r="J150" s="852"/>
      <c r="K150" s="852"/>
      <c r="L150" s="995"/>
      <c r="M150" s="995"/>
    </row>
    <row r="151" spans="1:20" s="208" customFormat="1" ht="12.4" customHeight="1" x14ac:dyDescent="0.2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2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2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2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3">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25">
      <c r="A156" s="852"/>
      <c r="B156" s="852"/>
      <c r="C156" s="852"/>
      <c r="D156" s="852"/>
      <c r="E156" s="994"/>
      <c r="F156" s="994"/>
      <c r="G156" s="994"/>
      <c r="H156" s="994"/>
      <c r="I156" s="852"/>
      <c r="J156" s="852"/>
      <c r="K156" s="852"/>
      <c r="L156" s="995"/>
      <c r="M156" s="995"/>
    </row>
    <row r="157" spans="1:20" s="208" customFormat="1" ht="12.75" customHeight="1" x14ac:dyDescent="0.25">
      <c r="A157" s="852"/>
      <c r="B157" s="852"/>
      <c r="C157" s="852"/>
      <c r="D157" s="852"/>
      <c r="E157" s="994"/>
      <c r="F157" s="994"/>
      <c r="G157" s="994"/>
      <c r="H157" s="994"/>
      <c r="I157" s="852"/>
      <c r="J157" s="852"/>
      <c r="K157" s="852"/>
      <c r="L157" s="995"/>
      <c r="M157" s="995"/>
    </row>
    <row r="158" spans="1:20" s="208" customFormat="1" ht="12.75" customHeight="1" x14ac:dyDescent="0.25">
      <c r="A158" s="852"/>
      <c r="B158" s="852"/>
      <c r="C158" s="852"/>
      <c r="D158" s="852"/>
      <c r="E158" s="994"/>
      <c r="F158" s="994"/>
      <c r="G158" s="994"/>
      <c r="H158" s="994"/>
      <c r="I158" s="852"/>
      <c r="J158" s="852"/>
      <c r="K158" s="852"/>
      <c r="L158" s="995"/>
      <c r="M158" s="995"/>
    </row>
    <row r="159" spans="1:20" s="208" customFormat="1" ht="12.75" customHeight="1" x14ac:dyDescent="0.25">
      <c r="A159" s="852"/>
      <c r="B159" s="852"/>
      <c r="C159" s="852"/>
      <c r="D159" s="852"/>
      <c r="E159" s="994"/>
      <c r="F159" s="994"/>
      <c r="G159" s="994"/>
      <c r="H159" s="994"/>
      <c r="I159" s="852"/>
      <c r="J159" s="852"/>
      <c r="K159" s="852"/>
      <c r="L159" s="995"/>
      <c r="M159" s="995"/>
    </row>
    <row r="160" spans="1:20" s="208" customFormat="1" ht="12.4" customHeight="1" x14ac:dyDescent="0.25">
      <c r="A160" s="208" t="str">
        <f>studie!B281</f>
        <v>Toegepaste norm voor de bepaling van de watergevoeligheid:</v>
      </c>
      <c r="P160" s="311" t="str">
        <f>studie!L281</f>
        <v>EN 12697-12</v>
      </c>
      <c r="S160" s="311" t="str">
        <f>studie!N281</f>
        <v>Methode A</v>
      </c>
    </row>
    <row r="161" spans="1:22" s="208" customFormat="1" ht="12.4" customHeight="1" x14ac:dyDescent="0.25">
      <c r="A161" s="208" t="str">
        <f>studie!B282</f>
        <v>Toegepaste norm voor de bepaling van de splijttreksterkte:</v>
      </c>
      <c r="P161" s="311" t="str">
        <f>studie!L282</f>
        <v>EN 12697-23</v>
      </c>
    </row>
    <row r="162" spans="1:22" s="208" customFormat="1" ht="12.4" customHeight="1" x14ac:dyDescent="0.25">
      <c r="A162" s="208" t="s">
        <v>1360</v>
      </c>
      <c r="P162" s="311" t="str">
        <f>studie!L283&amp;" h bij "&amp;studie!L284&amp;" °C"</f>
        <v>11 h bij 24 °C</v>
      </c>
    </row>
    <row r="163" spans="1:22" s="208" customFormat="1" ht="12.4" customHeight="1" x14ac:dyDescent="0.25">
      <c r="A163" s="208" t="str">
        <f>studie!B285</f>
        <v>Proeftemperatuur bij de bepaling van de splijttreksterkte:</v>
      </c>
      <c r="P163" s="311" t="str">
        <f>studie!L285&amp;" °C"</f>
        <v>25 °C</v>
      </c>
    </row>
    <row r="164" spans="1:22" s="208" customFormat="1" ht="12.75" customHeight="1" thickBot="1" x14ac:dyDescent="0.3"/>
    <row r="165" spans="1:22" s="208" customFormat="1" ht="12.4" customHeight="1" x14ac:dyDescent="0.2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2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2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2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2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2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2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2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2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2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2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2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2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2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2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2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2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3">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25"/>
    <row r="184" spans="1:20" s="208" customFormat="1" ht="12.75" customHeight="1" x14ac:dyDescent="0.25"/>
    <row r="185" spans="1:20" s="208" customFormat="1" ht="12.75" customHeight="1" x14ac:dyDescent="0.25"/>
    <row r="186" spans="1:20" s="208" customFormat="1" ht="12.75" customHeight="1" x14ac:dyDescent="0.25"/>
    <row r="187" spans="1:20" s="208" customFormat="1" ht="12.75" customHeight="1" x14ac:dyDescent="0.25"/>
    <row r="188" spans="1:20" s="208" customFormat="1" ht="12.75" customHeight="1" x14ac:dyDescent="0.25"/>
    <row r="189" spans="1:20" s="208" customFormat="1" ht="12.75" customHeight="1" x14ac:dyDescent="0.25"/>
    <row r="190" spans="1:20" s="210" customFormat="1" ht="12.4" customHeight="1" x14ac:dyDescent="0.25">
      <c r="A190" s="2251" t="str">
        <f>'VN1'!$A$53</f>
        <v>801/64/</v>
      </c>
      <c r="B190" s="2251"/>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25"/>
    <row r="192" spans="1:20"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x14ac:dyDescent="0.25"/>
    <row r="3" spans="1:20" s="208" customFormat="1" ht="12.75" x14ac:dyDescent="0.25">
      <c r="A3" s="208" t="s">
        <v>779</v>
      </c>
      <c r="P3" s="208" t="str">
        <f>IF(studie!E325="J",studie!E326,"")</f>
        <v>laboratoriumvalidatie</v>
      </c>
    </row>
    <row r="4" spans="1:20" s="208" customFormat="1" ht="12.75" x14ac:dyDescent="0.25">
      <c r="A4" s="208" t="str">
        <f>studie!B330</f>
        <v>Toegepaste methode voor de verdichting van de proefstukken (volgens EN 13108-20):</v>
      </c>
      <c r="P4" s="311" t="str">
        <f>IF(studie!E325="J",studie!L330,"")</f>
        <v>C.1.16</v>
      </c>
    </row>
    <row r="5" spans="1:20" s="208" customFormat="1" ht="12.75" x14ac:dyDescent="0.25">
      <c r="A5" s="208" t="str">
        <f>studie!B331</f>
        <v>Proefparameters (volgens EN 13108-20):</v>
      </c>
      <c r="P5" s="311" t="str">
        <f>IF(studie!E325="J",studie!L331,"")</f>
        <v>D.1.7</v>
      </c>
    </row>
    <row r="6" spans="1:20" s="208" customFormat="1" ht="12.75" x14ac:dyDescent="0.25">
      <c r="A6" s="208" t="str">
        <f>studie!B332</f>
        <v>Mengtemperatuur:</v>
      </c>
      <c r="P6" s="311" t="str">
        <f>IF(studie!E325="J",studie!L332&amp;" °C","")</f>
        <v>180 °C</v>
      </c>
    </row>
    <row r="7" spans="1:20" s="208" customFormat="1" ht="12.75" x14ac:dyDescent="0.25">
      <c r="A7" s="208" t="str">
        <f>studie!B333</f>
        <v>Verdichtingstemperatuur:</v>
      </c>
      <c r="P7" s="311" t="str">
        <f>IF(studie!E325="J",studie!L333&amp;" °C","")</f>
        <v>160 °C</v>
      </c>
    </row>
    <row r="8" spans="1:20" s="208" customFormat="1" ht="12.75" x14ac:dyDescent="0.25">
      <c r="A8" s="208" t="str">
        <f>studie!B334</f>
        <v xml:space="preserve">Toestel: </v>
      </c>
      <c r="P8" s="311" t="str">
        <f>IF(studie!E325="J",studie!J334,"")</f>
        <v>Large Size Device</v>
      </c>
      <c r="Q8" s="311"/>
      <c r="R8" s="311"/>
      <c r="S8" s="311"/>
    </row>
    <row r="9" spans="1:20" s="208" customFormat="1" ht="12.75" x14ac:dyDescent="0.25">
      <c r="A9" s="208" t="str">
        <f>studie!B335</f>
        <v>Proeftemperatuur:</v>
      </c>
      <c r="P9" s="311" t="str">
        <f>IF(studie!E325="J",studie!L335&amp;" °C","")</f>
        <v>50 °C</v>
      </c>
    </row>
    <row r="10" spans="1:20" s="208" customFormat="1" ht="12.75" x14ac:dyDescent="0.25">
      <c r="A10" s="208" t="str">
        <f>studie!B336</f>
        <v>Aantal cycli:</v>
      </c>
      <c r="P10" s="2294">
        <f>IF(studie!E325="J",studie!L336,"")</f>
        <v>30000</v>
      </c>
      <c r="Q10" s="2294"/>
      <c r="R10" s="2294"/>
      <c r="S10" s="2294"/>
      <c r="T10" s="2294"/>
    </row>
    <row r="11" spans="1:20" s="208" customFormat="1" ht="7.15" customHeight="1" thickBot="1" x14ac:dyDescent="0.3"/>
    <row r="12" spans="1:20" s="208" customFormat="1" ht="14.25" x14ac:dyDescent="0.2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3">
      <c r="A13" s="1914">
        <f>IF(studie!B341="","",studie!B341)</f>
        <v>3.85</v>
      </c>
      <c r="B13" s="683"/>
      <c r="C13" s="683"/>
      <c r="D13" s="683"/>
      <c r="E13" s="720">
        <f>IF(studie!E325="J",studie!D341,"NPD")</f>
        <v>7.2</v>
      </c>
      <c r="F13" s="765"/>
    </row>
    <row r="14" spans="1:20" s="208" customFormat="1" ht="12.75" customHeight="1" x14ac:dyDescent="0.25"/>
    <row r="15" spans="1:20" ht="15" customHeight="1" x14ac:dyDescent="0.2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2.75" x14ac:dyDescent="0.25"/>
    <row r="17" spans="1:20" s="208" customFormat="1" ht="12.75" x14ac:dyDescent="0.25">
      <c r="A17" s="208" t="s">
        <v>779</v>
      </c>
      <c r="F17" s="208" t="str">
        <f>IF(studie!E514="J",studie!E515,"")</f>
        <v>laboratoriumvalidatie</v>
      </c>
    </row>
    <row r="18" spans="1:20" s="208" customFormat="1" ht="12.75" x14ac:dyDescent="0.25">
      <c r="A18" s="208" t="str">
        <f>studie!B519</f>
        <v xml:space="preserve">Toestel en methode: </v>
      </c>
      <c r="F18" s="311" t="str">
        <f>IF(studie!E514="J",studie!E519,"")</f>
        <v>Tweepuntsbuigproef op trapezoïdale proefstukken</v>
      </c>
    </row>
    <row r="19" spans="1:20" s="208" customFormat="1" ht="12.75" x14ac:dyDescent="0.25">
      <c r="A19" s="208" t="str">
        <f>studie!B520</f>
        <v>Toegepaste methode voor de verdichting van de proefstukken (volgens EN 13108-20):</v>
      </c>
      <c r="F19" s="311"/>
      <c r="P19" s="311" t="str">
        <f>IF(studie!E514="J",studie!L520,"")</f>
        <v>C.1.16</v>
      </c>
    </row>
    <row r="20" spans="1:20" s="208" customFormat="1" ht="12.75" x14ac:dyDescent="0.25">
      <c r="A20" s="208" t="str">
        <f>studie!B521</f>
        <v>Temperatuur waarbij de proefstukken werden verdicht:</v>
      </c>
      <c r="F20" s="311"/>
      <c r="P20" s="311" t="str">
        <f>IF(studie!E514="J",studie!L521&amp;" °C","")</f>
        <v>180 °C</v>
      </c>
    </row>
    <row r="21" spans="1:20" s="208" customFormat="1" ht="7.15" customHeight="1" thickBot="1" x14ac:dyDescent="0.3"/>
    <row r="22" spans="1:20" s="208" customFormat="1" ht="12.75" x14ac:dyDescent="0.2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2.75" x14ac:dyDescent="0.2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2.75" x14ac:dyDescent="0.2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3">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2.75" x14ac:dyDescent="0.2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25"/>
    <row r="28" spans="1:20" ht="15" customHeight="1" x14ac:dyDescent="0.2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2.75" x14ac:dyDescent="0.25"/>
    <row r="30" spans="1:20" s="208" customFormat="1" ht="12.75" x14ac:dyDescent="0.25">
      <c r="A30" s="208" t="s">
        <v>779</v>
      </c>
      <c r="F30" s="208" t="str">
        <f>IF(studie!E537="J",studie!E538,"")</f>
        <v>laboratoriumvalidatie</v>
      </c>
    </row>
    <row r="31" spans="1:20" s="208" customFormat="1" ht="12.75" x14ac:dyDescent="0.25">
      <c r="A31" s="208" t="str">
        <f>studie!B542</f>
        <v xml:space="preserve">Toestel en methode: </v>
      </c>
      <c r="F31" s="311" t="str">
        <f>IF(studie!E537="J",studie!E542,"")</f>
        <v>Tweepuntsbuigproef op trapezoïdale proefstukken</v>
      </c>
    </row>
    <row r="32" spans="1:20" s="208" customFormat="1" ht="12.75" x14ac:dyDescent="0.25">
      <c r="A32" s="208" t="str">
        <f>studie!B543</f>
        <v>Toegepaste methode voor de verdichting van de proefstukken (volgens EN 13108-20):</v>
      </c>
      <c r="F32" s="311"/>
      <c r="P32" s="311" t="str">
        <f>IF(studie!E537="J",studie!L543,"")</f>
        <v>C.1.16</v>
      </c>
    </row>
    <row r="33" spans="1:32" s="208" customFormat="1" ht="12.75" x14ac:dyDescent="0.25">
      <c r="A33" s="208" t="str">
        <f>studie!B544</f>
        <v>Temperatuur waarbij de proefstukken werden verdicht:</v>
      </c>
      <c r="F33" s="311"/>
      <c r="P33" s="311" t="str">
        <f>IF(studie!E537="J",studie!L544&amp;" °C","")</f>
        <v>180 °C</v>
      </c>
    </row>
    <row r="34" spans="1:32" s="208" customFormat="1" ht="7.15" customHeight="1" thickBot="1" x14ac:dyDescent="0.3"/>
    <row r="35" spans="1:32" s="208" customFormat="1" ht="12.75" x14ac:dyDescent="0.2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4.25" x14ac:dyDescent="0.2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2.75" x14ac:dyDescent="0.2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3">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2.75" x14ac:dyDescent="0.2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25"/>
    <row r="41" spans="1:32" ht="15" customHeight="1" x14ac:dyDescent="0.2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25">
      <c r="V42" s="852"/>
      <c r="W42" s="852"/>
      <c r="Z42" s="852"/>
      <c r="AA42" s="852"/>
      <c r="AB42" s="852"/>
      <c r="AC42" s="852"/>
      <c r="AD42" s="852"/>
      <c r="AE42" s="852"/>
      <c r="AF42" s="852"/>
    </row>
    <row r="43" spans="1:32" s="208" customFormat="1" ht="12.75" customHeight="1" x14ac:dyDescent="0.2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2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2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25">
      <c r="A46" s="208" t="str">
        <f>studie!B565</f>
        <v>Toegepaste norm voor de bepaling van het verwekingspunt:</v>
      </c>
      <c r="L46" s="311" t="str">
        <f>IF(studie!E559="J",studie!I565,"")</f>
        <v>EN 1427</v>
      </c>
      <c r="O46" s="1446"/>
    </row>
    <row r="47" spans="1:32" s="208" customFormat="1" ht="12.75" customHeight="1" x14ac:dyDescent="0.25">
      <c r="A47" s="208" t="str">
        <f>studie!B566</f>
        <v>Ring- en kogeltoestel:</v>
      </c>
      <c r="L47" s="311" t="str">
        <f>IF(studie!E559="J",studie!I566,"")</f>
        <v>halfautomatisch</v>
      </c>
    </row>
    <row r="48" spans="1:32" s="208" customFormat="1" ht="12.75" customHeight="1" x14ac:dyDescent="0.25">
      <c r="A48" s="208" t="str">
        <f>studie!B567</f>
        <v>Vloeistof voor de bepaling van het verwekingspunt:</v>
      </c>
      <c r="L48" s="311" t="str">
        <f>IF(studie!E559="J",studie!I567,"")</f>
        <v>water</v>
      </c>
    </row>
    <row r="49" spans="1:20" s="208" customFormat="1" ht="12.75" customHeight="1" x14ac:dyDescent="0.25">
      <c r="A49" s="208" t="s">
        <v>879</v>
      </c>
      <c r="L49" s="311" t="str">
        <f>IF(studie!E559="J",studie!I568,"")</f>
        <v>EN 12697-1</v>
      </c>
    </row>
    <row r="50" spans="1:20" s="208" customFormat="1" ht="12.75" customHeight="1" x14ac:dyDescent="0.25">
      <c r="A50" s="208" t="str">
        <f>IF(studie!I568="EN 12697-1",studie!B569,"")</f>
        <v>Extractiemethode volgens EN 12697-1 Annex B.2:</v>
      </c>
      <c r="L50" s="311" t="str">
        <f>IF(studie!J569="","",studie!J569)</f>
        <v>B.2.1</v>
      </c>
    </row>
    <row r="51" spans="1:20" s="208" customFormat="1" ht="12.75" customHeight="1" x14ac:dyDescent="0.25">
      <c r="A51" s="208" t="str">
        <f>IF(studie!I568="EN 12697-1",studie!B570,"")</f>
        <v>Gebruikt oplosmiddel:</v>
      </c>
      <c r="L51" s="311" t="str">
        <f>IF(studie!H570="","",studie!H570)</f>
        <v>dichloormethaan</v>
      </c>
    </row>
    <row r="52" spans="1:20" s="208" customFormat="1" ht="7.15" customHeight="1" thickBot="1" x14ac:dyDescent="0.3">
      <c r="L52" s="311"/>
    </row>
    <row r="53" spans="1:20" s="208" customFormat="1" ht="12.75" customHeight="1" x14ac:dyDescent="0.2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2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3">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3">
      <c r="A56" s="779" t="str">
        <f>IF(studie!E559="J","","Deze kenmerken werden niet bepaald.")</f>
        <v/>
      </c>
      <c r="O56" s="910"/>
      <c r="P56" s="916" t="str">
        <f>IF(studie!D584="","",studie!B584&amp;" %")</f>
        <v>4,15 %</v>
      </c>
      <c r="Q56" s="579"/>
      <c r="R56" s="595"/>
      <c r="S56" s="262">
        <f>IF(studie!D584="","",studie!D584)</f>
        <v>4.12</v>
      </c>
      <c r="T56" s="263"/>
    </row>
    <row r="57" spans="1:20" ht="12.75" customHeight="1" x14ac:dyDescent="0.25"/>
    <row r="58" spans="1:20" s="210" customFormat="1" ht="11.25" x14ac:dyDescent="0.25">
      <c r="A58" s="2251" t="str">
        <f>'VN1'!$A$53</f>
        <v>801/64/</v>
      </c>
      <c r="B58" s="2251"/>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25"/>
    <row r="60" spans="1:20" ht="12.75" customHeight="1" x14ac:dyDescent="0.25"/>
    <row r="61" spans="1:20" ht="12.75" customHeight="1" x14ac:dyDescent="0.25"/>
    <row r="62" spans="1:20" ht="12.75" customHeight="1" x14ac:dyDescent="0.25"/>
    <row r="63" spans="1:20" ht="12.75" customHeight="1" x14ac:dyDescent="0.25"/>
    <row r="64" spans="1:20" ht="12.75" customHeight="1" x14ac:dyDescent="0.25"/>
    <row r="65" ht="12.75" customHeight="1" x14ac:dyDescent="0.2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x14ac:dyDescent="0.2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x14ac:dyDescent="0.25"/>
    <row r="3" spans="1:20" s="208" customFormat="1" ht="12.75" x14ac:dyDescent="0.25">
      <c r="A3" s="208" t="str">
        <f>studie!B350</f>
        <v>Toegepaste norm voor de bepaling van het afdruipen van bindmiddel:</v>
      </c>
      <c r="M3" s="311" t="str">
        <f>studie!J350</f>
        <v>EN 12697-18</v>
      </c>
      <c r="O3" s="311"/>
    </row>
    <row r="4" spans="1:20" s="208" customFormat="1" ht="12.75" x14ac:dyDescent="0.25">
      <c r="A4" s="208" t="str">
        <f>studie!B351</f>
        <v>Vooropgestelde proeftemperatuur:</v>
      </c>
      <c r="M4" s="311" t="str">
        <f>studie!K351&amp;" °C"</f>
        <v>180 °C</v>
      </c>
    </row>
    <row r="5" spans="1:20" s="208" customFormat="1" ht="12.75" x14ac:dyDescent="0.25">
      <c r="M5" s="311"/>
    </row>
    <row r="6" spans="1:20" s="208" customFormat="1" ht="12.75" x14ac:dyDescent="0.25">
      <c r="A6" s="779" t="str">
        <f>IF(studie!E358=0,"PROEF ZONDER AFDRUIPREMMER","PROEF MET "&amp;studie!E358&amp;" % AFDRUIPREMMER")</f>
        <v>PROEF ZONDER AFDRUIPREMMER</v>
      </c>
      <c r="H6" s="779" t="str">
        <f>IF(studie!F354="J","","WERD NIET UITGEVOERD")</f>
        <v/>
      </c>
      <c r="M6" s="311"/>
    </row>
    <row r="7" spans="1:20" s="208" customFormat="1" ht="12.75" x14ac:dyDescent="0.25">
      <c r="A7" s="208" t="s">
        <v>779</v>
      </c>
      <c r="D7" s="208" t="str">
        <f>IF(studie!F354="N","",studie!D355)</f>
        <v>laboratoriumvalidatie</v>
      </c>
    </row>
    <row r="8" spans="1:20" s="208" customFormat="1" ht="12.75" x14ac:dyDescent="0.25">
      <c r="A8" s="208" t="str">
        <f>studie!B356</f>
        <v>Methode:</v>
      </c>
      <c r="D8" s="311" t="str">
        <f>IF(studie!F354="N","",IF(studie!F356="S","Beker","Basket (mandjes)"))</f>
        <v>Beker</v>
      </c>
    </row>
    <row r="9" spans="1:20" s="208" customFormat="1" ht="13.5" thickBot="1" x14ac:dyDescent="0.3"/>
    <row r="10" spans="1:20" s="208" customFormat="1" ht="14.25" x14ac:dyDescent="0.2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2.75" x14ac:dyDescent="0.2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2.75" x14ac:dyDescent="0.2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2.75" x14ac:dyDescent="0.2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2.75" x14ac:dyDescent="0.2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2.75" x14ac:dyDescent="0.2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2.75" x14ac:dyDescent="0.2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2.75" x14ac:dyDescent="0.2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2.75" x14ac:dyDescent="0.2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2.75" x14ac:dyDescent="0.2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2.75" x14ac:dyDescent="0.2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2.75" x14ac:dyDescent="0.2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2.75" x14ac:dyDescent="0.2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3">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25"/>
    <row r="25" spans="1:20" ht="12.75" customHeight="1" x14ac:dyDescent="0.2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2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2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3">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2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2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2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2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2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2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2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2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2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2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2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2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2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3">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2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25"/>
    <row r="45" spans="1:20" ht="12.75" customHeight="1" x14ac:dyDescent="0.25"/>
    <row r="46" spans="1:20" ht="12.75" customHeight="1" x14ac:dyDescent="0.25"/>
    <row r="47" spans="1:20" x14ac:dyDescent="0.2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2.75" x14ac:dyDescent="0.25"/>
    <row r="49" spans="1:20" s="208" customFormat="1" ht="12.75" x14ac:dyDescent="0.25">
      <c r="A49" s="208" t="str">
        <f>IF(studie!E702="J",studie!B705,"Niet bepaald.")</f>
        <v>Toegepaste norm voor de bepaling van de filmdikte:</v>
      </c>
      <c r="M49" s="311" t="str">
        <f>IF(studie!E702="J",studie!I705,"")</f>
        <v>SB 260 (2018)</v>
      </c>
      <c r="O49" s="311"/>
    </row>
    <row r="50" spans="1:20" s="208" customFormat="1" ht="13.5" thickBot="1" x14ac:dyDescent="0.3"/>
    <row r="51" spans="1:20" s="208" customFormat="1" thickBot="1" x14ac:dyDescent="0.3">
      <c r="A51" s="1371" t="str">
        <f>studie!B708</f>
        <v>Filmdikte FDm:</v>
      </c>
      <c r="B51" s="1372"/>
      <c r="C51" s="1372"/>
      <c r="D51" s="1372"/>
      <c r="E51" s="1372"/>
      <c r="F51" s="1373"/>
      <c r="G51" s="2295">
        <f>IF(studie!E702="J",studie!E708,"")</f>
        <v>0.56352961960663328</v>
      </c>
      <c r="H51" s="2295"/>
      <c r="I51" s="1374" t="str">
        <f>IF(studie!E702="J",studie!F708,"")</f>
        <v>mm</v>
      </c>
      <c r="J51" s="852"/>
      <c r="K51" s="852"/>
      <c r="L51" s="852"/>
      <c r="M51" s="852"/>
      <c r="N51" s="852"/>
      <c r="O51" s="852"/>
      <c r="P51" s="1370"/>
      <c r="Q51" s="852"/>
      <c r="R51" s="852"/>
      <c r="S51" s="852"/>
      <c r="T51" s="852"/>
    </row>
    <row r="52" spans="1:20" ht="12.75" customHeight="1" x14ac:dyDescent="0.25"/>
    <row r="53" spans="1:20" ht="12.75" customHeight="1" x14ac:dyDescent="0.25">
      <c r="B53" s="1445" t="str">
        <f>IF(berekeningen!J2=0,"PROEVEN NIET UITGEVOERD !","")</f>
        <v/>
      </c>
    </row>
    <row r="54" spans="1:20" ht="12.75" customHeight="1" x14ac:dyDescent="0.25"/>
    <row r="55" spans="1:20" ht="12.75" customHeight="1" x14ac:dyDescent="0.25"/>
    <row r="56" spans="1:20" s="210" customFormat="1" ht="11.25" x14ac:dyDescent="0.25">
      <c r="A56" s="2251" t="str">
        <f>'VN1'!$A$53</f>
        <v>801/64/</v>
      </c>
      <c r="B56" s="2251"/>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25"/>
    <row r="58" spans="1:20" ht="12.75" customHeight="1" x14ac:dyDescent="0.25"/>
    <row r="59" spans="1:20" ht="12.75" customHeight="1" x14ac:dyDescent="0.25"/>
    <row r="60" spans="1:20" ht="12.75" customHeight="1" x14ac:dyDescent="0.25"/>
    <row r="61" spans="1:20" ht="12.75" customHeight="1" x14ac:dyDescent="0.25"/>
    <row r="62" spans="1:20" ht="12.75" customHeight="1" x14ac:dyDescent="0.25"/>
    <row r="63" spans="1:20" ht="12.75" customHeight="1" x14ac:dyDescent="0.25"/>
    <row r="64" spans="1:20"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x14ac:dyDescent="0.25"/>
    <row r="3" spans="1:20" s="208" customFormat="1" ht="12.75" x14ac:dyDescent="0.25">
      <c r="A3" s="208" t="s">
        <v>779</v>
      </c>
      <c r="P3" s="208" t="str">
        <f>studie!E422</f>
        <v>laboratoriumvalidatie</v>
      </c>
    </row>
    <row r="4" spans="1:20" s="208" customFormat="1" ht="12.75" x14ac:dyDescent="0.25">
      <c r="A4" s="208" t="str">
        <f>studie!B425</f>
        <v>Toegepaste methode voor de verdichting van de proefstukken (volgens EN 13108-20):</v>
      </c>
      <c r="P4" s="208" t="str">
        <f>studie!L425</f>
        <v>C.1.6</v>
      </c>
    </row>
    <row r="5" spans="1:20" s="208" customFormat="1" ht="12.75" customHeight="1" x14ac:dyDescent="0.25">
      <c r="A5" s="208" t="s">
        <v>442</v>
      </c>
      <c r="P5" s="208" t="str">
        <f>studie!H31</f>
        <v>EN 12697-29</v>
      </c>
    </row>
    <row r="6" spans="1:20" s="208" customFormat="1" ht="12.75" customHeight="1" thickBot="1" x14ac:dyDescent="0.3"/>
    <row r="7" spans="1:20" s="208" customFormat="1" ht="12.75" customHeight="1" x14ac:dyDescent="0.2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2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2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2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2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2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2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2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2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2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2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2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2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2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2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2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2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2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2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2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3">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25"/>
    <row r="29" spans="1:20" s="208" customFormat="1" ht="12.75" x14ac:dyDescent="0.25">
      <c r="A29" s="208" t="str">
        <f>studie!B160</f>
        <v>Toegepaste norm voor de bepaling van de bulkdichtheid:</v>
      </c>
      <c r="P29" s="311" t="str">
        <f>studie!K160</f>
        <v>EN 12697-6</v>
      </c>
    </row>
    <row r="30" spans="1:20" s="208" customFormat="1" ht="12.75" x14ac:dyDescent="0.25">
      <c r="A30" s="208" t="str">
        <f>IF(studie!L426="","",studie!B426)</f>
        <v>Toegepaste methode voor de bepaling van de bulkdichtheid:</v>
      </c>
      <c r="P30" s="311" t="str">
        <f>IF(studie!L426="","",studie!L426)</f>
        <v>C</v>
      </c>
    </row>
    <row r="31" spans="1:20" s="208" customFormat="1" ht="13.5" thickBot="1" x14ac:dyDescent="0.3"/>
    <row r="32" spans="1:20" s="208" customFormat="1" ht="14.25" x14ac:dyDescent="0.2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2.75" x14ac:dyDescent="0.2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2.75" x14ac:dyDescent="0.2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2.75" x14ac:dyDescent="0.2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2.75" x14ac:dyDescent="0.2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2.75" x14ac:dyDescent="0.2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2.75" x14ac:dyDescent="0.2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2.75" x14ac:dyDescent="0.2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2.75" x14ac:dyDescent="0.2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2.75" x14ac:dyDescent="0.2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2.75" x14ac:dyDescent="0.2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2.75" x14ac:dyDescent="0.2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2.75" x14ac:dyDescent="0.2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2.75" x14ac:dyDescent="0.2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2.75" x14ac:dyDescent="0.2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2.75" x14ac:dyDescent="0.2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2.75" x14ac:dyDescent="0.2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2.75" x14ac:dyDescent="0.2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2.75" x14ac:dyDescent="0.2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3">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2.75" x14ac:dyDescent="0.25">
      <c r="A52" s="852"/>
      <c r="B52" s="852"/>
      <c r="C52" s="852"/>
      <c r="D52" s="852"/>
      <c r="E52" s="994"/>
      <c r="F52" s="994"/>
      <c r="G52" s="994"/>
      <c r="H52" s="994"/>
      <c r="I52" s="852"/>
      <c r="J52" s="852"/>
      <c r="K52" s="852"/>
      <c r="L52" s="995"/>
      <c r="M52" s="995"/>
    </row>
    <row r="53" spans="1:20" s="208" customFormat="1" ht="12.75" x14ac:dyDescent="0.25">
      <c r="A53" s="852"/>
      <c r="B53" s="852"/>
      <c r="C53" s="852"/>
      <c r="D53" s="852"/>
      <c r="E53" s="994"/>
      <c r="F53" s="994"/>
      <c r="G53" s="994"/>
      <c r="H53" s="994"/>
      <c r="I53" s="852"/>
      <c r="J53" s="852"/>
      <c r="K53" s="852"/>
      <c r="L53" s="995"/>
      <c r="M53" s="995"/>
    </row>
    <row r="54" spans="1:20" s="208" customFormat="1" ht="12.75" x14ac:dyDescent="0.25">
      <c r="A54" s="852"/>
      <c r="B54" s="852"/>
      <c r="C54" s="852"/>
      <c r="D54" s="852"/>
      <c r="E54" s="994"/>
      <c r="F54" s="994"/>
      <c r="G54" s="994"/>
      <c r="H54" s="994"/>
      <c r="I54" s="852"/>
      <c r="J54" s="852"/>
      <c r="K54" s="852"/>
      <c r="L54" s="995"/>
      <c r="M54" s="995"/>
    </row>
    <row r="55" spans="1:20" s="210" customFormat="1" ht="11.25" x14ac:dyDescent="0.25">
      <c r="A55" s="2251" t="str">
        <f>'VN1'!$A$53</f>
        <v>801/64/</v>
      </c>
      <c r="B55" s="2251"/>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2.75" x14ac:dyDescent="0.25">
      <c r="A56" s="311" t="s">
        <v>1047</v>
      </c>
      <c r="B56" s="311"/>
      <c r="C56" s="311"/>
      <c r="D56" s="311"/>
      <c r="E56" s="1095"/>
      <c r="F56" s="1095"/>
      <c r="G56" s="1095"/>
      <c r="H56" s="1095"/>
      <c r="I56" s="311"/>
      <c r="J56" s="311"/>
      <c r="K56" s="311"/>
      <c r="L56" s="1098"/>
      <c r="M56" s="1098"/>
      <c r="P56" s="208" t="s">
        <v>1048</v>
      </c>
    </row>
    <row r="57" spans="1:20" s="208" customFormat="1" ht="12.75" x14ac:dyDescent="0.25">
      <c r="A57" s="208" t="str">
        <f>studie!B427</f>
        <v>Toegepaste norm voor de bepaling van de holle ruimte:</v>
      </c>
      <c r="P57" s="208" t="str">
        <f>studie!K427</f>
        <v>EN 12697-8</v>
      </c>
    </row>
    <row r="58" spans="1:20" s="208" customFormat="1" ht="12.75" x14ac:dyDescent="0.25">
      <c r="A58" s="208" t="str">
        <f>studie!B428</f>
        <v>Toegepaste norm voor de bepaling van het deeltjesverlies:</v>
      </c>
      <c r="O58" s="311"/>
      <c r="P58" s="311" t="str">
        <f>studie!K428</f>
        <v>EN 12697-17</v>
      </c>
    </row>
    <row r="59" spans="1:20" s="208" customFormat="1" ht="12.75" x14ac:dyDescent="0.25">
      <c r="A59" s="208" t="str">
        <f>studie!B429</f>
        <v>Ouderdom van de proefstukken op het ogenblik van beproeving:</v>
      </c>
      <c r="O59" s="311"/>
      <c r="P59" s="311" t="str">
        <f>studie!L429&amp;" dagen"</f>
        <v>5 dagen</v>
      </c>
    </row>
    <row r="60" spans="1:20" s="208" customFormat="1" ht="12.75" x14ac:dyDescent="0.25">
      <c r="A60" s="208" t="str">
        <f>studie!B430</f>
        <v>Temperatuur waarop de proefstukken werden bewaard voor beproeving:</v>
      </c>
      <c r="O60" s="311"/>
      <c r="P60" s="311" t="str">
        <f>studie!L430&amp;" °C"</f>
        <v>24 °C</v>
      </c>
    </row>
    <row r="61" spans="1:20" s="208" customFormat="1" ht="12.75" x14ac:dyDescent="0.25">
      <c r="A61" s="208" t="str">
        <f>studie!B431</f>
        <v>Proeftemperatuur:</v>
      </c>
      <c r="P61" s="1401" t="str">
        <f>ROUND(studie!L431,1)&amp;" °C"</f>
        <v>18 °C</v>
      </c>
    </row>
    <row r="62" spans="1:20" s="208" customFormat="1" ht="13.5" thickBot="1" x14ac:dyDescent="0.3"/>
    <row r="63" spans="1:20" s="208" customFormat="1" ht="14.25" x14ac:dyDescent="0.2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281" t="s">
        <v>1347</v>
      </c>
      <c r="P63" s="2282"/>
      <c r="Q63" s="2282"/>
      <c r="R63" s="2282"/>
      <c r="S63" s="2282"/>
      <c r="T63" s="2283"/>
    </row>
    <row r="64" spans="1:20" s="208" customFormat="1" ht="12.75" x14ac:dyDescent="0.25">
      <c r="A64" s="247" t="s">
        <v>185</v>
      </c>
      <c r="B64" s="613"/>
      <c r="C64" s="612" t="s">
        <v>338</v>
      </c>
      <c r="D64" s="613"/>
      <c r="E64" s="612" t="s">
        <v>418</v>
      </c>
      <c r="F64" s="248"/>
      <c r="G64" s="704" t="s">
        <v>132</v>
      </c>
      <c r="H64" s="248"/>
      <c r="I64" s="612" t="s">
        <v>480</v>
      </c>
      <c r="J64" s="705"/>
      <c r="K64" s="248" t="s">
        <v>481</v>
      </c>
      <c r="L64" s="248"/>
      <c r="M64" s="612" t="s">
        <v>501</v>
      </c>
      <c r="N64" s="248"/>
      <c r="O64" s="2284"/>
      <c r="P64" s="2285"/>
      <c r="Q64" s="2285"/>
      <c r="R64" s="2285"/>
      <c r="S64" s="2285"/>
      <c r="T64" s="2286"/>
    </row>
    <row r="65" spans="1:20" s="208" customFormat="1" ht="12.75" x14ac:dyDescent="0.2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296" t="str">
        <f>IF(studie!M436="","",studie!M436)</f>
        <v>in het bindmiddel</v>
      </c>
      <c r="P65" s="2297"/>
      <c r="Q65" s="2297"/>
      <c r="R65" s="2297"/>
      <c r="S65" s="2297"/>
      <c r="T65" s="2298"/>
    </row>
    <row r="66" spans="1:20" s="208" customFormat="1" ht="12.75" x14ac:dyDescent="0.2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299" t="str">
        <f>IF(studie!M437="","",studie!M437)</f>
        <v>in de stenen</v>
      </c>
      <c r="P66" s="2224"/>
      <c r="Q66" s="2224"/>
      <c r="R66" s="2224"/>
      <c r="S66" s="2224"/>
      <c r="T66" s="2236"/>
    </row>
    <row r="67" spans="1:20" s="208" customFormat="1" ht="12.75" x14ac:dyDescent="0.2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299" t="str">
        <f>IF(studie!M438="","",studie!M438)</f>
        <v>tussen stenen en bindmiddel</v>
      </c>
      <c r="P67" s="2224"/>
      <c r="Q67" s="2224"/>
      <c r="R67" s="2224"/>
      <c r="S67" s="2224"/>
      <c r="T67" s="2236"/>
    </row>
    <row r="68" spans="1:20" s="208" customFormat="1" ht="12.75" x14ac:dyDescent="0.2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299" t="str">
        <f>IF(studie!M439="","",studie!M439)</f>
        <v/>
      </c>
      <c r="P68" s="2224"/>
      <c r="Q68" s="2224"/>
      <c r="R68" s="2224"/>
      <c r="S68" s="2224"/>
      <c r="T68" s="2236"/>
    </row>
    <row r="69" spans="1:20" s="208" customFormat="1" ht="12.75" x14ac:dyDescent="0.2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00" t="str">
        <f>IF(studie!M440="","",studie!M440)</f>
        <v/>
      </c>
      <c r="P69" s="2246"/>
      <c r="Q69" s="2246"/>
      <c r="R69" s="2246"/>
      <c r="S69" s="2246"/>
      <c r="T69" s="2301"/>
    </row>
    <row r="70" spans="1:20" s="208" customFormat="1" ht="12.75" x14ac:dyDescent="0.2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02" t="str">
        <f>IF(studie!M441="","",studie!M441)</f>
        <v/>
      </c>
      <c r="P70" s="2303"/>
      <c r="Q70" s="2303"/>
      <c r="R70" s="2303"/>
      <c r="S70" s="2303"/>
      <c r="T70" s="2304"/>
    </row>
    <row r="71" spans="1:20" s="208" customFormat="1" ht="12.75" x14ac:dyDescent="0.2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296" t="str">
        <f>IF(studie!M442="","",studie!M442)</f>
        <v/>
      </c>
      <c r="P71" s="2297"/>
      <c r="Q71" s="2297"/>
      <c r="R71" s="2297"/>
      <c r="S71" s="2297"/>
      <c r="T71" s="2298"/>
    </row>
    <row r="72" spans="1:20" s="208" customFormat="1" ht="12.75" x14ac:dyDescent="0.2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299" t="str">
        <f>IF(studie!M443="","",studie!M443)</f>
        <v/>
      </c>
      <c r="P72" s="2224"/>
      <c r="Q72" s="2224"/>
      <c r="R72" s="2224"/>
      <c r="S72" s="2224"/>
      <c r="T72" s="2236"/>
    </row>
    <row r="73" spans="1:20" s="208" customFormat="1" ht="12.75" x14ac:dyDescent="0.2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299" t="str">
        <f>IF(studie!M444="","",studie!M444)</f>
        <v/>
      </c>
      <c r="P73" s="2224"/>
      <c r="Q73" s="2224"/>
      <c r="R73" s="2224"/>
      <c r="S73" s="2224"/>
      <c r="T73" s="2236"/>
    </row>
    <row r="74" spans="1:20" s="208" customFormat="1" ht="12.75" x14ac:dyDescent="0.2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299" t="str">
        <f>IF(studie!M445="","",studie!M445)</f>
        <v/>
      </c>
      <c r="P74" s="2224"/>
      <c r="Q74" s="2224"/>
      <c r="R74" s="2224"/>
      <c r="S74" s="2224"/>
      <c r="T74" s="2236"/>
    </row>
    <row r="75" spans="1:20" s="208" customFormat="1" ht="12.75" x14ac:dyDescent="0.2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00" t="str">
        <f>IF(studie!M446="","",studie!M446)</f>
        <v/>
      </c>
      <c r="P75" s="2246"/>
      <c r="Q75" s="2246"/>
      <c r="R75" s="2246"/>
      <c r="S75" s="2246"/>
      <c r="T75" s="2301"/>
    </row>
    <row r="76" spans="1:20" s="208" customFormat="1" ht="12.75" x14ac:dyDescent="0.2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02" t="str">
        <f>IF(studie!M447="","",studie!M447)</f>
        <v/>
      </c>
      <c r="P76" s="2303"/>
      <c r="Q76" s="2303"/>
      <c r="R76" s="2303"/>
      <c r="S76" s="2303"/>
      <c r="T76" s="2304"/>
    </row>
    <row r="77" spans="1:20" s="208" customFormat="1" ht="12.75" x14ac:dyDescent="0.2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296" t="str">
        <f>IF(studie!M448="","",studie!M448)</f>
        <v/>
      </c>
      <c r="P77" s="2297"/>
      <c r="Q77" s="2297"/>
      <c r="R77" s="2297"/>
      <c r="S77" s="2297"/>
      <c r="T77" s="2298"/>
    </row>
    <row r="78" spans="1:20" s="208" customFormat="1" ht="12.75" x14ac:dyDescent="0.2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299" t="str">
        <f>IF(studie!M449="","",studie!M449)</f>
        <v/>
      </c>
      <c r="P78" s="2224"/>
      <c r="Q78" s="2224"/>
      <c r="R78" s="2224"/>
      <c r="S78" s="2224"/>
      <c r="T78" s="2236"/>
    </row>
    <row r="79" spans="1:20" s="208" customFormat="1" ht="12.75" x14ac:dyDescent="0.2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299" t="str">
        <f>IF(studie!M450="","",studie!M450)</f>
        <v/>
      </c>
      <c r="P79" s="2224"/>
      <c r="Q79" s="2224"/>
      <c r="R79" s="2224"/>
      <c r="S79" s="2224"/>
      <c r="T79" s="2236"/>
    </row>
    <row r="80" spans="1:20" s="208" customFormat="1" ht="12.75" x14ac:dyDescent="0.2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299" t="str">
        <f>IF(studie!M451="","",studie!M451)</f>
        <v/>
      </c>
      <c r="P80" s="2224"/>
      <c r="Q80" s="2224"/>
      <c r="R80" s="2224"/>
      <c r="S80" s="2224"/>
      <c r="T80" s="2236"/>
    </row>
    <row r="81" spans="1:20" s="208" customFormat="1" ht="12.75" x14ac:dyDescent="0.2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00" t="str">
        <f>IF(studie!M452="","",studie!M452)</f>
        <v/>
      </c>
      <c r="P81" s="2246"/>
      <c r="Q81" s="2246"/>
      <c r="R81" s="2246"/>
      <c r="S81" s="2246"/>
      <c r="T81" s="2301"/>
    </row>
    <row r="82" spans="1:20" s="208" customFormat="1" ht="13.5" thickBot="1" x14ac:dyDescent="0.3">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05" t="str">
        <f>IF(studie!M453="","",studie!M453)</f>
        <v/>
      </c>
      <c r="P82" s="2306"/>
      <c r="Q82" s="2306"/>
      <c r="R82" s="2306"/>
      <c r="S82" s="2306"/>
      <c r="T82" s="2307"/>
    </row>
    <row r="83" spans="1:20" s="208" customFormat="1" ht="12.75" customHeight="1" x14ac:dyDescent="0.25"/>
    <row r="84" spans="1:20" ht="12.75" customHeight="1" x14ac:dyDescent="0.25"/>
    <row r="85" spans="1:20" ht="12.75" customHeight="1" x14ac:dyDescent="0.25">
      <c r="B85" s="1445" t="str">
        <f>IF(studie!E421="J","","PROEF NIET UITGEVOERD !")</f>
        <v/>
      </c>
    </row>
    <row r="86" spans="1:20" ht="12.75" customHeight="1" x14ac:dyDescent="0.25"/>
    <row r="87" spans="1:20" ht="12.75" customHeight="1" x14ac:dyDescent="0.25"/>
    <row r="88" spans="1:20" ht="12.75" customHeight="1" x14ac:dyDescent="0.25"/>
    <row r="89" spans="1:20" ht="12.75" customHeight="1" x14ac:dyDescent="0.25"/>
    <row r="90" spans="1:20" ht="12.75" customHeight="1" x14ac:dyDescent="0.25"/>
    <row r="91" spans="1:20" ht="12.75" customHeight="1" x14ac:dyDescent="0.25"/>
    <row r="92" spans="1:20" ht="12.75" customHeight="1" x14ac:dyDescent="0.25"/>
    <row r="93" spans="1:20" ht="12.75" customHeight="1" x14ac:dyDescent="0.25"/>
    <row r="94" spans="1:20" ht="12.75" customHeight="1" x14ac:dyDescent="0.25"/>
    <row r="95" spans="1:20" ht="12.75" customHeight="1" x14ac:dyDescent="0.25"/>
    <row r="96" spans="1:20" ht="12.75" customHeight="1" x14ac:dyDescent="0.25"/>
    <row r="97" spans="1:20" ht="12.75" customHeight="1" x14ac:dyDescent="0.25"/>
    <row r="98" spans="1:20" ht="12.75" customHeight="1" x14ac:dyDescent="0.25"/>
    <row r="99" spans="1:20" ht="12.75" customHeight="1" x14ac:dyDescent="0.25"/>
    <row r="100" spans="1:20" ht="12.75" customHeight="1" x14ac:dyDescent="0.25"/>
    <row r="101" spans="1:20" ht="12.75" customHeight="1" x14ac:dyDescent="0.25"/>
    <row r="102" spans="1:20" ht="12.75" customHeight="1" x14ac:dyDescent="0.25"/>
    <row r="103" spans="1:20" ht="12.75" customHeight="1" x14ac:dyDescent="0.25"/>
    <row r="104" spans="1:20" ht="12.75" customHeight="1" x14ac:dyDescent="0.25"/>
    <row r="105" spans="1:20" ht="12.75" customHeight="1" x14ac:dyDescent="0.25"/>
    <row r="106" spans="1:20" ht="12.75" customHeight="1" x14ac:dyDescent="0.25"/>
    <row r="107" spans="1:20" ht="12.75" customHeight="1" x14ac:dyDescent="0.25"/>
    <row r="108" spans="1:20" ht="12.75" customHeight="1" x14ac:dyDescent="0.25"/>
    <row r="109" spans="1:20" ht="12.75" customHeight="1" x14ac:dyDescent="0.25"/>
    <row r="110" spans="1:20" ht="12.75" customHeight="1" x14ac:dyDescent="0.25"/>
    <row r="111" spans="1:20" s="210" customFormat="1" ht="11.25" x14ac:dyDescent="0.25">
      <c r="A111" s="2251" t="str">
        <f>'VN1'!$A$53</f>
        <v>801/64/</v>
      </c>
      <c r="B111" s="2251"/>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sheetData>
  <sheetProtection algorithmName="SHA-512" hashValue="h3OelPcmytUSuv42HV3H0r/zBl52gYjdYuE32L5DPcdS5W+yOMMC4lCJCO3PpvMlucfjXgau6SvmYhYdxHHBcw==" saltValue="faXZIw8wGBGoEsFH7hLn7A==" spinCount="100000" sheet="1" objects="1" scenarios="1"/>
  <mergeCells count="22">
    <mergeCell ref="O82:T82"/>
    <mergeCell ref="O76:T76"/>
    <mergeCell ref="O77:T77"/>
    <mergeCell ref="O78:T78"/>
    <mergeCell ref="O79:T79"/>
    <mergeCell ref="O80:T80"/>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25"/>
    <row r="3" spans="1:20" s="208" customFormat="1" ht="12.75" x14ac:dyDescent="0.25">
      <c r="A3" s="208" t="s">
        <v>779</v>
      </c>
      <c r="L3" s="208" t="str">
        <f>IF(studie!E467="J",studie!E468,"")</f>
        <v>laboratoriumvalidatie</v>
      </c>
    </row>
    <row r="4" spans="1:20" s="208" customFormat="1" ht="12.75" x14ac:dyDescent="0.25">
      <c r="A4" s="208" t="str">
        <f>studie!B471</f>
        <v>Toegepaste norm voor de bepaling van de indrukking:</v>
      </c>
      <c r="L4" s="311" t="str">
        <f>IF(studie!E467="J",studie!H471,"")</f>
        <v>EN 12697-20</v>
      </c>
      <c r="O4" s="311"/>
    </row>
    <row r="5" spans="1:20" s="208" customFormat="1" ht="12.75" x14ac:dyDescent="0.25">
      <c r="A5" s="208" t="str">
        <f>studie!B472</f>
        <v>Referentie volgens EN 13108-20:</v>
      </c>
      <c r="L5" s="311" t="str">
        <f>IF(studie!E467="J",studie!I472,"")</f>
        <v>D.5.1</v>
      </c>
    </row>
    <row r="6" spans="1:20" s="208" customFormat="1" ht="12.75" x14ac:dyDescent="0.25">
      <c r="A6" s="208" t="s">
        <v>925</v>
      </c>
      <c r="L6" s="311" t="str">
        <f>IF(studie!E467="J",studie!I473&amp;" °C","")</f>
        <v>180 °C</v>
      </c>
    </row>
    <row r="7" spans="1:20" s="208" customFormat="1" ht="12.75" x14ac:dyDescent="0.25">
      <c r="A7" s="208" t="str">
        <f>studie!B474</f>
        <v>Type proefstukken:</v>
      </c>
      <c r="L7" s="311" t="str">
        <f>IF(studie!E467="J",studie!I474,"")</f>
        <v>C</v>
      </c>
    </row>
    <row r="8" spans="1:20" s="208" customFormat="1" ht="12.75" x14ac:dyDescent="0.25">
      <c r="A8" s="208" t="str">
        <f>studie!B475</f>
        <v>Oppervlakte van de stempel:</v>
      </c>
      <c r="L8" s="311" t="str">
        <f>IF(studie!E467="J",studie!I475&amp;" mm²","")</f>
        <v>500 mm²</v>
      </c>
    </row>
    <row r="9" spans="1:20" s="208" customFormat="1" ht="12.75" x14ac:dyDescent="0.25">
      <c r="A9" s="208" t="str">
        <f>studie!B476</f>
        <v>Proeftemperatuur:</v>
      </c>
      <c r="L9" s="311" t="str">
        <f>IF(studie!E467="J",studie!I476&amp;" °C","")</f>
        <v>40 °C</v>
      </c>
    </row>
    <row r="10" spans="1:20" s="208" customFormat="1" ht="12.75" x14ac:dyDescent="0.25">
      <c r="A10" s="208" t="str">
        <f>studie!B477</f>
        <v>Ouderdom van de proefstukken:</v>
      </c>
      <c r="L10" s="311" t="str">
        <f>IF(studie!E467="J",studie!H477,"")</f>
        <v>2 dagen</v>
      </c>
    </row>
    <row r="11" spans="1:20" s="208" customFormat="1" ht="12.75" x14ac:dyDescent="0.25">
      <c r="A11" s="208" t="str">
        <f>studie!B478</f>
        <v>Duur conditionering vóór belasting:</v>
      </c>
      <c r="L11" s="311" t="str">
        <f>IF(studie!E467="J",studie!I478&amp;" min","")</f>
        <v>60 min</v>
      </c>
    </row>
    <row r="12" spans="1:20" s="208" customFormat="1" ht="12.75" x14ac:dyDescent="0.25">
      <c r="A12" s="208" t="str">
        <f>studie!B479</f>
        <v>Eerste controlepunt:</v>
      </c>
      <c r="L12" s="311" t="str">
        <f>IF(studie!E467="J",studie!I479&amp;" min","")</f>
        <v>30 min</v>
      </c>
    </row>
    <row r="13" spans="1:20" s="208" customFormat="1" ht="12.75" x14ac:dyDescent="0.25">
      <c r="A13" s="208" t="str">
        <f>studie!B480</f>
        <v>Tweede controlepunt:</v>
      </c>
      <c r="L13" s="311" t="str">
        <f>IF(studie!E467="J",studie!I480&amp;" min","")</f>
        <v>60 min</v>
      </c>
    </row>
    <row r="14" spans="1:20" s="208" customFormat="1" ht="7.15" customHeight="1" thickBot="1" x14ac:dyDescent="0.3"/>
    <row r="15" spans="1:20" s="208" customFormat="1" ht="14.25" x14ac:dyDescent="0.2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2.75" x14ac:dyDescent="0.2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2.75" x14ac:dyDescent="0.2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2.75" x14ac:dyDescent="0.2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2.75" x14ac:dyDescent="0.2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2.75" x14ac:dyDescent="0.2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2.75" x14ac:dyDescent="0.2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2.75" x14ac:dyDescent="0.2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2.75" x14ac:dyDescent="0.2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2.75" x14ac:dyDescent="0.2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3">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25"/>
    <row r="27" spans="1:20" s="318" customFormat="1" ht="12.75" customHeight="1" x14ac:dyDescent="0.2">
      <c r="A27" s="318" t="str">
        <f>IF(studie!E503="","",studie!B503)</f>
        <v>Indrukking na 30 minuten:</v>
      </c>
      <c r="F27" s="849">
        <f>IF(studie!E503="","",studie!E503)</f>
        <v>18</v>
      </c>
      <c r="G27" s="849" t="str">
        <f>IF(studie!E503="","","mm")</f>
        <v>mm</v>
      </c>
    </row>
    <row r="28" spans="1:20" s="318" customFormat="1" ht="12.75" customHeight="1" x14ac:dyDescent="0.2">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2">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2"/>
    <row r="31" spans="1:20" ht="15" customHeight="1" x14ac:dyDescent="0.2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25"/>
    <row r="33" spans="1:20" s="208" customFormat="1" ht="12.75" x14ac:dyDescent="0.25">
      <c r="A33" s="208" t="s">
        <v>779</v>
      </c>
      <c r="L33" s="208" t="str">
        <f>IF(studie!E589="J",studie!E590,"")</f>
        <v>laboratoriumvalidatie</v>
      </c>
    </row>
    <row r="34" spans="1:20" s="208" customFormat="1" ht="12.75" x14ac:dyDescent="0.25">
      <c r="A34" s="779" t="str">
        <f>IF(studie!E589="J",studie!B593,"Deze kenmerken werden niet bepaald.")</f>
        <v>Zie afzonderlijk proefverslag van extern laboratorium.</v>
      </c>
      <c r="L34" s="311"/>
      <c r="O34" s="311"/>
    </row>
    <row r="35" spans="1:20" s="208" customFormat="1" ht="12.75" x14ac:dyDescent="0.25">
      <c r="A35" s="208" t="str">
        <f>studie!B594</f>
        <v>Proefparameters (referentie volgens EN 13108-20 bijlage D):</v>
      </c>
      <c r="L35" s="311" t="str">
        <f>IF(studie!I594="","",studie!I594)</f>
        <v>D.5.4</v>
      </c>
    </row>
    <row r="36" spans="1:20" s="208" customFormat="1" ht="12.75" x14ac:dyDescent="0.25">
      <c r="A36" s="208" t="str">
        <f>studie!B595</f>
        <v>Mengtemperatuur:</v>
      </c>
      <c r="L36" s="311" t="str">
        <f>IF(studie!I595="","",studie!I595&amp;" °C")</f>
        <v>220 °C</v>
      </c>
    </row>
    <row r="37" spans="1:20" s="208" customFormat="1" ht="12.75" x14ac:dyDescent="0.25">
      <c r="A37" s="208" t="str">
        <f>studie!B596</f>
        <v>Proeftemperatuur:</v>
      </c>
      <c r="L37" s="311" t="str">
        <f>IF(studie!I596="","",studie!I596&amp;" °C")</f>
        <v>50 °C</v>
      </c>
    </row>
    <row r="38" spans="1:20" s="208" customFormat="1" ht="12.75" x14ac:dyDescent="0.25">
      <c r="A38" s="208" t="str">
        <f>studie!B597</f>
        <v>Toegepaste belasting:</v>
      </c>
      <c r="L38" s="311" t="str">
        <f>IF(studie!I597="","",studie!I597&amp;" N")</f>
        <v>875 N</v>
      </c>
    </row>
    <row r="39" spans="1:20" s="208" customFormat="1" ht="12.75" x14ac:dyDescent="0.25">
      <c r="A39" s="208" t="str">
        <f>studie!B598</f>
        <v>Verdeling Haversine:</v>
      </c>
      <c r="L39" s="2294" t="str">
        <f>IF(studie!G598="","",studie!G598)</f>
        <v/>
      </c>
      <c r="M39" s="2294"/>
      <c r="N39" s="2294"/>
      <c r="O39" s="2294"/>
      <c r="P39" s="2294"/>
      <c r="Q39" s="2294"/>
      <c r="R39" s="2294"/>
      <c r="S39" s="2294"/>
      <c r="T39" s="2294"/>
    </row>
    <row r="40" spans="1:20" s="208" customFormat="1" ht="12.75" x14ac:dyDescent="0.25">
      <c r="A40" s="208" t="str">
        <f>studie!B599</f>
        <v>Aantal cycli:</v>
      </c>
      <c r="L40" s="2294">
        <f>IF(studie!I599="","",studie!I599)</f>
        <v>5000</v>
      </c>
      <c r="M40" s="2294"/>
      <c r="N40" s="2294"/>
      <c r="O40" s="2294"/>
    </row>
    <row r="41" spans="1:20" s="208" customFormat="1" ht="7.15" customHeight="1" thickBot="1" x14ac:dyDescent="0.3"/>
    <row r="42" spans="1:20" s="318" customFormat="1" ht="12.75" customHeight="1" x14ac:dyDescent="0.2">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2">
      <c r="A43" s="324" t="str">
        <f>IF(studie!I603="","",studie!B603)</f>
        <v>Gecumuleerde axiale vervorming na 5000 cycli:</v>
      </c>
      <c r="F43" s="849"/>
      <c r="G43" s="849"/>
      <c r="J43" s="325" t="str">
        <f>IF(studie!I603="","",studie!I603)&amp;" %"</f>
        <v>2 %</v>
      </c>
      <c r="O43" s="337"/>
    </row>
    <row r="44" spans="1:20" s="318" customFormat="1" ht="12.75" customHeight="1" x14ac:dyDescent="0.2">
      <c r="A44" s="324" t="str">
        <f>IF(studie!I604="","",studie!B604)</f>
        <v>Vloeisnelheid:</v>
      </c>
      <c r="F44" s="849"/>
      <c r="G44" s="849"/>
      <c r="J44" s="325" t="str">
        <f>IF(studie!I604="","",studie!I604)&amp;" microvervorming/cyclus"</f>
        <v>3 microvervorming/cyclus</v>
      </c>
      <c r="O44" s="337"/>
    </row>
    <row r="45" spans="1:20" s="318" customFormat="1" ht="12.75" customHeight="1" x14ac:dyDescent="0.2">
      <c r="A45" s="324" t="str">
        <f>IF(studie!I605="","",studie!B605)</f>
        <v>Vloeimodulus:</v>
      </c>
      <c r="J45" s="325" t="str">
        <f>IF(studie!I605="","",studie!I605)&amp;" MPa"</f>
        <v>4 MPa</v>
      </c>
      <c r="O45" s="337"/>
    </row>
    <row r="46" spans="1:20" s="318" customFormat="1" ht="12.75" customHeight="1" x14ac:dyDescent="0.2">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2">
      <c r="A47" s="324" t="str">
        <f>IF(studie!I607="","",studie!B607)</f>
        <v>Gemiddelde blijvende vervorming na 5000 cycli:</v>
      </c>
      <c r="J47" s="325" t="str">
        <f>IF(studie!I607="","",studie!I607)&amp;" %"</f>
        <v>6 %</v>
      </c>
      <c r="O47" s="337"/>
    </row>
    <row r="48" spans="1:20" s="318" customFormat="1" ht="12.75" customHeight="1" x14ac:dyDescent="0.2">
      <c r="A48" s="324" t="str">
        <f>IF(studie!I608="","",studie!B608)</f>
        <v>Gemiddelde vloeisnelheid:</v>
      </c>
      <c r="J48" s="325" t="str">
        <f>IF(studie!I608="","",studie!I608)&amp;" microvervorming/cyclus"</f>
        <v>7 microvervorming/cyclus</v>
      </c>
      <c r="O48" s="337"/>
    </row>
    <row r="49" spans="1:20" s="318" customFormat="1" ht="12.75" customHeight="1" thickBot="1" x14ac:dyDescent="0.2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2"/>
    <row r="51" spans="1:20" ht="15" customHeight="1" x14ac:dyDescent="0.2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25"/>
    <row r="53" spans="1:20" s="208" customFormat="1" ht="12.75" x14ac:dyDescent="0.25">
      <c r="A53" s="208" t="s">
        <v>779</v>
      </c>
      <c r="D53" s="779" t="str">
        <f>IF(studie!E614="J","","Dit kenmerk werd niet bepaald.")</f>
        <v/>
      </c>
      <c r="L53" s="208" t="str">
        <f>IF(studie!E614="J",studie!E615,"")</f>
        <v>laboratoriumvalidatie</v>
      </c>
    </row>
    <row r="54" spans="1:20" s="208" customFormat="1" ht="12.75" x14ac:dyDescent="0.25">
      <c r="A54" s="208" t="str">
        <f>studie!B618</f>
        <v>Toegepaste methode:</v>
      </c>
      <c r="L54" s="311" t="str">
        <f>IF(studie!E614="J",studie!F618,"")</f>
        <v>SB 250 v.2.2 H14 4.18</v>
      </c>
      <c r="O54" s="311"/>
    </row>
    <row r="55" spans="1:20" s="208" customFormat="1" ht="12.75" x14ac:dyDescent="0.25">
      <c r="A55" s="208" t="str">
        <f>studie!B619</f>
        <v>Beproevingstemperaturen:</v>
      </c>
      <c r="L55" s="311" t="str">
        <f>IF(studie!E614="J",studie!F619&amp;" °C","")</f>
        <v>-5, -10, -15, -20, -25, -30, -35 °C</v>
      </c>
    </row>
    <row r="56" spans="1:20" s="208" customFormat="1" ht="7.15" customHeight="1" thickBot="1" x14ac:dyDescent="0.3">
      <c r="L56" s="311"/>
    </row>
    <row r="57" spans="1:20" s="318" customFormat="1" ht="12.75" customHeight="1" thickBot="1" x14ac:dyDescent="0.2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2"/>
    <row r="59" spans="1:20" s="210" customFormat="1" ht="11.25" x14ac:dyDescent="0.25">
      <c r="A59" s="2251" t="str">
        <f>'VN1'!$A$53</f>
        <v>801/64/</v>
      </c>
      <c r="B59" s="2251"/>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25"/>
    <row r="61" spans="1:20" ht="12.75" customHeight="1" x14ac:dyDescent="0.25"/>
    <row r="62" spans="1:20" ht="12.75" customHeight="1" x14ac:dyDescent="0.25"/>
    <row r="63" spans="1:20" ht="12.75" customHeight="1" x14ac:dyDescent="0.25"/>
    <row r="64" spans="1:20" ht="12.75" customHeight="1" x14ac:dyDescent="0.2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25"/>
    <row r="3" spans="1:20" s="208" customFormat="1" ht="12.75" customHeight="1" x14ac:dyDescent="0.25">
      <c r="A3" s="208" t="s">
        <v>779</v>
      </c>
      <c r="L3" s="208" t="str">
        <f>studie!E628</f>
        <v>laboratoriumvalidatie</v>
      </c>
    </row>
    <row r="4" spans="1:20" s="208" customFormat="1" ht="12.75" customHeight="1" x14ac:dyDescent="0.25">
      <c r="A4" s="208" t="str">
        <f>studie!B631</f>
        <v>Toegepaste norm voor de bepaling van de affiniteit:</v>
      </c>
      <c r="L4" s="311" t="str">
        <f>studie!H631</f>
        <v>EN 12697-11</v>
      </c>
      <c r="O4" s="311"/>
    </row>
    <row r="5" spans="1:20" s="208" customFormat="1" ht="12.75" customHeight="1" x14ac:dyDescent="0.25">
      <c r="A5" s="208" t="str">
        <f>studie!B632</f>
        <v>Methode:</v>
      </c>
      <c r="L5" s="311" t="str">
        <f>studie!H632</f>
        <v>Kokend water</v>
      </c>
    </row>
    <row r="6" spans="1:20" s="208" customFormat="1" ht="12.75" customHeight="1" x14ac:dyDescent="0.25">
      <c r="A6" s="208" t="str">
        <f>studie!B633</f>
        <v>Type en korrelmaat aggregaten:</v>
      </c>
      <c r="L6" s="311" t="str">
        <f>studie!H633</f>
        <v>a</v>
      </c>
    </row>
    <row r="7" spans="1:20" s="208" customFormat="1" ht="12.75" customHeight="1" x14ac:dyDescent="0.25">
      <c r="A7" s="208" t="str">
        <f>studie!B634</f>
        <v>Type bindmiddel:</v>
      </c>
      <c r="L7" s="311" t="str">
        <f>studie!H634</f>
        <v>b</v>
      </c>
    </row>
    <row r="8" spans="1:20" s="208" customFormat="1" ht="12.75" customHeight="1" x14ac:dyDescent="0.25">
      <c r="A8" s="208" t="str">
        <f>studie!B635</f>
        <v>Type en hoeveelheid toevoegsel:</v>
      </c>
      <c r="L8" s="311" t="str">
        <f>studie!H635</f>
        <v>c</v>
      </c>
    </row>
    <row r="9" spans="1:20" s="208" customFormat="1" ht="12.75" customHeight="1" x14ac:dyDescent="0.25">
      <c r="A9" s="208" t="str">
        <f>studie!B636</f>
        <v>Type anti-stripping middel:</v>
      </c>
      <c r="L9" s="311" t="str">
        <f>studie!H636</f>
        <v>d</v>
      </c>
    </row>
    <row r="10" spans="1:20" s="208" customFormat="1" ht="12.75" customHeight="1" thickBot="1" x14ac:dyDescent="0.3"/>
    <row r="11" spans="1:20" s="208" customFormat="1" ht="12.75" customHeight="1" x14ac:dyDescent="0.2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2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2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2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2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2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3">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25">
      <c r="A18" s="1096" t="str">
        <f>IF(studie!D646="","",studie!B646)</f>
        <v>Bemerkingen:</v>
      </c>
      <c r="F18" s="311" t="str">
        <f>IF(studie!D646="","",studie!D646)</f>
        <v>opmerking</v>
      </c>
    </row>
    <row r="19" spans="1:14" ht="12.75" customHeight="1" x14ac:dyDescent="0.25">
      <c r="A19" s="311" t="str">
        <f>IF(studie!D647="","",studie!B647)</f>
        <v>Aantal laboranten:</v>
      </c>
      <c r="F19" s="311">
        <f>IF(studie!D647="","",studie!D647)</f>
        <v>1</v>
      </c>
    </row>
    <row r="20" spans="1:14" ht="12.75" customHeight="1" x14ac:dyDescent="0.25"/>
    <row r="21" spans="1:14" ht="12.75" customHeight="1" x14ac:dyDescent="0.25"/>
    <row r="22" spans="1:14" ht="12.75" customHeight="1" x14ac:dyDescent="0.25"/>
    <row r="23" spans="1:14" ht="12.75" customHeight="1" x14ac:dyDescent="0.25"/>
    <row r="24" spans="1:14" ht="12.75" customHeight="1" x14ac:dyDescent="0.25">
      <c r="C24" s="1445" t="str">
        <f>IF(studie!E627="J","","PROEF NIET UITGEVOERD !")</f>
        <v/>
      </c>
    </row>
    <row r="25" spans="1:14" ht="12.75" customHeight="1" x14ac:dyDescent="0.25"/>
    <row r="26" spans="1:14" ht="12.75" customHeight="1" x14ac:dyDescent="0.25"/>
    <row r="27" spans="1:14" ht="12.75" customHeight="1" x14ac:dyDescent="0.25"/>
    <row r="28" spans="1:14" ht="12.75" customHeight="1" x14ac:dyDescent="0.25"/>
    <row r="29" spans="1:14" ht="12.75" customHeight="1" x14ac:dyDescent="0.25"/>
    <row r="30" spans="1:14" ht="12.75" customHeight="1" x14ac:dyDescent="0.25"/>
    <row r="31" spans="1:14" ht="12.75" customHeight="1" x14ac:dyDescent="0.25"/>
    <row r="32" spans="1: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spans="1:20" ht="12.75" customHeight="1" x14ac:dyDescent="0.25"/>
    <row r="50" spans="1:20" ht="12.75" customHeight="1" x14ac:dyDescent="0.25"/>
    <row r="51" spans="1:20" ht="12.75" customHeight="1" x14ac:dyDescent="0.25"/>
    <row r="52" spans="1:20" ht="12.75" customHeight="1" x14ac:dyDescent="0.25"/>
    <row r="53" spans="1:20" ht="12.75" customHeight="1" x14ac:dyDescent="0.25"/>
    <row r="54" spans="1:20" ht="12.75" customHeight="1" x14ac:dyDescent="0.25"/>
    <row r="55" spans="1:20" ht="12.75" customHeight="1" x14ac:dyDescent="0.25"/>
    <row r="56" spans="1:20" ht="12.75" customHeight="1" x14ac:dyDescent="0.25"/>
    <row r="57" spans="1:20" ht="12.75" customHeight="1" x14ac:dyDescent="0.25"/>
    <row r="58" spans="1:20" s="210" customFormat="1" ht="11.25" x14ac:dyDescent="0.25">
      <c r="A58" s="2251" t="str">
        <f>'VN1'!$A$53</f>
        <v>801/64/</v>
      </c>
      <c r="B58" s="2251"/>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25"/>
    <row r="60" spans="1:20" ht="12.75" customHeight="1" x14ac:dyDescent="0.25"/>
    <row r="61" spans="1:20" ht="12.75" customHeight="1" x14ac:dyDescent="0.25"/>
    <row r="62" spans="1:20" ht="12.75" customHeight="1" x14ac:dyDescent="0.25"/>
    <row r="63" spans="1:20" ht="12.75" customHeight="1" x14ac:dyDescent="0.25"/>
    <row r="64" spans="1:20" ht="12.75" customHeight="1" x14ac:dyDescent="0.2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5" x14ac:dyDescent="0.25"/>
  <cols>
    <col min="1" max="19" width="4.7109375" customWidth="1"/>
    <col min="20" max="20" width="5.42578125" customWidth="1"/>
    <col min="21" max="26" width="4.7109375" customWidth="1"/>
  </cols>
  <sheetData>
    <row r="1" spans="1:20" ht="15" customHeight="1" x14ac:dyDescent="0.2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x14ac:dyDescent="0.25"/>
    <row r="3" spans="1:20" s="208" customFormat="1" ht="12.75" x14ac:dyDescent="0.25">
      <c r="A3" s="208" t="s">
        <v>779</v>
      </c>
      <c r="P3" s="208" t="str">
        <f>studie!E656</f>
        <v>laboratoriumvalidatie</v>
      </c>
    </row>
    <row r="4" spans="1:20" s="208" customFormat="1" ht="12.75" x14ac:dyDescent="0.25">
      <c r="A4" s="208" t="str">
        <f>studie!B659</f>
        <v>Toegepaste methode voor de verdichting van de proefstukken (volgens EN 13108-20):</v>
      </c>
      <c r="P4" s="208" t="str">
        <f>studie!L659</f>
        <v>C.1.7</v>
      </c>
    </row>
    <row r="5" spans="1:20" s="208" customFormat="1" ht="12.75" customHeight="1" x14ac:dyDescent="0.25">
      <c r="A5" s="208" t="s">
        <v>442</v>
      </c>
      <c r="P5" s="208" t="str">
        <f>studie!H31</f>
        <v>EN 12697-29</v>
      </c>
    </row>
    <row r="6" spans="1:20" s="208" customFormat="1" ht="12.75" customHeight="1" thickBot="1" x14ac:dyDescent="0.3"/>
    <row r="7" spans="1:20" s="208" customFormat="1" ht="12.75" customHeight="1" x14ac:dyDescent="0.2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2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2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2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2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2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2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2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2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2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2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2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2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2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2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2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2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3">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25"/>
    <row r="26" spans="1:20" s="208" customFormat="1" ht="12.75" x14ac:dyDescent="0.25">
      <c r="A26" s="208" t="str">
        <f>studie!B160</f>
        <v>Toegepaste norm voor de bepaling van de bulkdichtheid:</v>
      </c>
      <c r="P26" s="311" t="str">
        <f>studie!K160</f>
        <v>EN 12697-6</v>
      </c>
    </row>
    <row r="27" spans="1:20" s="208" customFormat="1" ht="12.75" x14ac:dyDescent="0.25">
      <c r="A27" s="208" t="str">
        <f>IF(studie!L426="","",studie!B426)</f>
        <v>Toegepaste methode voor de bepaling van de bulkdichtheid:</v>
      </c>
      <c r="P27" s="311" t="str">
        <f>IF(studie!L660="","",studie!L660)</f>
        <v>C</v>
      </c>
    </row>
    <row r="28" spans="1:20" s="208" customFormat="1" ht="13.5" thickBot="1" x14ac:dyDescent="0.3"/>
    <row r="29" spans="1:20" s="208" customFormat="1" ht="14.25" x14ac:dyDescent="0.2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2.75" x14ac:dyDescent="0.2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2.75" x14ac:dyDescent="0.2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2.75" x14ac:dyDescent="0.2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2.75" x14ac:dyDescent="0.2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2.75" x14ac:dyDescent="0.2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2.75" x14ac:dyDescent="0.2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2.75" x14ac:dyDescent="0.2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2.75" x14ac:dyDescent="0.2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2.75" x14ac:dyDescent="0.2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2.75" x14ac:dyDescent="0.2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2.75" x14ac:dyDescent="0.2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2.75" x14ac:dyDescent="0.2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2.75" x14ac:dyDescent="0.2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2.75" x14ac:dyDescent="0.2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2.75" x14ac:dyDescent="0.2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3">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2.75" x14ac:dyDescent="0.25">
      <c r="A46" s="852"/>
      <c r="B46" s="852"/>
      <c r="C46" s="852"/>
      <c r="D46" s="852"/>
      <c r="E46" s="994"/>
      <c r="F46" s="994"/>
      <c r="G46" s="994"/>
      <c r="H46" s="994"/>
      <c r="I46" s="852"/>
      <c r="J46" s="852"/>
      <c r="K46" s="852"/>
      <c r="L46" s="995"/>
      <c r="M46" s="995"/>
    </row>
    <row r="47" spans="1:20" s="208" customFormat="1" ht="12.75" x14ac:dyDescent="0.25">
      <c r="A47" s="852"/>
      <c r="B47" s="852"/>
      <c r="C47" s="852"/>
      <c r="D47" s="852"/>
      <c r="E47" s="994"/>
      <c r="F47" s="994"/>
      <c r="G47" s="994"/>
      <c r="H47" s="994"/>
      <c r="I47" s="852"/>
      <c r="J47" s="852"/>
      <c r="K47" s="852"/>
      <c r="L47" s="995"/>
      <c r="M47" s="995"/>
    </row>
    <row r="48" spans="1:20" s="208" customFormat="1" ht="12.75" x14ac:dyDescent="0.25">
      <c r="A48" s="852"/>
      <c r="B48" s="852"/>
      <c r="C48" s="852"/>
      <c r="D48" s="852"/>
      <c r="E48" s="994"/>
      <c r="F48" s="994"/>
      <c r="G48" s="994"/>
      <c r="H48" s="994"/>
      <c r="I48" s="852"/>
      <c r="J48" s="852"/>
      <c r="K48" s="852"/>
      <c r="L48" s="995"/>
      <c r="M48" s="995"/>
    </row>
    <row r="49" spans="1:20" s="208" customFormat="1" ht="12.75" x14ac:dyDescent="0.25">
      <c r="A49" s="852"/>
      <c r="B49" s="852"/>
      <c r="C49" s="852"/>
      <c r="D49" s="852"/>
      <c r="E49" s="994"/>
      <c r="F49" s="994"/>
      <c r="G49" s="994"/>
      <c r="H49" s="994"/>
      <c r="I49" s="852"/>
      <c r="J49" s="852"/>
      <c r="K49" s="852"/>
      <c r="L49" s="995"/>
      <c r="M49" s="995"/>
    </row>
    <row r="50" spans="1:20" s="208" customFormat="1" ht="12.75" x14ac:dyDescent="0.25">
      <c r="A50" s="852"/>
      <c r="B50" s="852"/>
      <c r="C50" s="852"/>
      <c r="D50" s="852"/>
      <c r="E50" s="994"/>
      <c r="F50" s="994"/>
      <c r="G50" s="994"/>
      <c r="H50" s="994"/>
      <c r="I50" s="852"/>
      <c r="J50" s="852"/>
      <c r="K50" s="852"/>
      <c r="L50" s="995"/>
      <c r="M50" s="995"/>
    </row>
    <row r="51" spans="1:20" s="208" customFormat="1" ht="12.75" x14ac:dyDescent="0.25">
      <c r="A51" s="852"/>
      <c r="B51" s="852"/>
      <c r="C51" s="852"/>
      <c r="D51" s="852"/>
      <c r="E51" s="994"/>
      <c r="F51" s="994"/>
      <c r="G51" s="994"/>
      <c r="H51" s="994"/>
      <c r="I51" s="852"/>
      <c r="J51" s="852"/>
      <c r="K51" s="852"/>
      <c r="L51" s="995"/>
      <c r="M51" s="995"/>
    </row>
    <row r="52" spans="1:20" s="208" customFormat="1" ht="12.75" x14ac:dyDescent="0.25">
      <c r="A52" s="852"/>
      <c r="B52" s="852"/>
      <c r="C52" s="852"/>
      <c r="D52" s="852"/>
      <c r="E52" s="994"/>
      <c r="F52" s="994"/>
      <c r="G52" s="994"/>
      <c r="H52" s="994"/>
      <c r="I52" s="852"/>
      <c r="J52" s="852"/>
      <c r="K52" s="852"/>
      <c r="L52" s="995"/>
      <c r="M52" s="995"/>
    </row>
    <row r="53" spans="1:20" s="208" customFormat="1" ht="12.75" x14ac:dyDescent="0.25">
      <c r="A53" s="852"/>
      <c r="B53" s="852"/>
      <c r="C53" s="852"/>
      <c r="D53" s="852"/>
      <c r="E53" s="994"/>
      <c r="F53" s="994"/>
      <c r="G53" s="994"/>
      <c r="H53" s="994"/>
      <c r="I53" s="852"/>
      <c r="J53" s="852"/>
      <c r="K53" s="852"/>
      <c r="L53" s="995"/>
      <c r="M53" s="995"/>
    </row>
    <row r="54" spans="1:20" s="210" customFormat="1" ht="11.25" x14ac:dyDescent="0.25">
      <c r="A54" s="2251" t="str">
        <f>'VN1'!$A$53</f>
        <v>801/64/</v>
      </c>
      <c r="B54" s="2251"/>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2.75" x14ac:dyDescent="0.25">
      <c r="A55" s="852"/>
      <c r="B55" s="852"/>
      <c r="C55" s="852"/>
      <c r="D55" s="852"/>
      <c r="E55" s="994"/>
      <c r="F55" s="994"/>
      <c r="G55" s="994"/>
      <c r="H55" s="994"/>
      <c r="I55" s="852"/>
      <c r="J55" s="852"/>
      <c r="K55" s="852"/>
      <c r="L55" s="995"/>
      <c r="M55" s="995"/>
    </row>
    <row r="56" spans="1:20" s="208" customFormat="1" ht="12.75" x14ac:dyDescent="0.25">
      <c r="A56" s="208" t="str">
        <f>studie!B661</f>
        <v>Toegepaste norm voor de bepaling van de Marshallkenmerken:</v>
      </c>
      <c r="M56" s="208" t="str">
        <f>studie!K661</f>
        <v>EN 12697-34</v>
      </c>
    </row>
    <row r="57" spans="1:20" s="208" customFormat="1" ht="13.5" thickBot="1" x14ac:dyDescent="0.3"/>
    <row r="58" spans="1:20" s="208" customFormat="1" ht="14.25" x14ac:dyDescent="0.2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4.25" x14ac:dyDescent="0.2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2.75" x14ac:dyDescent="0.2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2.75" x14ac:dyDescent="0.2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2.75" x14ac:dyDescent="0.2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2.75" x14ac:dyDescent="0.2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2.75" x14ac:dyDescent="0.2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2.75" x14ac:dyDescent="0.2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2.75" x14ac:dyDescent="0.2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2.75" x14ac:dyDescent="0.2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2.75" x14ac:dyDescent="0.2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2.75" x14ac:dyDescent="0.2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2.75" x14ac:dyDescent="0.2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2.75" x14ac:dyDescent="0.2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2.75" x14ac:dyDescent="0.2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2.75" x14ac:dyDescent="0.2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2.75" x14ac:dyDescent="0.2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3">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25"/>
    <row r="77" spans="1:18" ht="12.75" customHeight="1" x14ac:dyDescent="0.25"/>
    <row r="78" spans="1:18" ht="12.75" customHeight="1" x14ac:dyDescent="0.25"/>
    <row r="79" spans="1:18" ht="12.75" customHeight="1" x14ac:dyDescent="0.25">
      <c r="C79" s="1445" t="str">
        <f>IF(studie!E655="J","","PROEVEN NIET UITGEVOERD !")</f>
        <v/>
      </c>
    </row>
    <row r="80" spans="1:18"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spans="1:20" ht="12.75" customHeight="1" x14ac:dyDescent="0.25"/>
    <row r="98" spans="1:20" ht="12.75" customHeight="1" x14ac:dyDescent="0.25"/>
    <row r="99" spans="1:20" ht="12.75" customHeight="1" x14ac:dyDescent="0.25"/>
    <row r="100" spans="1:20" ht="12.75" customHeight="1" x14ac:dyDescent="0.25"/>
    <row r="101" spans="1:20" ht="12.75" customHeight="1" x14ac:dyDescent="0.25"/>
    <row r="102" spans="1:20" ht="12.75" customHeight="1" x14ac:dyDescent="0.25"/>
    <row r="103" spans="1:20" ht="12.75" customHeight="1" x14ac:dyDescent="0.25"/>
    <row r="104" spans="1:20" ht="12.75" customHeight="1" x14ac:dyDescent="0.25"/>
    <row r="105" spans="1:20" ht="12.75" customHeight="1" x14ac:dyDescent="0.25"/>
    <row r="106" spans="1:20" ht="12.75" customHeight="1" x14ac:dyDescent="0.25"/>
    <row r="107" spans="1:20" ht="12.75" customHeight="1" x14ac:dyDescent="0.25"/>
    <row r="108" spans="1:20" ht="12.75" customHeight="1" x14ac:dyDescent="0.25"/>
    <row r="109" spans="1:20" ht="12.75" customHeight="1" x14ac:dyDescent="0.25"/>
    <row r="110" spans="1:20" ht="12.75" customHeight="1" x14ac:dyDescent="0.25"/>
    <row r="111" spans="1:20" s="210" customFormat="1" ht="11.25" x14ac:dyDescent="0.25">
      <c r="A111" s="2251" t="str">
        <f>'VN1'!$A$53</f>
        <v>801/64/</v>
      </c>
      <c r="B111" s="2251"/>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5" x14ac:dyDescent="0.25"/>
  <cols>
    <col min="1" max="20" width="4.7109375" customWidth="1"/>
    <col min="21" max="21" width="3.7109375" customWidth="1"/>
    <col min="22" max="22" width="4.7109375" customWidth="1"/>
    <col min="23" max="30" width="5.7109375" customWidth="1"/>
  </cols>
  <sheetData>
    <row r="1" spans="1:32" ht="15.75" x14ac:dyDescent="0.2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2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2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25">
      <c r="A4" s="926"/>
      <c r="B4" s="779" t="str">
        <f>algemeen!E6</f>
        <v>1234 Brussel</v>
      </c>
      <c r="N4" s="2311">
        <f>IF($AB$2=1,algemeen!E23,IF($AB$2=2,algemeen!H23,algemeen!K23))</f>
        <v>1000</v>
      </c>
      <c r="O4" s="2311">
        <f>IF($AB$2=1,algemeen!E18,IF($AB$2=2,algemeen!H18,algemeen!K18))</f>
        <v>0</v>
      </c>
      <c r="P4" s="1123" t="str">
        <f>IF($AB$2=1,algemeen!E24,IF($AB$2=2,algemeen!H24,algemeen!K24))</f>
        <v>Gaurain-Ramecroix</v>
      </c>
      <c r="U4" s="927"/>
    </row>
    <row r="5" spans="1:32" ht="13.15" customHeight="1" thickBot="1" x14ac:dyDescent="0.3">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25">
      <c r="A6" s="926"/>
      <c r="J6" s="934">
        <f>algemeen!G79</f>
        <v>39563</v>
      </c>
      <c r="K6" s="935"/>
      <c r="U6" s="927"/>
      <c r="W6" s="1699" t="s">
        <v>1105</v>
      </c>
      <c r="X6" s="1699" t="s">
        <v>1478</v>
      </c>
    </row>
    <row r="7" spans="1:32" ht="15.75" thickBot="1" x14ac:dyDescent="0.3">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2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2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75" thickBot="1" x14ac:dyDescent="0.3">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25">
      <c r="A11" s="1408" t="s">
        <v>1057</v>
      </c>
      <c r="B11" s="1409"/>
      <c r="C11" s="1409"/>
      <c r="D11" s="1409"/>
      <c r="E11" s="1409"/>
      <c r="F11" s="1409"/>
      <c r="G11" s="1410"/>
      <c r="H11" s="1409"/>
      <c r="I11" s="1411" t="s">
        <v>629</v>
      </c>
      <c r="J11" s="1409"/>
      <c r="K11" s="1409"/>
      <c r="L11" s="1412"/>
      <c r="M11" s="2308" t="s">
        <v>1385</v>
      </c>
      <c r="N11" s="2308"/>
      <c r="O11" s="2308"/>
      <c r="P11" s="2308"/>
      <c r="Q11" s="2308"/>
      <c r="R11" s="2308"/>
      <c r="S11" s="2308"/>
      <c r="T11" s="2308"/>
      <c r="U11" s="2309"/>
      <c r="W11" s="1577">
        <v>1</v>
      </c>
      <c r="X11" s="1577">
        <v>2</v>
      </c>
      <c r="Y11" s="1577">
        <v>3</v>
      </c>
      <c r="Z11" s="1577">
        <v>4</v>
      </c>
      <c r="AA11" s="1577">
        <v>5</v>
      </c>
      <c r="AB11" s="1577">
        <v>6</v>
      </c>
      <c r="AC11" s="1577">
        <v>7</v>
      </c>
      <c r="AD11" s="1577">
        <v>9</v>
      </c>
    </row>
    <row r="12" spans="1:32" ht="12.4" customHeight="1" x14ac:dyDescent="0.2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2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2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2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2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2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2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2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2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2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2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2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2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2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25">
      <c r="A26" s="250"/>
      <c r="B26" s="208"/>
      <c r="F26" s="2310">
        <f>IF(berekeningen!R$9=0,"",berekeningen!R$9)</f>
        <v>0.125</v>
      </c>
      <c r="G26" s="2310"/>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25">
      <c r="A27" s="250"/>
      <c r="B27" s="208"/>
      <c r="F27" s="2310">
        <f>IF(berekeningen!S$9=0,"",berekeningen!S$9)</f>
        <v>6.3E-2</v>
      </c>
      <c r="G27" s="2310"/>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2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2">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2">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2">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2">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2">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2">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2">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2">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2">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2">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2">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2">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2">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2">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2">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2">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2">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2">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2">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2">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2">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2">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2">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2">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2">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2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2">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2">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2">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2">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2">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2">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2">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2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2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2">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2">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2">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2">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2">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2">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2">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2">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2">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2">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2">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2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2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2"/>
    <row r="78" spans="1:30" s="318" customFormat="1" ht="12.75" x14ac:dyDescent="0.2"/>
    <row r="79" spans="1:30" s="318" customFormat="1" ht="12.75" x14ac:dyDescent="0.2"/>
    <row r="80" spans="1:30" s="318" customFormat="1" ht="12.75" x14ac:dyDescent="0.2"/>
    <row r="81" spans="1:20" x14ac:dyDescent="0.25">
      <c r="A81" s="318"/>
      <c r="B81" s="318"/>
      <c r="C81" s="318"/>
      <c r="D81" s="318"/>
      <c r="E81" s="318"/>
      <c r="F81" s="318"/>
      <c r="G81" s="318"/>
      <c r="H81" s="318"/>
      <c r="I81" s="318"/>
      <c r="J81" s="318"/>
      <c r="K81" s="318"/>
      <c r="L81" s="318"/>
      <c r="M81" s="318"/>
      <c r="N81" s="318"/>
      <c r="O81" s="318"/>
      <c r="P81" s="318"/>
      <c r="Q81" s="318"/>
      <c r="R81" s="318"/>
      <c r="S81" s="318"/>
      <c r="T81" s="318"/>
    </row>
    <row r="82" spans="1:20" x14ac:dyDescent="0.25">
      <c r="A82" s="318"/>
      <c r="B82" s="318"/>
      <c r="C82" s="318"/>
      <c r="D82" s="318"/>
      <c r="E82" s="318"/>
      <c r="F82" s="318"/>
      <c r="G82" s="318"/>
      <c r="H82" s="318"/>
      <c r="I82" s="318"/>
    </row>
    <row r="83" spans="1:20" x14ac:dyDescent="0.2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5" x14ac:dyDescent="0.25"/>
  <cols>
    <col min="1" max="1" width="3.7109375" customWidth="1"/>
    <col min="2" max="20" width="4.7109375" customWidth="1"/>
    <col min="21" max="21" width="3.28515625" customWidth="1"/>
    <col min="22" max="22" width="4.7109375" customWidth="1"/>
    <col min="23" max="30" width="5.7109375" style="1154" customWidth="1"/>
  </cols>
  <sheetData>
    <row r="1" spans="1:32" s="1134" customFormat="1" ht="15.75" x14ac:dyDescent="0.2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25">
      <c r="A2" s="926"/>
      <c r="U2" s="927"/>
      <c r="W2" s="1387"/>
      <c r="X2" s="1389" t="s">
        <v>785</v>
      </c>
      <c r="Y2" s="1388"/>
      <c r="Z2" s="1388"/>
      <c r="AA2" s="1388"/>
      <c r="AB2" s="1576">
        <v>3</v>
      </c>
      <c r="AC2" s="1697" t="s">
        <v>1329</v>
      </c>
      <c r="AD2" s="1387"/>
      <c r="AF2" s="1700" t="s">
        <v>1467</v>
      </c>
    </row>
    <row r="3" spans="1:32" ht="15" customHeight="1" x14ac:dyDescent="0.25">
      <c r="A3" s="1122" t="s">
        <v>1105</v>
      </c>
      <c r="B3" t="s">
        <v>1106</v>
      </c>
      <c r="U3" s="927"/>
      <c r="W3" s="1387"/>
      <c r="X3" s="1387"/>
      <c r="Y3" s="1387"/>
      <c r="Z3" s="1387"/>
      <c r="AA3" s="1387"/>
      <c r="AB3" s="1387"/>
      <c r="AC3" s="1387"/>
      <c r="AD3" s="1387"/>
      <c r="AF3" s="1700" t="s">
        <v>1468</v>
      </c>
    </row>
    <row r="4" spans="1:32" ht="15" customHeight="1" x14ac:dyDescent="0.25">
      <c r="A4" s="926"/>
      <c r="J4" s="1390" t="str">
        <f>IF($AB$2=1,berekeningen!E7,IF($AB$2=2,berekeningen!H7,berekeningen!K7))</f>
        <v>8031/1234</v>
      </c>
      <c r="U4" s="927"/>
    </row>
    <row r="5" spans="1:32" ht="15" customHeight="1" x14ac:dyDescent="0.25">
      <c r="A5" s="926"/>
      <c r="I5" s="939" t="str">
        <f>IF($AB$2=1,berekeningen!D5&amp;"/",IF($AB$2=2,berekeningen!G5&amp;"/",berekeningen!J5&amp;"/"))</f>
        <v>8031/64/</v>
      </c>
      <c r="J5" s="938" t="str">
        <f>algemeen!J66</f>
        <v>2010/13RE-1234/0</v>
      </c>
      <c r="U5" s="927"/>
      <c r="W5"/>
      <c r="X5" s="1699"/>
    </row>
    <row r="6" spans="1:32" ht="15" customHeight="1" x14ac:dyDescent="0.25">
      <c r="A6" s="926"/>
      <c r="B6" s="2314" t="str">
        <f>IF(algemeen!F43="geen","",algemeen!F43&amp;"  "&amp;algemeen!F41)</f>
        <v>EN 13108-1  AC 20 onderlaag 50/70</v>
      </c>
      <c r="C6" s="2314"/>
      <c r="D6" s="2314"/>
      <c r="E6" s="2314"/>
      <c r="F6" s="2314"/>
      <c r="G6" s="2314"/>
      <c r="H6" s="2314"/>
      <c r="I6" s="2314"/>
      <c r="J6" s="2314"/>
      <c r="K6" s="2314"/>
      <c r="L6" s="2314"/>
      <c r="M6" s="2314"/>
      <c r="N6" s="2314"/>
      <c r="O6" s="2314"/>
      <c r="P6" s="2314"/>
      <c r="Q6" s="2314"/>
      <c r="R6" s="2314"/>
      <c r="S6" s="2314"/>
      <c r="T6" s="2314"/>
      <c r="U6" s="927"/>
      <c r="W6" s="1699" t="s">
        <v>1477</v>
      </c>
      <c r="X6"/>
    </row>
    <row r="7" spans="1:32" ht="9.9499999999999993" customHeight="1" x14ac:dyDescent="0.2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25">
      <c r="A8" s="1122" t="s">
        <v>1107</v>
      </c>
      <c r="B8" t="s">
        <v>1463</v>
      </c>
      <c r="U8" s="927"/>
      <c r="W8"/>
      <c r="X8"/>
    </row>
    <row r="9" spans="1:32" ht="15" customHeight="1" x14ac:dyDescent="0.25">
      <c r="A9" s="926"/>
      <c r="B9" s="2325" t="str">
        <f>IF(algemeen!F44="","",algemeen!F44)</f>
        <v>voor onderlagen van asfaltverhardingen</v>
      </c>
      <c r="C9" s="2325"/>
      <c r="D9" s="2325"/>
      <c r="E9" s="2325"/>
      <c r="F9" s="2325"/>
      <c r="G9" s="2325"/>
      <c r="H9" s="2325"/>
      <c r="I9" s="2325"/>
      <c r="J9" s="2325"/>
      <c r="K9" s="2325"/>
      <c r="L9" s="2325"/>
      <c r="M9" s="2325"/>
      <c r="N9" s="2325"/>
      <c r="O9" s="2325"/>
      <c r="P9" s="2325"/>
      <c r="Q9" s="2325"/>
      <c r="R9" s="2325"/>
      <c r="S9" s="2325"/>
      <c r="T9" s="2325"/>
      <c r="U9" s="927"/>
      <c r="W9" s="1699" t="s">
        <v>1105</v>
      </c>
      <c r="X9" s="1699" t="s">
        <v>1478</v>
      </c>
    </row>
    <row r="10" spans="1:32" ht="9.9499999999999993" customHeight="1" x14ac:dyDescent="0.25">
      <c r="A10" s="926"/>
      <c r="U10" s="927"/>
      <c r="W10"/>
      <c r="X10"/>
    </row>
    <row r="11" spans="1:32" ht="15" customHeight="1" x14ac:dyDescent="0.25">
      <c r="A11" s="1122" t="s">
        <v>1108</v>
      </c>
      <c r="B11" t="s">
        <v>1156</v>
      </c>
      <c r="U11" s="927"/>
      <c r="W11" s="1699" t="s">
        <v>1107</v>
      </c>
      <c r="X11" s="1699" t="s">
        <v>1474</v>
      </c>
    </row>
    <row r="12" spans="1:32" s="932" customFormat="1" ht="9.9499999999999993" customHeight="1" x14ac:dyDescent="0.2">
      <c r="A12" s="1140"/>
      <c r="B12" s="932" t="s">
        <v>899</v>
      </c>
      <c r="L12" s="932" t="s">
        <v>785</v>
      </c>
      <c r="U12" s="1119"/>
      <c r="W12" s="1155"/>
      <c r="X12" s="1155"/>
      <c r="Y12" s="1155"/>
      <c r="Z12" s="1155"/>
      <c r="AA12" s="1155"/>
      <c r="AB12" s="1155"/>
      <c r="AC12" s="1155"/>
      <c r="AD12" s="1155"/>
    </row>
    <row r="13" spans="1:32" ht="15" customHeight="1" x14ac:dyDescent="0.2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25">
      <c r="A14" s="1122"/>
      <c r="C14" s="938" t="str">
        <f>algemeen!E5</f>
        <v>Dendermondsesteenweg 123</v>
      </c>
      <c r="M14" s="1123" t="str">
        <f>IF($AB$2=1,algemeen!E22,IF($AB$2=2,algemeen!H22,algemeen!K22))</f>
        <v>straat 3</v>
      </c>
      <c r="N14" s="317"/>
      <c r="O14" s="317"/>
      <c r="U14" s="927"/>
      <c r="X14" s="1699" t="s">
        <v>1476</v>
      </c>
    </row>
    <row r="15" spans="1:32" ht="15" customHeight="1" x14ac:dyDescent="0.25">
      <c r="A15" s="1122"/>
      <c r="C15" s="938" t="str">
        <f>algemeen!E6</f>
        <v>1234 Brussel</v>
      </c>
      <c r="M15" s="2311">
        <f>IF($AB$2=1,algemeen!E23,IF($AB$2=2,algemeen!H23,algemeen!K23))</f>
        <v>3000</v>
      </c>
      <c r="N15" s="2311">
        <f>IF($AB$2=1,algemeen!F23,IF($AB$2=2,algemeen!I23,algemeen!L23))</f>
        <v>0</v>
      </c>
      <c r="O15" s="1123" t="str">
        <f>IF($AB$2=1,algemeen!E24,IF($AB$2=2,algemeen!H24,algemeen!K24))</f>
        <v>Hasselt</v>
      </c>
      <c r="U15" s="927"/>
    </row>
    <row r="16" spans="1:32" ht="9.9499999999999993" customHeight="1" x14ac:dyDescent="0.25">
      <c r="A16" s="1122"/>
      <c r="C16" s="938"/>
      <c r="M16" s="1123"/>
      <c r="N16" s="317"/>
      <c r="O16" s="1123"/>
      <c r="U16" s="927"/>
    </row>
    <row r="17" spans="1:30" ht="15" customHeight="1" x14ac:dyDescent="0.25">
      <c r="A17" s="1122" t="s">
        <v>1109</v>
      </c>
      <c r="B17" t="s">
        <v>1157</v>
      </c>
      <c r="C17" s="938"/>
      <c r="M17" s="1123"/>
      <c r="N17" s="317"/>
      <c r="O17" s="1123"/>
      <c r="U17" s="927"/>
    </row>
    <row r="18" spans="1:30" ht="15" customHeight="1" x14ac:dyDescent="0.25">
      <c r="A18" s="926"/>
      <c r="C18" s="938"/>
      <c r="G18" s="317" t="str">
        <f>IF(algemeen!$E$15="","niet van toepassing",algemeen!E15)</f>
        <v>Dekmantelvennootschap bvba</v>
      </c>
      <c r="M18" s="1123"/>
      <c r="N18" s="317"/>
      <c r="O18" s="1123"/>
      <c r="U18" s="927"/>
    </row>
    <row r="19" spans="1:30" ht="15" customHeight="1" x14ac:dyDescent="0.25">
      <c r="A19" s="926"/>
      <c r="C19" s="938"/>
      <c r="G19" s="317" t="str">
        <f>IF(algemeen!$E$15="","",algemeen!E16)</f>
        <v>Blue Lagoon 69</v>
      </c>
      <c r="M19" s="1123"/>
      <c r="N19" s="317"/>
      <c r="O19" s="1123"/>
      <c r="U19" s="927"/>
    </row>
    <row r="20" spans="1:30" ht="15" customHeight="1" x14ac:dyDescent="0.25">
      <c r="A20" s="926"/>
      <c r="C20" s="938"/>
      <c r="G20" s="317" t="str">
        <f>IF(algemeen!$E$15="","",algemeen!E17)</f>
        <v>666 Bananenstad, Curaçao</v>
      </c>
      <c r="M20" s="1123"/>
      <c r="N20" s="317"/>
      <c r="O20" s="1123"/>
      <c r="U20" s="927"/>
    </row>
    <row r="21" spans="1:30" ht="9.9499999999999993" customHeight="1" x14ac:dyDescent="0.25">
      <c r="A21" s="926"/>
      <c r="C21" s="938"/>
      <c r="M21" s="1123"/>
      <c r="N21" s="317"/>
      <c r="O21" s="1123"/>
      <c r="U21" s="927"/>
    </row>
    <row r="22" spans="1:30" ht="15" customHeight="1" x14ac:dyDescent="0.25">
      <c r="A22" s="1122" t="s">
        <v>1110</v>
      </c>
      <c r="B22" t="s">
        <v>1462</v>
      </c>
      <c r="C22" s="938"/>
      <c r="M22" s="1123"/>
      <c r="N22" s="317"/>
      <c r="O22" s="1123"/>
      <c r="U22" s="927"/>
    </row>
    <row r="23" spans="1:30" ht="15" customHeight="1" x14ac:dyDescent="0.25">
      <c r="A23" s="1122"/>
      <c r="C23" s="938"/>
      <c r="J23" s="317" t="s">
        <v>1120</v>
      </c>
      <c r="M23" s="1123"/>
      <c r="N23" s="317"/>
      <c r="O23" s="1123"/>
      <c r="U23" s="927"/>
    </row>
    <row r="24" spans="1:30" ht="9.9499999999999993" customHeight="1" x14ac:dyDescent="0.25">
      <c r="A24" s="1122"/>
      <c r="C24" s="938"/>
      <c r="M24" s="1123"/>
      <c r="N24" s="317"/>
      <c r="O24" s="1123"/>
      <c r="U24" s="927"/>
    </row>
    <row r="25" spans="1:30" ht="15" customHeight="1" x14ac:dyDescent="0.25">
      <c r="A25" s="1122" t="s">
        <v>1119</v>
      </c>
      <c r="B25" t="s">
        <v>1152</v>
      </c>
      <c r="C25" s="938"/>
      <c r="J25" s="317" t="str">
        <f>algemeen!D48</f>
        <v xml:space="preserve">EN 13108-1 (2006) + EN 13108-1/AC (2008) </v>
      </c>
      <c r="M25" s="1123"/>
      <c r="N25" s="317"/>
      <c r="O25" s="1123"/>
      <c r="U25" s="927"/>
    </row>
    <row r="26" spans="1:30" ht="9.9499999999999993" customHeight="1" x14ac:dyDescent="0.25">
      <c r="A26" s="1122"/>
      <c r="C26" s="938"/>
      <c r="M26" s="1123"/>
      <c r="N26" s="317"/>
      <c r="O26" s="1123"/>
      <c r="U26" s="927"/>
    </row>
    <row r="27" spans="1:30" ht="15" customHeight="1" x14ac:dyDescent="0.25">
      <c r="A27" s="1122"/>
      <c r="B27" t="s">
        <v>1158</v>
      </c>
      <c r="C27" s="938"/>
      <c r="J27" s="317" t="s">
        <v>16</v>
      </c>
      <c r="K27" s="317"/>
      <c r="L27" s="939" t="s">
        <v>1155</v>
      </c>
      <c r="M27" s="2311">
        <v>1137</v>
      </c>
      <c r="N27" s="2311"/>
      <c r="O27" s="1123"/>
      <c r="U27" s="927"/>
    </row>
    <row r="28" spans="1:30" ht="9.9499999999999993" customHeight="1" x14ac:dyDescent="0.25">
      <c r="A28" s="1122"/>
      <c r="G28" s="1141"/>
      <c r="H28" s="935"/>
      <c r="I28" s="935"/>
      <c r="J28" s="935"/>
      <c r="K28" s="935"/>
      <c r="L28" s="935"/>
      <c r="M28" s="935"/>
      <c r="N28" s="935"/>
      <c r="U28" s="927"/>
    </row>
    <row r="29" spans="1:30" ht="15" customHeight="1" x14ac:dyDescent="0.25">
      <c r="A29" s="1122" t="s">
        <v>1121</v>
      </c>
      <c r="B29" t="s">
        <v>1159</v>
      </c>
      <c r="G29" s="1141"/>
      <c r="H29" s="935"/>
      <c r="I29" s="935"/>
      <c r="J29" s="935"/>
      <c r="K29" s="935"/>
      <c r="L29" s="935"/>
      <c r="M29" s="935"/>
      <c r="N29" s="935"/>
      <c r="U29" s="927"/>
    </row>
    <row r="30" spans="1:30" ht="45" customHeight="1" x14ac:dyDescent="0.25">
      <c r="A30" s="926"/>
      <c r="B30" s="2321" t="s">
        <v>1126</v>
      </c>
      <c r="C30" s="2322"/>
      <c r="D30" s="2322"/>
      <c r="E30" s="2322"/>
      <c r="F30" s="2322"/>
      <c r="G30" s="2322"/>
      <c r="H30" s="2321" t="s">
        <v>1133</v>
      </c>
      <c r="I30" s="2322"/>
      <c r="J30" s="2322"/>
      <c r="K30" s="2322"/>
      <c r="L30" s="2322"/>
      <c r="M30" s="2322"/>
      <c r="N30" s="2322"/>
      <c r="O30" s="2322"/>
      <c r="P30" s="2322"/>
      <c r="Q30" s="2322"/>
      <c r="R30" s="2322"/>
      <c r="S30" s="2322"/>
      <c r="T30" s="2323"/>
      <c r="U30" s="927"/>
      <c r="W30" s="1577">
        <v>1</v>
      </c>
      <c r="X30" s="1577">
        <v>2</v>
      </c>
      <c r="Y30" s="1577">
        <v>3</v>
      </c>
      <c r="Z30" s="1577">
        <v>4</v>
      </c>
      <c r="AA30" s="1577">
        <v>5</v>
      </c>
      <c r="AB30" s="1577">
        <v>6</v>
      </c>
      <c r="AC30" s="1577">
        <v>7</v>
      </c>
      <c r="AD30" s="1577">
        <v>9</v>
      </c>
    </row>
    <row r="31" spans="1:30" ht="28.5" customHeight="1" x14ac:dyDescent="0.25">
      <c r="A31" s="926"/>
      <c r="B31" s="2317" t="s">
        <v>1127</v>
      </c>
      <c r="C31" s="2318"/>
      <c r="D31" s="2318"/>
      <c r="E31" s="2318"/>
      <c r="F31" s="2318"/>
      <c r="G31" s="2318"/>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2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25">
      <c r="A33" s="926"/>
      <c r="B33" s="2319" t="s">
        <v>1129</v>
      </c>
      <c r="C33" s="2320"/>
      <c r="D33" s="2320"/>
      <c r="E33" s="2320"/>
      <c r="F33" s="2320"/>
      <c r="G33" s="2320"/>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2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2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2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2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2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2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25">
      <c r="A40" s="926"/>
      <c r="B40" s="2315" t="s">
        <v>1315</v>
      </c>
      <c r="C40" s="2316"/>
      <c r="D40" s="2316"/>
      <c r="E40" s="2316"/>
      <c r="F40" s="2316"/>
      <c r="G40" s="2316"/>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2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 customHeight="1" x14ac:dyDescent="0.2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 customHeight="1" x14ac:dyDescent="0.2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 customHeight="1" x14ac:dyDescent="0.2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 customHeight="1" x14ac:dyDescent="0.2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 customHeight="1" x14ac:dyDescent="0.2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 customHeight="1" x14ac:dyDescent="0.2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 customHeight="1" x14ac:dyDescent="0.2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 customHeight="1" x14ac:dyDescent="0.2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 customHeight="1" x14ac:dyDescent="0.2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 customHeight="1" x14ac:dyDescent="0.2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 customHeight="1" x14ac:dyDescent="0.2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 customHeight="1" x14ac:dyDescent="0.2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 customHeight="1" x14ac:dyDescent="0.2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 customHeight="1" x14ac:dyDescent="0.2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 customHeight="1" x14ac:dyDescent="0.25">
      <c r="A56" s="1144"/>
      <c r="B56" s="1198"/>
      <c r="G56" s="1159"/>
      <c r="H56" s="208"/>
      <c r="I56" s="208"/>
      <c r="J56" s="2310">
        <f>IF(berekeningen!R$9=0,"",berekeningen!R$9)</f>
        <v>0.125</v>
      </c>
      <c r="K56" s="2310"/>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 customHeight="1" x14ac:dyDescent="0.25">
      <c r="A57" s="1144"/>
      <c r="B57" s="1198"/>
      <c r="G57" s="1159"/>
      <c r="H57" s="208"/>
      <c r="I57" s="208"/>
      <c r="J57" s="2310">
        <f>IF(berekeningen!S$9=0,"",berekeningen!S$9)</f>
        <v>6.3E-2</v>
      </c>
      <c r="K57" s="2310"/>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 customHeight="1" x14ac:dyDescent="0.2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 customHeight="1" x14ac:dyDescent="0.2">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 customHeight="1" x14ac:dyDescent="0.2">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 customHeight="1" x14ac:dyDescent="0.2">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 customHeight="1" x14ac:dyDescent="0.2">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 customHeight="1" x14ac:dyDescent="0.2">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 customHeight="1" x14ac:dyDescent="0.2">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 customHeight="1" x14ac:dyDescent="0.2">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 customHeight="1" x14ac:dyDescent="0.2">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 customHeight="1" x14ac:dyDescent="0.2">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 customHeight="1" x14ac:dyDescent="0.2">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 customHeight="1" x14ac:dyDescent="0.2">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 customHeight="1" x14ac:dyDescent="0.2">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 customHeight="1" x14ac:dyDescent="0.2">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 customHeight="1" x14ac:dyDescent="0.2">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 customHeight="1" x14ac:dyDescent="0.2">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 customHeight="1" x14ac:dyDescent="0.2">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 customHeight="1" x14ac:dyDescent="0.2">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 customHeight="1" x14ac:dyDescent="0.2">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 customHeight="1" x14ac:dyDescent="0.2">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 customHeight="1" x14ac:dyDescent="0.2">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 customHeight="1" x14ac:dyDescent="0.2">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 customHeight="1" x14ac:dyDescent="0.2">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 customHeight="1" x14ac:dyDescent="0.2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 customHeight="1" x14ac:dyDescent="0.2">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 customHeight="1" x14ac:dyDescent="0.2">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 customHeight="1" x14ac:dyDescent="0.2">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 customHeight="1" x14ac:dyDescent="0.2">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 customHeight="1" x14ac:dyDescent="0.2">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 customHeight="1" x14ac:dyDescent="0.2">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 customHeight="1" x14ac:dyDescent="0.2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 customHeight="1" x14ac:dyDescent="0.2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 customHeight="1" x14ac:dyDescent="0.2">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 customHeight="1" x14ac:dyDescent="0.2">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 customHeight="1" x14ac:dyDescent="0.2">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 customHeight="1" x14ac:dyDescent="0.2">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 customHeight="1" x14ac:dyDescent="0.2">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 customHeight="1" x14ac:dyDescent="0.2">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 customHeight="1" x14ac:dyDescent="0.2">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 customHeight="1" x14ac:dyDescent="0.2">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 customHeight="1" x14ac:dyDescent="0.2">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 customHeight="1" x14ac:dyDescent="0.2">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 customHeight="1" x14ac:dyDescent="0.2">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 customHeight="1" x14ac:dyDescent="0.2">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 customHeight="1" x14ac:dyDescent="0.25">
      <c r="A102" s="926"/>
      <c r="U102" s="927"/>
      <c r="Y102" s="1156"/>
    </row>
    <row r="103" spans="1:30" ht="14.1" customHeight="1" x14ac:dyDescent="0.25">
      <c r="A103" s="926" t="s">
        <v>1459</v>
      </c>
      <c r="B103" t="s">
        <v>1460</v>
      </c>
      <c r="Q103" s="317" t="s">
        <v>1461</v>
      </c>
      <c r="U103" s="927"/>
      <c r="Y103" s="1156"/>
    </row>
    <row r="104" spans="1:30" ht="14.1" customHeight="1" x14ac:dyDescent="0.25">
      <c r="A104" s="926"/>
      <c r="U104" s="927"/>
      <c r="Y104" s="1156"/>
    </row>
    <row r="105" spans="1:30" ht="14.1" customHeight="1" x14ac:dyDescent="0.25">
      <c r="A105" s="1122"/>
      <c r="B105" t="s">
        <v>1160</v>
      </c>
      <c r="U105" s="927"/>
    </row>
    <row r="106" spans="1:30" ht="14.1" customHeight="1" x14ac:dyDescent="0.25">
      <c r="A106" s="926"/>
      <c r="B106" t="s">
        <v>1161</v>
      </c>
      <c r="U106" s="927"/>
    </row>
    <row r="107" spans="1:30" ht="14.1" customHeight="1" x14ac:dyDescent="0.25">
      <c r="A107" s="926"/>
      <c r="B107" t="s">
        <v>1162</v>
      </c>
      <c r="U107" s="927"/>
    </row>
    <row r="108" spans="1:30" ht="14.1" customHeight="1" x14ac:dyDescent="0.25">
      <c r="A108" s="926"/>
      <c r="U108" s="927"/>
    </row>
    <row r="109" spans="1:30" ht="14.1" customHeight="1" x14ac:dyDescent="0.25">
      <c r="A109" s="926"/>
      <c r="B109" t="s">
        <v>1163</v>
      </c>
      <c r="U109" s="927"/>
    </row>
    <row r="110" spans="1:30" ht="14.1" customHeight="1" x14ac:dyDescent="0.25">
      <c r="A110" s="926"/>
      <c r="B110" s="2324" t="str">
        <f>algemeen!E10</f>
        <v>Jan Baas</v>
      </c>
      <c r="C110" s="2324"/>
      <c r="D110" s="2324"/>
      <c r="E110" s="2324"/>
      <c r="F110" s="2324"/>
      <c r="G110" s="2324"/>
      <c r="H110" s="2324"/>
      <c r="I110" s="2324"/>
      <c r="J110" s="2324"/>
      <c r="K110" s="2324"/>
      <c r="L110" s="2324"/>
      <c r="M110" s="2324"/>
      <c r="N110" s="2324"/>
      <c r="O110" s="2324"/>
      <c r="P110" s="2324"/>
      <c r="Q110" s="2324"/>
      <c r="R110" s="2324"/>
      <c r="S110" s="2324"/>
      <c r="T110" s="2324"/>
      <c r="U110" s="927"/>
    </row>
    <row r="111" spans="1:30" ht="14.1" customHeight="1" x14ac:dyDescent="0.25">
      <c r="A111" s="926"/>
      <c r="B111" s="2324" t="str">
        <f>algemeen!E11</f>
        <v>gedelegeerd bestuurder</v>
      </c>
      <c r="C111" s="2324"/>
      <c r="D111" s="2324"/>
      <c r="E111" s="2324"/>
      <c r="F111" s="2324"/>
      <c r="G111" s="2324"/>
      <c r="H111" s="2324"/>
      <c r="I111" s="2324"/>
      <c r="J111" s="2324"/>
      <c r="K111" s="2324"/>
      <c r="L111" s="2324"/>
      <c r="M111" s="2324"/>
      <c r="N111" s="2324"/>
      <c r="O111" s="2324"/>
      <c r="P111" s="2324"/>
      <c r="Q111" s="2324"/>
      <c r="R111" s="2324"/>
      <c r="S111" s="2324"/>
      <c r="T111" s="2324"/>
      <c r="U111" s="927"/>
    </row>
    <row r="112" spans="1:30" ht="14.1" customHeight="1" x14ac:dyDescent="0.25">
      <c r="A112" s="926"/>
      <c r="B112" s="1712" t="s">
        <v>1153</v>
      </c>
      <c r="C112" s="2313"/>
      <c r="D112" s="2313"/>
      <c r="E112" s="2313"/>
      <c r="F112" s="2313"/>
      <c r="G112" s="2313"/>
      <c r="H112" s="2313"/>
      <c r="I112" s="2313"/>
      <c r="J112" s="2313"/>
      <c r="K112" s="2313"/>
      <c r="L112" s="2313"/>
      <c r="M112" s="2313"/>
      <c r="N112" s="2313"/>
      <c r="O112" s="1712" t="s">
        <v>1154</v>
      </c>
      <c r="P112" s="2312"/>
      <c r="Q112" s="2312"/>
      <c r="R112" s="2312"/>
      <c r="S112" s="2312"/>
      <c r="T112" s="2312"/>
      <c r="U112" s="1586"/>
    </row>
    <row r="113" spans="1:21" ht="14.1" customHeight="1" x14ac:dyDescent="0.2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 customHeight="1" x14ac:dyDescent="0.2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 customHeight="1" x14ac:dyDescent="0.2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 customHeight="1" x14ac:dyDescent="0.2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 customHeight="1" thickBot="1" x14ac:dyDescent="0.3">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 customHeight="1" x14ac:dyDescent="0.25"/>
    <row r="119" spans="1:21" ht="14.1" customHeight="1" x14ac:dyDescent="0.25"/>
    <row r="120" spans="1:21" ht="14.1" customHeight="1" x14ac:dyDescent="0.25"/>
    <row r="121" spans="1:21" ht="14.1" customHeight="1" x14ac:dyDescent="0.25"/>
    <row r="122" spans="1:21" ht="14.1" customHeight="1" x14ac:dyDescent="0.25"/>
    <row r="123" spans="1:21" ht="14.1" customHeight="1" x14ac:dyDescent="0.25"/>
    <row r="124" spans="1:21" ht="14.1" customHeight="1" x14ac:dyDescent="0.25"/>
    <row r="125" spans="1:21" ht="14.1" customHeight="1" x14ac:dyDescent="0.25"/>
    <row r="126" spans="1:21" ht="14.1" customHeight="1" x14ac:dyDescent="0.25"/>
    <row r="127" spans="1:21" ht="14.1" customHeight="1" x14ac:dyDescent="0.25"/>
    <row r="128" spans="1:21"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row r="147" ht="14.1" customHeight="1" x14ac:dyDescent="0.25"/>
    <row r="148" ht="14.1" customHeight="1" x14ac:dyDescent="0.25"/>
    <row r="149" ht="14.1" customHeight="1" x14ac:dyDescent="0.25"/>
    <row r="150" ht="14.1" customHeight="1" x14ac:dyDescent="0.25"/>
    <row r="151" ht="14.1" customHeight="1" x14ac:dyDescent="0.25"/>
    <row r="152" ht="14.1" customHeight="1" x14ac:dyDescent="0.25"/>
    <row r="153" ht="14.1" customHeight="1" x14ac:dyDescent="0.25"/>
    <row r="154" ht="14.1" customHeight="1" x14ac:dyDescent="0.25"/>
    <row r="155" ht="14.1" customHeight="1" x14ac:dyDescent="0.25"/>
    <row r="156" ht="14.1" customHeight="1" x14ac:dyDescent="0.25"/>
    <row r="157" ht="14.1" customHeight="1" x14ac:dyDescent="0.25"/>
    <row r="158" ht="14.1" customHeight="1" x14ac:dyDescent="0.25"/>
    <row r="159" ht="14.1" customHeight="1" x14ac:dyDescent="0.25"/>
    <row r="160" ht="14.1" customHeight="1" x14ac:dyDescent="0.25"/>
    <row r="161" ht="14.1" customHeight="1" x14ac:dyDescent="0.25"/>
    <row r="162" ht="14.1" customHeight="1" x14ac:dyDescent="0.25"/>
    <row r="163" ht="14.1" customHeight="1" x14ac:dyDescent="0.25"/>
    <row r="164" ht="14.1" customHeight="1" x14ac:dyDescent="0.25"/>
    <row r="165" ht="14.1" customHeight="1" x14ac:dyDescent="0.25"/>
    <row r="166" ht="14.1" customHeight="1" x14ac:dyDescent="0.25"/>
    <row r="167" ht="14.1" customHeight="1" x14ac:dyDescent="0.25"/>
    <row r="168" ht="14.1" customHeight="1" x14ac:dyDescent="0.25"/>
    <row r="169" ht="14.1" customHeight="1" x14ac:dyDescent="0.25"/>
    <row r="170" ht="14.1" customHeight="1" x14ac:dyDescent="0.25"/>
    <row r="171" ht="14.1" customHeight="1" x14ac:dyDescent="0.25"/>
    <row r="172" ht="14.1" customHeight="1" x14ac:dyDescent="0.25"/>
    <row r="173" ht="14.1" customHeight="1" x14ac:dyDescent="0.25"/>
    <row r="174" ht="14.1" customHeight="1" x14ac:dyDescent="0.25"/>
    <row r="175" ht="14.1" customHeight="1" x14ac:dyDescent="0.25"/>
    <row r="176" ht="14.1" customHeight="1" x14ac:dyDescent="0.25"/>
    <row r="177" ht="14.1" customHeight="1" x14ac:dyDescent="0.25"/>
    <row r="178" ht="14.1" customHeight="1" x14ac:dyDescent="0.25"/>
    <row r="179" ht="14.1" customHeight="1" x14ac:dyDescent="0.25"/>
    <row r="180" ht="14.1" customHeight="1" x14ac:dyDescent="0.25"/>
    <row r="181" ht="14.1" customHeight="1" x14ac:dyDescent="0.25"/>
    <row r="182" ht="14.1" customHeight="1" x14ac:dyDescent="0.25"/>
    <row r="183" ht="14.1" customHeight="1" x14ac:dyDescent="0.25"/>
    <row r="184" ht="14.1" customHeight="1" x14ac:dyDescent="0.25"/>
    <row r="185" ht="14.1" customHeight="1" x14ac:dyDescent="0.25"/>
    <row r="186" ht="14.1" customHeight="1" x14ac:dyDescent="0.25"/>
    <row r="187" ht="14.1" customHeight="1" x14ac:dyDescent="0.25"/>
    <row r="188" ht="14.1" customHeight="1" x14ac:dyDescent="0.25"/>
    <row r="189" ht="14.1" customHeight="1" x14ac:dyDescent="0.25"/>
    <row r="190" ht="14.1" customHeight="1" x14ac:dyDescent="0.25"/>
    <row r="191" ht="14.1" customHeight="1" x14ac:dyDescent="0.25"/>
    <row r="192" ht="14.1" customHeight="1" x14ac:dyDescent="0.25"/>
    <row r="193" ht="14.1" customHeight="1" x14ac:dyDescent="0.25"/>
    <row r="194" ht="14.1" customHeight="1" x14ac:dyDescent="0.2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5" x14ac:dyDescent="0.25"/>
  <cols>
    <col min="1" max="26" width="6.7109375" customWidth="1"/>
  </cols>
  <sheetData>
    <row r="1" spans="1:13" ht="20.25" thickTop="1" thickBot="1" x14ac:dyDescent="0.35">
      <c r="A1" s="560"/>
      <c r="B1" s="561"/>
      <c r="C1" s="561"/>
      <c r="D1" s="562" t="s">
        <v>783</v>
      </c>
      <c r="E1" s="561"/>
      <c r="F1" s="563"/>
      <c r="G1" s="563"/>
      <c r="H1" s="563"/>
      <c r="I1" s="562" t="str">
        <f>IF(algemeen!E62="J",algemeen!F93,"zonder centrale !")</f>
        <v>3a3</v>
      </c>
      <c r="J1" s="562"/>
      <c r="K1" s="561"/>
      <c r="L1" s="564" t="s">
        <v>784</v>
      </c>
      <c r="M1" s="1920"/>
    </row>
    <row r="2" spans="1:13" s="208" customFormat="1" ht="12.95" customHeight="1" thickTop="1" x14ac:dyDescent="0.25"/>
    <row r="3" spans="1:13" s="208" customFormat="1" ht="12.95" customHeight="1" x14ac:dyDescent="0.25">
      <c r="A3" s="573" t="s">
        <v>785</v>
      </c>
      <c r="B3" s="264"/>
      <c r="C3" s="264"/>
      <c r="D3" s="574" t="str">
        <f>algemeen!E21</f>
        <v>ABC nv</v>
      </c>
      <c r="E3" s="575"/>
      <c r="F3" s="575"/>
      <c r="G3" s="575"/>
      <c r="H3" s="575"/>
      <c r="I3" s="574" t="str">
        <f>algemeen!E24</f>
        <v>Gaurain-Ramecroix</v>
      </c>
      <c r="J3" s="264"/>
      <c r="K3" s="264"/>
      <c r="L3" s="264"/>
      <c r="M3" s="576"/>
    </row>
    <row r="4" spans="1:13" s="208" customFormat="1" ht="12.95" customHeight="1" x14ac:dyDescent="0.25">
      <c r="A4" s="566" t="s">
        <v>1464</v>
      </c>
      <c r="D4" s="208" t="str">
        <f>IF(algemeen!F40&lt;&gt;"",algemeen!F40,IF(algemeen!F42&lt;&gt;"",algemeen!F42,""))</f>
        <v>AB-3A1</v>
      </c>
      <c r="I4" s="208" t="str">
        <f>IF(algemeen!F41="","",algemeen!F41)</f>
        <v>AC 20 onderlaag 50/70</v>
      </c>
      <c r="M4" s="567"/>
    </row>
    <row r="5" spans="1:13" s="208" customFormat="1" ht="12.95" customHeight="1" x14ac:dyDescent="0.2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2.95" customHeight="1" x14ac:dyDescent="0.25"/>
    <row r="7" spans="1:13" s="208" customFormat="1" ht="12.95" customHeight="1" thickBot="1" x14ac:dyDescent="0.3">
      <c r="A7" s="593" t="s">
        <v>786</v>
      </c>
      <c r="B7" s="593"/>
      <c r="C7" s="593"/>
      <c r="D7" s="593"/>
      <c r="E7" s="593"/>
      <c r="F7" s="593"/>
      <c r="G7" s="593"/>
      <c r="H7" s="593"/>
      <c r="I7" s="593"/>
      <c r="J7" s="593"/>
      <c r="K7" s="593"/>
      <c r="L7" s="593"/>
      <c r="M7" s="593"/>
    </row>
    <row r="8" spans="1:13" s="208" customFormat="1" ht="17.100000000000001" customHeight="1" x14ac:dyDescent="0.25">
      <c r="A8" s="544" t="s">
        <v>787</v>
      </c>
      <c r="B8" s="545"/>
      <c r="C8" s="545"/>
      <c r="D8" s="545"/>
      <c r="E8" s="1784"/>
      <c r="F8" s="1785"/>
      <c r="G8" s="1785"/>
      <c r="H8" s="1785"/>
      <c r="I8" s="1785"/>
      <c r="J8" s="1785"/>
      <c r="K8" s="1785"/>
      <c r="L8" s="1785"/>
      <c r="M8" s="1786"/>
    </row>
    <row r="9" spans="1:13" s="208" customFormat="1" ht="17.100000000000001" customHeight="1" x14ac:dyDescent="0.25">
      <c r="A9" s="251" t="s">
        <v>788</v>
      </c>
      <c r="B9" s="252"/>
      <c r="C9" s="252"/>
      <c r="D9" s="252"/>
      <c r="E9" s="1787"/>
      <c r="F9" s="1788"/>
      <c r="G9" s="1788"/>
      <c r="H9" s="1788"/>
      <c r="I9" s="1788"/>
      <c r="J9" s="1788"/>
      <c r="K9" s="1788"/>
      <c r="L9" s="1788"/>
      <c r="M9" s="1789"/>
    </row>
    <row r="10" spans="1:13" s="208" customFormat="1" ht="17.100000000000001" customHeight="1" x14ac:dyDescent="0.25">
      <c r="A10" s="251" t="s">
        <v>789</v>
      </c>
      <c r="B10" s="252"/>
      <c r="C10" s="252"/>
      <c r="D10" s="252"/>
      <c r="E10" s="1787"/>
      <c r="F10" s="1788"/>
      <c r="G10" s="1788"/>
      <c r="H10" s="1788"/>
      <c r="I10" s="1788"/>
      <c r="J10" s="1788"/>
      <c r="K10" s="1788"/>
      <c r="L10" s="1788"/>
      <c r="M10" s="1789"/>
    </row>
    <row r="11" spans="1:13" s="208" customFormat="1" ht="17.100000000000001" customHeight="1" x14ac:dyDescent="0.25">
      <c r="A11" s="275" t="s">
        <v>794</v>
      </c>
      <c r="B11" s="207"/>
      <c r="C11" s="207"/>
      <c r="D11" s="284"/>
      <c r="E11" s="1790"/>
      <c r="F11" s="1791"/>
      <c r="G11" s="1791"/>
      <c r="H11" s="1791"/>
      <c r="I11" s="1791"/>
      <c r="J11" s="1791"/>
      <c r="K11" s="1791"/>
      <c r="L11" s="1791"/>
      <c r="M11" s="1792"/>
    </row>
    <row r="12" spans="1:13" s="208" customFormat="1" ht="17.100000000000001" customHeight="1" x14ac:dyDescent="0.2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00000000000001" customHeight="1" x14ac:dyDescent="0.2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00000000000001" customHeight="1" x14ac:dyDescent="0.2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00000000000001" customHeight="1" x14ac:dyDescent="0.2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00000000000001" customHeight="1" x14ac:dyDescent="0.2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00000000000001" customHeight="1" x14ac:dyDescent="0.2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00000000000001" customHeight="1" x14ac:dyDescent="0.2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00000000000001" customHeight="1" x14ac:dyDescent="0.2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00000000000001" customHeight="1" x14ac:dyDescent="0.2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00000000000001" customHeight="1" x14ac:dyDescent="0.2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00000000000001" customHeight="1" x14ac:dyDescent="0.2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00000000000001" customHeight="1" x14ac:dyDescent="0.2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00000000000001" customHeight="1" x14ac:dyDescent="0.2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00000000000001" customHeight="1" x14ac:dyDescent="0.2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3">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2.95" customHeight="1" x14ac:dyDescent="0.25"/>
    <row r="28" spans="1:13" s="208" customFormat="1" ht="12.95" customHeight="1" thickBot="1" x14ac:dyDescent="0.3">
      <c r="A28" s="593" t="s">
        <v>791</v>
      </c>
      <c r="B28" s="593"/>
      <c r="C28" s="593"/>
      <c r="D28" s="593"/>
      <c r="E28" s="593"/>
      <c r="F28" s="593"/>
      <c r="G28" s="593"/>
      <c r="H28" s="593"/>
      <c r="I28" s="593"/>
      <c r="J28" s="593"/>
      <c r="K28" s="593"/>
      <c r="L28" s="593"/>
      <c r="M28" s="593"/>
    </row>
    <row r="29" spans="1:13" s="208" customFormat="1" ht="17.100000000000001" customHeight="1" x14ac:dyDescent="0.25">
      <c r="A29" s="544" t="str">
        <f>'VN2'!E4</f>
        <v>Kalksteen</v>
      </c>
      <c r="B29" s="545"/>
      <c r="C29" s="577" t="str">
        <f>'VN2'!G4</f>
        <v>14/20</v>
      </c>
      <c r="D29" s="1891"/>
      <c r="E29" s="1784"/>
      <c r="F29" s="1785"/>
      <c r="G29" s="1785"/>
      <c r="H29" s="1785"/>
      <c r="I29" s="1785"/>
      <c r="J29" s="1785"/>
      <c r="K29" s="1785"/>
      <c r="L29" s="1785"/>
      <c r="M29" s="1786"/>
    </row>
    <row r="30" spans="1:13" s="208" customFormat="1" ht="17.100000000000001" customHeight="1" x14ac:dyDescent="0.25">
      <c r="A30" s="251" t="str">
        <f>'VN2'!E5</f>
        <v>Porfier</v>
      </c>
      <c r="B30" s="252"/>
      <c r="C30" s="578" t="str">
        <f>'VN2'!G5</f>
        <v>6/14</v>
      </c>
      <c r="D30" s="1892"/>
      <c r="E30" s="1787"/>
      <c r="F30" s="1788"/>
      <c r="G30" s="1788"/>
      <c r="H30" s="1788"/>
      <c r="I30" s="1788"/>
      <c r="J30" s="1788"/>
      <c r="K30" s="1788"/>
      <c r="L30" s="1788"/>
      <c r="M30" s="1789"/>
    </row>
    <row r="31" spans="1:13" s="208" customFormat="1" ht="17.100000000000001" customHeight="1" x14ac:dyDescent="0.25">
      <c r="A31" s="251" t="str">
        <f>'VN2'!E6</f>
        <v>Rode zandsteen</v>
      </c>
      <c r="B31" s="252"/>
      <c r="C31" s="578" t="str">
        <f>'VN2'!G6</f>
        <v>0/2 (0/0,05)</v>
      </c>
      <c r="D31" s="1892"/>
      <c r="E31" s="1787"/>
      <c r="F31" s="1788"/>
      <c r="G31" s="1788"/>
      <c r="H31" s="1788"/>
      <c r="I31" s="1788"/>
      <c r="J31" s="1788"/>
      <c r="K31" s="1788"/>
      <c r="L31" s="1788"/>
      <c r="M31" s="1789"/>
    </row>
    <row r="32" spans="1:13" s="208" customFormat="1" ht="17.100000000000001" customHeight="1" x14ac:dyDescent="0.25">
      <c r="A32" s="251" t="str">
        <f>'VN2'!E7</f>
        <v/>
      </c>
      <c r="B32" s="252"/>
      <c r="C32" s="578" t="str">
        <f>'VN2'!G7</f>
        <v/>
      </c>
      <c r="D32" s="1892"/>
      <c r="E32" s="1787"/>
      <c r="F32" s="1788"/>
      <c r="G32" s="1788"/>
      <c r="H32" s="1788"/>
      <c r="I32" s="1788"/>
      <c r="J32" s="1788"/>
      <c r="K32" s="1788"/>
      <c r="L32" s="1788"/>
      <c r="M32" s="1789"/>
    </row>
    <row r="33" spans="1:13" s="208" customFormat="1" ht="17.100000000000001" customHeight="1" x14ac:dyDescent="0.25">
      <c r="A33" s="251" t="str">
        <f>'VN2'!E8</f>
        <v/>
      </c>
      <c r="B33" s="252"/>
      <c r="C33" s="578" t="str">
        <f>'VN2'!G8</f>
        <v/>
      </c>
      <c r="D33" s="1892"/>
      <c r="E33" s="1787"/>
      <c r="F33" s="1788"/>
      <c r="G33" s="1788"/>
      <c r="H33" s="1788"/>
      <c r="I33" s="1788"/>
      <c r="J33" s="1788"/>
      <c r="K33" s="1788"/>
      <c r="L33" s="1788"/>
      <c r="M33" s="1789"/>
    </row>
    <row r="34" spans="1:13" s="208" customFormat="1" ht="17.100000000000001" customHeight="1" x14ac:dyDescent="0.25">
      <c r="A34" s="251" t="str">
        <f>'VN2'!E9</f>
        <v>Slakken</v>
      </c>
      <c r="B34" s="252"/>
      <c r="C34" s="578" t="str">
        <f>'VN2'!G9</f>
        <v>6/10</v>
      </c>
      <c r="D34" s="1892"/>
      <c r="E34" s="1787"/>
      <c r="F34" s="1788"/>
      <c r="G34" s="1788"/>
      <c r="H34" s="1788"/>
      <c r="I34" s="1788"/>
      <c r="J34" s="1788"/>
      <c r="K34" s="1788"/>
      <c r="L34" s="1788"/>
      <c r="M34" s="1789"/>
    </row>
    <row r="35" spans="1:13" s="208" customFormat="1" ht="17.100000000000001" customHeight="1" x14ac:dyDescent="0.25">
      <c r="A35" s="251" t="str">
        <f>'VN2'!E10</f>
        <v>Kalksteen</v>
      </c>
      <c r="B35" s="252"/>
      <c r="C35" s="578" t="str">
        <f>'VN2'!G10</f>
        <v>14/20</v>
      </c>
      <c r="D35" s="1892"/>
      <c r="E35" s="1787"/>
      <c r="F35" s="1788"/>
      <c r="G35" s="1788"/>
      <c r="H35" s="1788"/>
      <c r="I35" s="1788"/>
      <c r="J35" s="1788"/>
      <c r="K35" s="1788"/>
      <c r="L35" s="1788"/>
      <c r="M35" s="1789"/>
    </row>
    <row r="36" spans="1:13" s="208" customFormat="1" ht="17.100000000000001" customHeight="1" x14ac:dyDescent="0.25">
      <c r="A36" s="251" t="str">
        <f>'VN2'!E11</f>
        <v>Porfier</v>
      </c>
      <c r="B36" s="252"/>
      <c r="C36" s="578" t="str">
        <f>'VN2'!G11</f>
        <v>6/14</v>
      </c>
      <c r="D36" s="1892"/>
      <c r="E36" s="1787"/>
      <c r="F36" s="1788"/>
      <c r="G36" s="1788"/>
      <c r="H36" s="1788"/>
      <c r="I36" s="1788"/>
      <c r="J36" s="1788"/>
      <c r="K36" s="1788"/>
      <c r="L36" s="1788"/>
      <c r="M36" s="1789"/>
    </row>
    <row r="37" spans="1:13" s="208" customFormat="1" ht="17.100000000000001" customHeight="1" x14ac:dyDescent="0.25">
      <c r="A37" s="251" t="str">
        <f>'VN2'!E12</f>
        <v>Slakken</v>
      </c>
      <c r="B37" s="252"/>
      <c r="C37" s="578" t="str">
        <f>'VN2'!G12</f>
        <v>6/10</v>
      </c>
      <c r="D37" s="1892"/>
      <c r="E37" s="1787"/>
      <c r="F37" s="1788"/>
      <c r="G37" s="1788"/>
      <c r="H37" s="1788"/>
      <c r="I37" s="1788"/>
      <c r="J37" s="1788"/>
      <c r="K37" s="1788"/>
      <c r="L37" s="1788"/>
      <c r="M37" s="1789"/>
    </row>
    <row r="38" spans="1:13" s="208" customFormat="1" ht="17.100000000000001" customHeight="1" thickBot="1" x14ac:dyDescent="0.3">
      <c r="A38" s="547" t="str">
        <f>'VN2'!E13</f>
        <v/>
      </c>
      <c r="B38" s="262"/>
      <c r="C38" s="579" t="str">
        <f>'VN2'!G13</f>
        <v/>
      </c>
      <c r="D38" s="1893"/>
      <c r="E38" s="1842"/>
      <c r="F38" s="1843"/>
      <c r="G38" s="1843"/>
      <c r="H38" s="1843"/>
      <c r="I38" s="1843"/>
      <c r="J38" s="1843"/>
      <c r="K38" s="1843"/>
      <c r="L38" s="1843"/>
      <c r="M38" s="1844"/>
    </row>
    <row r="39" spans="1:13" s="208" customFormat="1" ht="10.9" customHeight="1" x14ac:dyDescent="0.25"/>
    <row r="40" spans="1:13" s="208" customFormat="1" ht="12" customHeight="1" thickBot="1" x14ac:dyDescent="0.3">
      <c r="A40" s="593" t="s">
        <v>792</v>
      </c>
      <c r="B40" s="593"/>
      <c r="C40" s="593"/>
      <c r="D40" s="593"/>
      <c r="E40" s="593"/>
      <c r="F40" s="593"/>
      <c r="G40" s="593"/>
      <c r="H40" s="593"/>
      <c r="J40" s="593" t="s">
        <v>793</v>
      </c>
      <c r="K40" s="593"/>
      <c r="L40" s="593"/>
      <c r="M40" s="593"/>
    </row>
    <row r="41" spans="1:13" s="208" customFormat="1" ht="10.9" customHeight="1" x14ac:dyDescent="0.2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2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2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2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3">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25"/>
    <row r="47" spans="1:13" s="208" customFormat="1" ht="12" customHeight="1" thickBot="1" x14ac:dyDescent="0.3">
      <c r="A47" s="593" t="s">
        <v>802</v>
      </c>
      <c r="B47" s="593"/>
      <c r="C47" s="593"/>
      <c r="D47" s="593"/>
      <c r="E47" s="593"/>
      <c r="F47" s="593"/>
      <c r="G47" s="593"/>
      <c r="H47" s="593"/>
      <c r="I47" s="593"/>
      <c r="J47" s="593"/>
      <c r="K47" s="593"/>
      <c r="L47" s="593"/>
      <c r="M47" s="593"/>
    </row>
    <row r="48" spans="1:13" s="210" customFormat="1" ht="10.9" customHeight="1" thickBot="1" x14ac:dyDescent="0.3">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25"/>
    <row r="50" spans="1:13" s="208" customFormat="1" ht="12" customHeight="1" thickBot="1" x14ac:dyDescent="0.3">
      <c r="A50" s="593" t="s">
        <v>809</v>
      </c>
      <c r="B50" s="593"/>
      <c r="C50" s="593"/>
      <c r="D50" s="593"/>
      <c r="E50" s="593"/>
      <c r="F50" s="593"/>
      <c r="G50" s="593"/>
      <c r="H50" s="593"/>
      <c r="I50" s="593"/>
      <c r="J50" s="593"/>
      <c r="K50" s="593"/>
      <c r="L50" s="593"/>
      <c r="M50" s="593"/>
    </row>
    <row r="51" spans="1:13" s="208" customFormat="1" ht="10.9" customHeight="1" x14ac:dyDescent="0.25">
      <c r="A51" s="606" t="str">
        <f>IF(algemeen!B140="","",algemeen!B140)</f>
        <v/>
      </c>
      <c r="B51" s="291"/>
      <c r="C51" s="291"/>
      <c r="D51" s="291"/>
      <c r="E51" s="291"/>
      <c r="F51" s="291"/>
      <c r="G51" s="291"/>
      <c r="H51" s="291"/>
      <c r="I51" s="291"/>
      <c r="J51" s="291"/>
      <c r="K51" s="291"/>
      <c r="L51" s="291"/>
      <c r="M51" s="607"/>
    </row>
    <row r="52" spans="1:13" s="208" customFormat="1" ht="10.9" customHeight="1" x14ac:dyDescent="0.25">
      <c r="A52" s="250" t="str">
        <f>IF(algemeen!B141="","",algemeen!B141)</f>
        <v/>
      </c>
      <c r="M52" s="608"/>
    </row>
    <row r="53" spans="1:13" s="208" customFormat="1" ht="10.9" customHeight="1" thickBot="1" x14ac:dyDescent="0.3">
      <c r="A53" s="255" t="str">
        <f>IF(algemeen!B142="","",algemeen!B142)</f>
        <v/>
      </c>
      <c r="B53" s="256"/>
      <c r="C53" s="256"/>
      <c r="D53" s="256"/>
      <c r="E53" s="256"/>
      <c r="F53" s="256"/>
      <c r="G53" s="256"/>
      <c r="H53" s="256"/>
      <c r="I53" s="256"/>
      <c r="J53" s="256"/>
      <c r="K53" s="256"/>
      <c r="L53" s="256"/>
      <c r="M53" s="609"/>
    </row>
    <row r="54" spans="1:13" s="208" customFormat="1" ht="15" customHeight="1" x14ac:dyDescent="0.25"/>
    <row r="55" spans="1:13" s="208" customFormat="1" ht="15" customHeight="1" x14ac:dyDescent="0.25"/>
    <row r="56" spans="1:13" s="208" customFormat="1" ht="15" customHeight="1" x14ac:dyDescent="0.25"/>
    <row r="57" spans="1:13" s="208" customFormat="1" ht="15" customHeight="1" x14ac:dyDescent="0.25"/>
    <row r="58" spans="1:13" s="208" customFormat="1" ht="15" customHeight="1" x14ac:dyDescent="0.25"/>
    <row r="59" spans="1:13" s="208" customFormat="1" ht="15" customHeight="1" x14ac:dyDescent="0.25"/>
    <row r="60" spans="1:13" s="208" customFormat="1" ht="15" customHeight="1" x14ac:dyDescent="0.25"/>
    <row r="61" spans="1:13" s="208" customFormat="1" ht="15" customHeight="1" x14ac:dyDescent="0.25"/>
    <row r="62" spans="1:13" s="208" customFormat="1" ht="15" customHeight="1" x14ac:dyDescent="0.25"/>
    <row r="63" spans="1:13" s="208" customFormat="1" ht="15" customHeight="1" x14ac:dyDescent="0.25"/>
    <row r="64" spans="1:13"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row r="78" s="208" customFormat="1" ht="15" customHeight="1" x14ac:dyDescent="0.25"/>
    <row r="79" s="208" customFormat="1" ht="15" customHeight="1" x14ac:dyDescent="0.25"/>
    <row r="80" s="208" customFormat="1" ht="15" customHeight="1" x14ac:dyDescent="0.25"/>
    <row r="81" s="208" customFormat="1" ht="15" customHeight="1" x14ac:dyDescent="0.25"/>
    <row r="82" s="208" customFormat="1" ht="15" customHeight="1" x14ac:dyDescent="0.25"/>
    <row r="83" s="208" customFormat="1" ht="15" customHeight="1" x14ac:dyDescent="0.25"/>
    <row r="84" s="208" customFormat="1" ht="15" customHeight="1" x14ac:dyDescent="0.25"/>
    <row r="85" s="208" customFormat="1" ht="15" customHeight="1" x14ac:dyDescent="0.25"/>
    <row r="86" s="208" customFormat="1" ht="15" customHeight="1" x14ac:dyDescent="0.25"/>
    <row r="87" s="208" customFormat="1" ht="15" customHeight="1" x14ac:dyDescent="0.25"/>
    <row r="88" s="208" customFormat="1" ht="15" customHeight="1" x14ac:dyDescent="0.25"/>
    <row r="89" s="208" customFormat="1" ht="15" customHeight="1" x14ac:dyDescent="0.25"/>
    <row r="90" s="208" customFormat="1" ht="15" customHeight="1" x14ac:dyDescent="0.25"/>
    <row r="91" s="208" customFormat="1" ht="15" customHeight="1" x14ac:dyDescent="0.25"/>
    <row r="92" s="208" customFormat="1" ht="15" customHeight="1" x14ac:dyDescent="0.25"/>
    <row r="93" s="208" customFormat="1" ht="15" customHeight="1" x14ac:dyDescent="0.25"/>
    <row r="94" s="208" customFormat="1" ht="15" customHeight="1" x14ac:dyDescent="0.25"/>
    <row r="95" s="208" customFormat="1" ht="15" customHeight="1" x14ac:dyDescent="0.25"/>
    <row r="96" s="208" customFormat="1" ht="15" customHeight="1" x14ac:dyDescent="0.25"/>
    <row r="97" s="208" customFormat="1" ht="15" customHeight="1" x14ac:dyDescent="0.2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5" x14ac:dyDescent="0.25"/>
  <cols>
    <col min="1" max="26" width="6.7109375" customWidth="1"/>
  </cols>
  <sheetData>
    <row r="1" spans="1:13" ht="20.25" thickTop="1" thickBot="1" x14ac:dyDescent="0.35">
      <c r="A1" s="560"/>
      <c r="B1" s="561"/>
      <c r="C1" s="561"/>
      <c r="D1" s="562" t="s">
        <v>783</v>
      </c>
      <c r="E1" s="561"/>
      <c r="F1" s="563"/>
      <c r="G1" s="563"/>
      <c r="H1" s="563"/>
      <c r="I1" s="562" t="str">
        <f>IF(algemeen!F62="J",algemeen!I93,"zonder centrale !")</f>
        <v>4b4</v>
      </c>
      <c r="J1" s="562"/>
      <c r="K1" s="561"/>
      <c r="L1" s="564" t="s">
        <v>784</v>
      </c>
      <c r="M1" s="1920"/>
    </row>
    <row r="2" spans="1:13" s="208" customFormat="1" ht="12.95" customHeight="1" thickTop="1" x14ac:dyDescent="0.25"/>
    <row r="3" spans="1:13" s="208" customFormat="1" ht="12.95" customHeight="1" x14ac:dyDescent="0.25">
      <c r="A3" s="573" t="s">
        <v>785</v>
      </c>
      <c r="B3" s="264"/>
      <c r="C3" s="264"/>
      <c r="D3" s="574" t="str">
        <f>algemeen!H21</f>
        <v>DEF nv</v>
      </c>
      <c r="E3" s="575"/>
      <c r="F3" s="575"/>
      <c r="G3" s="575"/>
      <c r="H3" s="575"/>
      <c r="I3" s="574" t="str">
        <f>algemeen!H24</f>
        <v>Antwerpen</v>
      </c>
      <c r="J3" s="264"/>
      <c r="K3" s="264"/>
      <c r="L3" s="264"/>
      <c r="M3" s="576"/>
    </row>
    <row r="4" spans="1:13" s="208" customFormat="1" ht="12.95" customHeight="1" x14ac:dyDescent="0.25">
      <c r="A4" s="566" t="s">
        <v>1464</v>
      </c>
      <c r="D4" s="208" t="str">
        <f>IF(algemeen!F40&lt;&gt;"",algemeen!F40,IF(algemeen!F42&lt;&gt;"",algemeen!F42,""))</f>
        <v>AB-3A1</v>
      </c>
      <c r="I4" s="208" t="str">
        <f>IF(algemeen!F41="","",algemeen!F41)</f>
        <v>AC 20 onderlaag 50/70</v>
      </c>
      <c r="M4" s="567"/>
    </row>
    <row r="5" spans="1:13" s="208" customFormat="1" ht="12.95" customHeight="1" x14ac:dyDescent="0.2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2.95" customHeight="1" x14ac:dyDescent="0.25"/>
    <row r="7" spans="1:13" s="208" customFormat="1" ht="12.95" customHeight="1" thickBot="1" x14ac:dyDescent="0.3">
      <c r="A7" s="593" t="s">
        <v>786</v>
      </c>
      <c r="B7" s="593"/>
      <c r="C7" s="593"/>
      <c r="D7" s="593"/>
      <c r="E7" s="593"/>
      <c r="F7" s="593"/>
      <c r="G7" s="593"/>
      <c r="H7" s="593"/>
      <c r="I7" s="593"/>
      <c r="J7" s="593"/>
      <c r="K7" s="593"/>
      <c r="L7" s="593"/>
      <c r="M7" s="593"/>
    </row>
    <row r="8" spans="1:13" s="208" customFormat="1" ht="17.100000000000001" customHeight="1" x14ac:dyDescent="0.25">
      <c r="A8" s="544" t="s">
        <v>787</v>
      </c>
      <c r="B8" s="545"/>
      <c r="C8" s="545"/>
      <c r="D8" s="545"/>
      <c r="E8" s="1784"/>
      <c r="F8" s="1785"/>
      <c r="G8" s="1785"/>
      <c r="H8" s="1785"/>
      <c r="I8" s="1785"/>
      <c r="J8" s="1785"/>
      <c r="K8" s="1785"/>
      <c r="L8" s="1785"/>
      <c r="M8" s="1786"/>
    </row>
    <row r="9" spans="1:13" s="208" customFormat="1" ht="17.100000000000001" customHeight="1" x14ac:dyDescent="0.25">
      <c r="A9" s="251" t="s">
        <v>788</v>
      </c>
      <c r="B9" s="252"/>
      <c r="C9" s="252"/>
      <c r="D9" s="252"/>
      <c r="E9" s="1787"/>
      <c r="F9" s="1788"/>
      <c r="G9" s="1788"/>
      <c r="H9" s="1788"/>
      <c r="I9" s="1788"/>
      <c r="J9" s="1788"/>
      <c r="K9" s="1788"/>
      <c r="L9" s="1788"/>
      <c r="M9" s="1789"/>
    </row>
    <row r="10" spans="1:13" s="208" customFormat="1" ht="17.100000000000001" customHeight="1" x14ac:dyDescent="0.25">
      <c r="A10" s="251" t="s">
        <v>789</v>
      </c>
      <c r="B10" s="252"/>
      <c r="C10" s="252"/>
      <c r="D10" s="252"/>
      <c r="E10" s="1787"/>
      <c r="F10" s="1788"/>
      <c r="G10" s="1788"/>
      <c r="H10" s="1788"/>
      <c r="I10" s="1788"/>
      <c r="J10" s="1788"/>
      <c r="K10" s="1788"/>
      <c r="L10" s="1788"/>
      <c r="M10" s="1789"/>
    </row>
    <row r="11" spans="1:13" s="208" customFormat="1" ht="17.100000000000001" customHeight="1" x14ac:dyDescent="0.25">
      <c r="A11" s="275" t="s">
        <v>794</v>
      </c>
      <c r="B11" s="207"/>
      <c r="C11" s="207"/>
      <c r="D11" s="284"/>
      <c r="E11" s="1790"/>
      <c r="F11" s="1791"/>
      <c r="G11" s="1791"/>
      <c r="H11" s="1791"/>
      <c r="I11" s="1791"/>
      <c r="J11" s="1791"/>
      <c r="K11" s="1791"/>
      <c r="L11" s="1791"/>
      <c r="M11" s="1792"/>
    </row>
    <row r="12" spans="1:13" s="208" customFormat="1" ht="17.100000000000001" customHeight="1" x14ac:dyDescent="0.2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00000000000001" customHeight="1" x14ac:dyDescent="0.2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00000000000001" customHeight="1" x14ac:dyDescent="0.2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00000000000001" customHeight="1" x14ac:dyDescent="0.2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00000000000001" customHeight="1" x14ac:dyDescent="0.2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00000000000001" customHeight="1" x14ac:dyDescent="0.2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00000000000001" customHeight="1" x14ac:dyDescent="0.2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00000000000001" customHeight="1" x14ac:dyDescent="0.2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00000000000001" customHeight="1" x14ac:dyDescent="0.2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00000000000001" customHeight="1" x14ac:dyDescent="0.2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00000000000001" customHeight="1" x14ac:dyDescent="0.2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00000000000001" customHeight="1" x14ac:dyDescent="0.2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00000000000001" customHeight="1" x14ac:dyDescent="0.2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00000000000001" customHeight="1" x14ac:dyDescent="0.2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3">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2.95" customHeight="1" x14ac:dyDescent="0.25"/>
    <row r="28" spans="1:13" s="208" customFormat="1" ht="12.95" customHeight="1" thickBot="1" x14ac:dyDescent="0.3">
      <c r="A28" s="593" t="s">
        <v>791</v>
      </c>
      <c r="B28" s="593"/>
      <c r="C28" s="593"/>
      <c r="D28" s="593"/>
      <c r="E28" s="593"/>
      <c r="F28" s="593"/>
      <c r="G28" s="593"/>
      <c r="H28" s="593"/>
      <c r="I28" s="593"/>
      <c r="J28" s="593"/>
      <c r="K28" s="593"/>
      <c r="L28" s="593"/>
      <c r="M28" s="593"/>
    </row>
    <row r="29" spans="1:13" s="208" customFormat="1" ht="17.100000000000001" customHeight="1" x14ac:dyDescent="0.25">
      <c r="A29" s="544" t="str">
        <f>'VN2'!E4</f>
        <v>Kalksteen</v>
      </c>
      <c r="B29" s="545"/>
      <c r="C29" s="577" t="str">
        <f>'VN2'!G4</f>
        <v>14/20</v>
      </c>
      <c r="D29" s="1891"/>
      <c r="E29" s="1784"/>
      <c r="F29" s="1785"/>
      <c r="G29" s="1785"/>
      <c r="H29" s="1785"/>
      <c r="I29" s="1785"/>
      <c r="J29" s="1785"/>
      <c r="K29" s="1785"/>
      <c r="L29" s="1785"/>
      <c r="M29" s="1786"/>
    </row>
    <row r="30" spans="1:13" s="208" customFormat="1" ht="17.100000000000001" customHeight="1" x14ac:dyDescent="0.25">
      <c r="A30" s="251" t="str">
        <f>'VN2'!E5</f>
        <v>Porfier</v>
      </c>
      <c r="B30" s="252"/>
      <c r="C30" s="578" t="str">
        <f>'VN2'!G5</f>
        <v>6/14</v>
      </c>
      <c r="D30" s="1892"/>
      <c r="E30" s="1787"/>
      <c r="F30" s="1788"/>
      <c r="G30" s="1788"/>
      <c r="H30" s="1788"/>
      <c r="I30" s="1788"/>
      <c r="J30" s="1788"/>
      <c r="K30" s="1788"/>
      <c r="L30" s="1788"/>
      <c r="M30" s="1789"/>
    </row>
    <row r="31" spans="1:13" s="208" customFormat="1" ht="17.100000000000001" customHeight="1" x14ac:dyDescent="0.25">
      <c r="A31" s="251" t="str">
        <f>'VN2'!E6</f>
        <v>Rode zandsteen</v>
      </c>
      <c r="B31" s="252"/>
      <c r="C31" s="578" t="str">
        <f>'VN2'!G6</f>
        <v>0/2 (0/0,05)</v>
      </c>
      <c r="D31" s="1892"/>
      <c r="E31" s="1787"/>
      <c r="F31" s="1788"/>
      <c r="G31" s="1788"/>
      <c r="H31" s="1788"/>
      <c r="I31" s="1788"/>
      <c r="J31" s="1788"/>
      <c r="K31" s="1788"/>
      <c r="L31" s="1788"/>
      <c r="M31" s="1789"/>
    </row>
    <row r="32" spans="1:13" s="208" customFormat="1" ht="17.100000000000001" customHeight="1" x14ac:dyDescent="0.25">
      <c r="A32" s="251" t="str">
        <f>'VN2'!E7</f>
        <v/>
      </c>
      <c r="B32" s="252"/>
      <c r="C32" s="578" t="str">
        <f>'VN2'!G7</f>
        <v/>
      </c>
      <c r="D32" s="1892"/>
      <c r="E32" s="1787"/>
      <c r="F32" s="1788"/>
      <c r="G32" s="1788"/>
      <c r="H32" s="1788"/>
      <c r="I32" s="1788"/>
      <c r="J32" s="1788"/>
      <c r="K32" s="1788"/>
      <c r="L32" s="1788"/>
      <c r="M32" s="1789"/>
    </row>
    <row r="33" spans="1:13" s="208" customFormat="1" ht="17.100000000000001" customHeight="1" x14ac:dyDescent="0.25">
      <c r="A33" s="251" t="str">
        <f>'VN2'!E8</f>
        <v/>
      </c>
      <c r="B33" s="252"/>
      <c r="C33" s="578" t="str">
        <f>'VN2'!G8</f>
        <v/>
      </c>
      <c r="D33" s="1892"/>
      <c r="E33" s="1787"/>
      <c r="F33" s="1788"/>
      <c r="G33" s="1788"/>
      <c r="H33" s="1788"/>
      <c r="I33" s="1788"/>
      <c r="J33" s="1788"/>
      <c r="K33" s="1788"/>
      <c r="L33" s="1788"/>
      <c r="M33" s="1789"/>
    </row>
    <row r="34" spans="1:13" s="208" customFormat="1" ht="17.100000000000001" customHeight="1" x14ac:dyDescent="0.25">
      <c r="A34" s="251" t="str">
        <f>'VN2'!E9</f>
        <v>Slakken</v>
      </c>
      <c r="B34" s="252"/>
      <c r="C34" s="578" t="str">
        <f>'VN2'!G9</f>
        <v>6/10</v>
      </c>
      <c r="D34" s="1892"/>
      <c r="E34" s="1787"/>
      <c r="F34" s="1788"/>
      <c r="G34" s="1788"/>
      <c r="H34" s="1788"/>
      <c r="I34" s="1788"/>
      <c r="J34" s="1788"/>
      <c r="K34" s="1788"/>
      <c r="L34" s="1788"/>
      <c r="M34" s="1789"/>
    </row>
    <row r="35" spans="1:13" s="208" customFormat="1" ht="17.100000000000001" customHeight="1" x14ac:dyDescent="0.25">
      <c r="A35" s="251" t="str">
        <f>'VN2'!E10</f>
        <v>Kalksteen</v>
      </c>
      <c r="B35" s="252"/>
      <c r="C35" s="578" t="str">
        <f>'VN2'!G10</f>
        <v>14/20</v>
      </c>
      <c r="D35" s="1892"/>
      <c r="E35" s="1787"/>
      <c r="F35" s="1788"/>
      <c r="G35" s="1788"/>
      <c r="H35" s="1788"/>
      <c r="I35" s="1788"/>
      <c r="J35" s="1788"/>
      <c r="K35" s="1788"/>
      <c r="L35" s="1788"/>
      <c r="M35" s="1789"/>
    </row>
    <row r="36" spans="1:13" s="208" customFormat="1" ht="17.100000000000001" customHeight="1" x14ac:dyDescent="0.25">
      <c r="A36" s="251" t="str">
        <f>'VN2'!E11</f>
        <v>Porfier</v>
      </c>
      <c r="B36" s="252"/>
      <c r="C36" s="578" t="str">
        <f>'VN2'!G11</f>
        <v>6/14</v>
      </c>
      <c r="D36" s="1892"/>
      <c r="E36" s="1787"/>
      <c r="F36" s="1788"/>
      <c r="G36" s="1788"/>
      <c r="H36" s="1788"/>
      <c r="I36" s="1788"/>
      <c r="J36" s="1788"/>
      <c r="K36" s="1788"/>
      <c r="L36" s="1788"/>
      <c r="M36" s="1789"/>
    </row>
    <row r="37" spans="1:13" s="208" customFormat="1" ht="17.100000000000001" customHeight="1" x14ac:dyDescent="0.25">
      <c r="A37" s="251" t="str">
        <f>'VN2'!E12</f>
        <v>Slakken</v>
      </c>
      <c r="B37" s="252"/>
      <c r="C37" s="578" t="str">
        <f>'VN2'!G12</f>
        <v>6/10</v>
      </c>
      <c r="D37" s="1892"/>
      <c r="E37" s="1787"/>
      <c r="F37" s="1788"/>
      <c r="G37" s="1788"/>
      <c r="H37" s="1788"/>
      <c r="I37" s="1788"/>
      <c r="J37" s="1788"/>
      <c r="K37" s="1788"/>
      <c r="L37" s="1788"/>
      <c r="M37" s="1789"/>
    </row>
    <row r="38" spans="1:13" s="208" customFormat="1" ht="17.100000000000001" customHeight="1" thickBot="1" x14ac:dyDescent="0.3">
      <c r="A38" s="547" t="str">
        <f>'VN2'!E13</f>
        <v/>
      </c>
      <c r="B38" s="262"/>
      <c r="C38" s="579" t="str">
        <f>'VN2'!G13</f>
        <v/>
      </c>
      <c r="D38" s="1893"/>
      <c r="E38" s="1842"/>
      <c r="F38" s="1843"/>
      <c r="G38" s="1843"/>
      <c r="H38" s="1843"/>
      <c r="I38" s="1843"/>
      <c r="J38" s="1843"/>
      <c r="K38" s="1843"/>
      <c r="L38" s="1843"/>
      <c r="M38" s="1844"/>
    </row>
    <row r="39" spans="1:13" s="208" customFormat="1" ht="10.9" customHeight="1" x14ac:dyDescent="0.25"/>
    <row r="40" spans="1:13" s="208" customFormat="1" ht="12" customHeight="1" thickBot="1" x14ac:dyDescent="0.3">
      <c r="A40" s="593" t="s">
        <v>792</v>
      </c>
      <c r="B40" s="593"/>
      <c r="C40" s="593"/>
      <c r="D40" s="593"/>
      <c r="E40" s="593"/>
      <c r="F40" s="593"/>
      <c r="G40" s="593"/>
      <c r="H40" s="593"/>
      <c r="J40" s="593" t="s">
        <v>793</v>
      </c>
      <c r="K40" s="593"/>
      <c r="L40" s="593"/>
      <c r="M40" s="593"/>
    </row>
    <row r="41" spans="1:13" s="208" customFormat="1" ht="10.9" customHeight="1" x14ac:dyDescent="0.2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2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2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2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3">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25"/>
    <row r="47" spans="1:13" s="208" customFormat="1" ht="12" customHeight="1" thickBot="1" x14ac:dyDescent="0.3">
      <c r="A47" s="593" t="s">
        <v>802</v>
      </c>
      <c r="B47" s="593"/>
      <c r="C47" s="593"/>
      <c r="D47" s="593"/>
      <c r="E47" s="593"/>
      <c r="F47" s="593"/>
      <c r="G47" s="593"/>
      <c r="H47" s="593"/>
      <c r="I47" s="593"/>
      <c r="J47" s="593"/>
      <c r="K47" s="593"/>
      <c r="L47" s="593"/>
      <c r="M47" s="593"/>
    </row>
    <row r="48" spans="1:13" s="210" customFormat="1" ht="10.9" customHeight="1" thickBot="1" x14ac:dyDescent="0.3">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25"/>
    <row r="50" spans="1:13" s="208" customFormat="1" ht="12" customHeight="1" thickBot="1" x14ac:dyDescent="0.3">
      <c r="A50" s="593" t="s">
        <v>809</v>
      </c>
      <c r="B50" s="593"/>
      <c r="C50" s="593"/>
      <c r="D50" s="593"/>
      <c r="E50" s="593"/>
      <c r="F50" s="593"/>
      <c r="G50" s="593"/>
      <c r="H50" s="593"/>
      <c r="I50" s="593"/>
      <c r="J50" s="593"/>
      <c r="K50" s="593"/>
      <c r="L50" s="593"/>
      <c r="M50" s="593"/>
    </row>
    <row r="51" spans="1:13" s="208" customFormat="1" ht="10.9" customHeight="1" x14ac:dyDescent="0.25">
      <c r="A51" s="606" t="str">
        <f>IF(algemeen!B140="","",algemeen!B140)</f>
        <v/>
      </c>
      <c r="B51" s="291"/>
      <c r="C51" s="291"/>
      <c r="D51" s="291"/>
      <c r="E51" s="291"/>
      <c r="F51" s="291"/>
      <c r="G51" s="291"/>
      <c r="H51" s="291"/>
      <c r="I51" s="291"/>
      <c r="J51" s="291"/>
      <c r="K51" s="291"/>
      <c r="L51" s="291"/>
      <c r="M51" s="607"/>
    </row>
    <row r="52" spans="1:13" s="208" customFormat="1" ht="10.9" customHeight="1" x14ac:dyDescent="0.25">
      <c r="A52" s="250" t="str">
        <f>IF(algemeen!B141="","",algemeen!B141)</f>
        <v/>
      </c>
      <c r="M52" s="608"/>
    </row>
    <row r="53" spans="1:13" s="208" customFormat="1" ht="10.9" customHeight="1" thickBot="1" x14ac:dyDescent="0.3">
      <c r="A53" s="255" t="str">
        <f>IF(algemeen!B142="","",algemeen!B142)</f>
        <v/>
      </c>
      <c r="B53" s="256"/>
      <c r="C53" s="256"/>
      <c r="D53" s="256"/>
      <c r="E53" s="256"/>
      <c r="F53" s="256"/>
      <c r="G53" s="256"/>
      <c r="H53" s="256"/>
      <c r="I53" s="256"/>
      <c r="J53" s="256"/>
      <c r="K53" s="256"/>
      <c r="L53" s="256"/>
      <c r="M53" s="609"/>
    </row>
    <row r="54" spans="1:13" s="208" customFormat="1" ht="15" customHeight="1" x14ac:dyDescent="0.25"/>
    <row r="55" spans="1:13" s="208" customFormat="1" ht="15" customHeight="1" x14ac:dyDescent="0.25"/>
    <row r="56" spans="1:13" s="208" customFormat="1" ht="15" customHeight="1" x14ac:dyDescent="0.25"/>
    <row r="57" spans="1:13" s="208" customFormat="1" ht="15" customHeight="1" x14ac:dyDescent="0.25"/>
    <row r="58" spans="1:13" s="208" customFormat="1" ht="15" customHeight="1" x14ac:dyDescent="0.25"/>
    <row r="59" spans="1:13" s="208" customFormat="1" ht="15" customHeight="1" x14ac:dyDescent="0.25"/>
    <row r="60" spans="1:13" s="208" customFormat="1" ht="15" customHeight="1" x14ac:dyDescent="0.25"/>
    <row r="61" spans="1:13" s="208" customFormat="1" ht="15" customHeight="1" x14ac:dyDescent="0.25"/>
    <row r="62" spans="1:13" s="208" customFormat="1" ht="15" customHeight="1" x14ac:dyDescent="0.25"/>
    <row r="63" spans="1:13" s="208" customFormat="1" ht="15" customHeight="1" x14ac:dyDescent="0.25"/>
    <row r="64" spans="1:13"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row r="78" s="208" customFormat="1" ht="15" customHeight="1" x14ac:dyDescent="0.25"/>
    <row r="79" s="208" customFormat="1" ht="15" customHeight="1" x14ac:dyDescent="0.25"/>
    <row r="80" s="208" customFormat="1" ht="15" customHeight="1" x14ac:dyDescent="0.25"/>
    <row r="81" s="208" customFormat="1" ht="15" customHeight="1" x14ac:dyDescent="0.25"/>
    <row r="82" s="208" customFormat="1" ht="15" customHeight="1" x14ac:dyDescent="0.25"/>
    <row r="83" s="208" customFormat="1" ht="15" customHeight="1" x14ac:dyDescent="0.25"/>
    <row r="84" s="208" customFormat="1" ht="15" customHeight="1" x14ac:dyDescent="0.25"/>
    <row r="85" s="208" customFormat="1" ht="15" customHeight="1" x14ac:dyDescent="0.25"/>
    <row r="86" s="208" customFormat="1" ht="15" customHeight="1" x14ac:dyDescent="0.25"/>
    <row r="87" s="208" customFormat="1" ht="15" customHeight="1" x14ac:dyDescent="0.25"/>
    <row r="88" s="208" customFormat="1" ht="15" customHeight="1" x14ac:dyDescent="0.25"/>
    <row r="89" s="208" customFormat="1" ht="15" customHeight="1" x14ac:dyDescent="0.25"/>
    <row r="90" s="208" customFormat="1" ht="15" customHeight="1" x14ac:dyDescent="0.25"/>
    <row r="91" s="208" customFormat="1" ht="15" customHeight="1" x14ac:dyDescent="0.25"/>
    <row r="92" s="208" customFormat="1" ht="15" customHeight="1" x14ac:dyDescent="0.25"/>
    <row r="93" s="208" customFormat="1" ht="15" customHeight="1" x14ac:dyDescent="0.25"/>
    <row r="94" s="208" customFormat="1" ht="15" customHeight="1" x14ac:dyDescent="0.25"/>
    <row r="95" s="208" customFormat="1" ht="15" customHeight="1" x14ac:dyDescent="0.25"/>
    <row r="96" s="208" customFormat="1" ht="15" customHeight="1" x14ac:dyDescent="0.25"/>
    <row r="97" s="208" customFormat="1" ht="15" customHeight="1" x14ac:dyDescent="0.2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5" x14ac:dyDescent="0.25"/>
  <cols>
    <col min="1" max="26" width="6.7109375" customWidth="1"/>
  </cols>
  <sheetData>
    <row r="1" spans="1:13" ht="20.25" thickTop="1" thickBot="1" x14ac:dyDescent="0.35">
      <c r="A1" s="560"/>
      <c r="B1" s="561"/>
      <c r="C1" s="561"/>
      <c r="D1" s="562" t="s">
        <v>783</v>
      </c>
      <c r="E1" s="561"/>
      <c r="F1" s="563"/>
      <c r="G1" s="563"/>
      <c r="H1" s="563"/>
      <c r="I1" s="562" t="str">
        <f>IF(algemeen!G62="J",algemeen!L93,"zonder centrale !")</f>
        <v>4CX50PAVT49</v>
      </c>
      <c r="J1" s="562"/>
      <c r="K1" s="561"/>
      <c r="L1" s="564" t="s">
        <v>784</v>
      </c>
      <c r="M1" s="1920"/>
    </row>
    <row r="2" spans="1:13" s="208" customFormat="1" ht="12.95" customHeight="1" thickTop="1" x14ac:dyDescent="0.25"/>
    <row r="3" spans="1:13" s="208" customFormat="1" ht="12.95" customHeight="1" x14ac:dyDescent="0.25">
      <c r="A3" s="573" t="s">
        <v>785</v>
      </c>
      <c r="B3" s="264"/>
      <c r="C3" s="264"/>
      <c r="D3" s="574" t="str">
        <f>algemeen!K21</f>
        <v>GHI nv</v>
      </c>
      <c r="E3" s="575"/>
      <c r="F3" s="575"/>
      <c r="G3" s="575"/>
      <c r="H3" s="575"/>
      <c r="I3" s="574" t="str">
        <f>algemeen!K24</f>
        <v>Hasselt</v>
      </c>
      <c r="J3" s="264"/>
      <c r="K3" s="264"/>
      <c r="L3" s="264"/>
      <c r="M3" s="576"/>
    </row>
    <row r="4" spans="1:13" s="208" customFormat="1" ht="12.95" customHeight="1" x14ac:dyDescent="0.25">
      <c r="A4" s="566" t="s">
        <v>1464</v>
      </c>
      <c r="D4" s="208" t="str">
        <f>IF(algemeen!F40&lt;&gt;"",algemeen!F40,IF(algemeen!F42&lt;&gt;"",algemeen!F42,""))</f>
        <v>AB-3A1</v>
      </c>
      <c r="I4" s="208" t="str">
        <f>IF(algemeen!F41="","",algemeen!F41)</f>
        <v>AC 20 onderlaag 50/70</v>
      </c>
      <c r="M4" s="567"/>
    </row>
    <row r="5" spans="1:13" s="208" customFormat="1" ht="12.95" customHeight="1" x14ac:dyDescent="0.2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2.95" customHeight="1" x14ac:dyDescent="0.25"/>
    <row r="7" spans="1:13" s="208" customFormat="1" ht="12.95" customHeight="1" thickBot="1" x14ac:dyDescent="0.3">
      <c r="A7" s="593" t="s">
        <v>786</v>
      </c>
      <c r="B7" s="593"/>
      <c r="C7" s="593"/>
      <c r="D7" s="593"/>
      <c r="E7" s="593"/>
      <c r="F7" s="593"/>
      <c r="G7" s="593"/>
      <c r="H7" s="593"/>
      <c r="I7" s="593"/>
      <c r="J7" s="593"/>
      <c r="K7" s="593"/>
      <c r="L7" s="593"/>
      <c r="M7" s="593"/>
    </row>
    <row r="8" spans="1:13" s="208" customFormat="1" ht="17.100000000000001" customHeight="1" x14ac:dyDescent="0.25">
      <c r="A8" s="544" t="s">
        <v>787</v>
      </c>
      <c r="B8" s="545"/>
      <c r="C8" s="545"/>
      <c r="D8" s="545"/>
      <c r="E8" s="1784"/>
      <c r="F8" s="1785"/>
      <c r="G8" s="1785"/>
      <c r="H8" s="1785"/>
      <c r="I8" s="1785"/>
      <c r="J8" s="1785"/>
      <c r="K8" s="1785"/>
      <c r="L8" s="1785"/>
      <c r="M8" s="1786"/>
    </row>
    <row r="9" spans="1:13" s="208" customFormat="1" ht="17.100000000000001" customHeight="1" x14ac:dyDescent="0.25">
      <c r="A9" s="251" t="s">
        <v>788</v>
      </c>
      <c r="B9" s="252"/>
      <c r="C9" s="252"/>
      <c r="D9" s="252"/>
      <c r="E9" s="1787"/>
      <c r="F9" s="1788"/>
      <c r="G9" s="1788"/>
      <c r="H9" s="1788"/>
      <c r="I9" s="1788"/>
      <c r="J9" s="1788"/>
      <c r="K9" s="1788"/>
      <c r="L9" s="1788"/>
      <c r="M9" s="1789"/>
    </row>
    <row r="10" spans="1:13" s="208" customFormat="1" ht="17.100000000000001" customHeight="1" x14ac:dyDescent="0.25">
      <c r="A10" s="251" t="s">
        <v>789</v>
      </c>
      <c r="B10" s="252"/>
      <c r="C10" s="252"/>
      <c r="D10" s="252"/>
      <c r="E10" s="1787"/>
      <c r="F10" s="1788"/>
      <c r="G10" s="1788"/>
      <c r="H10" s="1788"/>
      <c r="I10" s="1788"/>
      <c r="J10" s="1788"/>
      <c r="K10" s="1788"/>
      <c r="L10" s="1788"/>
      <c r="M10" s="1789"/>
    </row>
    <row r="11" spans="1:13" s="208" customFormat="1" ht="17.100000000000001" customHeight="1" x14ac:dyDescent="0.25">
      <c r="A11" s="275" t="s">
        <v>794</v>
      </c>
      <c r="B11" s="207"/>
      <c r="C11" s="207"/>
      <c r="D11" s="284"/>
      <c r="E11" s="1790"/>
      <c r="F11" s="1791"/>
      <c r="G11" s="1791"/>
      <c r="H11" s="1791"/>
      <c r="I11" s="1791"/>
      <c r="J11" s="1791"/>
      <c r="K11" s="1791"/>
      <c r="L11" s="1791"/>
      <c r="M11" s="1792"/>
    </row>
    <row r="12" spans="1:13" s="208" customFormat="1" ht="17.100000000000001" customHeight="1" x14ac:dyDescent="0.2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00000000000001" customHeight="1" x14ac:dyDescent="0.2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00000000000001" customHeight="1" x14ac:dyDescent="0.2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00000000000001" customHeight="1" x14ac:dyDescent="0.2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00000000000001" customHeight="1" x14ac:dyDescent="0.2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00000000000001" customHeight="1" x14ac:dyDescent="0.2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00000000000001" customHeight="1" x14ac:dyDescent="0.2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00000000000001" customHeight="1" x14ac:dyDescent="0.2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00000000000001" customHeight="1" x14ac:dyDescent="0.2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00000000000001" customHeight="1" x14ac:dyDescent="0.2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00000000000001" customHeight="1" x14ac:dyDescent="0.2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00000000000001" customHeight="1" x14ac:dyDescent="0.2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00000000000001" customHeight="1" x14ac:dyDescent="0.2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00000000000001" customHeight="1" x14ac:dyDescent="0.2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3">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2.95" customHeight="1" x14ac:dyDescent="0.25"/>
    <row r="28" spans="1:13" s="208" customFormat="1" ht="12.95" customHeight="1" thickBot="1" x14ac:dyDescent="0.3">
      <c r="A28" s="593" t="s">
        <v>791</v>
      </c>
      <c r="B28" s="593"/>
      <c r="C28" s="593"/>
      <c r="D28" s="593"/>
      <c r="E28" s="593"/>
      <c r="F28" s="593"/>
      <c r="G28" s="593"/>
      <c r="H28" s="593"/>
      <c r="I28" s="593"/>
      <c r="J28" s="593"/>
      <c r="K28" s="593"/>
      <c r="L28" s="593"/>
      <c r="M28" s="593"/>
    </row>
    <row r="29" spans="1:13" s="208" customFormat="1" ht="17.100000000000001" customHeight="1" x14ac:dyDescent="0.25">
      <c r="A29" s="544" t="str">
        <f>'VN2'!E4</f>
        <v>Kalksteen</v>
      </c>
      <c r="B29" s="545"/>
      <c r="C29" s="577" t="str">
        <f>'VN2'!G4</f>
        <v>14/20</v>
      </c>
      <c r="D29" s="1891"/>
      <c r="E29" s="1784"/>
      <c r="F29" s="1785"/>
      <c r="G29" s="1785"/>
      <c r="H29" s="1785"/>
      <c r="I29" s="1785"/>
      <c r="J29" s="1785"/>
      <c r="K29" s="1785"/>
      <c r="L29" s="1785"/>
      <c r="M29" s="1786"/>
    </row>
    <row r="30" spans="1:13" s="208" customFormat="1" ht="17.100000000000001" customHeight="1" x14ac:dyDescent="0.25">
      <c r="A30" s="251" t="str">
        <f>'VN2'!E5</f>
        <v>Porfier</v>
      </c>
      <c r="B30" s="252"/>
      <c r="C30" s="578" t="str">
        <f>'VN2'!G5</f>
        <v>6/14</v>
      </c>
      <c r="D30" s="1892"/>
      <c r="E30" s="1787"/>
      <c r="F30" s="1788"/>
      <c r="G30" s="1788"/>
      <c r="H30" s="1788"/>
      <c r="I30" s="1788"/>
      <c r="J30" s="1788"/>
      <c r="K30" s="1788"/>
      <c r="L30" s="1788"/>
      <c r="M30" s="1789"/>
    </row>
    <row r="31" spans="1:13" s="208" customFormat="1" ht="17.100000000000001" customHeight="1" x14ac:dyDescent="0.25">
      <c r="A31" s="251" t="str">
        <f>'VN2'!E6</f>
        <v>Rode zandsteen</v>
      </c>
      <c r="B31" s="252"/>
      <c r="C31" s="578" t="str">
        <f>'VN2'!G6</f>
        <v>0/2 (0/0,05)</v>
      </c>
      <c r="D31" s="1892"/>
      <c r="E31" s="1787"/>
      <c r="F31" s="1788"/>
      <c r="G31" s="1788"/>
      <c r="H31" s="1788"/>
      <c r="I31" s="1788"/>
      <c r="J31" s="1788"/>
      <c r="K31" s="1788"/>
      <c r="L31" s="1788"/>
      <c r="M31" s="1789"/>
    </row>
    <row r="32" spans="1:13" s="208" customFormat="1" ht="17.100000000000001" customHeight="1" x14ac:dyDescent="0.25">
      <c r="A32" s="251" t="str">
        <f>'VN2'!E7</f>
        <v/>
      </c>
      <c r="B32" s="252"/>
      <c r="C32" s="578" t="str">
        <f>'VN2'!G7</f>
        <v/>
      </c>
      <c r="D32" s="1892"/>
      <c r="E32" s="1787"/>
      <c r="F32" s="1788"/>
      <c r="G32" s="1788"/>
      <c r="H32" s="1788"/>
      <c r="I32" s="1788"/>
      <c r="J32" s="1788"/>
      <c r="K32" s="1788"/>
      <c r="L32" s="1788"/>
      <c r="M32" s="1789"/>
    </row>
    <row r="33" spans="1:13" s="208" customFormat="1" ht="17.100000000000001" customHeight="1" x14ac:dyDescent="0.25">
      <c r="A33" s="251" t="str">
        <f>'VN2'!E8</f>
        <v/>
      </c>
      <c r="B33" s="252"/>
      <c r="C33" s="578" t="str">
        <f>'VN2'!G8</f>
        <v/>
      </c>
      <c r="D33" s="1892"/>
      <c r="E33" s="1787"/>
      <c r="F33" s="1788"/>
      <c r="G33" s="1788"/>
      <c r="H33" s="1788"/>
      <c r="I33" s="1788"/>
      <c r="J33" s="1788"/>
      <c r="K33" s="1788"/>
      <c r="L33" s="1788"/>
      <c r="M33" s="1789"/>
    </row>
    <row r="34" spans="1:13" s="208" customFormat="1" ht="17.100000000000001" customHeight="1" x14ac:dyDescent="0.25">
      <c r="A34" s="251" t="str">
        <f>'VN2'!E9</f>
        <v>Slakken</v>
      </c>
      <c r="B34" s="252"/>
      <c r="C34" s="578" t="str">
        <f>'VN2'!G9</f>
        <v>6/10</v>
      </c>
      <c r="D34" s="1892"/>
      <c r="E34" s="1787"/>
      <c r="F34" s="1788"/>
      <c r="G34" s="1788"/>
      <c r="H34" s="1788"/>
      <c r="I34" s="1788"/>
      <c r="J34" s="1788"/>
      <c r="K34" s="1788"/>
      <c r="L34" s="1788"/>
      <c r="M34" s="1789"/>
    </row>
    <row r="35" spans="1:13" s="208" customFormat="1" ht="17.100000000000001" customHeight="1" x14ac:dyDescent="0.25">
      <c r="A35" s="251" t="str">
        <f>'VN2'!E10</f>
        <v>Kalksteen</v>
      </c>
      <c r="B35" s="252"/>
      <c r="C35" s="578" t="str">
        <f>'VN2'!G10</f>
        <v>14/20</v>
      </c>
      <c r="D35" s="1892"/>
      <c r="E35" s="1787"/>
      <c r="F35" s="1788"/>
      <c r="G35" s="1788"/>
      <c r="H35" s="1788"/>
      <c r="I35" s="1788"/>
      <c r="J35" s="1788"/>
      <c r="K35" s="1788"/>
      <c r="L35" s="1788"/>
      <c r="M35" s="1789"/>
    </row>
    <row r="36" spans="1:13" s="208" customFormat="1" ht="17.100000000000001" customHeight="1" x14ac:dyDescent="0.25">
      <c r="A36" s="251" t="str">
        <f>'VN2'!E11</f>
        <v>Porfier</v>
      </c>
      <c r="B36" s="252"/>
      <c r="C36" s="578" t="str">
        <f>'VN2'!G11</f>
        <v>6/14</v>
      </c>
      <c r="D36" s="1892"/>
      <c r="E36" s="1787"/>
      <c r="F36" s="1788"/>
      <c r="G36" s="1788"/>
      <c r="H36" s="1788"/>
      <c r="I36" s="1788"/>
      <c r="J36" s="1788"/>
      <c r="K36" s="1788"/>
      <c r="L36" s="1788"/>
      <c r="M36" s="1789"/>
    </row>
    <row r="37" spans="1:13" s="208" customFormat="1" ht="17.100000000000001" customHeight="1" x14ac:dyDescent="0.25">
      <c r="A37" s="251" t="str">
        <f>'VN2'!E12</f>
        <v>Slakken</v>
      </c>
      <c r="B37" s="252"/>
      <c r="C37" s="578" t="str">
        <f>'VN2'!G12</f>
        <v>6/10</v>
      </c>
      <c r="D37" s="1892"/>
      <c r="E37" s="1787"/>
      <c r="F37" s="1788"/>
      <c r="G37" s="1788"/>
      <c r="H37" s="1788"/>
      <c r="I37" s="1788"/>
      <c r="J37" s="1788"/>
      <c r="K37" s="1788"/>
      <c r="L37" s="1788"/>
      <c r="M37" s="1789"/>
    </row>
    <row r="38" spans="1:13" s="208" customFormat="1" ht="17.100000000000001" customHeight="1" thickBot="1" x14ac:dyDescent="0.3">
      <c r="A38" s="547" t="str">
        <f>'VN2'!E13</f>
        <v/>
      </c>
      <c r="B38" s="262"/>
      <c r="C38" s="579" t="str">
        <f>'VN2'!G13</f>
        <v/>
      </c>
      <c r="D38" s="1893"/>
      <c r="E38" s="1842"/>
      <c r="F38" s="1843"/>
      <c r="G38" s="1843"/>
      <c r="H38" s="1843"/>
      <c r="I38" s="1843"/>
      <c r="J38" s="1843"/>
      <c r="K38" s="1843"/>
      <c r="L38" s="1843"/>
      <c r="M38" s="1844"/>
    </row>
    <row r="39" spans="1:13" s="208" customFormat="1" ht="10.9" customHeight="1" x14ac:dyDescent="0.25"/>
    <row r="40" spans="1:13" s="208" customFormat="1" ht="12" customHeight="1" thickBot="1" x14ac:dyDescent="0.3">
      <c r="A40" s="593" t="s">
        <v>792</v>
      </c>
      <c r="B40" s="593"/>
      <c r="C40" s="593"/>
      <c r="D40" s="593"/>
      <c r="E40" s="593"/>
      <c r="F40" s="593"/>
      <c r="G40" s="593"/>
      <c r="H40" s="593"/>
      <c r="J40" s="593" t="s">
        <v>793</v>
      </c>
      <c r="K40" s="593"/>
      <c r="L40" s="593"/>
      <c r="M40" s="593"/>
    </row>
    <row r="41" spans="1:13" s="208" customFormat="1" ht="10.9" customHeight="1" x14ac:dyDescent="0.2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2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2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2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3">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25"/>
    <row r="47" spans="1:13" s="208" customFormat="1" ht="12" customHeight="1" thickBot="1" x14ac:dyDescent="0.3">
      <c r="A47" s="593" t="s">
        <v>802</v>
      </c>
      <c r="B47" s="593"/>
      <c r="C47" s="593"/>
      <c r="D47" s="593"/>
      <c r="E47" s="593"/>
      <c r="F47" s="593"/>
      <c r="G47" s="593"/>
      <c r="H47" s="593"/>
      <c r="I47" s="593"/>
      <c r="J47" s="593"/>
      <c r="K47" s="593"/>
      <c r="L47" s="593"/>
      <c r="M47" s="593"/>
    </row>
    <row r="48" spans="1:13" s="210" customFormat="1" ht="10.9" customHeight="1" thickBot="1" x14ac:dyDescent="0.3">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25"/>
    <row r="50" spans="1:13" s="208" customFormat="1" ht="12" customHeight="1" thickBot="1" x14ac:dyDescent="0.3">
      <c r="A50" s="593" t="s">
        <v>809</v>
      </c>
      <c r="B50" s="593"/>
      <c r="C50" s="593"/>
      <c r="D50" s="593"/>
      <c r="E50" s="593"/>
      <c r="F50" s="593"/>
      <c r="G50" s="593"/>
      <c r="H50" s="593"/>
      <c r="I50" s="593"/>
      <c r="J50" s="593"/>
      <c r="K50" s="593"/>
      <c r="L50" s="593"/>
      <c r="M50" s="593"/>
    </row>
    <row r="51" spans="1:13" s="208" customFormat="1" ht="10.9" customHeight="1" x14ac:dyDescent="0.25">
      <c r="A51" s="606" t="str">
        <f>IF(algemeen!B140="","",algemeen!B140)</f>
        <v/>
      </c>
      <c r="B51" s="291"/>
      <c r="C51" s="291"/>
      <c r="D51" s="291"/>
      <c r="E51" s="291"/>
      <c r="F51" s="291"/>
      <c r="G51" s="291"/>
      <c r="H51" s="291"/>
      <c r="I51" s="291"/>
      <c r="J51" s="291"/>
      <c r="K51" s="291"/>
      <c r="L51" s="291"/>
      <c r="M51" s="607"/>
    </row>
    <row r="52" spans="1:13" s="208" customFormat="1" ht="10.9" customHeight="1" x14ac:dyDescent="0.25">
      <c r="A52" s="250" t="str">
        <f>IF(algemeen!B141="","",algemeen!B141)</f>
        <v/>
      </c>
      <c r="M52" s="608"/>
    </row>
    <row r="53" spans="1:13" s="208" customFormat="1" ht="10.9" customHeight="1" thickBot="1" x14ac:dyDescent="0.3">
      <c r="A53" s="255" t="str">
        <f>IF(algemeen!B142="","",algemeen!B142)</f>
        <v/>
      </c>
      <c r="B53" s="256"/>
      <c r="C53" s="256"/>
      <c r="D53" s="256"/>
      <c r="E53" s="256"/>
      <c r="F53" s="256"/>
      <c r="G53" s="256"/>
      <c r="H53" s="256"/>
      <c r="I53" s="256"/>
      <c r="J53" s="256"/>
      <c r="K53" s="256"/>
      <c r="L53" s="256"/>
      <c r="M53" s="609"/>
    </row>
    <row r="54" spans="1:13" s="208" customFormat="1" ht="15" customHeight="1" x14ac:dyDescent="0.25"/>
    <row r="55" spans="1:13" s="208" customFormat="1" ht="15" customHeight="1" x14ac:dyDescent="0.25"/>
    <row r="56" spans="1:13" s="208" customFormat="1" ht="15" customHeight="1" x14ac:dyDescent="0.25"/>
    <row r="57" spans="1:13" s="208" customFormat="1" ht="15" customHeight="1" x14ac:dyDescent="0.25"/>
    <row r="58" spans="1:13" s="208" customFormat="1" ht="15" customHeight="1" x14ac:dyDescent="0.25"/>
    <row r="59" spans="1:13" s="208" customFormat="1" ht="15" customHeight="1" x14ac:dyDescent="0.25"/>
    <row r="60" spans="1:13" s="208" customFormat="1" ht="15" customHeight="1" x14ac:dyDescent="0.25"/>
    <row r="61" spans="1:13" s="208" customFormat="1" ht="15" customHeight="1" x14ac:dyDescent="0.25"/>
    <row r="62" spans="1:13" s="208" customFormat="1" ht="15" customHeight="1" x14ac:dyDescent="0.25"/>
    <row r="63" spans="1:13" s="208" customFormat="1" ht="15" customHeight="1" x14ac:dyDescent="0.25"/>
    <row r="64" spans="1:13"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row r="78" s="208" customFormat="1" ht="15" customHeight="1" x14ac:dyDescent="0.25"/>
    <row r="79" s="208" customFormat="1" ht="15" customHeight="1" x14ac:dyDescent="0.25"/>
    <row r="80" s="208" customFormat="1" ht="15" customHeight="1" x14ac:dyDescent="0.25"/>
    <row r="81" s="208" customFormat="1" ht="15" customHeight="1" x14ac:dyDescent="0.25"/>
    <row r="82" s="208" customFormat="1" ht="15" customHeight="1" x14ac:dyDescent="0.25"/>
    <row r="83" s="208" customFormat="1" ht="15" customHeight="1" x14ac:dyDescent="0.25"/>
    <row r="84" s="208" customFormat="1" ht="15" customHeight="1" x14ac:dyDescent="0.25"/>
    <row r="85" s="208" customFormat="1" ht="15" customHeight="1" x14ac:dyDescent="0.25"/>
    <row r="86" s="208" customFormat="1" ht="15" customHeight="1" x14ac:dyDescent="0.25"/>
    <row r="87" s="208" customFormat="1" ht="15" customHeight="1" x14ac:dyDescent="0.25"/>
    <row r="88" s="208" customFormat="1" ht="15" customHeight="1" x14ac:dyDescent="0.25"/>
    <row r="89" s="208" customFormat="1" ht="15" customHeight="1" x14ac:dyDescent="0.25"/>
    <row r="90" s="208" customFormat="1" ht="15" customHeight="1" x14ac:dyDescent="0.25"/>
    <row r="91" s="208" customFormat="1" ht="15" customHeight="1" x14ac:dyDescent="0.25"/>
    <row r="92" s="208" customFormat="1" ht="15" customHeight="1" x14ac:dyDescent="0.25"/>
    <row r="93" s="208" customFormat="1" ht="15" customHeight="1" x14ac:dyDescent="0.25"/>
    <row r="94" s="208" customFormat="1" ht="15" customHeight="1" x14ac:dyDescent="0.25"/>
    <row r="95" s="208" customFormat="1" ht="15" customHeight="1" x14ac:dyDescent="0.25"/>
    <row r="96" s="208" customFormat="1" ht="15" customHeight="1" x14ac:dyDescent="0.25"/>
    <row r="97" s="208" customFormat="1" ht="15" customHeight="1" x14ac:dyDescent="0.2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5" x14ac:dyDescent="0.25"/>
  <cols>
    <col min="1" max="28" width="4.85546875" customWidth="1"/>
    <col min="29" max="32" width="2.7109375" customWidth="1"/>
  </cols>
  <sheetData>
    <row r="1" spans="1:28" ht="20.25" thickTop="1" thickBot="1" x14ac:dyDescent="0.35">
      <c r="A1" s="606" t="s">
        <v>785</v>
      </c>
      <c r="B1" s="291"/>
      <c r="C1" s="291"/>
      <c r="D1" s="924"/>
      <c r="E1" s="1350" t="str">
        <f>algemeen!E21</f>
        <v>ABC nv</v>
      </c>
      <c r="F1" s="924"/>
      <c r="G1" s="924"/>
      <c r="H1" s="924"/>
      <c r="I1" s="924"/>
      <c r="J1" s="925"/>
      <c r="L1" s="1349" t="s">
        <v>783</v>
      </c>
      <c r="M1" s="563"/>
      <c r="N1" s="563"/>
      <c r="O1" s="561"/>
      <c r="P1" s="561"/>
      <c r="Q1" s="561"/>
      <c r="R1" s="561"/>
      <c r="S1" s="561"/>
      <c r="T1" s="561"/>
      <c r="U1" s="2326" t="str">
        <f>IF(algemeen!E62="J",algemeen!F93,"zonder centrale !")</f>
        <v>3a3</v>
      </c>
      <c r="V1" s="2326"/>
      <c r="W1" s="2326"/>
      <c r="X1" s="2326"/>
      <c r="Y1" s="2326"/>
      <c r="Z1" s="564" t="s">
        <v>784</v>
      </c>
      <c r="AA1" s="1921"/>
      <c r="AB1" s="1920"/>
    </row>
    <row r="2" spans="1:28" s="208" customFormat="1" ht="12.95" customHeight="1" thickTop="1" x14ac:dyDescent="0.25">
      <c r="A2" s="250"/>
      <c r="E2" s="938" t="str">
        <f>algemeen!E24</f>
        <v>Gaurain-Ramecroix</v>
      </c>
      <c r="J2" s="608"/>
    </row>
    <row r="3" spans="1:28" s="208" customFormat="1" ht="12.95" customHeight="1" thickBot="1" x14ac:dyDescent="0.3">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2.95" customHeight="1" x14ac:dyDescent="0.25">
      <c r="A4" s="250"/>
      <c r="E4" s="208" t="str">
        <f>IF(algemeen!F41="","",algemeen!F41)</f>
        <v>AC 20 onderlaag 50/70</v>
      </c>
      <c r="J4" s="608"/>
      <c r="L4" s="2328" t="str">
        <f>IF(algemeen!B140="","",algemeen!B140)</f>
        <v/>
      </c>
      <c r="M4" s="2329"/>
      <c r="N4" s="2329"/>
      <c r="O4" s="2329"/>
      <c r="P4" s="2329"/>
      <c r="Q4" s="2329"/>
      <c r="R4" s="2329"/>
      <c r="S4" s="2329"/>
      <c r="T4" s="2329"/>
      <c r="U4" s="2329"/>
      <c r="V4" s="2329"/>
      <c r="W4" s="2329"/>
      <c r="X4" s="2329"/>
      <c r="Y4" s="2329"/>
      <c r="Z4" s="2329"/>
      <c r="AA4" s="2329"/>
      <c r="AB4" s="2330"/>
    </row>
    <row r="5" spans="1:28" s="208" customFormat="1" ht="12.95" customHeight="1" x14ac:dyDescent="0.25">
      <c r="A5" s="250"/>
      <c r="E5" s="779" t="str">
        <f>"VN:  "&amp;'VN1'!I2&amp;'VN1'!J2</f>
        <v>VN:  801/64/2010/13RE-1234/0</v>
      </c>
      <c r="F5" s="779"/>
      <c r="G5" s="779"/>
      <c r="H5" s="779"/>
      <c r="J5" s="608"/>
      <c r="L5" s="2331" t="str">
        <f>IF(algemeen!B141="","",algemeen!B141)</f>
        <v/>
      </c>
      <c r="M5" s="2294"/>
      <c r="N5" s="2294"/>
      <c r="O5" s="2294"/>
      <c r="P5" s="2294"/>
      <c r="Q5" s="2294"/>
      <c r="R5" s="2294"/>
      <c r="S5" s="2294"/>
      <c r="T5" s="2294"/>
      <c r="U5" s="2294"/>
      <c r="V5" s="2294"/>
      <c r="W5" s="2294"/>
      <c r="X5" s="2294"/>
      <c r="Y5" s="2294"/>
      <c r="Z5" s="2294"/>
      <c r="AA5" s="2294"/>
      <c r="AB5" s="2332"/>
    </row>
    <row r="6" spans="1:28" s="208" customFormat="1" ht="12.95" customHeight="1" thickBot="1" x14ac:dyDescent="0.3">
      <c r="A6" s="255"/>
      <c r="B6" s="256"/>
      <c r="C6" s="256"/>
      <c r="D6" s="256"/>
      <c r="E6" s="1351" t="str">
        <f>"TF:  "&amp;berekeningen!E7</f>
        <v>TF:  0801/1234</v>
      </c>
      <c r="F6" s="1351"/>
      <c r="G6" s="1351"/>
      <c r="H6" s="1351"/>
      <c r="I6" s="256"/>
      <c r="J6" s="609"/>
      <c r="L6" s="2333" t="str">
        <f>IF(algemeen!B142="","",algemeen!B142)</f>
        <v/>
      </c>
      <c r="M6" s="2334"/>
      <c r="N6" s="2334"/>
      <c r="O6" s="2334"/>
      <c r="P6" s="2334"/>
      <c r="Q6" s="2334"/>
      <c r="R6" s="2334"/>
      <c r="S6" s="2334"/>
      <c r="T6" s="2334"/>
      <c r="U6" s="2334"/>
      <c r="V6" s="2334"/>
      <c r="W6" s="2334"/>
      <c r="X6" s="2334"/>
      <c r="Y6" s="2334"/>
      <c r="Z6" s="2334"/>
      <c r="AA6" s="2334"/>
      <c r="AB6" s="2335"/>
    </row>
    <row r="7" spans="1:28" s="208" customFormat="1" ht="12.95" customHeight="1" x14ac:dyDescent="0.25"/>
    <row r="8" spans="1:28" s="208" customFormat="1" ht="12.95" customHeight="1" thickBot="1" x14ac:dyDescent="0.3">
      <c r="A8" s="2336" t="s">
        <v>792</v>
      </c>
      <c r="B8" s="2336"/>
      <c r="C8" s="2336"/>
      <c r="D8" s="2336"/>
      <c r="E8" s="2336"/>
      <c r="F8" s="2336"/>
      <c r="G8" s="2336"/>
      <c r="H8" s="2336"/>
      <c r="I8" s="2336"/>
      <c r="J8" s="2336"/>
      <c r="K8" s="2336"/>
      <c r="L8" s="2336"/>
      <c r="M8" s="2336"/>
      <c r="O8" s="593" t="s">
        <v>793</v>
      </c>
      <c r="P8" s="593"/>
      <c r="Q8" s="593"/>
      <c r="R8" s="593"/>
      <c r="S8" s="593"/>
      <c r="T8" s="593"/>
      <c r="U8" s="1347"/>
      <c r="V8" s="2327" t="s">
        <v>802</v>
      </c>
      <c r="W8" s="2327"/>
      <c r="X8" s="2327"/>
      <c r="Y8" s="2327"/>
      <c r="Z8" s="2327"/>
      <c r="AA8" s="2327"/>
      <c r="AB8" s="2327"/>
    </row>
    <row r="9" spans="1:28" s="208" customFormat="1" ht="12.95" customHeight="1" x14ac:dyDescent="0.2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2.95" customHeight="1" x14ac:dyDescent="0.2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2.95" customHeight="1" x14ac:dyDescent="0.2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2.95" customHeight="1" x14ac:dyDescent="0.2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2.95" customHeight="1" thickBot="1" x14ac:dyDescent="0.3">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2.95" customHeight="1" x14ac:dyDescent="0.25">
      <c r="A14" s="593"/>
      <c r="B14" s="593"/>
      <c r="C14" s="593"/>
      <c r="D14" s="593"/>
      <c r="E14" s="593"/>
      <c r="F14" s="593"/>
      <c r="G14" s="593"/>
      <c r="H14" s="593"/>
      <c r="L14" s="1346"/>
      <c r="M14" s="593"/>
    </row>
    <row r="15" spans="1:28" s="208" customFormat="1" ht="12.95" customHeight="1" thickBot="1" x14ac:dyDescent="0.3">
      <c r="A15" s="2327" t="str">
        <f>"Instelwaarden voor de asfaltmenginstallatie ("&amp;algemeen!F96&amp;")"</f>
        <v>Instelwaarden voor de asfaltmenginstallatie (kg)</v>
      </c>
      <c r="B15" s="2327"/>
      <c r="C15" s="2327"/>
      <c r="D15" s="2327"/>
      <c r="E15" s="2327"/>
      <c r="F15" s="2327"/>
      <c r="G15" s="2327"/>
      <c r="H15" s="2327"/>
      <c r="I15" s="2327"/>
      <c r="J15" s="2327"/>
      <c r="K15" s="2327"/>
      <c r="L15" s="2327"/>
      <c r="M15" s="2327"/>
      <c r="N15" s="2327"/>
      <c r="O15" s="2327"/>
      <c r="P15" s="2327"/>
      <c r="Q15" s="2327"/>
      <c r="R15" s="2327"/>
      <c r="S15" s="2327"/>
      <c r="T15" s="2327"/>
      <c r="U15" s="2327"/>
      <c r="V15" s="2327"/>
      <c r="W15" s="2327"/>
      <c r="X15" s="2327"/>
      <c r="Y15" s="2327"/>
      <c r="Z15" s="2327"/>
      <c r="AA15" s="2327"/>
      <c r="AB15" s="2327"/>
    </row>
    <row r="16" spans="1:28" s="922" customFormat="1" ht="79.900000000000006" customHeight="1" x14ac:dyDescent="0.2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3">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2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2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2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2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2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2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2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2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2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2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2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2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3">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25"/>
    <row r="32" spans="1:28" s="208" customFormat="1" ht="16.899999999999999" customHeight="1" x14ac:dyDescent="0.25"/>
    <row r="33" s="208" customFormat="1" ht="16.899999999999999" customHeight="1" x14ac:dyDescent="0.25"/>
    <row r="34" s="208" customFormat="1" ht="16.899999999999999" customHeight="1" x14ac:dyDescent="0.25"/>
    <row r="35" s="208" customFormat="1" ht="15" customHeight="1" x14ac:dyDescent="0.25"/>
    <row r="36" s="208" customFormat="1" ht="15" customHeight="1" x14ac:dyDescent="0.25"/>
    <row r="37" s="208" customFormat="1" ht="15" customHeight="1" x14ac:dyDescent="0.25"/>
    <row r="38" s="208" customFormat="1" ht="15" customHeight="1" x14ac:dyDescent="0.25"/>
    <row r="39" s="208" customFormat="1" ht="15" customHeight="1" x14ac:dyDescent="0.25"/>
    <row r="40" s="208" customFormat="1" ht="15" customHeight="1" x14ac:dyDescent="0.25"/>
    <row r="41" s="208" customFormat="1" ht="15" customHeight="1" x14ac:dyDescent="0.25"/>
    <row r="42" s="208" customFormat="1" ht="15" customHeight="1" x14ac:dyDescent="0.25"/>
    <row r="43" s="208" customFormat="1" ht="15" customHeight="1" x14ac:dyDescent="0.25"/>
    <row r="44" s="208" customFormat="1" ht="15" customHeight="1" x14ac:dyDescent="0.25"/>
    <row r="45" s="208" customFormat="1" ht="15" customHeight="1" x14ac:dyDescent="0.25"/>
    <row r="46" s="208" customFormat="1" ht="15" customHeight="1" x14ac:dyDescent="0.25"/>
    <row r="47" s="208" customFormat="1" ht="15" customHeight="1" x14ac:dyDescent="0.25"/>
    <row r="48" s="208" customFormat="1" ht="15" customHeight="1" x14ac:dyDescent="0.25"/>
    <row r="49" s="208" customFormat="1" ht="15" customHeight="1" x14ac:dyDescent="0.25"/>
    <row r="50" s="208" customFormat="1" ht="15" customHeight="1" x14ac:dyDescent="0.25"/>
    <row r="51" s="208" customFormat="1" ht="15" customHeight="1" x14ac:dyDescent="0.25"/>
    <row r="52" s="208" customFormat="1" ht="15" customHeight="1" x14ac:dyDescent="0.25"/>
    <row r="53" s="208" customFormat="1" ht="15" customHeight="1" x14ac:dyDescent="0.25"/>
    <row r="54" s="208" customFormat="1" ht="15" customHeight="1" x14ac:dyDescent="0.25"/>
    <row r="55" s="208" customFormat="1" ht="15" customHeight="1" x14ac:dyDescent="0.25"/>
    <row r="56" s="208" customFormat="1" ht="15" customHeight="1" x14ac:dyDescent="0.25"/>
    <row r="57" s="208" customFormat="1" ht="15" customHeight="1" x14ac:dyDescent="0.25"/>
    <row r="58" s="208" customFormat="1" ht="15" customHeight="1" x14ac:dyDescent="0.25"/>
    <row r="59" s="208" customFormat="1" ht="15" customHeight="1" x14ac:dyDescent="0.25"/>
    <row r="60" s="208" customFormat="1" ht="15" customHeight="1" x14ac:dyDescent="0.25"/>
    <row r="61" s="208" customFormat="1" ht="15" customHeight="1" x14ac:dyDescent="0.25"/>
    <row r="62" s="208" customFormat="1" ht="15" customHeight="1" x14ac:dyDescent="0.25"/>
    <row r="63" s="208" customFormat="1" ht="15" customHeight="1" x14ac:dyDescent="0.25"/>
    <row r="64"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5" x14ac:dyDescent="0.25"/>
  <cols>
    <col min="1" max="28" width="4.85546875" customWidth="1"/>
    <col min="29" max="32" width="2.7109375" customWidth="1"/>
  </cols>
  <sheetData>
    <row r="1" spans="1:28" ht="20.25" thickTop="1" thickBot="1" x14ac:dyDescent="0.35">
      <c r="A1" s="606" t="s">
        <v>785</v>
      </c>
      <c r="B1" s="291"/>
      <c r="C1" s="291"/>
      <c r="D1" s="924"/>
      <c r="E1" s="1350" t="str">
        <f>algemeen!H21</f>
        <v>DEF nv</v>
      </c>
      <c r="F1" s="924"/>
      <c r="G1" s="924"/>
      <c r="H1" s="924"/>
      <c r="I1" s="924"/>
      <c r="J1" s="925"/>
      <c r="L1" s="1349" t="s">
        <v>783</v>
      </c>
      <c r="M1" s="563"/>
      <c r="N1" s="563"/>
      <c r="O1" s="561"/>
      <c r="P1" s="561"/>
      <c r="Q1" s="561"/>
      <c r="R1" s="561"/>
      <c r="S1" s="561"/>
      <c r="T1" s="561"/>
      <c r="U1" s="2326" t="str">
        <f>IF(algemeen!F62="J",algemeen!I93,"zonder centrale !")</f>
        <v>4b4</v>
      </c>
      <c r="V1" s="2326"/>
      <c r="W1" s="2326"/>
      <c r="X1" s="2326"/>
      <c r="Y1" s="2326"/>
      <c r="Z1" s="564" t="s">
        <v>784</v>
      </c>
      <c r="AA1" s="1921"/>
      <c r="AB1" s="1920"/>
    </row>
    <row r="2" spans="1:28" s="208" customFormat="1" ht="12.95" customHeight="1" thickTop="1" x14ac:dyDescent="0.25">
      <c r="A2" s="250"/>
      <c r="E2" s="938" t="str">
        <f>algemeen!H24</f>
        <v>Antwerpen</v>
      </c>
      <c r="J2" s="608"/>
    </row>
    <row r="3" spans="1:28" s="208" customFormat="1" ht="12.95" customHeight="1" thickBot="1" x14ac:dyDescent="0.3">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2.95" customHeight="1" x14ac:dyDescent="0.25">
      <c r="A4" s="250"/>
      <c r="E4" s="208" t="str">
        <f>IF(algemeen!F41="","",algemeen!F41)</f>
        <v>AC 20 onderlaag 50/70</v>
      </c>
      <c r="J4" s="608"/>
      <c r="L4" s="2328" t="str">
        <f>IF(algemeen!B140="","",algemeen!B140)</f>
        <v/>
      </c>
      <c r="M4" s="2329"/>
      <c r="N4" s="2329"/>
      <c r="O4" s="2329"/>
      <c r="P4" s="2329"/>
      <c r="Q4" s="2329"/>
      <c r="R4" s="2329"/>
      <c r="S4" s="2329"/>
      <c r="T4" s="2329"/>
      <c r="U4" s="2329"/>
      <c r="V4" s="2329"/>
      <c r="W4" s="2329"/>
      <c r="X4" s="2329"/>
      <c r="Y4" s="2329"/>
      <c r="Z4" s="2329"/>
      <c r="AA4" s="2329"/>
      <c r="AB4" s="2330"/>
    </row>
    <row r="5" spans="1:28" s="208" customFormat="1" ht="12.95" customHeight="1" x14ac:dyDescent="0.25">
      <c r="A5" s="250"/>
      <c r="E5" s="779" t="str">
        <f>"VN:  "&amp;'VN1'!I3&amp;'VN1'!J3</f>
        <v>VN:  802/64/2010/13RE-1234/0</v>
      </c>
      <c r="F5" s="779"/>
      <c r="G5" s="779"/>
      <c r="H5" s="779"/>
      <c r="J5" s="608"/>
      <c r="L5" s="2331" t="str">
        <f>IF(algemeen!B141="","",algemeen!B141)</f>
        <v/>
      </c>
      <c r="M5" s="2294"/>
      <c r="N5" s="2294"/>
      <c r="O5" s="2294"/>
      <c r="P5" s="2294"/>
      <c r="Q5" s="2294"/>
      <c r="R5" s="2294"/>
      <c r="S5" s="2294"/>
      <c r="T5" s="2294"/>
      <c r="U5" s="2294"/>
      <c r="V5" s="2294"/>
      <c r="W5" s="2294"/>
      <c r="X5" s="2294"/>
      <c r="Y5" s="2294"/>
      <c r="Z5" s="2294"/>
      <c r="AA5" s="2294"/>
      <c r="AB5" s="2332"/>
    </row>
    <row r="6" spans="1:28" s="208" customFormat="1" ht="12.95" customHeight="1" thickBot="1" x14ac:dyDescent="0.3">
      <c r="A6" s="255"/>
      <c r="B6" s="256"/>
      <c r="C6" s="256"/>
      <c r="D6" s="256"/>
      <c r="E6" s="1351" t="str">
        <f>"TF:  "&amp;berekeningen!H7</f>
        <v>TF:  0802/1234</v>
      </c>
      <c r="F6" s="1351"/>
      <c r="G6" s="1351"/>
      <c r="H6" s="1351"/>
      <c r="I6" s="256"/>
      <c r="J6" s="609"/>
      <c r="L6" s="2333" t="str">
        <f>IF(algemeen!B142="","",algemeen!B142)</f>
        <v/>
      </c>
      <c r="M6" s="2334"/>
      <c r="N6" s="2334"/>
      <c r="O6" s="2334"/>
      <c r="P6" s="2334"/>
      <c r="Q6" s="2334"/>
      <c r="R6" s="2334"/>
      <c r="S6" s="2334"/>
      <c r="T6" s="2334"/>
      <c r="U6" s="2334"/>
      <c r="V6" s="2334"/>
      <c r="W6" s="2334"/>
      <c r="X6" s="2334"/>
      <c r="Y6" s="2334"/>
      <c r="Z6" s="2334"/>
      <c r="AA6" s="2334"/>
      <c r="AB6" s="2335"/>
    </row>
    <row r="7" spans="1:28" s="208" customFormat="1" ht="12.95" customHeight="1" x14ac:dyDescent="0.25"/>
    <row r="8" spans="1:28" s="208" customFormat="1" ht="12.95" customHeight="1" thickBot="1" x14ac:dyDescent="0.3">
      <c r="A8" s="2336" t="s">
        <v>792</v>
      </c>
      <c r="B8" s="2336"/>
      <c r="C8" s="2336"/>
      <c r="D8" s="2336"/>
      <c r="E8" s="2336"/>
      <c r="F8" s="2336"/>
      <c r="G8" s="2336"/>
      <c r="H8" s="2336"/>
      <c r="I8" s="2336"/>
      <c r="J8" s="2336"/>
      <c r="K8" s="2336"/>
      <c r="L8" s="2336"/>
      <c r="M8" s="2336"/>
      <c r="O8" s="593" t="s">
        <v>793</v>
      </c>
      <c r="P8" s="593"/>
      <c r="Q8" s="593"/>
      <c r="R8" s="593"/>
      <c r="S8" s="593"/>
      <c r="T8" s="593"/>
      <c r="U8" s="1347"/>
      <c r="V8" s="2327" t="s">
        <v>802</v>
      </c>
      <c r="W8" s="2327"/>
      <c r="X8" s="2327"/>
      <c r="Y8" s="2327"/>
      <c r="Z8" s="2327"/>
      <c r="AA8" s="2327"/>
      <c r="AB8" s="2327"/>
    </row>
    <row r="9" spans="1:28" s="208" customFormat="1" ht="12.95" customHeight="1" x14ac:dyDescent="0.2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2.95" customHeight="1" x14ac:dyDescent="0.2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2.95" customHeight="1" x14ac:dyDescent="0.2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2.95" customHeight="1" x14ac:dyDescent="0.2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2.95" customHeight="1" thickBot="1" x14ac:dyDescent="0.3">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2.95" customHeight="1" x14ac:dyDescent="0.25">
      <c r="A14" s="593"/>
      <c r="B14" s="593"/>
      <c r="C14" s="593"/>
      <c r="D14" s="593"/>
      <c r="E14" s="593"/>
      <c r="F14" s="593"/>
      <c r="G14" s="593"/>
      <c r="H14" s="593"/>
      <c r="L14" s="1346"/>
      <c r="M14" s="593"/>
    </row>
    <row r="15" spans="1:28" s="208" customFormat="1" ht="12.95" customHeight="1" thickBot="1" x14ac:dyDescent="0.3">
      <c r="A15" s="2327" t="str">
        <f>"Instelwaarden voor de asfaltmenginstallatie ("&amp;algemeen!I96&amp;")"</f>
        <v>Instelwaarden voor de asfaltmenginstallatie ()</v>
      </c>
      <c r="B15" s="2327"/>
      <c r="C15" s="2327"/>
      <c r="D15" s="2327"/>
      <c r="E15" s="2327"/>
      <c r="F15" s="2327"/>
      <c r="G15" s="2327"/>
      <c r="H15" s="2327"/>
      <c r="I15" s="2327"/>
      <c r="J15" s="2327"/>
      <c r="K15" s="2327"/>
      <c r="L15" s="2327"/>
      <c r="M15" s="2327"/>
      <c r="N15" s="2327"/>
      <c r="O15" s="2327"/>
      <c r="P15" s="2327"/>
      <c r="Q15" s="2327"/>
      <c r="R15" s="2327"/>
      <c r="S15" s="2327"/>
      <c r="T15" s="2327"/>
      <c r="U15" s="2327"/>
      <c r="V15" s="2327"/>
      <c r="W15" s="2327"/>
      <c r="X15" s="2327"/>
      <c r="Y15" s="2327"/>
      <c r="Z15" s="2327"/>
      <c r="AA15" s="2327"/>
      <c r="AB15" s="2327"/>
    </row>
    <row r="16" spans="1:28" s="922" customFormat="1" ht="79.900000000000006" customHeight="1" x14ac:dyDescent="0.2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3">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2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2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2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2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2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2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2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2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2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2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2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2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3">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25"/>
    <row r="32" spans="1:28" s="208" customFormat="1" ht="16.899999999999999" customHeight="1" x14ac:dyDescent="0.25"/>
    <row r="33" s="208" customFormat="1" ht="16.899999999999999" customHeight="1" x14ac:dyDescent="0.25"/>
    <row r="34" s="208" customFormat="1" ht="16.899999999999999" customHeight="1" x14ac:dyDescent="0.25"/>
    <row r="35" s="208" customFormat="1" ht="15" customHeight="1" x14ac:dyDescent="0.25"/>
    <row r="36" s="208" customFormat="1" ht="15" customHeight="1" x14ac:dyDescent="0.25"/>
    <row r="37" s="208" customFormat="1" ht="15" customHeight="1" x14ac:dyDescent="0.25"/>
    <row r="38" s="208" customFormat="1" ht="15" customHeight="1" x14ac:dyDescent="0.25"/>
    <row r="39" s="208" customFormat="1" ht="15" customHeight="1" x14ac:dyDescent="0.25"/>
    <row r="40" s="208" customFormat="1" ht="15" customHeight="1" x14ac:dyDescent="0.25"/>
    <row r="41" s="208" customFormat="1" ht="15" customHeight="1" x14ac:dyDescent="0.25"/>
    <row r="42" s="208" customFormat="1" ht="15" customHeight="1" x14ac:dyDescent="0.25"/>
    <row r="43" s="208" customFormat="1" ht="15" customHeight="1" x14ac:dyDescent="0.25"/>
    <row r="44" s="208" customFormat="1" ht="15" customHeight="1" x14ac:dyDescent="0.25"/>
    <row r="45" s="208" customFormat="1" ht="15" customHeight="1" x14ac:dyDescent="0.25"/>
    <row r="46" s="208" customFormat="1" ht="15" customHeight="1" x14ac:dyDescent="0.25"/>
    <row r="47" s="208" customFormat="1" ht="15" customHeight="1" x14ac:dyDescent="0.25"/>
    <row r="48" s="208" customFormat="1" ht="15" customHeight="1" x14ac:dyDescent="0.25"/>
    <row r="49" s="208" customFormat="1" ht="15" customHeight="1" x14ac:dyDescent="0.25"/>
    <row r="50" s="208" customFormat="1" ht="15" customHeight="1" x14ac:dyDescent="0.25"/>
    <row r="51" s="208" customFormat="1" ht="15" customHeight="1" x14ac:dyDescent="0.25"/>
    <row r="52" s="208" customFormat="1" ht="15" customHeight="1" x14ac:dyDescent="0.25"/>
    <row r="53" s="208" customFormat="1" ht="15" customHeight="1" x14ac:dyDescent="0.25"/>
    <row r="54" s="208" customFormat="1" ht="15" customHeight="1" x14ac:dyDescent="0.25"/>
    <row r="55" s="208" customFormat="1" ht="15" customHeight="1" x14ac:dyDescent="0.25"/>
    <row r="56" s="208" customFormat="1" ht="15" customHeight="1" x14ac:dyDescent="0.25"/>
    <row r="57" s="208" customFormat="1" ht="15" customHeight="1" x14ac:dyDescent="0.25"/>
    <row r="58" s="208" customFormat="1" ht="15" customHeight="1" x14ac:dyDescent="0.25"/>
    <row r="59" s="208" customFormat="1" ht="15" customHeight="1" x14ac:dyDescent="0.25"/>
    <row r="60" s="208" customFormat="1" ht="15" customHeight="1" x14ac:dyDescent="0.25"/>
    <row r="61" s="208" customFormat="1" ht="15" customHeight="1" x14ac:dyDescent="0.25"/>
    <row r="62" s="208" customFormat="1" ht="15" customHeight="1" x14ac:dyDescent="0.25"/>
    <row r="63" s="208" customFormat="1" ht="15" customHeight="1" x14ac:dyDescent="0.25"/>
    <row r="64"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5" x14ac:dyDescent="0.25"/>
  <cols>
    <col min="1" max="28" width="4.85546875" customWidth="1"/>
    <col min="29" max="32" width="2.7109375" customWidth="1"/>
  </cols>
  <sheetData>
    <row r="1" spans="1:28" ht="20.25" thickTop="1" thickBot="1" x14ac:dyDescent="0.35">
      <c r="A1" s="606" t="s">
        <v>785</v>
      </c>
      <c r="B1" s="291"/>
      <c r="C1" s="291"/>
      <c r="D1" s="924"/>
      <c r="E1" s="1350" t="str">
        <f>algemeen!K21</f>
        <v>GHI nv</v>
      </c>
      <c r="F1" s="924"/>
      <c r="G1" s="924"/>
      <c r="H1" s="924"/>
      <c r="I1" s="924"/>
      <c r="J1" s="925"/>
      <c r="L1" s="1349" t="s">
        <v>783</v>
      </c>
      <c r="M1" s="563"/>
      <c r="N1" s="563"/>
      <c r="O1" s="561"/>
      <c r="P1" s="561"/>
      <c r="Q1" s="561"/>
      <c r="R1" s="561"/>
      <c r="S1" s="561"/>
      <c r="T1" s="561"/>
      <c r="U1" s="2326" t="str">
        <f>IF(algemeen!G62="J",algemeen!L93,"zonder centrale !")</f>
        <v>4CX50PAVT49</v>
      </c>
      <c r="V1" s="2326"/>
      <c r="W1" s="2326"/>
      <c r="X1" s="2326"/>
      <c r="Y1" s="2326"/>
      <c r="Z1" s="564" t="s">
        <v>784</v>
      </c>
      <c r="AA1" s="1921"/>
      <c r="AB1" s="1920"/>
    </row>
    <row r="2" spans="1:28" s="208" customFormat="1" ht="12.95" customHeight="1" thickTop="1" x14ac:dyDescent="0.25">
      <c r="A2" s="250"/>
      <c r="E2" s="938" t="str">
        <f>algemeen!K24</f>
        <v>Hasselt</v>
      </c>
      <c r="J2" s="608"/>
    </row>
    <row r="3" spans="1:28" s="208" customFormat="1" ht="12.95" customHeight="1" thickBot="1" x14ac:dyDescent="0.3">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2.95" customHeight="1" x14ac:dyDescent="0.25">
      <c r="A4" s="250"/>
      <c r="E4" s="208" t="str">
        <f>IF(algemeen!F41="","",algemeen!F41)</f>
        <v>AC 20 onderlaag 50/70</v>
      </c>
      <c r="J4" s="608"/>
      <c r="L4" s="2328" t="str">
        <f>IF(algemeen!B140="","",algemeen!B140)</f>
        <v/>
      </c>
      <c r="M4" s="2329"/>
      <c r="N4" s="2329"/>
      <c r="O4" s="2329"/>
      <c r="P4" s="2329"/>
      <c r="Q4" s="2329"/>
      <c r="R4" s="2329"/>
      <c r="S4" s="2329"/>
      <c r="T4" s="2329"/>
      <c r="U4" s="2329"/>
      <c r="V4" s="2329"/>
      <c r="W4" s="2329"/>
      <c r="X4" s="2329"/>
      <c r="Y4" s="2329"/>
      <c r="Z4" s="2329"/>
      <c r="AA4" s="2329"/>
      <c r="AB4" s="2330"/>
    </row>
    <row r="5" spans="1:28" s="208" customFormat="1" ht="12.95" customHeight="1" x14ac:dyDescent="0.25">
      <c r="A5" s="250"/>
      <c r="E5" s="779" t="str">
        <f>"VN:  "&amp;'VN1'!I4&amp;'VN1'!J4</f>
        <v>VN:  8031/64/2010/13RE-1234/0</v>
      </c>
      <c r="F5" s="779"/>
      <c r="G5" s="779"/>
      <c r="H5" s="779"/>
      <c r="J5" s="608"/>
      <c r="L5" s="2331" t="str">
        <f>IF(algemeen!B141="","",algemeen!B141)</f>
        <v/>
      </c>
      <c r="M5" s="2294"/>
      <c r="N5" s="2294"/>
      <c r="O5" s="2294"/>
      <c r="P5" s="2294"/>
      <c r="Q5" s="2294"/>
      <c r="R5" s="2294"/>
      <c r="S5" s="2294"/>
      <c r="T5" s="2294"/>
      <c r="U5" s="2294"/>
      <c r="V5" s="2294"/>
      <c r="W5" s="2294"/>
      <c r="X5" s="2294"/>
      <c r="Y5" s="2294"/>
      <c r="Z5" s="2294"/>
      <c r="AA5" s="2294"/>
      <c r="AB5" s="2332"/>
    </row>
    <row r="6" spans="1:28" s="208" customFormat="1" ht="12.95" customHeight="1" thickBot="1" x14ac:dyDescent="0.3">
      <c r="A6" s="255"/>
      <c r="B6" s="256"/>
      <c r="C6" s="256"/>
      <c r="D6" s="256"/>
      <c r="E6" s="1351" t="str">
        <f>"TF:  "&amp;berekeningen!K7</f>
        <v>TF:  8031/1234</v>
      </c>
      <c r="F6" s="1351"/>
      <c r="G6" s="1351"/>
      <c r="H6" s="1351"/>
      <c r="I6" s="256"/>
      <c r="J6" s="609"/>
      <c r="L6" s="2333" t="str">
        <f>IF(algemeen!B142="","",algemeen!B142)</f>
        <v/>
      </c>
      <c r="M6" s="2334"/>
      <c r="N6" s="2334"/>
      <c r="O6" s="2334"/>
      <c r="P6" s="2334"/>
      <c r="Q6" s="2334"/>
      <c r="R6" s="2334"/>
      <c r="S6" s="2334"/>
      <c r="T6" s="2334"/>
      <c r="U6" s="2334"/>
      <c r="V6" s="2334"/>
      <c r="W6" s="2334"/>
      <c r="X6" s="2334"/>
      <c r="Y6" s="2334"/>
      <c r="Z6" s="2334"/>
      <c r="AA6" s="2334"/>
      <c r="AB6" s="2335"/>
    </row>
    <row r="7" spans="1:28" s="208" customFormat="1" ht="12.95" customHeight="1" x14ac:dyDescent="0.25"/>
    <row r="8" spans="1:28" s="208" customFormat="1" ht="12.95" customHeight="1" thickBot="1" x14ac:dyDescent="0.3">
      <c r="A8" s="2336" t="s">
        <v>792</v>
      </c>
      <c r="B8" s="2336"/>
      <c r="C8" s="2336"/>
      <c r="D8" s="2336"/>
      <c r="E8" s="2336"/>
      <c r="F8" s="2336"/>
      <c r="G8" s="2336"/>
      <c r="H8" s="2336"/>
      <c r="I8" s="2336"/>
      <c r="J8" s="2336"/>
      <c r="K8" s="2336"/>
      <c r="L8" s="2336"/>
      <c r="M8" s="2336"/>
      <c r="O8" s="593" t="s">
        <v>793</v>
      </c>
      <c r="P8" s="593"/>
      <c r="Q8" s="593"/>
      <c r="R8" s="593"/>
      <c r="S8" s="593"/>
      <c r="T8" s="593"/>
      <c r="U8" s="1347"/>
      <c r="V8" s="2327" t="s">
        <v>802</v>
      </c>
      <c r="W8" s="2327"/>
      <c r="X8" s="2327"/>
      <c r="Y8" s="2327"/>
      <c r="Z8" s="2327"/>
      <c r="AA8" s="2327"/>
      <c r="AB8" s="2327"/>
    </row>
    <row r="9" spans="1:28" s="208" customFormat="1" ht="12.95" customHeight="1" x14ac:dyDescent="0.2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2.95" customHeight="1" x14ac:dyDescent="0.2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2.95" customHeight="1" x14ac:dyDescent="0.2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2.95" customHeight="1" x14ac:dyDescent="0.2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2.95" customHeight="1" thickBot="1" x14ac:dyDescent="0.3">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2.95" customHeight="1" x14ac:dyDescent="0.25">
      <c r="A14" s="593"/>
      <c r="B14" s="593"/>
      <c r="C14" s="593"/>
      <c r="D14" s="593"/>
      <c r="E14" s="593"/>
      <c r="F14" s="593"/>
      <c r="G14" s="593"/>
      <c r="H14" s="593"/>
      <c r="L14" s="1346"/>
      <c r="M14" s="593"/>
    </row>
    <row r="15" spans="1:28" s="208" customFormat="1" ht="12.95" customHeight="1" thickBot="1" x14ac:dyDescent="0.3">
      <c r="A15" s="2327" t="str">
        <f>"Instelwaarden voor de asfaltmenginstallatie ("&amp;algemeen!L96&amp;")"</f>
        <v>Instelwaarden voor de asfaltmenginstallatie ()</v>
      </c>
      <c r="B15" s="2327"/>
      <c r="C15" s="2327"/>
      <c r="D15" s="2327"/>
      <c r="E15" s="2327"/>
      <c r="F15" s="2327"/>
      <c r="G15" s="2327"/>
      <c r="H15" s="2327"/>
      <c r="I15" s="2327"/>
      <c r="J15" s="2327"/>
      <c r="K15" s="2327"/>
      <c r="L15" s="2327"/>
      <c r="M15" s="2327"/>
      <c r="N15" s="2327"/>
      <c r="O15" s="2327"/>
      <c r="P15" s="2327"/>
      <c r="Q15" s="2327"/>
      <c r="R15" s="2327"/>
      <c r="S15" s="2327"/>
      <c r="T15" s="2327"/>
      <c r="U15" s="2327"/>
      <c r="V15" s="2327"/>
      <c r="W15" s="2327"/>
      <c r="X15" s="2327"/>
      <c r="Y15" s="2327"/>
      <c r="Z15" s="2327"/>
      <c r="AA15" s="2327"/>
      <c r="AB15" s="2327"/>
    </row>
    <row r="16" spans="1:28" s="922" customFormat="1" ht="79.900000000000006" customHeight="1" x14ac:dyDescent="0.2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3">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2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2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2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2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2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2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2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2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2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2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2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2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3">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25"/>
    <row r="32" spans="1:28" s="208" customFormat="1" ht="16.899999999999999" customHeight="1" x14ac:dyDescent="0.25"/>
    <row r="33" s="208" customFormat="1" ht="16.899999999999999" customHeight="1" x14ac:dyDescent="0.25"/>
    <row r="34" s="208" customFormat="1" ht="16.899999999999999" customHeight="1" x14ac:dyDescent="0.25"/>
    <row r="35" s="208" customFormat="1" ht="15" customHeight="1" x14ac:dyDescent="0.25"/>
    <row r="36" s="208" customFormat="1" ht="15" customHeight="1" x14ac:dyDescent="0.25"/>
    <row r="37" s="208" customFormat="1" ht="15" customHeight="1" x14ac:dyDescent="0.25"/>
    <row r="38" s="208" customFormat="1" ht="15" customHeight="1" x14ac:dyDescent="0.25"/>
    <row r="39" s="208" customFormat="1" ht="15" customHeight="1" x14ac:dyDescent="0.25"/>
    <row r="40" s="208" customFormat="1" ht="15" customHeight="1" x14ac:dyDescent="0.25"/>
    <row r="41" s="208" customFormat="1" ht="15" customHeight="1" x14ac:dyDescent="0.25"/>
    <row r="42" s="208" customFormat="1" ht="15" customHeight="1" x14ac:dyDescent="0.25"/>
    <row r="43" s="208" customFormat="1" ht="15" customHeight="1" x14ac:dyDescent="0.25"/>
    <row r="44" s="208" customFormat="1" ht="15" customHeight="1" x14ac:dyDescent="0.25"/>
    <row r="45" s="208" customFormat="1" ht="15" customHeight="1" x14ac:dyDescent="0.25"/>
    <row r="46" s="208" customFormat="1" ht="15" customHeight="1" x14ac:dyDescent="0.25"/>
    <row r="47" s="208" customFormat="1" ht="15" customHeight="1" x14ac:dyDescent="0.25"/>
    <row r="48" s="208" customFormat="1" ht="15" customHeight="1" x14ac:dyDescent="0.25"/>
    <row r="49" s="208" customFormat="1" ht="15" customHeight="1" x14ac:dyDescent="0.25"/>
    <row r="50" s="208" customFormat="1" ht="15" customHeight="1" x14ac:dyDescent="0.25"/>
    <row r="51" s="208" customFormat="1" ht="15" customHeight="1" x14ac:dyDescent="0.25"/>
    <row r="52" s="208" customFormat="1" ht="15" customHeight="1" x14ac:dyDescent="0.25"/>
    <row r="53" s="208" customFormat="1" ht="15" customHeight="1" x14ac:dyDescent="0.25"/>
    <row r="54" s="208" customFormat="1" ht="15" customHeight="1" x14ac:dyDescent="0.25"/>
    <row r="55" s="208" customFormat="1" ht="15" customHeight="1" x14ac:dyDescent="0.25"/>
    <row r="56" s="208" customFormat="1" ht="15" customHeight="1" x14ac:dyDescent="0.25"/>
    <row r="57" s="208" customFormat="1" ht="15" customHeight="1" x14ac:dyDescent="0.25"/>
    <row r="58" s="208" customFormat="1" ht="15" customHeight="1" x14ac:dyDescent="0.25"/>
    <row r="59" s="208" customFormat="1" ht="15" customHeight="1" x14ac:dyDescent="0.25"/>
    <row r="60" s="208" customFormat="1" ht="15" customHeight="1" x14ac:dyDescent="0.25"/>
    <row r="61" s="208" customFormat="1" ht="15" customHeight="1" x14ac:dyDescent="0.25"/>
    <row r="62" s="208" customFormat="1" ht="15" customHeight="1" x14ac:dyDescent="0.25"/>
    <row r="63" s="208" customFormat="1" ht="15" customHeight="1" x14ac:dyDescent="0.25"/>
    <row r="64" s="208" customFormat="1" ht="15" customHeight="1" x14ac:dyDescent="0.25"/>
    <row r="65" s="208" customFormat="1" ht="15" customHeight="1" x14ac:dyDescent="0.25"/>
    <row r="66" s="208" customFormat="1" ht="15" customHeight="1" x14ac:dyDescent="0.25"/>
    <row r="67" s="208" customFormat="1" ht="15" customHeight="1" x14ac:dyDescent="0.25"/>
    <row r="68" s="208" customFormat="1" ht="15" customHeight="1" x14ac:dyDescent="0.25"/>
    <row r="69" s="208" customFormat="1" ht="15" customHeight="1" x14ac:dyDescent="0.25"/>
    <row r="70" s="208" customFormat="1" ht="15" customHeight="1" x14ac:dyDescent="0.25"/>
    <row r="71" s="208" customFormat="1" ht="15" customHeight="1" x14ac:dyDescent="0.25"/>
    <row r="72" s="208" customFormat="1" ht="15" customHeight="1" x14ac:dyDescent="0.25"/>
    <row r="73" s="208" customFormat="1" ht="15" customHeight="1" x14ac:dyDescent="0.25"/>
    <row r="74" s="208" customFormat="1" ht="15" customHeight="1" x14ac:dyDescent="0.25"/>
    <row r="75" s="208" customFormat="1" ht="15" customHeight="1" x14ac:dyDescent="0.25"/>
    <row r="76" s="208" customFormat="1" ht="15" customHeight="1" x14ac:dyDescent="0.25"/>
    <row r="77" s="208" customFormat="1" ht="15" customHeight="1" x14ac:dyDescent="0.2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40625" defaultRowHeight="15" x14ac:dyDescent="0.25"/>
  <cols>
    <col min="1" max="3" width="9.140625" style="1585"/>
    <col min="4" max="4" width="9.140625" style="1585" customWidth="1"/>
    <col min="5" max="5" width="9.5703125" style="1585" bestFit="1" customWidth="1"/>
    <col min="6" max="6" width="9.140625" style="1585"/>
    <col min="7" max="7" width="9.140625" style="1585" customWidth="1"/>
    <col min="8" max="16384" width="9.140625" style="1585"/>
  </cols>
  <sheetData>
    <row r="1" spans="1:10" ht="18.75" x14ac:dyDescent="0.3">
      <c r="A1" s="1717" t="s">
        <v>1193</v>
      </c>
      <c r="B1" s="1717"/>
      <c r="C1" s="1717"/>
      <c r="D1" s="1717"/>
      <c r="E1" s="1717"/>
      <c r="F1" s="1717"/>
      <c r="G1" s="1717"/>
      <c r="H1" s="1717"/>
      <c r="I1" s="1717"/>
    </row>
    <row r="2" spans="1:10" ht="24.75" customHeight="1" x14ac:dyDescent="0.25">
      <c r="A2"/>
      <c r="B2"/>
      <c r="C2"/>
      <c r="D2"/>
      <c r="E2"/>
      <c r="F2"/>
      <c r="G2"/>
      <c r="H2"/>
      <c r="I2"/>
    </row>
    <row r="3" spans="1:10" s="1713" customFormat="1" ht="15" customHeight="1" x14ac:dyDescent="0.25">
      <c r="A3" s="1718" t="s">
        <v>1194</v>
      </c>
      <c r="B3" s="1719"/>
      <c r="C3" s="1719"/>
      <c r="D3" s="1720"/>
      <c r="E3" s="1721" t="s">
        <v>1195</v>
      </c>
      <c r="F3" s="1721" t="s">
        <v>1196</v>
      </c>
      <c r="G3" s="1721" t="s">
        <v>1197</v>
      </c>
      <c r="H3" s="1721" t="s">
        <v>1198</v>
      </c>
      <c r="I3" s="1721" t="s">
        <v>1199</v>
      </c>
    </row>
    <row r="4" spans="1:10" ht="24.95" customHeight="1" x14ac:dyDescent="0.25">
      <c r="A4" s="1722" t="s">
        <v>1200</v>
      </c>
      <c r="B4" s="1863"/>
      <c r="C4" s="1863"/>
      <c r="D4" s="1864"/>
      <c r="E4" s="1856">
        <f>samenstelling!N177</f>
        <v>4.1924204280590098</v>
      </c>
      <c r="F4" s="1915"/>
      <c r="G4" s="1856" t="str">
        <f t="shared" ref="G4:G24" si="0">IF(F4="","",ABS(E4-F4))</f>
        <v/>
      </c>
      <c r="H4" s="1873"/>
      <c r="I4" s="1873"/>
    </row>
    <row r="5" spans="1:10" ht="24.95" customHeight="1" x14ac:dyDescent="0.25">
      <c r="A5" s="1723" t="s">
        <v>1216</v>
      </c>
      <c r="B5" s="1865"/>
      <c r="C5" s="1865"/>
      <c r="D5" s="1866"/>
      <c r="E5" s="1223" t="str">
        <f>samenstelling!AF43&amp;" "&amp;samenstelling!AF44&amp;" "&amp;samenstelling!AF45</f>
        <v xml:space="preserve">0,07  </v>
      </c>
      <c r="F5" s="1874"/>
      <c r="G5" s="1725" t="str">
        <f t="shared" si="0"/>
        <v/>
      </c>
      <c r="H5" s="1874"/>
      <c r="I5" s="1874"/>
    </row>
    <row r="6" spans="1:10" ht="24.95" customHeight="1" x14ac:dyDescent="0.25">
      <c r="A6" s="1723" t="s">
        <v>1212</v>
      </c>
      <c r="B6" s="1865"/>
      <c r="C6" s="1865"/>
      <c r="D6" s="1866"/>
      <c r="E6" s="1725">
        <f>SUM(samenstelling!C145:'samenstelling'!C147)</f>
        <v>2.2160500000000001</v>
      </c>
      <c r="F6" s="1894"/>
      <c r="G6" s="1725" t="str">
        <f t="shared" si="0"/>
        <v/>
      </c>
      <c r="H6" s="1874"/>
      <c r="I6" s="1874"/>
    </row>
    <row r="7" spans="1:10" s="1714" customFormat="1" ht="24.95" customHeight="1" x14ac:dyDescent="0.25">
      <c r="A7" s="1723" t="s">
        <v>1217</v>
      </c>
      <c r="B7" s="1867"/>
      <c r="C7" s="1867"/>
      <c r="D7" s="1868"/>
      <c r="E7" s="1724">
        <f>samenstelling!AC143</f>
        <v>38.961038961038966</v>
      </c>
      <c r="F7" s="1872"/>
      <c r="G7" s="1724" t="str">
        <f t="shared" si="0"/>
        <v/>
      </c>
      <c r="H7" s="1875"/>
      <c r="I7" s="1875"/>
    </row>
    <row r="8" spans="1:10" s="1714" customFormat="1" ht="24.95" customHeight="1" x14ac:dyDescent="0.25">
      <c r="A8" s="1723" t="s">
        <v>1213</v>
      </c>
      <c r="B8" s="1867"/>
      <c r="C8" s="1867"/>
      <c r="D8" s="1868"/>
      <c r="E8" s="1869">
        <f>SUM(samenstelling!C56:'samenstelling'!C58)</f>
        <v>30</v>
      </c>
      <c r="F8" s="1917"/>
      <c r="G8" s="1724" t="str">
        <f t="shared" si="0"/>
        <v/>
      </c>
      <c r="H8" s="1884"/>
      <c r="I8" s="1884"/>
    </row>
    <row r="9" spans="1:10" ht="24.95" customHeight="1" x14ac:dyDescent="0.25">
      <c r="A9" s="1723" t="s">
        <v>1201</v>
      </c>
      <c r="B9" s="1865"/>
      <c r="C9" s="1865"/>
      <c r="D9" s="1866"/>
      <c r="E9" s="1870">
        <f>samenstelling!Q$109</f>
        <v>89.666735647425881</v>
      </c>
      <c r="F9" s="1916"/>
      <c r="G9" s="1725" t="str">
        <f t="shared" si="0"/>
        <v/>
      </c>
      <c r="H9" s="1883"/>
      <c r="I9" s="1883"/>
    </row>
    <row r="10" spans="1:10" ht="24.95" customHeight="1" x14ac:dyDescent="0.25">
      <c r="A10" s="1723" t="s">
        <v>1202</v>
      </c>
      <c r="B10" s="1865"/>
      <c r="C10" s="1865"/>
      <c r="D10" s="1866"/>
      <c r="E10" s="1870">
        <f>samenstelling!S$109</f>
        <v>47.600398517940718</v>
      </c>
      <c r="F10" s="1916"/>
      <c r="G10" s="1725" t="str">
        <f t="shared" si="0"/>
        <v/>
      </c>
      <c r="H10" s="1874"/>
      <c r="I10" s="1874"/>
      <c r="J10" s="1859"/>
    </row>
    <row r="11" spans="1:10" ht="24.95" customHeight="1" x14ac:dyDescent="0.25">
      <c r="A11" s="1723" t="s">
        <v>1203</v>
      </c>
      <c r="B11" s="1865"/>
      <c r="C11" s="1865"/>
      <c r="D11" s="1866"/>
      <c r="E11" s="1870">
        <f>samenstelling!T$109</f>
        <v>38.531179953198126</v>
      </c>
      <c r="F11" s="1916"/>
      <c r="G11" s="1725" t="str">
        <f t="shared" si="0"/>
        <v/>
      </c>
      <c r="H11" s="1874"/>
      <c r="I11" s="1874"/>
    </row>
    <row r="12" spans="1:10" ht="24.95" customHeight="1" x14ac:dyDescent="0.25">
      <c r="A12" s="1723" t="s">
        <v>1204</v>
      </c>
      <c r="B12" s="1865"/>
      <c r="C12" s="1865"/>
      <c r="D12" s="1866"/>
      <c r="E12" s="1870">
        <f>samenstelling!U$109</f>
        <v>28.32396138845554</v>
      </c>
      <c r="F12" s="1916"/>
      <c r="G12" s="1725" t="str">
        <f t="shared" si="0"/>
        <v/>
      </c>
      <c r="H12" s="1874"/>
      <c r="I12" s="1874"/>
    </row>
    <row r="13" spans="1:10" ht="24.95" customHeight="1" x14ac:dyDescent="0.25">
      <c r="A13" s="1723" t="s">
        <v>1205</v>
      </c>
      <c r="B13" s="1865"/>
      <c r="C13" s="1865"/>
      <c r="D13" s="1866"/>
      <c r="E13" s="1870">
        <f>samenstelling!V$109</f>
        <v>23.058242823712948</v>
      </c>
      <c r="F13" s="1916"/>
      <c r="G13" s="1725" t="str">
        <f t="shared" si="0"/>
        <v/>
      </c>
      <c r="H13" s="1874"/>
      <c r="I13" s="1874"/>
    </row>
    <row r="14" spans="1:10" ht="24.95" customHeight="1" x14ac:dyDescent="0.25">
      <c r="A14" s="1723" t="s">
        <v>1617</v>
      </c>
      <c r="B14" s="1865"/>
      <c r="C14" s="1865"/>
      <c r="D14" s="1866"/>
      <c r="E14" s="1870">
        <f>samenstelling!W$109</f>
        <v>18.557524258970361</v>
      </c>
      <c r="F14" s="1916"/>
      <c r="G14" s="1725" t="str">
        <f t="shared" si="0"/>
        <v/>
      </c>
      <c r="H14" s="1883"/>
      <c r="I14" s="1883"/>
    </row>
    <row r="15" spans="1:10" ht="24.95" customHeight="1" x14ac:dyDescent="0.25">
      <c r="A15" s="1723" t="s">
        <v>1206</v>
      </c>
      <c r="B15" s="1865"/>
      <c r="C15" s="1865"/>
      <c r="D15" s="1866"/>
      <c r="E15" s="1870">
        <f>samenstelling!X$109</f>
        <v>14.974805694227769</v>
      </c>
      <c r="F15" s="1916"/>
      <c r="G15" s="1725" t="str">
        <f t="shared" si="0"/>
        <v/>
      </c>
      <c r="H15" s="1874"/>
      <c r="I15" s="1874"/>
    </row>
    <row r="16" spans="1:10" ht="24.95" customHeight="1" x14ac:dyDescent="0.25">
      <c r="A16" s="1723" t="s">
        <v>1218</v>
      </c>
      <c r="B16" s="1865"/>
      <c r="C16" s="1865"/>
      <c r="D16" s="1866"/>
      <c r="E16" s="1725">
        <f>samenstelling!N169</f>
        <v>6.775454460401539</v>
      </c>
      <c r="F16" s="1894"/>
      <c r="G16" s="1725" t="str">
        <f t="shared" si="0"/>
        <v/>
      </c>
      <c r="H16" s="1874"/>
      <c r="I16" s="1874"/>
    </row>
    <row r="17" spans="1:10" ht="24.95" customHeight="1" x14ac:dyDescent="0.25">
      <c r="A17" s="1723" t="s">
        <v>1207</v>
      </c>
      <c r="B17" s="1865"/>
      <c r="C17" s="1865"/>
      <c r="D17" s="1866"/>
      <c r="E17" s="1857">
        <f>samenstelling!T167</f>
        <v>2.9397048309231293</v>
      </c>
      <c r="F17" s="1876"/>
      <c r="G17" s="1857" t="str">
        <f t="shared" si="0"/>
        <v/>
      </c>
      <c r="H17" s="1874"/>
      <c r="I17" s="1874"/>
    </row>
    <row r="18" spans="1:10" ht="24.95" customHeight="1" x14ac:dyDescent="0.25">
      <c r="A18" s="1723" t="s">
        <v>1618</v>
      </c>
      <c r="B18" s="1865"/>
      <c r="C18" s="1865"/>
      <c r="D18" s="1866"/>
      <c r="E18" s="1857">
        <f>berekeningen!$AK$43</f>
        <v>2.7087125767186144</v>
      </c>
      <c r="F18" s="1876"/>
      <c r="G18" s="1857" t="str">
        <f t="shared" si="0"/>
        <v/>
      </c>
      <c r="H18" s="1883"/>
      <c r="I18" s="1883"/>
    </row>
    <row r="19" spans="1:10" ht="24.95" customHeight="1" x14ac:dyDescent="0.25">
      <c r="A19" s="1723" t="s">
        <v>1208</v>
      </c>
      <c r="B19" s="1865"/>
      <c r="C19" s="1865"/>
      <c r="D19" s="1866"/>
      <c r="E19" s="1857">
        <f>samenstelling!T169</f>
        <v>3.39</v>
      </c>
      <c r="F19" s="1876"/>
      <c r="G19" s="1857" t="str">
        <f t="shared" si="0"/>
        <v/>
      </c>
      <c r="H19" s="1874"/>
      <c r="I19" s="1874"/>
    </row>
    <row r="20" spans="1:10" ht="24.95" customHeight="1" x14ac:dyDescent="0.25">
      <c r="A20" s="1723" t="s">
        <v>1209</v>
      </c>
      <c r="B20" s="1865"/>
      <c r="C20" s="1865"/>
      <c r="D20" s="1866"/>
      <c r="E20" s="1857">
        <f>samenstelling!AA125</f>
        <v>2.6999844065071712</v>
      </c>
      <c r="F20" s="1876"/>
      <c r="G20" s="1725" t="str">
        <f t="shared" si="0"/>
        <v/>
      </c>
      <c r="H20" s="1874"/>
      <c r="I20" s="1874"/>
    </row>
    <row r="21" spans="1:10" ht="24.95" customHeight="1" x14ac:dyDescent="0.25">
      <c r="A21" s="1723" t="s">
        <v>1210</v>
      </c>
      <c r="B21" s="1865"/>
      <c r="C21" s="1865"/>
      <c r="D21" s="1866"/>
      <c r="E21" s="1871" t="str">
        <f>samenstelling!U26&amp;" "&amp;samenstelling!U27</f>
        <v xml:space="preserve">45 </v>
      </c>
      <c r="F21" s="1916"/>
      <c r="G21" s="1725" t="str">
        <f t="shared" si="0"/>
        <v/>
      </c>
      <c r="H21" s="1874"/>
      <c r="I21" s="1874"/>
    </row>
    <row r="22" spans="1:10" s="1714" customFormat="1" ht="24.95" customHeight="1" x14ac:dyDescent="0.25">
      <c r="A22" s="1723" t="s">
        <v>1211</v>
      </c>
      <c r="B22" s="1867"/>
      <c r="C22" s="1867"/>
      <c r="D22" s="1868"/>
      <c r="E22" s="1872"/>
      <c r="F22" s="1875"/>
      <c r="G22" s="1725" t="str">
        <f t="shared" si="0"/>
        <v/>
      </c>
      <c r="H22" s="1875"/>
      <c r="I22" s="1875"/>
    </row>
    <row r="23" spans="1:10" ht="24.95" customHeight="1" x14ac:dyDescent="0.25">
      <c r="A23" s="2337" t="s">
        <v>1619</v>
      </c>
      <c r="B23" s="2337"/>
      <c r="C23" s="2337"/>
      <c r="D23" s="2337"/>
      <c r="E23" s="1725">
        <f>ROUND(samenstelling!$M$118,1)</f>
        <v>59.6</v>
      </c>
      <c r="F23" s="1894"/>
      <c r="G23" s="1725" t="str">
        <f t="shared" si="0"/>
        <v/>
      </c>
      <c r="H23" s="1885"/>
      <c r="I23" s="1885"/>
    </row>
    <row r="24" spans="1:10" ht="24.95" customHeight="1" x14ac:dyDescent="0.25">
      <c r="A24" s="1723" t="s">
        <v>1215</v>
      </c>
      <c r="B24" s="1865"/>
      <c r="C24" s="1865"/>
      <c r="D24" s="1865"/>
      <c r="E24" s="1860">
        <f>berekeningen!C77</f>
        <v>30.739838617513996</v>
      </c>
      <c r="F24" s="1894"/>
      <c r="G24" s="1725" t="str">
        <f t="shared" si="0"/>
        <v/>
      </c>
      <c r="H24" s="1874"/>
      <c r="I24" s="1874"/>
    </row>
    <row r="25" spans="1:10" ht="24.95" customHeight="1" x14ac:dyDescent="0.25">
      <c r="A25" s="1726" t="s">
        <v>1278</v>
      </c>
      <c r="B25"/>
      <c r="C25"/>
      <c r="D25" s="1158"/>
      <c r="E25" s="1727"/>
      <c r="F25" s="1882"/>
      <c r="G25" s="1725"/>
      <c r="H25" s="1879"/>
      <c r="I25" s="1879"/>
    </row>
    <row r="26" spans="1:10" ht="24.95" customHeight="1" x14ac:dyDescent="0.2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4.95" customHeight="1" x14ac:dyDescent="0.25">
      <c r="A27" s="1726"/>
      <c r="B27"/>
      <c r="C27" s="206"/>
      <c r="D27" s="1862" t="s">
        <v>1621</v>
      </c>
      <c r="E27" s="1728"/>
      <c r="F27" s="1880"/>
      <c r="G27" s="1728">
        <f>ABS(-ABS(E4-F4)/0.2-ABS(E16-F16)/0.6-ABS(E17-F17)/0.08+ABS(E21-F21)/6+ABS(E18-F18)/0.2+ABS(E19-F19)/0.12+ABS(E12-F12)/0.4+ABS(E14-F14)/8)</f>
        <v>53.422320259599829</v>
      </c>
      <c r="H27" s="1877"/>
      <c r="I27" s="1877"/>
    </row>
    <row r="28" spans="1:10" ht="24.95" customHeight="1" x14ac:dyDescent="0.2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25">
      <c r="A29" s="1726"/>
      <c r="B29"/>
      <c r="C29"/>
      <c r="D29"/>
      <c r="E29" s="206"/>
      <c r="F29" s="206"/>
      <c r="G29" s="206"/>
      <c r="H29"/>
      <c r="I29" s="1158"/>
    </row>
    <row r="30" spans="1:10" ht="15" customHeight="1" x14ac:dyDescent="0.25">
      <c r="A30" s="1127"/>
      <c r="B30" s="1127"/>
      <c r="C30" s="1127"/>
      <c r="D30" s="1127"/>
      <c r="E30" s="1127"/>
      <c r="F30" s="1127"/>
      <c r="G30" s="1127"/>
      <c r="H30" s="1127"/>
      <c r="I30" s="1127"/>
    </row>
    <row r="31" spans="1:10" ht="15" customHeight="1" x14ac:dyDescent="0.25">
      <c r="A31"/>
      <c r="B31"/>
      <c r="C31"/>
      <c r="D31"/>
      <c r="E31"/>
      <c r="F31"/>
      <c r="G31"/>
      <c r="H31"/>
      <c r="I31"/>
    </row>
    <row r="32" spans="1:10" s="1716" customFormat="1" ht="11.25" x14ac:dyDescent="0.2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40625" defaultRowHeight="15" x14ac:dyDescent="0.25"/>
  <cols>
    <col min="2" max="2" width="27.140625" bestFit="1" customWidth="1"/>
    <col min="3" max="3" width="31.140625" customWidth="1"/>
    <col min="4" max="5" width="30.7109375" customWidth="1"/>
  </cols>
  <sheetData>
    <row r="2" spans="2:5" x14ac:dyDescent="0.25">
      <c r="B2" s="2340" t="s">
        <v>1164</v>
      </c>
      <c r="C2" s="2341"/>
      <c r="D2" s="2341"/>
      <c r="E2" s="2342"/>
    </row>
    <row r="3" spans="2:5" x14ac:dyDescent="0.2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2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25">
      <c r="B5" s="1209" t="s">
        <v>1165</v>
      </c>
      <c r="C5" s="1211">
        <f>IF(algemeen!E62="N","",algemeen!$G78)</f>
        <v>40409</v>
      </c>
      <c r="D5" s="1211">
        <f>IF(algemeen!F62="N","",algemeen!$G78)</f>
        <v>40409</v>
      </c>
      <c r="E5" s="1211">
        <f>IF(algemeen!G62="N","",algemeen!$G78)</f>
        <v>40409</v>
      </c>
    </row>
    <row r="6" spans="2:5" x14ac:dyDescent="0.25">
      <c r="B6" s="1209" t="s">
        <v>1166</v>
      </c>
      <c r="C6" s="1210" t="str">
        <f>IF(algemeen!E62="N","",MID(algemeen!$J66,6,15))</f>
        <v>13RE-1234/0</v>
      </c>
      <c r="D6" s="1210" t="str">
        <f>IF(algemeen!F62="N","",MID(algemeen!$J66,6,15))</f>
        <v>13RE-1234/0</v>
      </c>
      <c r="E6" s="1210" t="str">
        <f>IF(algemeen!G62="N","",MID(algemeen!$J66,6,15))</f>
        <v>13RE-1234/0</v>
      </c>
    </row>
    <row r="7" spans="2:5" x14ac:dyDescent="0.25">
      <c r="B7" s="1209" t="s">
        <v>1167</v>
      </c>
      <c r="C7" s="1210" t="str">
        <f>IF(algemeen!E62="N","",algemeen!$D47)</f>
        <v>SB 250 (5.0)</v>
      </c>
      <c r="D7" s="1210" t="str">
        <f>IF(algemeen!F62="N","",algemeen!$D47)</f>
        <v>SB 250 (5.0)</v>
      </c>
      <c r="E7" s="1210" t="str">
        <f>IF(algemeen!G62="N","",algemeen!$D47)</f>
        <v>SB 250 (5.0)</v>
      </c>
    </row>
    <row r="8" spans="2:5" x14ac:dyDescent="0.25">
      <c r="B8" s="1212" t="s">
        <v>1188</v>
      </c>
      <c r="C8" s="1213" t="str">
        <f>IF(algemeen!E62="N","",berekeningen!E7)</f>
        <v>0801/1234</v>
      </c>
      <c r="D8" s="1213" t="str">
        <f>IF(algemeen!F62="N","",berekeningen!H7)</f>
        <v>0802/1234</v>
      </c>
      <c r="E8" s="1213" t="str">
        <f>IF(algemeen!G62="N","",berekeningen!K7)</f>
        <v>8031/1234</v>
      </c>
    </row>
    <row r="11" spans="2:5" x14ac:dyDescent="0.25">
      <c r="B11" s="2338" t="s">
        <v>1185</v>
      </c>
      <c r="C11" s="2338"/>
    </row>
    <row r="12" spans="2:5" x14ac:dyDescent="0.25">
      <c r="B12" s="1207" t="s">
        <v>1168</v>
      </c>
      <c r="C12" s="1214" t="str">
        <f>algemeen!F40</f>
        <v>AB-3A1</v>
      </c>
    </row>
    <row r="13" spans="2:5" x14ac:dyDescent="0.25">
      <c r="B13" s="1209" t="s">
        <v>1169</v>
      </c>
      <c r="C13" s="1215">
        <f>samenstelling!N167</f>
        <v>71.182431554471393</v>
      </c>
    </row>
    <row r="14" spans="2:5" x14ac:dyDescent="0.25">
      <c r="B14" s="1209" t="s">
        <v>1186</v>
      </c>
      <c r="C14" s="1215">
        <f>samenstelling!N168</f>
        <v>22.04211398512707</v>
      </c>
    </row>
    <row r="15" spans="2:5" x14ac:dyDescent="0.25">
      <c r="B15" s="1209" t="s">
        <v>1170</v>
      </c>
      <c r="C15" s="1215">
        <f>samenstelling!N169</f>
        <v>6.775454460401539</v>
      </c>
    </row>
    <row r="16" spans="2:5" x14ac:dyDescent="0.25">
      <c r="B16" s="1209" t="s">
        <v>1171</v>
      </c>
      <c r="C16" s="1215">
        <f>samenstelling!G176</f>
        <v>3.805679</v>
      </c>
    </row>
    <row r="17" spans="2:5" x14ac:dyDescent="0.25">
      <c r="B17" s="1209" t="s">
        <v>1172</v>
      </c>
      <c r="C17" s="1215">
        <f>samenstelling!C68</f>
        <v>0.2</v>
      </c>
    </row>
    <row r="18" spans="2:5" x14ac:dyDescent="0.25">
      <c r="B18" s="1209" t="s">
        <v>1173</v>
      </c>
      <c r="C18" s="1216" t="s">
        <v>1191</v>
      </c>
    </row>
    <row r="19" spans="2:5" x14ac:dyDescent="0.25">
      <c r="B19" s="1209" t="s">
        <v>1187</v>
      </c>
      <c r="C19" s="1210">
        <f>SUM(samenstelling!C56:'samenstelling'!C58)</f>
        <v>30</v>
      </c>
    </row>
    <row r="20" spans="2:5" x14ac:dyDescent="0.25">
      <c r="B20" s="1209" t="s">
        <v>1174</v>
      </c>
      <c r="C20" s="1210" t="str">
        <f>samenstelling!H26&amp;" "&amp;samenstelling!H27</f>
        <v xml:space="preserve">IIa </v>
      </c>
      <c r="D20" s="1217" t="str">
        <f>samenstelling!H27</f>
        <v/>
      </c>
    </row>
    <row r="21" spans="2:5" x14ac:dyDescent="0.25">
      <c r="B21" s="1209" t="s">
        <v>1175</v>
      </c>
      <c r="C21" s="1210" t="str">
        <f>samenstelling!H43&amp;" "&amp;samenstelling!H44&amp;" "&amp;samenstelling!H45</f>
        <v xml:space="preserve">Mexphalte CLT50/70  </v>
      </c>
      <c r="D21" s="1217" t="str">
        <f>samenstelling!H44</f>
        <v/>
      </c>
      <c r="E21" t="str">
        <f>samenstelling!H45</f>
        <v/>
      </c>
    </row>
    <row r="22" spans="2:5" x14ac:dyDescent="0.25">
      <c r="B22" s="1209" t="s">
        <v>1176</v>
      </c>
      <c r="C22" s="1210" t="str">
        <f>samenstelling!H68</f>
        <v>Cellulose Viatop Premium</v>
      </c>
    </row>
    <row r="23" spans="2:5" x14ac:dyDescent="0.25">
      <c r="B23" s="1209" t="s">
        <v>1177</v>
      </c>
      <c r="C23" s="1216" t="s">
        <v>1191</v>
      </c>
    </row>
    <row r="24" spans="2:5" x14ac:dyDescent="0.25">
      <c r="B24" s="1209" t="s">
        <v>1178</v>
      </c>
      <c r="C24" s="1218">
        <f>samenstelling!AC143</f>
        <v>38.961038961038966</v>
      </c>
    </row>
    <row r="25" spans="2:5" x14ac:dyDescent="0.25">
      <c r="B25" s="1209" t="s">
        <v>1179</v>
      </c>
      <c r="C25" s="1219">
        <f>studie!H154*1000</f>
        <v>3015.439118985762</v>
      </c>
    </row>
    <row r="26" spans="2:5" x14ac:dyDescent="0.25">
      <c r="B26" s="1209" t="s">
        <v>1180</v>
      </c>
      <c r="C26" s="1218">
        <f>studie!H258</f>
        <v>15.5</v>
      </c>
    </row>
    <row r="27" spans="2:5" x14ac:dyDescent="0.25">
      <c r="B27" s="1209" t="s">
        <v>1181</v>
      </c>
      <c r="C27" s="1219">
        <f>studie!H257*1000</f>
        <v>2684.110592447611</v>
      </c>
    </row>
    <row r="28" spans="2:5" x14ac:dyDescent="0.25">
      <c r="B28" s="1212" t="s">
        <v>1192</v>
      </c>
      <c r="C28" s="1213" t="str">
        <f>algemeen!K148</f>
        <v>130-180</v>
      </c>
    </row>
    <row r="31" spans="2:5" x14ac:dyDescent="0.25">
      <c r="B31" s="2339" t="s">
        <v>1184</v>
      </c>
      <c r="C31" s="2339"/>
    </row>
    <row r="32" spans="2:5" x14ac:dyDescent="0.25">
      <c r="B32" s="1220" t="s">
        <v>1182</v>
      </c>
      <c r="C32" s="1220" t="s">
        <v>1183</v>
      </c>
    </row>
    <row r="33" spans="2:3" x14ac:dyDescent="0.25">
      <c r="B33" s="1221" t="str">
        <f>IF(algemeen!E55=2,"31,5","")</f>
        <v>31,5</v>
      </c>
      <c r="C33" s="1222">
        <f>samenstelling!L109</f>
        <v>99.999735647425894</v>
      </c>
    </row>
    <row r="34" spans="2:3" x14ac:dyDescent="0.25">
      <c r="B34" s="1223" t="str">
        <f>IF(algemeen!E55=2,"20","")</f>
        <v>20</v>
      </c>
      <c r="C34" s="1224">
        <f>samenstelling!M109</f>
        <v>99.948735647425877</v>
      </c>
    </row>
    <row r="35" spans="2:3" x14ac:dyDescent="0.25">
      <c r="B35" s="1223" t="str">
        <f>IF(algemeen!E55=2,"14","")</f>
        <v>14</v>
      </c>
      <c r="C35" s="1224">
        <f>samenstelling!O109</f>
        <v>95.868735647425879</v>
      </c>
    </row>
    <row r="36" spans="2:3" x14ac:dyDescent="0.25">
      <c r="B36" s="1223" t="str">
        <f>IF(algemeen!E55=2,"10","")</f>
        <v>10</v>
      </c>
      <c r="C36" s="1224">
        <f>samenstelling!Q$109</f>
        <v>89.666735647425881</v>
      </c>
    </row>
    <row r="37" spans="2:3" x14ac:dyDescent="0.25">
      <c r="B37" s="1223" t="str">
        <f>IF(algemeen!E55=2,"6,3","")</f>
        <v>6,3</v>
      </c>
      <c r="C37" s="1224">
        <f>samenstelling!S$109</f>
        <v>47.600398517940718</v>
      </c>
    </row>
    <row r="38" spans="2:3" x14ac:dyDescent="0.25">
      <c r="B38" s="1223" t="str">
        <f>IF(algemeen!E55=2,"4","")</f>
        <v>4</v>
      </c>
      <c r="C38" s="1224">
        <f>samenstelling!T$109</f>
        <v>38.531179953198126</v>
      </c>
    </row>
    <row r="39" spans="2:3" x14ac:dyDescent="0.25">
      <c r="B39" s="1223" t="str">
        <f>IF(algemeen!E55=2,"2","")</f>
        <v>2</v>
      </c>
      <c r="C39" s="1224">
        <f>samenstelling!U$109</f>
        <v>28.32396138845554</v>
      </c>
    </row>
    <row r="40" spans="2:3" x14ac:dyDescent="0.25">
      <c r="B40" s="1223" t="str">
        <f>IF(algemeen!E55=2,"1","")</f>
        <v>1</v>
      </c>
      <c r="C40" s="1224">
        <f>samenstelling!V$109</f>
        <v>23.058242823712948</v>
      </c>
    </row>
    <row r="41" spans="2:3" x14ac:dyDescent="0.25">
      <c r="B41" s="1223" t="str">
        <f>IF(algemeen!E55=2,"0,5","")</f>
        <v>0,5</v>
      </c>
      <c r="C41" s="1224">
        <f>samenstelling!W$109</f>
        <v>18.557524258970361</v>
      </c>
    </row>
    <row r="42" spans="2:3" x14ac:dyDescent="0.25">
      <c r="B42" s="1223" t="str">
        <f>IF(algemeen!E55=2,"0,25","")</f>
        <v>0,25</v>
      </c>
      <c r="C42" s="1224">
        <f>samenstelling!X$109</f>
        <v>14.974805694227769</v>
      </c>
    </row>
    <row r="43" spans="2:3" x14ac:dyDescent="0.25">
      <c r="B43" s="1223" t="str">
        <f>IF(algemeen!E55=2,"0,125","")</f>
        <v>0,125</v>
      </c>
      <c r="C43" s="1224">
        <f>samenstelling!Y$109</f>
        <v>11.405659629485179</v>
      </c>
    </row>
    <row r="44" spans="2:3" x14ac:dyDescent="0.25">
      <c r="B44" s="1225" t="str">
        <f>IF(algemeen!E55=2,"0,063","")</f>
        <v>0,063</v>
      </c>
      <c r="C44" s="1226">
        <f>samenstelling!Z$109</f>
        <v>7.8679135647425893</v>
      </c>
    </row>
    <row r="46" spans="2:3" x14ac:dyDescent="0.25">
      <c r="B46" s="2340" t="s">
        <v>1656</v>
      </c>
      <c r="C46" s="2342"/>
    </row>
    <row r="47" spans="2:3" x14ac:dyDescent="0.2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40625" defaultRowHeight="14.25" x14ac:dyDescent="0.2"/>
  <cols>
    <col min="1" max="2" width="9.140625" style="1"/>
    <col min="3" max="3" width="9.5703125" style="1" bestFit="1" customWidth="1"/>
    <col min="4" max="5" width="12.140625" style="1" bestFit="1" customWidth="1"/>
    <col min="6" max="6" width="13.85546875" style="1" bestFit="1" customWidth="1"/>
    <col min="7" max="7" width="12.85546875" style="1" customWidth="1"/>
    <col min="8" max="8" width="10.7109375" style="1" customWidth="1"/>
    <col min="9" max="9" width="9.140625" style="1"/>
    <col min="10" max="10" width="10.140625" style="1" bestFit="1" customWidth="1"/>
    <col min="11" max="11" width="13.7109375" style="1" customWidth="1"/>
    <col min="12" max="12" width="10.28515625" style="1" customWidth="1"/>
    <col min="13" max="18" width="9.140625" style="1"/>
    <col min="19" max="19" width="11.28515625" style="1" bestFit="1" customWidth="1"/>
    <col min="20" max="22" width="9.140625" style="1"/>
    <col min="23" max="23" width="9.7109375" style="1" bestFit="1" customWidth="1"/>
    <col min="24" max="24" width="10.7109375" style="1" bestFit="1" customWidth="1"/>
    <col min="25" max="30" width="9.140625" style="1"/>
    <col min="31" max="31" width="10.140625" style="1" bestFit="1" customWidth="1"/>
    <col min="32" max="32" width="12.140625" style="1" bestFit="1" customWidth="1"/>
    <col min="33" max="16384" width="9.140625" style="1"/>
  </cols>
  <sheetData>
    <row r="1" spans="1:42" x14ac:dyDescent="0.2">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2">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2">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2">
      <c r="A5" s="1" t="s">
        <v>52</v>
      </c>
      <c r="D5" s="14" t="str">
        <f>algemeen!E28&amp;"/"&amp;algemeen!J65</f>
        <v>801/64</v>
      </c>
      <c r="G5" s="14" t="str">
        <f>algemeen!H28&amp;"/"&amp;algemeen!J65</f>
        <v>802/64</v>
      </c>
      <c r="J5" s="14" t="str">
        <f>algemeen!K28&amp;"/"&amp;algemeen!J65</f>
        <v>8031/64</v>
      </c>
    </row>
    <row r="7" spans="1:42" x14ac:dyDescent="0.2">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2">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2">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2">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2">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2">
      <c r="W14" s="1" t="s">
        <v>1331</v>
      </c>
      <c r="X14" s="1" t="s">
        <v>1223</v>
      </c>
      <c r="AE14" s="1" t="s">
        <v>309</v>
      </c>
      <c r="AF14" s="1" t="s">
        <v>1335</v>
      </c>
      <c r="AJ14" s="1" t="s">
        <v>310</v>
      </c>
      <c r="AK14" s="1" t="s">
        <v>1336</v>
      </c>
    </row>
    <row r="15" spans="1:42" x14ac:dyDescent="0.2">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x14ac:dyDescent="0.2">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x14ac:dyDescent="0.2">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x14ac:dyDescent="0.2">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x14ac:dyDescent="0.2">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x14ac:dyDescent="0.2">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x14ac:dyDescent="0.2">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x14ac:dyDescent="0.2">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x14ac:dyDescent="0.2">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x14ac:dyDescent="0.2">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x14ac:dyDescent="0.2">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x14ac:dyDescent="0.2">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x14ac:dyDescent="0.2">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x14ac:dyDescent="0.2">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x14ac:dyDescent="0.2">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x14ac:dyDescent="0.2">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x14ac:dyDescent="0.2">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x14ac:dyDescent="0.2">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x14ac:dyDescent="0.2">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x14ac:dyDescent="0.2">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x14ac:dyDescent="0.2">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2">
      <c r="C36" s="75"/>
      <c r="D36" s="121"/>
      <c r="E36" s="121"/>
      <c r="F36" s="121"/>
      <c r="G36" s="121"/>
      <c r="H36" s="121"/>
      <c r="I36" s="121"/>
      <c r="J36" s="121"/>
      <c r="K36" s="121"/>
      <c r="L36" s="121"/>
      <c r="M36" s="121"/>
      <c r="N36" s="121"/>
      <c r="O36" s="121"/>
      <c r="P36" s="121"/>
      <c r="Q36" s="121"/>
      <c r="R36" s="121"/>
    </row>
    <row r="37" spans="1:42" x14ac:dyDescent="0.2">
      <c r="H37" s="1" t="s">
        <v>315</v>
      </c>
      <c r="J37" s="1" t="s">
        <v>270</v>
      </c>
      <c r="V37" s="82" t="s">
        <v>1332</v>
      </c>
      <c r="W37" s="1342">
        <f>SUM(W15:W24)</f>
        <v>0.17586358969919766</v>
      </c>
      <c r="AO37" s="82" t="s">
        <v>293</v>
      </c>
      <c r="AP37" s="76">
        <f>SUM(AP15:AP35)</f>
        <v>8.2567956318252733</v>
      </c>
    </row>
    <row r="38" spans="1:42" x14ac:dyDescent="0.2">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2">
      <c r="E39" s="82" t="s">
        <v>297</v>
      </c>
      <c r="F39" s="14" t="str">
        <f>IF(samenstelling!T168&lt;&gt;samenstelling!X168,"J","N")</f>
        <v>J</v>
      </c>
      <c r="H39" s="14">
        <f>D45/AK43</f>
        <v>7.5504823254571525</v>
      </c>
      <c r="J39" s="83">
        <f>D45*AK43</f>
        <v>55.398823747317891</v>
      </c>
      <c r="V39" s="82" t="s">
        <v>272</v>
      </c>
      <c r="W39" s="1342">
        <f>W38/W37</f>
        <v>3.05122851704447</v>
      </c>
    </row>
    <row r="40" spans="1:42" x14ac:dyDescent="0.2">
      <c r="E40" s="82" t="s">
        <v>298</v>
      </c>
      <c r="F40" s="14" t="str">
        <f>IF(samenstelling!T169&lt;&gt;samenstelling!X169,"J","N")</f>
        <v>J</v>
      </c>
      <c r="H40" s="14">
        <f>D46/samenstelling!T169</f>
        <v>2.3209184556762801</v>
      </c>
      <c r="J40" s="83">
        <f>D46*samenstelling!T169</f>
        <v>26.67222698447738</v>
      </c>
    </row>
    <row r="41" spans="1:42" x14ac:dyDescent="0.2">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2">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2">
      <c r="V43" s="82" t="s">
        <v>274</v>
      </c>
      <c r="W43" s="1342">
        <f>W42/W41</f>
        <v>3.2689436910151639</v>
      </c>
      <c r="AD43" s="82" t="s">
        <v>311</v>
      </c>
      <c r="AF43" s="1342">
        <f>IF(AE41/AF41=0,0.000001,AE41/AF41)</f>
        <v>2.9397048309231293</v>
      </c>
      <c r="AI43" s="82" t="s">
        <v>312</v>
      </c>
      <c r="AK43" s="1342">
        <f>AJ41/AK41</f>
        <v>2.7087125767186144</v>
      </c>
    </row>
    <row r="44" spans="1:42" x14ac:dyDescent="0.2">
      <c r="A44" s="1" t="s">
        <v>261</v>
      </c>
      <c r="C44" s="82" t="s">
        <v>262</v>
      </c>
      <c r="D44" s="77">
        <f>ROUND(100-HLOOKUP(2,samenstelling!K87:Z109,23,FALSE),2)</f>
        <v>71.680000000000007</v>
      </c>
    </row>
    <row r="45" spans="1:42" x14ac:dyDescent="0.2">
      <c r="C45" s="82" t="s">
        <v>263</v>
      </c>
      <c r="D45" s="77">
        <f>100-D46-D44</f>
        <v>20.452086435257399</v>
      </c>
      <c r="V45" s="82" t="s">
        <v>1334</v>
      </c>
      <c r="W45" s="1342">
        <f>SUM(W25:W26)</f>
        <v>0.17314914814814816</v>
      </c>
      <c r="X45" s="1858">
        <f>SUM(X25:X26)</f>
        <v>2.6715285714285719E-2</v>
      </c>
    </row>
    <row r="46" spans="1:42" x14ac:dyDescent="0.2">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2">
      <c r="D47" s="184"/>
      <c r="V47" s="82" t="s">
        <v>1220</v>
      </c>
      <c r="W47" s="1342">
        <f>W46/W45</f>
        <v>2.6999844065071712</v>
      </c>
      <c r="X47" s="1342">
        <f>X46/X45</f>
        <v>17.499344944306898</v>
      </c>
    </row>
    <row r="48" spans="1:42" x14ac:dyDescent="0.2">
      <c r="B48" s="1" t="s">
        <v>589</v>
      </c>
      <c r="C48" s="82" t="s">
        <v>262</v>
      </c>
      <c r="D48" s="77">
        <f>D44*100/(100+samenstelling!G171)</f>
        <v>68.920320000000018</v>
      </c>
      <c r="E48" s="77"/>
      <c r="G48" s="1" t="s">
        <v>1268</v>
      </c>
      <c r="I48" s="1342">
        <f>D49/AK43+D50/W43+D51/samenstelling!K158</f>
        <v>13.317489227815257</v>
      </c>
    </row>
    <row r="49" spans="1:31" x14ac:dyDescent="0.2">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2">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2">
      <c r="C51" s="82" t="s">
        <v>103</v>
      </c>
      <c r="D51" s="77">
        <f>samenstelling!C158</f>
        <v>3.85</v>
      </c>
      <c r="E51" s="77">
        <f>100-E49-E50</f>
        <v>12.389999999999997</v>
      </c>
      <c r="W51" s="1858" t="str">
        <f>IF(grondstoffen!W123="","",(100-grondstoffen!AC123)/((100/grondstoffen!W123)-(grondstoffen!AC123/grondstoffen!AA123)))</f>
        <v/>
      </c>
    </row>
    <row r="52" spans="1:31" x14ac:dyDescent="0.2">
      <c r="D52" s="184"/>
      <c r="W52" s="1858" t="str">
        <f>IF(grondstoffen!W124="","",(100-grondstoffen!AC124)/((100/grondstoffen!W124)-(grondstoffen!AC124/grondstoffen!AA124)))</f>
        <v/>
      </c>
    </row>
    <row r="53" spans="1:31" x14ac:dyDescent="0.2">
      <c r="A53" s="1" t="s">
        <v>279</v>
      </c>
      <c r="E53" s="1" t="s">
        <v>406</v>
      </c>
      <c r="F53" s="1" t="s">
        <v>407</v>
      </c>
      <c r="G53" s="1" t="s">
        <v>408</v>
      </c>
      <c r="W53" s="1858" t="str">
        <f>IF(grondstoffen!W125="","",(100-grondstoffen!AC125)/((100/grondstoffen!W125)-(grondstoffen!AC125/grondstoffen!AA125)))</f>
        <v/>
      </c>
    </row>
    <row r="54" spans="1:31" x14ac:dyDescent="0.2">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2">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2">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2">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2">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2">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2">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2">
      <c r="E62" s="89" t="str">
        <f>samenstelling!E147</f>
        <v/>
      </c>
      <c r="F62" s="14"/>
      <c r="G62" s="14">
        <f>IF(samenstelling!M147=0,0.01,samenstelling!M147)</f>
        <v>0.01</v>
      </c>
      <c r="H62" s="14">
        <f>samenstelling!C147</f>
        <v>0</v>
      </c>
    </row>
    <row r="63" spans="1:31" x14ac:dyDescent="0.2">
      <c r="E63" s="89" t="str">
        <f>samenstelling!E148</f>
        <v>Asfaltgranulaat</v>
      </c>
      <c r="F63" s="14"/>
      <c r="G63" s="14">
        <f>IF(samenstelling!M148=0,0.01,samenstelling!M148)</f>
        <v>25</v>
      </c>
      <c r="H63" s="14">
        <f>samenstelling!C148</f>
        <v>1.5</v>
      </c>
    </row>
    <row r="64" spans="1:31" x14ac:dyDescent="0.2">
      <c r="E64" s="89" t="str">
        <f>samenstelling!E149</f>
        <v/>
      </c>
      <c r="F64" s="14"/>
      <c r="G64" s="14">
        <f>IF(samenstelling!M149=0,0.01,samenstelling!M149)</f>
        <v>0.01</v>
      </c>
      <c r="H64" s="14">
        <f>samenstelling!C149</f>
        <v>0</v>
      </c>
    </row>
    <row r="65" spans="1:11" x14ac:dyDescent="0.2">
      <c r="E65" s="89" t="str">
        <f>samenstelling!E150</f>
        <v/>
      </c>
      <c r="F65" s="14"/>
      <c r="G65" s="14">
        <f>IF(samenstelling!M150=0,0.01,samenstelling!M150)</f>
        <v>0.01</v>
      </c>
      <c r="H65" s="14">
        <f>samenstelling!C150</f>
        <v>0</v>
      </c>
    </row>
    <row r="66" spans="1:11" x14ac:dyDescent="0.2">
      <c r="E66" s="89" t="str">
        <f>samenstelling!E153</f>
        <v>Trinidad</v>
      </c>
      <c r="F66" s="14"/>
      <c r="G66" s="14">
        <f>IF(samenstelling!M153=0,0.01,samenstelling!M153)</f>
        <v>7.5</v>
      </c>
      <c r="H66" s="14">
        <f>samenstelling!C153</f>
        <v>0.10395</v>
      </c>
    </row>
    <row r="67" spans="1:11" x14ac:dyDescent="0.2">
      <c r="E67" s="89" t="str">
        <f>samenstelling!E154</f>
        <v/>
      </c>
      <c r="F67" s="14"/>
      <c r="G67" s="14">
        <f>IF(samenstelling!M154=0,0.01,samenstelling!M154)</f>
        <v>0.01</v>
      </c>
      <c r="H67" s="14">
        <f>samenstelling!C154</f>
        <v>0</v>
      </c>
    </row>
    <row r="68" spans="1:11" x14ac:dyDescent="0.2">
      <c r="E68" s="89" t="str">
        <f>samenstelling!E155</f>
        <v>Uintah</v>
      </c>
      <c r="F68" s="14"/>
      <c r="G68" s="14">
        <f>IF(samenstelling!M155=0,0.01,samenstelling!M155)</f>
        <v>0.01</v>
      </c>
      <c r="H68" s="14">
        <f>samenstelling!C155</f>
        <v>0.03</v>
      </c>
    </row>
    <row r="69" spans="1:11" x14ac:dyDescent="0.2">
      <c r="E69" s="89" t="str">
        <f>samenstelling!E156</f>
        <v/>
      </c>
      <c r="F69" s="14"/>
      <c r="G69" s="14">
        <f>IF(samenstelling!M156=0,0.01,samenstelling!M156)</f>
        <v>0.01</v>
      </c>
      <c r="H69" s="14">
        <f>samenstelling!C156</f>
        <v>0</v>
      </c>
    </row>
    <row r="70" spans="1:11" x14ac:dyDescent="0.2">
      <c r="E70" s="89" t="str">
        <f>samenstelling!E157</f>
        <v/>
      </c>
      <c r="F70" s="14"/>
      <c r="G70" s="14">
        <f>IF(samenstelling!M157=0,0.01,samenstelling!M157)</f>
        <v>0.01</v>
      </c>
      <c r="H70" s="14">
        <f>samenstelling!C157</f>
        <v>0</v>
      </c>
    </row>
    <row r="71" spans="1:11" ht="14.25" customHeight="1" x14ac:dyDescent="0.2"/>
    <row r="72" spans="1:11" ht="14.25" customHeight="1" x14ac:dyDescent="0.2">
      <c r="A72" s="1" t="s">
        <v>1224</v>
      </c>
      <c r="C72" s="93"/>
      <c r="D72" s="94"/>
    </row>
    <row r="73" spans="1:11" x14ac:dyDescent="0.2">
      <c r="C73" s="95"/>
      <c r="D73" s="96"/>
    </row>
    <row r="74" spans="1:11" x14ac:dyDescent="0.2">
      <c r="B74" s="1230" t="s">
        <v>1225</v>
      </c>
      <c r="C74" s="1231">
        <f>D50*samenstelling!K158/(D51*samenstelling!M138)</f>
        <v>0.6181926974311085</v>
      </c>
      <c r="D74" s="98"/>
    </row>
    <row r="75" spans="1:11" x14ac:dyDescent="0.2">
      <c r="B75" s="82" t="s">
        <v>1226</v>
      </c>
      <c r="C75" s="1233">
        <f>1021*1.053*C$74/(100-samenstelling!O$139*(1+1.053*C$74))</f>
        <v>20.569830862355918</v>
      </c>
      <c r="D75" s="1232" t="s">
        <v>1227</v>
      </c>
    </row>
    <row r="76" spans="1:11" x14ac:dyDescent="0.2">
      <c r="C76" s="1233">
        <f>1021*1.286*C$74/(100-samenstelling!O$139*(1+1.286*C$74))</f>
        <v>30.739838617513996</v>
      </c>
      <c r="D76" s="1232" t="s">
        <v>1228</v>
      </c>
    </row>
    <row r="77" spans="1:11" x14ac:dyDescent="0.2">
      <c r="C77" s="1233">
        <f>IF(samenstelling!O139&lt;38,C75,C76)</f>
        <v>30.739838617513996</v>
      </c>
      <c r="D77" s="97" t="s">
        <v>1229</v>
      </c>
    </row>
    <row r="78" spans="1:11" x14ac:dyDescent="0.2">
      <c r="C78" s="97"/>
      <c r="D78" s="97"/>
    </row>
    <row r="79" spans="1:11" x14ac:dyDescent="0.2">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2">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2">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2">
      <c r="C82" s="97"/>
      <c r="D82" s="97"/>
      <c r="F82" s="1" t="s">
        <v>1275</v>
      </c>
      <c r="H82" s="77">
        <f>ROUND(100-HLOOKUP(0.5,samenstelling!$K$87:$Z$109,23,FALSE),2)</f>
        <v>81.44</v>
      </c>
      <c r="J82" s="1" t="s">
        <v>1271</v>
      </c>
      <c r="K82" s="1345">
        <f>-samenstelling!C158/0.14-D46/0.4+H82/0.35-AF43/0.03+samenstelling!O128/8+AK43/0.1+W43/0.1</f>
        <v>152.05233202042464</v>
      </c>
    </row>
    <row r="84" spans="1:13" x14ac:dyDescent="0.2">
      <c r="A84" s="1" t="s">
        <v>468</v>
      </c>
      <c r="F84" s="1" t="s">
        <v>496</v>
      </c>
      <c r="G84" s="186" t="s">
        <v>1263</v>
      </c>
      <c r="H84" s="186" t="s">
        <v>492</v>
      </c>
      <c r="J84" s="1" t="s">
        <v>496</v>
      </c>
      <c r="K84" s="186" t="s">
        <v>1263</v>
      </c>
      <c r="L84" s="186" t="s">
        <v>492</v>
      </c>
    </row>
    <row r="85" spans="1:13" x14ac:dyDescent="0.2">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2">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2">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2">
      <c r="C88" s="1" t="s">
        <v>469</v>
      </c>
      <c r="D88" s="14">
        <f>SUM(D85:D87)</f>
        <v>0</v>
      </c>
      <c r="F88" s="1" t="s">
        <v>469</v>
      </c>
      <c r="G88" s="14">
        <f>SUM(G85:G87)</f>
        <v>2</v>
      </c>
      <c r="H88" s="14">
        <f>SUM(H85:H87)</f>
        <v>2</v>
      </c>
      <c r="J88" s="1" t="s">
        <v>469</v>
      </c>
      <c r="K88" s="14">
        <f>SUM(K85:K87)</f>
        <v>2</v>
      </c>
      <c r="L88" s="14">
        <f>SUM(L85:L87)</f>
        <v>2</v>
      </c>
    </row>
    <row r="90" spans="1:13" x14ac:dyDescent="0.2">
      <c r="A90" s="1" t="s">
        <v>726</v>
      </c>
      <c r="J90" s="1" t="s">
        <v>1019</v>
      </c>
    </row>
    <row r="91" spans="1:13" x14ac:dyDescent="0.2">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2">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2">
      <c r="D93" s="14">
        <f>IF(D91+D92&gt;0,1,0)</f>
        <v>1</v>
      </c>
      <c r="G93" s="14">
        <f>IF(G91+G92&gt;0,1,0)</f>
        <v>1</v>
      </c>
      <c r="L93" s="77">
        <f>studie!D98</f>
        <v>4.1500000000000004</v>
      </c>
      <c r="M93" s="14">
        <f>IF(studie!V309="","",IF(studie!V309&gt;5,1,0))</f>
        <v>0</v>
      </c>
    </row>
    <row r="94" spans="1:13" x14ac:dyDescent="0.2">
      <c r="L94" s="1" t="s">
        <v>469</v>
      </c>
      <c r="M94" s="14">
        <f>SUM(M91:M93)</f>
        <v>0</v>
      </c>
    </row>
    <row r="96" spans="1:13" x14ac:dyDescent="0.2">
      <c r="A96" s="1" t="s">
        <v>936</v>
      </c>
    </row>
    <row r="98" spans="2:9" x14ac:dyDescent="0.2">
      <c r="B98" s="944" t="s">
        <v>941</v>
      </c>
      <c r="C98" s="944"/>
      <c r="D98" s="945" t="s">
        <v>326</v>
      </c>
      <c r="E98" s="945"/>
      <c r="F98" s="944" t="s">
        <v>333</v>
      </c>
      <c r="G98" s="945" t="s">
        <v>430</v>
      </c>
      <c r="H98" s="944" t="s">
        <v>1450</v>
      </c>
    </row>
    <row r="99" spans="2:9" x14ac:dyDescent="0.2">
      <c r="B99" s="944" t="s">
        <v>942</v>
      </c>
      <c r="C99" s="944"/>
      <c r="D99" s="945" t="s">
        <v>327</v>
      </c>
      <c r="E99" s="945"/>
      <c r="F99" s="944"/>
      <c r="G99" s="945" t="s">
        <v>429</v>
      </c>
      <c r="H99" s="944" t="s">
        <v>1451</v>
      </c>
    </row>
    <row r="100" spans="2:9" x14ac:dyDescent="0.2">
      <c r="B100" s="944"/>
      <c r="C100" s="944"/>
      <c r="D100" s="945"/>
      <c r="E100" s="945"/>
      <c r="F100" s="944"/>
      <c r="G100" s="945"/>
      <c r="H100" s="944"/>
    </row>
    <row r="101" spans="2:9" x14ac:dyDescent="0.2">
      <c r="B101" s="944"/>
      <c r="C101" s="944"/>
      <c r="D101" s="945"/>
      <c r="E101" s="945"/>
      <c r="F101" s="944"/>
      <c r="G101" s="945"/>
      <c r="H101" s="944"/>
    </row>
    <row r="102" spans="2:9" x14ac:dyDescent="0.2">
      <c r="B102" s="944"/>
      <c r="C102" s="944"/>
      <c r="D102" s="945"/>
      <c r="E102" s="945"/>
      <c r="F102" s="944"/>
      <c r="G102" s="945"/>
      <c r="H102" s="944"/>
    </row>
    <row r="103" spans="2:9" x14ac:dyDescent="0.2">
      <c r="B103" s="944"/>
      <c r="C103" s="944"/>
      <c r="D103" s="945"/>
      <c r="E103" s="945"/>
      <c r="F103" s="944"/>
      <c r="G103" s="945"/>
      <c r="H103" s="944"/>
    </row>
    <row r="104" spans="2:9" x14ac:dyDescent="0.2">
      <c r="B104" s="944"/>
      <c r="C104" s="944"/>
      <c r="D104" s="945"/>
      <c r="E104" s="945"/>
      <c r="F104" s="944"/>
      <c r="G104" s="945"/>
      <c r="H104" s="944"/>
    </row>
    <row r="105" spans="2:9" x14ac:dyDescent="0.2">
      <c r="B105" s="944"/>
      <c r="C105" s="944"/>
      <c r="D105" s="945"/>
      <c r="E105" s="945"/>
      <c r="F105" s="944"/>
      <c r="G105" s="945"/>
      <c r="H105" s="944"/>
    </row>
    <row r="107" spans="2:9" x14ac:dyDescent="0.2">
      <c r="G107" s="1" t="s">
        <v>1008</v>
      </c>
    </row>
    <row r="108" spans="2:9" x14ac:dyDescent="0.2">
      <c r="G108" s="1341" t="str">
        <f>IF(studie!K228="EN 12697-31","J","N")</f>
        <v>J</v>
      </c>
    </row>
    <row r="110" spans="2:9" x14ac:dyDescent="0.2">
      <c r="B110" s="944" t="s">
        <v>1302</v>
      </c>
      <c r="C110" s="944" t="s">
        <v>904</v>
      </c>
      <c r="D110" s="944"/>
      <c r="E110" s="944"/>
      <c r="F110" s="944"/>
      <c r="G110" s="945" t="s">
        <v>937</v>
      </c>
      <c r="H110" s="944" t="s">
        <v>1095</v>
      </c>
      <c r="I110" s="945" t="s">
        <v>782</v>
      </c>
    </row>
    <row r="111" spans="2:9" x14ac:dyDescent="0.2">
      <c r="B111" s="944" t="s">
        <v>1303</v>
      </c>
      <c r="C111" s="944" t="s">
        <v>975</v>
      </c>
      <c r="D111" s="944"/>
      <c r="E111" s="944"/>
      <c r="F111" s="944"/>
      <c r="G111" s="945" t="s">
        <v>940</v>
      </c>
      <c r="H111" s="944" t="s">
        <v>1096</v>
      </c>
      <c r="I111" s="945" t="s">
        <v>1144</v>
      </c>
    </row>
    <row r="112" spans="2:9" x14ac:dyDescent="0.2">
      <c r="B112" s="944" t="s">
        <v>1304</v>
      </c>
      <c r="C112" s="944" t="s">
        <v>1308</v>
      </c>
      <c r="D112" s="944"/>
      <c r="E112" s="944"/>
      <c r="F112" s="944"/>
      <c r="H112" s="944" t="s">
        <v>1097</v>
      </c>
      <c r="I112" s="945" t="s">
        <v>1145</v>
      </c>
    </row>
    <row r="113" spans="1:9" x14ac:dyDescent="0.2">
      <c r="B113" s="944" t="s">
        <v>1305</v>
      </c>
      <c r="C113" s="944" t="s">
        <v>978</v>
      </c>
      <c r="D113" s="944"/>
      <c r="E113" s="944"/>
      <c r="F113" s="944"/>
      <c r="H113" s="944" t="s">
        <v>1098</v>
      </c>
      <c r="I113" s="945"/>
    </row>
    <row r="114" spans="1:9" x14ac:dyDescent="0.2">
      <c r="B114" s="944" t="s">
        <v>1306</v>
      </c>
      <c r="C114" s="944" t="s">
        <v>980</v>
      </c>
      <c r="D114" s="944"/>
      <c r="E114" s="944"/>
      <c r="F114" s="944"/>
      <c r="H114" s="944"/>
      <c r="I114" s="945"/>
    </row>
    <row r="115" spans="1:9" x14ac:dyDescent="0.2">
      <c r="B115" s="944" t="s">
        <v>1307</v>
      </c>
      <c r="C115" s="944" t="s">
        <v>979</v>
      </c>
      <c r="D115" s="944"/>
      <c r="E115" s="944"/>
      <c r="F115" s="944"/>
      <c r="H115" s="944"/>
      <c r="I115" s="945"/>
    </row>
    <row r="116" spans="1:9" x14ac:dyDescent="0.2">
      <c r="B116" s="944" t="s">
        <v>1309</v>
      </c>
      <c r="C116" s="944" t="s">
        <v>976</v>
      </c>
      <c r="D116" s="944"/>
      <c r="E116" s="944"/>
      <c r="F116" s="944"/>
      <c r="H116" s="944"/>
      <c r="I116" s="945"/>
    </row>
    <row r="117" spans="1:9" x14ac:dyDescent="0.2">
      <c r="B117" s="944" t="s">
        <v>1310</v>
      </c>
      <c r="C117" s="944" t="s">
        <v>977</v>
      </c>
      <c r="D117" s="944"/>
      <c r="E117" s="944"/>
      <c r="F117" s="944"/>
      <c r="H117" s="944"/>
      <c r="I117" s="945"/>
    </row>
    <row r="118" spans="1:9" x14ac:dyDescent="0.2">
      <c r="B118" s="944" t="s">
        <v>1311</v>
      </c>
      <c r="C118" s="944" t="s">
        <v>981</v>
      </c>
      <c r="D118" s="944"/>
      <c r="E118" s="944"/>
      <c r="F118" s="944"/>
      <c r="H118" s="944"/>
      <c r="I118" s="945"/>
    </row>
    <row r="119" spans="1:9" x14ac:dyDescent="0.2">
      <c r="B119" s="944"/>
      <c r="C119" s="944"/>
      <c r="D119" s="944"/>
      <c r="E119" s="944"/>
      <c r="F119" s="944"/>
      <c r="H119" s="944"/>
      <c r="I119" s="945"/>
    </row>
    <row r="120" spans="1:9" x14ac:dyDescent="0.2">
      <c r="B120" s="944"/>
      <c r="C120" s="944"/>
      <c r="D120" s="944"/>
      <c r="E120" s="944"/>
      <c r="F120" s="944"/>
      <c r="H120" s="944"/>
      <c r="I120" s="945"/>
    </row>
    <row r="121" spans="1:9" x14ac:dyDescent="0.2">
      <c r="B121" s="944"/>
      <c r="C121" s="944"/>
      <c r="D121" s="944"/>
      <c r="E121" s="944"/>
      <c r="F121" s="944"/>
      <c r="H121" s="944"/>
      <c r="I121" s="945"/>
    </row>
    <row r="122" spans="1:9" x14ac:dyDescent="0.2">
      <c r="B122" s="944"/>
      <c r="C122" s="944"/>
      <c r="D122" s="944"/>
      <c r="E122" s="944"/>
      <c r="F122" s="944"/>
      <c r="H122" s="944"/>
      <c r="I122" s="945"/>
    </row>
    <row r="123" spans="1:9" x14ac:dyDescent="0.2">
      <c r="B123" s="944"/>
      <c r="C123" s="944"/>
      <c r="D123" s="944"/>
      <c r="E123" s="944"/>
      <c r="F123" s="944"/>
      <c r="H123" s="944"/>
      <c r="I123" s="945"/>
    </row>
    <row r="125" spans="1:9" x14ac:dyDescent="0.2">
      <c r="A125" s="1" t="s">
        <v>1260</v>
      </c>
    </row>
    <row r="126" spans="1:9" ht="16.5" x14ac:dyDescent="0.2">
      <c r="B126" s="1" t="s">
        <v>1182</v>
      </c>
      <c r="C126" s="1" t="s">
        <v>1261</v>
      </c>
      <c r="D126" s="1" t="s">
        <v>1264</v>
      </c>
      <c r="E126" s="1" t="s">
        <v>1265</v>
      </c>
      <c r="F126" s="1" t="s">
        <v>1266</v>
      </c>
      <c r="G126" s="1" t="s">
        <v>1267</v>
      </c>
    </row>
    <row r="127" spans="1:9" x14ac:dyDescent="0.2">
      <c r="B127" s="76">
        <f>VLOOKUP(algemeen!$E$55,algemeen!$B$52:$T$54,4,FALSE)</f>
        <v>40</v>
      </c>
      <c r="C127" s="77">
        <f>100-samenstelling!K109</f>
        <v>2.6435257410639679E-4</v>
      </c>
      <c r="E127" s="77">
        <f>6000/AF43</f>
        <v>2041.0212402569252</v>
      </c>
      <c r="G127" s="77">
        <f>IF(F138=0,"?",I48/F138*10)</f>
        <v>0.56352961960663328</v>
      </c>
    </row>
    <row r="128" spans="1:9" x14ac:dyDescent="0.2">
      <c r="B128" s="76">
        <f>VLOOKUP(algemeen!$E$55,algemeen!$B$52:$T$54,5,FALSE)</f>
        <v>31.5</v>
      </c>
      <c r="C128" s="77">
        <f>samenstelling!K$109-samenstelling!L$109</f>
        <v>0</v>
      </c>
      <c r="D128" s="77">
        <f>-4.343*((1/B128)-(1/B127))*1/(LOG10(B128)-LOG10(B127))</f>
        <v>0.28239204537550167</v>
      </c>
      <c r="F128" s="77">
        <f>C128*D128*$E$127/1000</f>
        <v>0</v>
      </c>
    </row>
    <row r="129" spans="2:6" x14ac:dyDescent="0.2">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2">
      <c r="B130" s="76">
        <f>VLOOKUP(algemeen!$E$55,algemeen!$B$52:$T$54,7,FALSE)</f>
        <v>16</v>
      </c>
      <c r="C130" s="77">
        <f>samenstelling!M$109-samenstelling!N$109</f>
        <v>2.4479999999999933</v>
      </c>
      <c r="D130" s="77">
        <f t="shared" si="7"/>
        <v>0.56018463226794613</v>
      </c>
      <c r="F130" s="77">
        <f t="shared" si="8"/>
        <v>2.7989176981989061</v>
      </c>
    </row>
    <row r="131" spans="2:6" x14ac:dyDescent="0.2">
      <c r="B131" s="76">
        <f>VLOOKUP(algemeen!$E$55,algemeen!$B$52:$T$54,8,FALSE)</f>
        <v>14</v>
      </c>
      <c r="C131" s="77">
        <f>samenstelling!N$109-samenstelling!O$109</f>
        <v>1.632000000000005</v>
      </c>
      <c r="D131" s="77">
        <f t="shared" si="7"/>
        <v>0.66865811091332339</v>
      </c>
      <c r="F131" s="77">
        <f t="shared" si="8"/>
        <v>2.2272645039696828</v>
      </c>
    </row>
    <row r="132" spans="2:6" x14ac:dyDescent="0.2">
      <c r="B132" s="76">
        <f>VLOOKUP(algemeen!$E$55,algemeen!$B$52:$T$54,9,FALSE)</f>
        <v>12.5</v>
      </c>
      <c r="C132" s="77">
        <f>samenstelling!O$109-samenstelling!P$109</f>
        <v>3.3149999999999977</v>
      </c>
      <c r="D132" s="77">
        <f t="shared" si="7"/>
        <v>0.75634314964602056</v>
      </c>
      <c r="F132" s="77">
        <f t="shared" si="8"/>
        <v>5.1174067165564079</v>
      </c>
    </row>
    <row r="133" spans="2:6" x14ac:dyDescent="0.2">
      <c r="B133" s="76">
        <f>VLOOKUP(algemeen!$E$55,algemeen!$B$52:$T$54,10,FALSE)</f>
        <v>10</v>
      </c>
      <c r="C133" s="77">
        <f>samenstelling!P$109-samenstelling!Q$109</f>
        <v>2.8870000000000005</v>
      </c>
      <c r="D133" s="77">
        <f t="shared" si="7"/>
        <v>0.89629541162871429</v>
      </c>
      <c r="F133" s="77">
        <f t="shared" si="8"/>
        <v>5.2813564671243594</v>
      </c>
    </row>
    <row r="134" spans="2:6" x14ac:dyDescent="0.2">
      <c r="B134" s="76">
        <f>VLOOKUP(algemeen!$E$55,algemeen!$B$52:$T$54,11,FALSE)</f>
        <v>8</v>
      </c>
      <c r="C134" s="77">
        <f>samenstelling!Q$109-samenstelling!R$109</f>
        <v>21.348118564742592</v>
      </c>
      <c r="D134" s="77">
        <f t="shared" si="7"/>
        <v>1.1203692645358923</v>
      </c>
      <c r="F134" s="77">
        <f t="shared" si="8"/>
        <v>48.816688622636306</v>
      </c>
    </row>
    <row r="135" spans="2:6" x14ac:dyDescent="0.2">
      <c r="B135" s="76">
        <f>VLOOKUP(algemeen!$E$55,algemeen!$B$52:$T$54,12,FALSE)</f>
        <v>6.3</v>
      </c>
      <c r="C135" s="77">
        <f>samenstelling!R$109-samenstelling!S$109</f>
        <v>20.718218564742571</v>
      </c>
      <c r="D135" s="77">
        <f t="shared" si="7"/>
        <v>1.4119602268775087</v>
      </c>
      <c r="F135" s="77">
        <f t="shared" si="8"/>
        <v>59.706607841955844</v>
      </c>
    </row>
    <row r="136" spans="2:6" x14ac:dyDescent="0.2">
      <c r="B136" s="76">
        <f>VLOOKUP(algemeen!$E$55,algemeen!$B$52:$T$54,13,FALSE)</f>
        <v>4</v>
      </c>
      <c r="C136" s="77">
        <f>samenstelling!S$109-samenstelling!T$109</f>
        <v>9.0692185647425916</v>
      </c>
      <c r="D136" s="77">
        <f t="shared" si="7"/>
        <v>2.0092447243712721</v>
      </c>
      <c r="F136" s="77">
        <f t="shared" si="8"/>
        <v>37.192059618428168</v>
      </c>
    </row>
    <row r="137" spans="2:6" x14ac:dyDescent="0.2">
      <c r="B137" s="76">
        <f>VLOOKUP(algemeen!$E$55,algemeen!$B$52:$T$54,14,FALSE)</f>
        <v>2</v>
      </c>
      <c r="C137" s="77">
        <f>samenstelling!T$109-samenstelling!U$109</f>
        <v>10.207218564742586</v>
      </c>
      <c r="D137" s="77">
        <f t="shared" si="7"/>
        <v>3.6067834290239538</v>
      </c>
      <c r="F137" s="77">
        <f t="shared" si="8"/>
        <v>75.140659814159235</v>
      </c>
    </row>
    <row r="138" spans="2:6" x14ac:dyDescent="0.2">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5" x14ac:dyDescent="0.25"/>
  <cols>
    <col min="1" max="1" width="15.140625" style="1709" customWidth="1"/>
    <col min="2" max="2" width="255.7109375" style="1710" bestFit="1" customWidth="1"/>
  </cols>
  <sheetData>
    <row r="1" spans="1:2" x14ac:dyDescent="0.25">
      <c r="A1" s="1711" t="s">
        <v>1479</v>
      </c>
      <c r="B1" s="1123" t="s">
        <v>1480</v>
      </c>
    </row>
    <row r="2" spans="1:2" x14ac:dyDescent="0.25">
      <c r="A2" s="1709">
        <v>43419</v>
      </c>
    </row>
    <row r="3" spans="1:2" x14ac:dyDescent="0.25">
      <c r="A3" s="1709">
        <v>43433</v>
      </c>
      <c r="B3" s="1710" t="s">
        <v>1481</v>
      </c>
    </row>
    <row r="4" spans="1:2" x14ac:dyDescent="0.25">
      <c r="A4" s="1709">
        <v>43452</v>
      </c>
      <c r="B4" s="1710" t="s">
        <v>1482</v>
      </c>
    </row>
    <row r="5" spans="1:2" x14ac:dyDescent="0.25">
      <c r="A5" s="1709">
        <v>43454</v>
      </c>
      <c r="B5" s="1710" t="s">
        <v>1602</v>
      </c>
    </row>
    <row r="6" spans="1:2" x14ac:dyDescent="0.25">
      <c r="A6" s="1709">
        <v>43482</v>
      </c>
      <c r="B6" s="1710" t="s">
        <v>1603</v>
      </c>
    </row>
    <row r="7" spans="1:2" x14ac:dyDescent="0.25">
      <c r="A7" s="1709">
        <v>43487</v>
      </c>
      <c r="B7" s="1710" t="s">
        <v>1604</v>
      </c>
    </row>
    <row r="8" spans="1:2" x14ac:dyDescent="0.25">
      <c r="A8" s="1709">
        <v>43502</v>
      </c>
      <c r="B8" s="1710" t="s">
        <v>1609</v>
      </c>
    </row>
    <row r="9" spans="1:2" x14ac:dyDescent="0.25">
      <c r="A9" s="1709">
        <v>43529</v>
      </c>
      <c r="B9" s="1710" t="s">
        <v>1625</v>
      </c>
    </row>
    <row r="10" spans="1:2" x14ac:dyDescent="0.25">
      <c r="A10" s="1709">
        <v>43531</v>
      </c>
      <c r="B10" s="1710" t="s">
        <v>1626</v>
      </c>
    </row>
    <row r="11" spans="1:2" x14ac:dyDescent="0.25">
      <c r="A11" s="1709">
        <v>43602</v>
      </c>
      <c r="B11" s="1710" t="s">
        <v>1638</v>
      </c>
    </row>
    <row r="12" spans="1:2" x14ac:dyDescent="0.25">
      <c r="A12" s="1709">
        <v>44183</v>
      </c>
      <c r="B12" s="1710" t="s">
        <v>1649</v>
      </c>
    </row>
    <row r="13" spans="1:2" x14ac:dyDescent="0.25">
      <c r="A13" s="1709">
        <v>44270</v>
      </c>
      <c r="B13" s="1710" t="s">
        <v>1651</v>
      </c>
    </row>
    <row r="14" spans="1:2" x14ac:dyDescent="0.25">
      <c r="A14" s="1709">
        <v>44973</v>
      </c>
      <c r="B14" s="1710" t="s">
        <v>1655</v>
      </c>
    </row>
    <row r="15" spans="1:2" x14ac:dyDescent="0.25">
      <c r="A15" s="1709">
        <v>45300</v>
      </c>
      <c r="B15" s="1710" t="s">
        <v>1659</v>
      </c>
    </row>
    <row r="16" spans="1:2" x14ac:dyDescent="0.2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29</vt:i4>
      </vt:variant>
      <vt:variant>
        <vt:lpstr>Benoemde bereiken</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afdruip_film!Afdrukbereik</vt:lpstr>
      <vt:lpstr>affiniteit!Afdrukbereik</vt:lpstr>
      <vt:lpstr>cantabro!Afdrukbereik</vt:lpstr>
      <vt:lpstr>DoP!Afdrukbereik</vt:lpstr>
      <vt:lpstr>indrukking!Afdrukbereik</vt:lpstr>
      <vt:lpstr>ITSR!Afdrukbereik</vt:lpstr>
      <vt:lpstr>kv_bit!Afdrukbereik</vt:lpstr>
      <vt:lpstr>marshall!Afdrukbereik</vt:lpstr>
      <vt:lpstr>'output AWK'!Afdrukbereik</vt:lpstr>
      <vt:lpstr>'output wijziging grondstoffen'!Afdrukbereik</vt:lpstr>
      <vt:lpstr>'productiefiche 1'!Afdrukbereik</vt:lpstr>
      <vt:lpstr>'productiefiche 2'!Afdrukbereik</vt:lpstr>
      <vt:lpstr>'productiefiche 3'!Afdrukbereik</vt:lpstr>
      <vt:lpstr>'productiefiche H1'!Afdrukbereik</vt:lpstr>
      <vt:lpstr>'productiefiche H2'!Afdrukbereik</vt:lpstr>
      <vt:lpstr>'productiefiche H3'!Afdrukbereik</vt:lpstr>
      <vt:lpstr>spoorv_stijfh_verm!Afdrukbereik</vt:lpstr>
      <vt:lpstr>VM_HR!Afdrukbereik</vt:lpstr>
      <vt:lpstr>'VN1'!Afdrukbereik</vt:lpstr>
      <vt:lpstr>'VN2'!Afdrukbereik</vt:lpstr>
      <vt:lpstr>'VN3'!Afdrukbereik</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Van Dam Jordy</cp:lastModifiedBy>
  <cp:lastPrinted>2025-01-07T14:38:11Z</cp:lastPrinted>
  <dcterms:created xsi:type="dcterms:W3CDTF">2010-08-19T08:20:06Z</dcterms:created>
  <dcterms:modified xsi:type="dcterms:W3CDTF">2026-04-20T11:45:47Z</dcterms:modified>
</cp:coreProperties>
</file>