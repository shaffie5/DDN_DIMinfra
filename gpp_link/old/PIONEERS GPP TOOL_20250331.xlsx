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dev\VN-GPP-Link\"/>
    </mc:Choice>
  </mc:AlternateContent>
  <xr:revisionPtr revIDLastSave="0" documentId="13_ncr:1_{1D14FF47-A556-4DEF-BE29-C9F8B686E7A9}" xr6:coauthVersionLast="47" xr6:coauthVersionMax="47" xr10:uidLastSave="{00000000-0000-0000-0000-000000000000}"/>
  <bookViews>
    <workbookView xWindow="825" yWindow="930" windowWidth="21570" windowHeight="11880" tabRatio="941" firstSheet="2" activeTab="1" xr2:uid="{07609FDD-E3D4-4BD2-801B-B0AC708E2592}"/>
  </bookViews>
  <sheets>
    <sheet name="ReadMe" sheetId="41" r:id="rId1"/>
    <sheet name="Input" sheetId="1" r:id="rId2"/>
    <sheet name="Result Dashboard" sheetId="35" r:id="rId3"/>
    <sheet name="Aux - Check" sheetId="40" r:id="rId4"/>
    <sheet name="Results" sheetId="20" r:id="rId5"/>
    <sheet name="A1 - Raw Material Supply" sheetId="5" r:id="rId6"/>
    <sheet name="C3' - Secondary Raw Material " sheetId="18" r:id="rId7"/>
    <sheet name="A2 - Transport" sheetId="10" r:id="rId8"/>
    <sheet name="C2'- Transport Secondary" sheetId="42" r:id="rId9"/>
    <sheet name="A3 - Production " sheetId="12" r:id="rId10"/>
    <sheet name="A4 - Transport" sheetId="21" r:id="rId11"/>
    <sheet name="A5 - Construction" sheetId="14" r:id="rId12"/>
    <sheet name="C1 - Deconstruction" sheetId="19" r:id="rId13"/>
    <sheet name="D- Benefits &amp; Burdens" sheetId="26" r:id="rId14"/>
    <sheet name="LCI" sheetId="9" r:id="rId15"/>
    <sheet name="Aux - Emissions" sheetId="38" r:id="rId16"/>
    <sheet name="Aux - Lists" sheetId="11" r:id="rId17"/>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2" i="1" l="1"/>
  <c r="U81" i="1"/>
  <c r="U80" i="1"/>
  <c r="U74" i="1"/>
  <c r="U73" i="1"/>
  <c r="U70" i="1"/>
  <c r="U69" i="1"/>
  <c r="U68" i="1"/>
  <c r="U63" i="1"/>
  <c r="U83" i="1" s="1"/>
  <c r="D82" i="1"/>
  <c r="D81" i="1"/>
  <c r="D80" i="1"/>
  <c r="D74" i="1"/>
  <c r="D73" i="1"/>
  <c r="D72" i="1"/>
  <c r="D70" i="1"/>
  <c r="D69" i="1"/>
  <c r="D68" i="1"/>
  <c r="E63" i="1"/>
  <c r="D19" i="1"/>
  <c r="U26" i="1" l="1"/>
  <c r="D26" i="1"/>
  <c r="B5" i="40"/>
  <c r="D197"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D331" i="18" s="1" a="1"/>
  <c r="D331" i="18" s="1"/>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I311" i="18" l="1"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6" i="12"/>
  <c r="U178" i="12" s="1"/>
  <c r="T176" i="12"/>
  <c r="T179" i="12" s="1"/>
  <c r="S176" i="12"/>
  <c r="S178" i="12" s="1"/>
  <c r="D163" i="12"/>
  <c r="C171" i="12"/>
  <c r="C170" i="12"/>
  <c r="C169"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79" i="12"/>
  <c r="T178" i="12"/>
  <c r="U179" i="12"/>
  <c r="B2" i="40"/>
  <c r="L178" i="12"/>
  <c r="K178" i="12"/>
  <c r="I178" i="12"/>
  <c r="F178" i="12"/>
  <c r="E178" i="12"/>
  <c r="B3" i="40" l="1"/>
  <c r="E166" i="12"/>
  <c r="E167" i="12"/>
  <c r="E168" i="12"/>
  <c r="E169" i="12"/>
  <c r="E170" i="12"/>
  <c r="E171" i="12"/>
  <c r="E154" i="12"/>
  <c r="E155" i="12"/>
  <c r="E156" i="12"/>
  <c r="E157" i="12"/>
  <c r="E158" i="12"/>
  <c r="E159" i="12"/>
  <c r="E160" i="12"/>
  <c r="E161" i="12"/>
  <c r="E162" i="12"/>
  <c r="E163" i="12"/>
  <c r="E164" i="12"/>
  <c r="E165" i="12"/>
  <c r="D154" i="12"/>
  <c r="F154" i="12" s="1" a="1"/>
  <c r="F154" i="12" s="1"/>
  <c r="D155" i="12"/>
  <c r="F155" i="12" s="1" a="1"/>
  <c r="F155" i="12" s="1"/>
  <c r="D156" i="12"/>
  <c r="D157" i="12"/>
  <c r="F157" i="12" s="1" a="1"/>
  <c r="F157" i="12" s="1"/>
  <c r="G181" i="12" s="1"/>
  <c r="D158" i="12"/>
  <c r="D159" i="12"/>
  <c r="D160" i="12"/>
  <c r="D161" i="12"/>
  <c r="D162" i="12"/>
  <c r="D164" i="12"/>
  <c r="D165" i="12"/>
  <c r="F165" i="12" s="1" a="1"/>
  <c r="F165" i="12" s="1"/>
  <c r="D166" i="12"/>
  <c r="F166" i="12" s="1" a="1"/>
  <c r="F166" i="12" s="1"/>
  <c r="D167" i="12"/>
  <c r="D168" i="12"/>
  <c r="D169" i="12"/>
  <c r="F169" i="12" s="1" a="1"/>
  <c r="F169" i="12" s="1"/>
  <c r="D170" i="12"/>
  <c r="D171" i="12"/>
  <c r="D153" i="12"/>
  <c r="F162" i="12" l="1" a="1"/>
  <c r="F162" i="12" s="1"/>
  <c r="L181" i="12" s="1"/>
  <c r="F160" i="12" a="1"/>
  <c r="F160" i="12" s="1"/>
  <c r="J177" i="12" s="1"/>
  <c r="F161" i="12" a="1"/>
  <c r="F161" i="12" s="1"/>
  <c r="K181" i="12" s="1"/>
  <c r="F159" i="12" a="1"/>
  <c r="F159" i="12" s="1"/>
  <c r="I177" i="12" s="1"/>
  <c r="F158" i="12" a="1"/>
  <c r="F158" i="12" s="1"/>
  <c r="H177" i="12" s="1"/>
  <c r="F156" i="12" a="1"/>
  <c r="F156" i="12" s="1"/>
  <c r="F181" i="12" s="1"/>
  <c r="F170" i="12" a="1"/>
  <c r="F170" i="12" s="1"/>
  <c r="T181" i="12" s="1"/>
  <c r="F171" i="12" a="1"/>
  <c r="F171" i="12" s="1"/>
  <c r="U181" i="12" s="1"/>
  <c r="S181" i="12"/>
  <c r="S177"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7" i="12" l="1"/>
  <c r="F189" i="12" s="1"/>
  <c r="K177" i="12"/>
  <c r="K189" i="12" s="1"/>
  <c r="I181" i="12"/>
  <c r="I189" i="12" s="1"/>
  <c r="L177" i="12"/>
  <c r="L189" i="12" s="1"/>
  <c r="C288" i="18"/>
  <c r="R133" i="5"/>
  <c r="R84" i="5"/>
  <c r="O49" i="10" a="1"/>
  <c r="O49" i="10" s="1"/>
  <c r="I74" i="10" a="1"/>
  <c r="I74" i="10" s="1"/>
  <c r="M73" i="10" a="1"/>
  <c r="M73" i="10" s="1"/>
  <c r="S72" i="10" a="1"/>
  <c r="S72" i="10" s="1"/>
  <c r="L48" i="10" a="1"/>
  <c r="L48" i="10" s="1"/>
  <c r="Q47" i="10" a="1"/>
  <c r="Q47" i="10" s="1"/>
  <c r="S189"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7"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0" i="12"/>
  <c r="T180" i="12" l="1"/>
  <c r="U180" i="12"/>
  <c r="Q180" i="12"/>
  <c r="I180" i="12"/>
  <c r="J180" i="12"/>
  <c r="F180" i="12"/>
  <c r="S180" i="12"/>
  <c r="K180" i="12"/>
  <c r="P180" i="12"/>
  <c r="L180" i="12"/>
  <c r="R180" i="12"/>
  <c r="M180" i="12"/>
  <c r="N180" i="12"/>
  <c r="O180"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54"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6" i="12"/>
  <c r="E153" i="12"/>
  <c r="C91" i="10"/>
  <c r="C65" i="10"/>
  <c r="C40" i="10"/>
  <c r="C15" i="10"/>
  <c r="C28" i="5"/>
  <c r="C4" i="5"/>
  <c r="D9" i="26"/>
  <c r="D12" i="26"/>
  <c r="D30" i="26" s="1"/>
  <c r="B41" i="12"/>
  <c r="D8" i="26"/>
  <c r="B58" i="1"/>
  <c r="B6" i="40" s="1"/>
  <c r="B64" i="35"/>
  <c r="B62" i="35"/>
  <c r="B61" i="35"/>
  <c r="B60" i="35"/>
  <c r="B57" i="35"/>
  <c r="B58" i="35"/>
  <c r="B56" i="35"/>
  <c r="B12" i="35"/>
  <c r="B10" i="35"/>
  <c r="B9" i="35"/>
  <c r="B8" i="35"/>
  <c r="B5" i="35"/>
  <c r="B6" i="35"/>
  <c r="B4" i="35"/>
  <c r="E68" i="19"/>
  <c r="G77" i="19" s="1"/>
  <c r="D77" i="19"/>
  <c r="B77" i="19"/>
  <c r="F54" i="20" l="1"/>
  <c r="F23" i="20"/>
  <c r="G47" i="20"/>
  <c r="C81" i="12"/>
  <c r="C80" i="12"/>
  <c r="C82" i="12"/>
  <c r="B59" i="1"/>
  <c r="U183" i="12"/>
  <c r="I183" i="12"/>
  <c r="S183" i="12"/>
  <c r="T183" i="12"/>
  <c r="S185" i="12"/>
  <c r="T185" i="12"/>
  <c r="U185" i="12"/>
  <c r="L185" i="12"/>
  <c r="K185" i="12"/>
  <c r="K183" i="12"/>
  <c r="F185" i="12"/>
  <c r="F183" i="12"/>
  <c r="L183" i="12"/>
  <c r="I185" i="12"/>
  <c r="C72" i="12"/>
  <c r="F179" i="12" s="1"/>
  <c r="C73" i="12"/>
  <c r="C74" i="12"/>
  <c r="C75" i="12"/>
  <c r="I179" i="12" s="1"/>
  <c r="C77" i="12"/>
  <c r="K179" i="12" s="1"/>
  <c r="C78" i="12"/>
  <c r="L179" i="12" s="1"/>
  <c r="B11" i="21"/>
  <c r="E172" i="12"/>
  <c r="B40" i="19"/>
  <c r="B11" i="19"/>
  <c r="B25" i="19"/>
  <c r="E196" i="12"/>
  <c r="E195" i="12"/>
  <c r="D196" i="12"/>
  <c r="C181" i="12"/>
  <c r="I184" i="12" l="1"/>
  <c r="I182" i="12"/>
  <c r="K184" i="12"/>
  <c r="K182" i="12"/>
  <c r="L184" i="12"/>
  <c r="L182" i="12"/>
  <c r="F184" i="12"/>
  <c r="F182" i="12"/>
  <c r="C196" i="12"/>
  <c r="C185" i="12"/>
  <c r="F39" i="1"/>
  <c r="B41" i="19"/>
  <c r="B12" i="19"/>
  <c r="B6" i="19"/>
  <c r="C77" i="1"/>
  <c r="B26" i="19"/>
  <c r="K24" i="19"/>
  <c r="K25" i="19"/>
  <c r="K26" i="19"/>
  <c r="K22" i="19"/>
  <c r="C177"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89" i="12" l="1"/>
  <c r="K186" i="12"/>
  <c r="L186" i="12"/>
  <c r="I186" i="12"/>
  <c r="F186"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1" i="12" l="1"/>
  <c r="C86" i="12" l="1"/>
  <c r="C85" i="12"/>
  <c r="C71" i="12"/>
  <c r="C76" i="12"/>
  <c r="C79" i="12"/>
  <c r="C70"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5" i="12"/>
  <c r="B4" i="5"/>
  <c r="D28" i="5"/>
  <c r="B6" i="21"/>
  <c r="E11" i="21"/>
  <c r="D11" i="21"/>
  <c r="C11" i="21"/>
  <c r="A197" i="12"/>
  <c r="A195"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E121" i="14" s="1"/>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5"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1" i="14"/>
  <c r="X71" i="20" s="1"/>
  <c r="C152" i="14"/>
  <c r="X82" i="20" s="1"/>
  <c r="C153" i="14"/>
  <c r="X83" i="20" s="1"/>
  <c r="C138" i="14"/>
  <c r="X68" i="20" s="1"/>
  <c r="C155" i="14"/>
  <c r="X85" i="20" s="1"/>
  <c r="C139" i="14"/>
  <c r="X69" i="20" s="1"/>
  <c r="C154" i="14"/>
  <c r="X84" i="20" s="1"/>
  <c r="C150" i="14"/>
  <c r="X80" i="20" s="1"/>
  <c r="C143" i="14"/>
  <c r="X73" i="20" s="1"/>
  <c r="C144" i="14"/>
  <c r="X74" i="20" s="1"/>
  <c r="C149" i="14"/>
  <c r="X79" i="20" s="1"/>
  <c r="C145" i="14"/>
  <c r="X75" i="20" s="1"/>
  <c r="C146" i="14"/>
  <c r="X76" i="20" s="1"/>
  <c r="C148" i="14"/>
  <c r="X78" i="20" s="1"/>
  <c r="C151" i="14"/>
  <c r="X81" i="20" s="1"/>
  <c r="C147" i="14"/>
  <c r="X77" i="20" s="1"/>
  <c r="B72" i="14"/>
  <c r="C142" i="14"/>
  <c r="X72" i="20" s="1"/>
  <c r="C140" i="14"/>
  <c r="X70" i="20" s="1"/>
  <c r="C137" i="14"/>
  <c r="B67" i="19"/>
  <c r="B66" i="19"/>
  <c r="B65" i="19"/>
  <c r="D65" i="19" s="1"/>
  <c r="B103" i="14"/>
  <c r="B105" i="14"/>
  <c r="D105" i="14" s="1"/>
  <c r="B104" i="14"/>
  <c r="D104" i="14" s="1"/>
  <c r="K23" i="20" l="1"/>
  <c r="K54" i="20"/>
  <c r="X67" i="20"/>
  <c r="AN67" i="20"/>
  <c r="AN86" i="20" s="1"/>
  <c r="G60" i="20"/>
  <c r="L47" i="20"/>
  <c r="N114" i="5"/>
  <c r="I67" i="20" s="1"/>
  <c r="N84" i="5"/>
  <c r="U84" i="5"/>
  <c r="D103" i="14"/>
  <c r="F122" i="14" s="1"/>
  <c r="E122" i="14"/>
  <c r="E75" i="19"/>
  <c r="D66" i="19"/>
  <c r="F75" i="19" s="1"/>
  <c r="H75" i="19" s="1" a="1"/>
  <c r="H75" i="19" s="1"/>
  <c r="E76" i="19"/>
  <c r="D67" i="19"/>
  <c r="F76" i="19" s="1"/>
  <c r="H76" i="19" s="1" a="1"/>
  <c r="H76" i="19" s="1"/>
  <c r="B107" i="14"/>
  <c r="D107" i="14" s="1"/>
  <c r="F121" i="14"/>
  <c r="H121" i="14" s="1" a="1"/>
  <c r="H121" i="14" s="1"/>
  <c r="B106" i="14"/>
  <c r="D106" i="14" s="1"/>
  <c r="B108" i="14"/>
  <c r="D108" i="14" s="1"/>
  <c r="D129" i="14"/>
  <c r="D128" i="14"/>
  <c r="B129" i="14"/>
  <c r="B128" i="14"/>
  <c r="N133" i="5" l="1"/>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7" i="19"/>
  <c r="G128" i="14"/>
  <c r="F128" i="14"/>
  <c r="O128" i="14" s="1" a="1"/>
  <c r="O128" i="14" s="1"/>
  <c r="G129" i="14"/>
  <c r="F129" i="14"/>
  <c r="H129" i="14" s="1" a="1"/>
  <c r="H129" i="14" s="1"/>
  <c r="C197" i="12"/>
  <c r="G197" i="12" l="1" a="1"/>
  <c r="G197" i="12" s="1"/>
  <c r="L197" i="12" a="1"/>
  <c r="L197" i="12" s="1"/>
  <c r="O197" i="12" a="1"/>
  <c r="O197" i="12" s="1"/>
  <c r="R197" i="12" a="1"/>
  <c r="R197" i="12" s="1"/>
  <c r="K197" i="12" a="1"/>
  <c r="K197" i="12" s="1"/>
  <c r="P197" i="12" a="1"/>
  <c r="P197" i="12" s="1"/>
  <c r="Q197" i="12" a="1"/>
  <c r="Q197" i="12" s="1"/>
  <c r="V197" i="12" a="1"/>
  <c r="V197" i="12" s="1"/>
  <c r="F197" i="12" a="1"/>
  <c r="F197" i="12" s="1"/>
  <c r="N197" i="12" a="1"/>
  <c r="N197" i="12" s="1"/>
  <c r="U197" i="12" a="1"/>
  <c r="U197" i="12" s="1"/>
  <c r="X197" i="12" a="1"/>
  <c r="X197" i="12" s="1"/>
  <c r="T197" i="12" a="1"/>
  <c r="T197" i="12" s="1"/>
  <c r="M197" i="12" a="1"/>
  <c r="M197" i="12" s="1"/>
  <c r="J197" i="12" a="1"/>
  <c r="J197" i="12" s="1"/>
  <c r="H197" i="12" a="1"/>
  <c r="H197" i="12" s="1"/>
  <c r="S197" i="12" a="1"/>
  <c r="S197" i="12" s="1"/>
  <c r="W197" i="12" a="1"/>
  <c r="W197" i="12" s="1"/>
  <c r="I197" i="12" a="1"/>
  <c r="I197"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4" i="14"/>
  <c r="W74" i="20" s="1"/>
  <c r="B145" i="14"/>
  <c r="W75" i="20" s="1"/>
  <c r="B150" i="14"/>
  <c r="W80" i="20" s="1"/>
  <c r="B138" i="14"/>
  <c r="W68" i="20" s="1"/>
  <c r="B146" i="14"/>
  <c r="W76" i="20" s="1"/>
  <c r="R124" i="14"/>
  <c r="N124" i="14"/>
  <c r="X124" i="14"/>
  <c r="L124" i="14"/>
  <c r="F77" i="19"/>
  <c r="W77" i="19" s="1" a="1"/>
  <c r="W77" i="19" s="1"/>
  <c r="W124" i="14"/>
  <c r="B142" i="14"/>
  <c r="W72" i="20" s="1"/>
  <c r="B149" i="14"/>
  <c r="W79" i="20" s="1"/>
  <c r="J124" i="14"/>
  <c r="Y124" i="14"/>
  <c r="B148" i="14"/>
  <c r="W78" i="20" s="1"/>
  <c r="M124" i="14"/>
  <c r="B140" i="14"/>
  <c r="W70" i="20" s="1"/>
  <c r="B151" i="14"/>
  <c r="W81" i="20" s="1"/>
  <c r="B155" i="14"/>
  <c r="W85" i="20" s="1"/>
  <c r="B147" i="14"/>
  <c r="W77" i="20" s="1"/>
  <c r="B153" i="14"/>
  <c r="W83" i="20" s="1"/>
  <c r="K124" i="14"/>
  <c r="B143" i="14"/>
  <c r="W73" i="20" s="1"/>
  <c r="B137" i="14"/>
  <c r="H124" i="14"/>
  <c r="Q124" i="14"/>
  <c r="I124" i="14"/>
  <c r="B152" i="14"/>
  <c r="W82" i="20" s="1"/>
  <c r="B154" i="14"/>
  <c r="W84" i="20" s="1"/>
  <c r="B139" i="14"/>
  <c r="W69" i="20" s="1"/>
  <c r="P124" i="14"/>
  <c r="Z124" i="14"/>
  <c r="U124" i="14"/>
  <c r="B141" i="14"/>
  <c r="W71" i="20" s="1"/>
  <c r="V124" i="14"/>
  <c r="T124" i="14"/>
  <c r="S124" i="14"/>
  <c r="O124" i="14"/>
  <c r="D180" i="12"/>
  <c r="E180" i="12"/>
  <c r="G180" i="12"/>
  <c r="H180" i="12"/>
  <c r="C180" i="12"/>
  <c r="C183" i="12" s="1"/>
  <c r="P179" i="12"/>
  <c r="O179" i="12"/>
  <c r="P178" i="12"/>
  <c r="O178" i="12"/>
  <c r="C179" i="12"/>
  <c r="C184" i="12" s="1"/>
  <c r="J179" i="12"/>
  <c r="H179" i="12"/>
  <c r="G179" i="12"/>
  <c r="E179" i="12"/>
  <c r="D179" i="12"/>
  <c r="M176" i="12"/>
  <c r="M178" i="12" s="1"/>
  <c r="R176" i="12"/>
  <c r="Q176" i="12"/>
  <c r="N176" i="12"/>
  <c r="N178" i="12" s="1"/>
  <c r="J178" i="12"/>
  <c r="H178" i="12"/>
  <c r="G178" i="12"/>
  <c r="D178" i="12"/>
  <c r="U177" i="12"/>
  <c r="U189" i="12" s="1"/>
  <c r="P181" i="12"/>
  <c r="O181" i="12"/>
  <c r="H181" i="12"/>
  <c r="E181" i="12"/>
  <c r="D181" i="12"/>
  <c r="C168" i="12"/>
  <c r="C167" i="12"/>
  <c r="C164" i="12"/>
  <c r="F164" i="12" s="1" a="1"/>
  <c r="F164" i="12" s="1"/>
  <c r="C163" i="12"/>
  <c r="F163" i="12" l="1" a="1"/>
  <c r="F163" i="12" s="1"/>
  <c r="M181" i="12" s="1"/>
  <c r="W67" i="20"/>
  <c r="R178" i="12"/>
  <c r="R179" i="12"/>
  <c r="Q179" i="12"/>
  <c r="Q178" i="12"/>
  <c r="H77" i="19" a="1"/>
  <c r="H77" i="19" s="1"/>
  <c r="B86" i="19" s="1"/>
  <c r="D183" i="12"/>
  <c r="D184" i="12"/>
  <c r="J182" i="12"/>
  <c r="H182" i="12"/>
  <c r="P183" i="12"/>
  <c r="P184" i="12"/>
  <c r="P185" i="12"/>
  <c r="O184" i="12"/>
  <c r="O183" i="12"/>
  <c r="O185" i="12"/>
  <c r="H185" i="12"/>
  <c r="H184" i="12"/>
  <c r="H183" i="12"/>
  <c r="H189" i="12"/>
  <c r="G183" i="12"/>
  <c r="G185" i="12"/>
  <c r="G184" i="12"/>
  <c r="E183" i="12"/>
  <c r="E185" i="12"/>
  <c r="E184" i="12"/>
  <c r="D185" i="12"/>
  <c r="J181" i="12"/>
  <c r="S130" i="14"/>
  <c r="U77" i="19" a="1"/>
  <c r="U77" i="19" s="1"/>
  <c r="U78" i="19" s="1"/>
  <c r="Q77" i="19" a="1"/>
  <c r="Q77" i="19" s="1"/>
  <c r="B95" i="19" s="1"/>
  <c r="AA76" i="20" s="1"/>
  <c r="T77" i="19" a="1"/>
  <c r="T77" i="19" s="1"/>
  <c r="T78" i="19" s="1"/>
  <c r="P77" i="19" a="1"/>
  <c r="P77" i="19" s="1"/>
  <c r="B94" i="19" s="1"/>
  <c r="AA75" i="20" s="1"/>
  <c r="N77" i="19" a="1"/>
  <c r="N77" i="19" s="1"/>
  <c r="N78" i="19" s="1"/>
  <c r="V77" i="19" a="1"/>
  <c r="V77" i="19" s="1"/>
  <c r="V78" i="19" s="1"/>
  <c r="I77" i="19" a="1"/>
  <c r="I77" i="19" s="1"/>
  <c r="B87" i="19" s="1"/>
  <c r="AA68" i="20" s="1"/>
  <c r="Z77" i="19" a="1"/>
  <c r="Z77" i="19" s="1"/>
  <c r="Z78" i="19" s="1"/>
  <c r="J77" i="19" a="1"/>
  <c r="J77" i="19" s="1"/>
  <c r="B88" i="19" s="1"/>
  <c r="AA69" i="20" s="1"/>
  <c r="M77" i="19" a="1"/>
  <c r="M77" i="19" s="1"/>
  <c r="M78" i="19" s="1"/>
  <c r="O77" i="19" a="1"/>
  <c r="O77" i="19" s="1"/>
  <c r="B93" i="19" s="1"/>
  <c r="AA74" i="20" s="1"/>
  <c r="X77" i="19" a="1"/>
  <c r="X77" i="19" s="1"/>
  <c r="X78" i="19" s="1"/>
  <c r="K77" i="19" a="1"/>
  <c r="K77" i="19" s="1"/>
  <c r="B89" i="19" s="1"/>
  <c r="AA70" i="20" s="1"/>
  <c r="L77" i="19" a="1"/>
  <c r="L77" i="19" s="1"/>
  <c r="L78" i="19" s="1"/>
  <c r="R77" i="19" a="1"/>
  <c r="R77" i="19" s="1"/>
  <c r="B96" i="19" s="1"/>
  <c r="AA77" i="20" s="1"/>
  <c r="S77" i="19" a="1"/>
  <c r="S77" i="19" s="1"/>
  <c r="S78" i="19" s="1"/>
  <c r="Y77" i="19" a="1"/>
  <c r="Y77" i="19" s="1"/>
  <c r="Y78" i="19" s="1"/>
  <c r="D138" i="14"/>
  <c r="Y68" i="20" s="1"/>
  <c r="Z68" i="20" s="1"/>
  <c r="I130" i="14"/>
  <c r="W78" i="19"/>
  <c r="D150" i="14"/>
  <c r="Y80" i="20" s="1"/>
  <c r="Z80" i="20" s="1"/>
  <c r="D152" i="14"/>
  <c r="Y82" i="20" s="1"/>
  <c r="Z82" i="20" s="1"/>
  <c r="D145" i="14"/>
  <c r="Y75" i="20" s="1"/>
  <c r="Z75" i="20" s="1"/>
  <c r="D154" i="14"/>
  <c r="Y84" i="20" s="1"/>
  <c r="Z84" i="20" s="1"/>
  <c r="H130" i="14"/>
  <c r="U130" i="14"/>
  <c r="Q130" i="14"/>
  <c r="D148" i="14"/>
  <c r="Y78" i="20" s="1"/>
  <c r="Z78" i="20" s="1"/>
  <c r="O130" i="14"/>
  <c r="D149" i="14"/>
  <c r="Y79" i="20" s="1"/>
  <c r="Z79" i="20" s="1"/>
  <c r="D137" i="14"/>
  <c r="Y67" i="20" s="1"/>
  <c r="K130" i="14"/>
  <c r="D140" i="14"/>
  <c r="Y70" i="20" s="1"/>
  <c r="Z70" i="20" s="1"/>
  <c r="L130" i="14"/>
  <c r="D141" i="14"/>
  <c r="Y71" i="20" s="1"/>
  <c r="Z71" i="20" s="1"/>
  <c r="X130" i="14"/>
  <c r="D153" i="14"/>
  <c r="Y83" i="20" s="1"/>
  <c r="Z83" i="20" s="1"/>
  <c r="W130" i="14"/>
  <c r="T130" i="14"/>
  <c r="P130" i="14"/>
  <c r="N130" i="14"/>
  <c r="D143" i="14"/>
  <c r="Y73" i="20" s="1"/>
  <c r="Z73" i="20" s="1"/>
  <c r="Z130" i="14"/>
  <c r="D155" i="14"/>
  <c r="Y85" i="20" s="1"/>
  <c r="Z85" i="20" s="1"/>
  <c r="M130" i="14"/>
  <c r="D142" i="14"/>
  <c r="Y72" i="20" s="1"/>
  <c r="Z72" i="20" s="1"/>
  <c r="V130" i="14"/>
  <c r="D151" i="14"/>
  <c r="Y81" i="20" s="1"/>
  <c r="Z81" i="20" s="1"/>
  <c r="D139" i="14"/>
  <c r="Y69" i="20" s="1"/>
  <c r="Z69" i="20" s="1"/>
  <c r="J130" i="14"/>
  <c r="R130" i="14"/>
  <c r="D147" i="14"/>
  <c r="Y77" i="20" s="1"/>
  <c r="Z77" i="20" s="1"/>
  <c r="Y130" i="14"/>
  <c r="D144" i="14"/>
  <c r="Y74" i="20" s="1"/>
  <c r="Z74" i="20" s="1"/>
  <c r="D146" i="14"/>
  <c r="Y76" i="20" s="1"/>
  <c r="Z76" i="20" s="1"/>
  <c r="N181" i="12"/>
  <c r="T184" i="12"/>
  <c r="S184" i="12"/>
  <c r="U184" i="12"/>
  <c r="T177" i="12"/>
  <c r="T189" i="12" s="1"/>
  <c r="Q181" i="12"/>
  <c r="R181" i="12"/>
  <c r="P177" i="12"/>
  <c r="O177" i="12"/>
  <c r="D177" i="12"/>
  <c r="E177" i="12"/>
  <c r="G177" i="12"/>
  <c r="C178" i="12"/>
  <c r="N179" i="12"/>
  <c r="M179" i="12"/>
  <c r="B162" i="14" l="1"/>
  <c r="J11" i="20"/>
  <c r="J7" i="20"/>
  <c r="J6" i="20"/>
  <c r="J5" i="20"/>
  <c r="J12" i="20"/>
  <c r="J14" i="20"/>
  <c r="J13" i="20"/>
  <c r="AA67" i="20"/>
  <c r="J4" i="20"/>
  <c r="K28" i="20" s="1"/>
  <c r="S182" i="12"/>
  <c r="S186" i="12" s="1"/>
  <c r="R184" i="12"/>
  <c r="N184" i="12"/>
  <c r="J53" i="20"/>
  <c r="Q184" i="12"/>
  <c r="M184" i="12"/>
  <c r="H186" i="12"/>
  <c r="N183" i="12"/>
  <c r="N185" i="12"/>
  <c r="M183" i="12"/>
  <c r="M185" i="12"/>
  <c r="T182" i="12"/>
  <c r="T186" i="12" s="1"/>
  <c r="U182" i="12"/>
  <c r="U186" i="12" s="1"/>
  <c r="R185" i="12"/>
  <c r="R183" i="12"/>
  <c r="Q185" i="12"/>
  <c r="Q183" i="12"/>
  <c r="P189" i="12"/>
  <c r="P182" i="12"/>
  <c r="P186" i="12" s="1"/>
  <c r="O182" i="12"/>
  <c r="O186" i="12" s="1"/>
  <c r="O189" i="12"/>
  <c r="J184" i="12"/>
  <c r="J185" i="12"/>
  <c r="J183" i="12"/>
  <c r="J189" i="12"/>
  <c r="G189" i="12"/>
  <c r="G182" i="12"/>
  <c r="G186" i="12" s="1"/>
  <c r="E189" i="12"/>
  <c r="E182" i="12"/>
  <c r="E186" i="12" s="1"/>
  <c r="D189" i="12"/>
  <c r="D182" i="12"/>
  <c r="D186" i="12" s="1"/>
  <c r="J78" i="19"/>
  <c r="E138" i="14"/>
  <c r="B92" i="19"/>
  <c r="AA73" i="20" s="1"/>
  <c r="B97" i="19"/>
  <c r="AA78" i="20" s="1"/>
  <c r="E148" i="14"/>
  <c r="I15" i="20" s="1"/>
  <c r="H78" i="19"/>
  <c r="B91" i="19"/>
  <c r="AA72" i="20" s="1"/>
  <c r="K78" i="19"/>
  <c r="I78" i="19"/>
  <c r="B98" i="19"/>
  <c r="AA79" i="20" s="1"/>
  <c r="B101" i="19"/>
  <c r="AA82" i="20" s="1"/>
  <c r="O78" i="19"/>
  <c r="B90" i="19"/>
  <c r="AA71" i="20" s="1"/>
  <c r="E154" i="14"/>
  <c r="I21" i="20" s="1"/>
  <c r="E152" i="14"/>
  <c r="I19" i="20" s="1"/>
  <c r="E145" i="14"/>
  <c r="I12" i="20" s="1"/>
  <c r="E150" i="14"/>
  <c r="I17" i="20" s="1"/>
  <c r="B100" i="19"/>
  <c r="AA81" i="20" s="1"/>
  <c r="Q78" i="19"/>
  <c r="B104" i="19"/>
  <c r="AA85" i="20" s="1"/>
  <c r="B99" i="19"/>
  <c r="AA80" i="20" s="1"/>
  <c r="B102" i="19"/>
  <c r="AA83" i="20" s="1"/>
  <c r="P78" i="19"/>
  <c r="B103" i="19"/>
  <c r="AA84" i="20" s="1"/>
  <c r="R78" i="19"/>
  <c r="E149" i="14"/>
  <c r="I16" i="20" s="1"/>
  <c r="E137" i="14"/>
  <c r="I4" i="20" s="1"/>
  <c r="E155" i="14"/>
  <c r="I22" i="20" s="1"/>
  <c r="E141" i="14"/>
  <c r="I8" i="20" s="1"/>
  <c r="E147" i="14"/>
  <c r="I14" i="20" s="1"/>
  <c r="E139" i="14"/>
  <c r="I6" i="20" s="1"/>
  <c r="E146" i="14"/>
  <c r="I13" i="20" s="1"/>
  <c r="B161" i="14"/>
  <c r="E140" i="14"/>
  <c r="I7" i="20" s="1"/>
  <c r="E153" i="14"/>
  <c r="I20" i="20" s="1"/>
  <c r="E143" i="14"/>
  <c r="I10" i="20" s="1"/>
  <c r="E144" i="14"/>
  <c r="I11" i="20" s="1"/>
  <c r="E142" i="14"/>
  <c r="I9" i="20" s="1"/>
  <c r="E151" i="14"/>
  <c r="I18" i="20" s="1"/>
  <c r="N177" i="12"/>
  <c r="M177" i="12"/>
  <c r="Q177" i="12"/>
  <c r="R177" i="12"/>
  <c r="C182" i="12"/>
  <c r="K29" i="20" l="1"/>
  <c r="J42" i="20"/>
  <c r="J43" i="20"/>
  <c r="J36" i="20"/>
  <c r="J39" i="20"/>
  <c r="J45" i="20"/>
  <c r="J34" i="20"/>
  <c r="J46" i="20"/>
  <c r="J33" i="20"/>
  <c r="J44" i="20"/>
  <c r="J28" i="20"/>
  <c r="K38" i="20"/>
  <c r="J37" i="20"/>
  <c r="K35" i="20"/>
  <c r="J38" i="20"/>
  <c r="K37" i="20"/>
  <c r="J35" i="20"/>
  <c r="J40" i="20"/>
  <c r="J41" i="20"/>
  <c r="K36" i="20"/>
  <c r="C190" i="12"/>
  <c r="J21" i="20"/>
  <c r="J20" i="20"/>
  <c r="J17" i="20"/>
  <c r="J22" i="20"/>
  <c r="J9" i="20"/>
  <c r="J18" i="20"/>
  <c r="J15" i="20"/>
  <c r="J10" i="20"/>
  <c r="J8" i="20"/>
  <c r="J19" i="20"/>
  <c r="J16" i="20"/>
  <c r="J54" i="20"/>
  <c r="Z67" i="20"/>
  <c r="B109" i="19"/>
  <c r="I53" i="20"/>
  <c r="I5" i="20"/>
  <c r="J29" i="20" s="1"/>
  <c r="N182" i="12"/>
  <c r="N186" i="12" s="1"/>
  <c r="N189" i="12"/>
  <c r="J186" i="12"/>
  <c r="M189" i="12"/>
  <c r="M182" i="12"/>
  <c r="M186" i="12" s="1"/>
  <c r="R182" i="12"/>
  <c r="R186" i="12" s="1"/>
  <c r="R189" i="12"/>
  <c r="Q182" i="12"/>
  <c r="Q186" i="12" s="1"/>
  <c r="Q189" i="12"/>
  <c r="B110" i="19"/>
  <c r="B163" i="14"/>
  <c r="C186" i="12"/>
  <c r="AA86" i="20" l="1"/>
  <c r="Z86" i="20"/>
  <c r="K45" i="20"/>
  <c r="K34" i="20"/>
  <c r="K46" i="20"/>
  <c r="K44" i="20"/>
  <c r="K42" i="20"/>
  <c r="K41" i="20"/>
  <c r="K40" i="20"/>
  <c r="K33" i="20"/>
  <c r="K39" i="20"/>
  <c r="K43" i="20"/>
  <c r="I23" i="20"/>
  <c r="J23" i="20"/>
  <c r="I54" i="20"/>
  <c r="J47" i="20"/>
  <c r="C188" i="12"/>
  <c r="G58" i="1" s="1"/>
  <c r="B111"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7" i="12"/>
  <c r="D91" i="10"/>
  <c r="B10" i="1"/>
  <c r="B115" i="35" s="1"/>
  <c r="C31" i="1"/>
  <c r="W108" i="10" l="1"/>
  <c r="M84" i="10"/>
  <c r="N59" i="10"/>
  <c r="Q59" i="10"/>
  <c r="X126" i="5"/>
  <c r="Y77" i="5"/>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J100" i="20"/>
  <c r="J98" i="20"/>
  <c r="I118" i="20"/>
  <c r="J99" i="20"/>
  <c r="J108" i="20"/>
  <c r="J92" i="20"/>
  <c r="AA141" i="20"/>
  <c r="AA140" i="20"/>
  <c r="J109" i="20"/>
  <c r="J106" i="20"/>
  <c r="J103" i="20"/>
  <c r="J110" i="20"/>
  <c r="K99" i="20"/>
  <c r="J104" i="20"/>
  <c r="K92" i="20"/>
  <c r="K102" i="20"/>
  <c r="K101" i="20"/>
  <c r="J107" i="20"/>
  <c r="AA142" i="20"/>
  <c r="AA143" i="20"/>
  <c r="J102" i="20"/>
  <c r="J105" i="20"/>
  <c r="R125" i="20"/>
  <c r="J101" i="20"/>
  <c r="AA135" i="20"/>
  <c r="J97" i="20"/>
  <c r="AA136" i="20"/>
  <c r="AA133" i="20"/>
  <c r="Y138" i="20"/>
  <c r="AA134" i="20"/>
  <c r="K100" i="20"/>
  <c r="AA137" i="20"/>
  <c r="Z149" i="20"/>
  <c r="Z138" i="20"/>
  <c r="Z144" i="20"/>
  <c r="AA146" i="20"/>
  <c r="AA144" i="20"/>
  <c r="AA147" i="20"/>
  <c r="AA139" i="20"/>
  <c r="AA148" i="20"/>
  <c r="Z134" i="20"/>
  <c r="J93"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Y129" i="5"/>
  <c r="R82" i="20" s="1"/>
  <c r="V124" i="5"/>
  <c r="V114" i="5"/>
  <c r="Y65" i="5"/>
  <c r="V123" i="5"/>
  <c r="Y123" i="5"/>
  <c r="R76" i="20" s="1"/>
  <c r="V120" i="5"/>
  <c r="V126" i="5"/>
  <c r="Y126" i="5"/>
  <c r="R79" i="20" s="1"/>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6" i="12" a="1"/>
  <c r="K196" i="12" s="1"/>
  <c r="W196" i="12" a="1"/>
  <c r="W196" i="12" s="1"/>
  <c r="L196" i="12" a="1"/>
  <c r="L196" i="12" s="1"/>
  <c r="X196" i="12" a="1"/>
  <c r="X196" i="12" s="1"/>
  <c r="I196" i="12" a="1"/>
  <c r="I196" i="12" s="1"/>
  <c r="M196" i="12" a="1"/>
  <c r="M196" i="12" s="1"/>
  <c r="F196" i="12" a="1"/>
  <c r="F196" i="12" s="1"/>
  <c r="N196" i="12" a="1"/>
  <c r="N196" i="12" s="1"/>
  <c r="U196" i="12" a="1"/>
  <c r="U196" i="12" s="1"/>
  <c r="O196" i="12" a="1"/>
  <c r="O196" i="12" s="1"/>
  <c r="P196" i="12" a="1"/>
  <c r="P196" i="12" s="1"/>
  <c r="Q196" i="12" a="1"/>
  <c r="Q196" i="12" s="1"/>
  <c r="T196" i="12" a="1"/>
  <c r="T196" i="12" s="1"/>
  <c r="R196" i="12" a="1"/>
  <c r="R196" i="12" s="1"/>
  <c r="H196" i="12" a="1"/>
  <c r="H196" i="12" s="1"/>
  <c r="G196" i="12" a="1"/>
  <c r="G196" i="12" s="1"/>
  <c r="S196" i="12" a="1"/>
  <c r="S196" i="12" s="1"/>
  <c r="J196" i="12" a="1"/>
  <c r="J196" i="12" s="1"/>
  <c r="V196" i="12" a="1"/>
  <c r="V196" i="12" s="1"/>
  <c r="U195" i="12" a="1"/>
  <c r="U195" i="12" s="1"/>
  <c r="P195" i="12" a="1"/>
  <c r="P195" i="12" s="1"/>
  <c r="J195" i="12" a="1"/>
  <c r="J195" i="12" s="1"/>
  <c r="R195" i="12" a="1"/>
  <c r="R195" i="12" s="1"/>
  <c r="V195" i="12" a="1"/>
  <c r="V195" i="12" s="1"/>
  <c r="T195" i="12" a="1"/>
  <c r="T195" i="12" s="1"/>
  <c r="Q195" i="12" a="1"/>
  <c r="Q195" i="12" s="1"/>
  <c r="N195" i="12" a="1"/>
  <c r="N195" i="12" s="1"/>
  <c r="K195" i="12" a="1"/>
  <c r="K195" i="12" s="1"/>
  <c r="F195" i="12" a="1"/>
  <c r="F195" i="12" s="1"/>
  <c r="W195" i="12" a="1"/>
  <c r="W195" i="12" s="1"/>
  <c r="H195" i="12" a="1"/>
  <c r="H195" i="12" s="1"/>
  <c r="L195" i="12" a="1"/>
  <c r="L195" i="12" s="1"/>
  <c r="G195" i="12" a="1"/>
  <c r="G195" i="12" s="1"/>
  <c r="X195" i="12" a="1"/>
  <c r="X195" i="12" s="1"/>
  <c r="S195" i="12" a="1"/>
  <c r="S195" i="12" s="1"/>
  <c r="M195" i="12" a="1"/>
  <c r="M195" i="12" s="1"/>
  <c r="I195" i="12" a="1"/>
  <c r="I195" i="12" s="1"/>
  <c r="O195" i="12" a="1"/>
  <c r="O195"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J111" i="20"/>
  <c r="J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8" i="12"/>
  <c r="M198" i="12"/>
  <c r="L193" i="26"/>
  <c r="I198" i="12"/>
  <c r="B215" i="12"/>
  <c r="R198" i="12"/>
  <c r="T198" i="12"/>
  <c r="B211" i="12"/>
  <c r="U198" i="12"/>
  <c r="J198" i="12"/>
  <c r="B209" i="12"/>
  <c r="B216" i="12"/>
  <c r="Q198" i="12"/>
  <c r="B218" i="12"/>
  <c r="B206" i="12"/>
  <c r="G198" i="12"/>
  <c r="B210" i="12"/>
  <c r="K198" i="12"/>
  <c r="B217" i="12"/>
  <c r="W198" i="12"/>
  <c r="B222" i="12"/>
  <c r="P198" i="12"/>
  <c r="B214" i="12"/>
  <c r="O198" i="12"/>
  <c r="X198" i="12"/>
  <c r="B223" i="12"/>
  <c r="B207" i="12"/>
  <c r="H198" i="12"/>
  <c r="B219" i="12"/>
  <c r="B220" i="12"/>
  <c r="B212" i="12"/>
  <c r="F198" i="12"/>
  <c r="B205" i="12"/>
  <c r="V198" i="12"/>
  <c r="B221" i="12"/>
  <c r="N198" i="12"/>
  <c r="B213" i="12"/>
  <c r="L198" i="12"/>
  <c r="B208"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6" i="12"/>
  <c r="D216" i="12" s="1"/>
  <c r="U78" i="20" s="1"/>
  <c r="C206" i="12"/>
  <c r="D206" i="12" s="1"/>
  <c r="C212" i="12"/>
  <c r="D212" i="12" s="1"/>
  <c r="U74" i="20" s="1"/>
  <c r="C207" i="12"/>
  <c r="D207" i="12" s="1"/>
  <c r="U69" i="20" s="1"/>
  <c r="C217" i="12"/>
  <c r="D217" i="12" s="1"/>
  <c r="U79" i="20" s="1"/>
  <c r="C213" i="12"/>
  <c r="D213" i="12" s="1"/>
  <c r="U75" i="20" s="1"/>
  <c r="C208" i="12"/>
  <c r="D208" i="12" s="1"/>
  <c r="U70" i="20" s="1"/>
  <c r="C218" i="12"/>
  <c r="D218" i="12" s="1"/>
  <c r="U80" i="20" s="1"/>
  <c r="C214" i="12"/>
  <c r="D214" i="12" s="1"/>
  <c r="U76" i="20" s="1"/>
  <c r="C209" i="12"/>
  <c r="D209" i="12" s="1"/>
  <c r="U71" i="20" s="1"/>
  <c r="C215" i="12"/>
  <c r="D215" i="12" s="1"/>
  <c r="U77" i="20" s="1"/>
  <c r="C219" i="12"/>
  <c r="D219" i="12" s="1"/>
  <c r="U81" i="20" s="1"/>
  <c r="C210" i="12"/>
  <c r="D210" i="12" s="1"/>
  <c r="U72" i="20" s="1"/>
  <c r="C220" i="12"/>
  <c r="D220" i="12" s="1"/>
  <c r="U82" i="20" s="1"/>
  <c r="C221" i="12"/>
  <c r="D221" i="12" s="1"/>
  <c r="U83" i="20" s="1"/>
  <c r="C211" i="12"/>
  <c r="D211" i="12" s="1"/>
  <c r="U73" i="20" s="1"/>
  <c r="C222" i="12"/>
  <c r="D222" i="12" s="1"/>
  <c r="U84" i="20" s="1"/>
  <c r="B137" i="5"/>
  <c r="B139" i="5" s="1"/>
  <c r="C223" i="12"/>
  <c r="D223"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5" i="20"/>
  <c r="T85"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41" i="20"/>
  <c r="L150" i="2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8" i="12"/>
  <c r="B40" i="21"/>
  <c r="C137" i="5"/>
  <c r="K84" i="5"/>
  <c r="B228" i="12"/>
  <c r="C205" i="12"/>
  <c r="E47" i="5"/>
  <c r="L125" i="20"/>
  <c r="H60" i="20"/>
  <c r="O60" i="20"/>
  <c r="F60" i="20"/>
  <c r="B35" i="21"/>
  <c r="B19" i="21"/>
  <c r="B18" i="21"/>
  <c r="B30" i="21"/>
  <c r="B17" i="21"/>
  <c r="H4" i="20" s="1"/>
  <c r="I28" i="20" s="1"/>
  <c r="B28" i="21"/>
  <c r="B33" i="21"/>
  <c r="B27" i="21"/>
  <c r="B21" i="21"/>
  <c r="B26" i="21"/>
  <c r="B32" i="21"/>
  <c r="B31" i="21"/>
  <c r="B25" i="21"/>
  <c r="B20" i="21"/>
  <c r="B22" i="21"/>
  <c r="B29" i="21"/>
  <c r="B24" i="21"/>
  <c r="B34" i="21"/>
  <c r="B23" i="21"/>
  <c r="G110" i="10"/>
  <c r="B141" i="10" s="1"/>
  <c r="B143" i="10" l="1"/>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5" i="12"/>
  <c r="G4" i="20" s="1"/>
  <c r="H28" i="20" s="1"/>
  <c r="C229" i="12"/>
  <c r="C230"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L152" i="20" l="1"/>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I103" i="20"/>
  <c r="I39" i="20"/>
  <c r="I100" i="20"/>
  <c r="I36" i="20"/>
  <c r="I98" i="20"/>
  <c r="I34" i="20"/>
  <c r="I97" i="20"/>
  <c r="I33" i="20"/>
  <c r="I107" i="20"/>
  <c r="I43" i="20"/>
  <c r="I93" i="20"/>
  <c r="I29" i="20"/>
  <c r="I109" i="20"/>
  <c r="I45" i="20"/>
  <c r="I105" i="20"/>
  <c r="I41" i="20"/>
  <c r="I108" i="20"/>
  <c r="I44" i="20"/>
  <c r="I104" i="20"/>
  <c r="I40" i="20"/>
  <c r="I102" i="20"/>
  <c r="I38" i="20"/>
  <c r="I110" i="20"/>
  <c r="I46" i="20"/>
  <c r="I99" i="20"/>
  <c r="I35" i="20"/>
  <c r="I106" i="20"/>
  <c r="I42" i="20"/>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M53" i="20"/>
  <c r="M4"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29" i="12"/>
  <c r="B230"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M11" i="20"/>
  <c r="M7" i="20"/>
  <c r="B86" i="20" l="1"/>
  <c r="O152" i="20"/>
  <c r="U133" i="20"/>
  <c r="U152" i="20" s="1"/>
  <c r="U86" i="20"/>
  <c r="E93" i="20"/>
  <c r="L118" i="20"/>
  <c r="L119" i="20" s="1"/>
  <c r="B126" i="20"/>
  <c r="M92" i="20"/>
  <c r="O34" i="20"/>
  <c r="O36" i="20"/>
  <c r="N36" i="20"/>
  <c r="N33" i="20"/>
  <c r="O33" i="20"/>
  <c r="O45" i="20"/>
  <c r="N45" i="20"/>
  <c r="N29" i="20"/>
  <c r="O29" i="20"/>
  <c r="O42" i="20"/>
  <c r="N42" i="20"/>
  <c r="O46" i="20"/>
  <c r="N46" i="20"/>
  <c r="N41" i="20"/>
  <c r="O41" i="20"/>
  <c r="O43" i="20"/>
  <c r="N43" i="20"/>
  <c r="N34" i="20"/>
  <c r="N40" i="20"/>
  <c r="O40" i="20"/>
  <c r="N39" i="20"/>
  <c r="O39" i="20"/>
  <c r="O44" i="20"/>
  <c r="N44" i="20"/>
  <c r="O37" i="20"/>
  <c r="N37" i="20"/>
  <c r="O35" i="20"/>
  <c r="N35" i="20"/>
  <c r="O38" i="20"/>
  <c r="N38" i="20"/>
  <c r="M118" i="20"/>
  <c r="M119" i="20" s="1"/>
  <c r="I111" i="20"/>
  <c r="N101" i="20"/>
  <c r="M101" i="20"/>
  <c r="N102" i="20"/>
  <c r="M102" i="20"/>
  <c r="N100" i="20"/>
  <c r="M100" i="20"/>
  <c r="M98" i="20"/>
  <c r="N98" i="20"/>
  <c r="N99" i="20"/>
  <c r="M99" i="20"/>
  <c r="M109" i="20"/>
  <c r="N109" i="20"/>
  <c r="M107" i="20"/>
  <c r="N107" i="20"/>
  <c r="N104" i="20"/>
  <c r="M104" i="20"/>
  <c r="N106" i="20"/>
  <c r="M106" i="20"/>
  <c r="M110" i="20"/>
  <c r="N110" i="20"/>
  <c r="M97" i="20"/>
  <c r="N97" i="20"/>
  <c r="N103" i="20"/>
  <c r="M103" i="20"/>
  <c r="M105" i="20"/>
  <c r="N105" i="20"/>
  <c r="N108" i="20"/>
  <c r="M108" i="20"/>
  <c r="H152" i="20"/>
  <c r="E133" i="20"/>
  <c r="Q134" i="20"/>
  <c r="B119" i="20" s="1"/>
  <c r="O104" i="20"/>
  <c r="L5" i="20"/>
  <c r="L54" i="20" s="1"/>
  <c r="M43" i="20"/>
  <c r="M34" i="20"/>
  <c r="M35" i="20"/>
  <c r="M38" i="20"/>
  <c r="M44" i="20"/>
  <c r="M37" i="20"/>
  <c r="M42" i="20"/>
  <c r="M36" i="20"/>
  <c r="M46" i="20"/>
  <c r="M45" i="20"/>
  <c r="M29" i="20"/>
  <c r="M40" i="20"/>
  <c r="M41" i="20"/>
  <c r="M39" i="20"/>
  <c r="M33" i="20"/>
  <c r="O99" i="20"/>
  <c r="O101" i="20"/>
  <c r="O106" i="20"/>
  <c r="O103" i="20"/>
  <c r="O97" i="20"/>
  <c r="O98" i="20"/>
  <c r="O92" i="20"/>
  <c r="O109" i="20"/>
  <c r="N92" i="20"/>
  <c r="O105" i="20"/>
  <c r="O110" i="20"/>
  <c r="O107" i="20"/>
  <c r="O102" i="20"/>
  <c r="O100" i="20"/>
  <c r="O108" i="20"/>
  <c r="D23" i="20"/>
  <c r="D54" i="20"/>
  <c r="E47" i="20"/>
  <c r="G23" i="20"/>
  <c r="I47" i="20"/>
  <c r="F47" i="20"/>
  <c r="F112" i="20" s="1"/>
  <c r="E159" i="20"/>
  <c r="P159" i="20"/>
  <c r="D139" i="5"/>
  <c r="B10" i="40" s="1"/>
  <c r="H47" i="20"/>
  <c r="H112" i="20" s="1"/>
  <c r="M9" i="20"/>
  <c r="M12" i="20"/>
  <c r="M20" i="20"/>
  <c r="M17" i="20"/>
  <c r="M8" i="20"/>
  <c r="M16" i="20"/>
  <c r="M13" i="20"/>
  <c r="M14" i="20"/>
  <c r="M22" i="20"/>
  <c r="M18" i="20"/>
  <c r="M15" i="20"/>
  <c r="M10" i="20"/>
  <c r="M6" i="20"/>
  <c r="M19" i="20"/>
  <c r="M21" i="20"/>
  <c r="Q141" i="20"/>
  <c r="Q139" i="20"/>
  <c r="Q149" i="20"/>
  <c r="N136" i="20"/>
  <c r="Q147" i="20"/>
  <c r="N140" i="20"/>
  <c r="Q151" i="20"/>
  <c r="Q142" i="20"/>
  <c r="Q143" i="20"/>
  <c r="Q145" i="20"/>
  <c r="Q135" i="20"/>
  <c r="Q148" i="20"/>
  <c r="Q144" i="20"/>
  <c r="Q150" i="20"/>
  <c r="Q146" i="20"/>
  <c r="Q136" i="20"/>
  <c r="Q138" i="20"/>
  <c r="Q140" i="20"/>
  <c r="Q137" i="20"/>
  <c r="I112" i="20" l="1"/>
  <c r="O28" i="20"/>
  <c r="O47" i="20" s="1"/>
  <c r="M28" i="20"/>
  <c r="M47" i="20" s="1"/>
  <c r="N28" i="20"/>
  <c r="N47" i="20" s="1"/>
  <c r="N152" i="20"/>
  <c r="O93" i="20"/>
  <c r="O111" i="20" s="1"/>
  <c r="N93" i="20"/>
  <c r="N111" i="20" s="1"/>
  <c r="M93" i="20"/>
  <c r="M111" i="20" s="1"/>
  <c r="E111" i="20"/>
  <c r="Q152" i="20"/>
  <c r="E152" i="20"/>
  <c r="B152" i="20"/>
  <c r="B23" i="20"/>
  <c r="B160" i="20"/>
  <c r="M5" i="20"/>
  <c r="M54" i="20" s="1"/>
  <c r="B54" i="20" s="1"/>
  <c r="N112" i="20" l="1"/>
  <c r="M112" i="20"/>
  <c r="O112" i="20"/>
  <c r="E112" i="20"/>
  <c r="B112" i="20"/>
  <c r="B9" i="40" s="1"/>
  <c r="B11" i="40" s="1"/>
  <c r="E6" i="35" s="1"/>
  <c r="E58" i="35" l="1"/>
  <c r="E110" i="35"/>
  <c r="E7" i="35"/>
  <c r="E59" i="35" l="1"/>
  <c r="E111"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8"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4"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<sst xmlns="http://schemas.openxmlformats.org/spreadsheetml/2006/main" count="4760" uniqueCount="1033">
  <si>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</si>
  <si>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</si>
  <si>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</si>
  <si>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</si>
  <si>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Version 2.1 (released date: March 31, 2025)</t>
  </si>
  <si>
    <t>For more information and access, contact the Sustainable Pavements and Asphalt Research (SuPAR) group at the University of Antwerp.</t>
  </si>
  <si>
    <t>Data collection form for LCA-based tool</t>
  </si>
  <si>
    <t>1. General Information</t>
  </si>
  <si>
    <t>Example</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</si>
  <si>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</si>
  <si>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</si>
  <si>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</si>
  <si>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</si>
  <si>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</si>
  <si>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</si>
  <si>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</si>
  <si>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</si>
  <si>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</si>
  <si>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</si>
  <si>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Locatie A</t>
  </si>
  <si>
    <t>Plant type</t>
  </si>
  <si>
    <t>Batch with parallel drum</t>
  </si>
  <si>
    <t>Average hour plant production (t/h)</t>
  </si>
  <si>
    <t>Asphalt plant: primary energy source type for heating and drying</t>
  </si>
  <si>
    <t>Natural_gas</t>
  </si>
  <si>
    <t>Asphalt plant: secondary energy source type for heating and drying</t>
  </si>
  <si>
    <t>Electricity</t>
  </si>
  <si>
    <t>Asphalt plant: electric components</t>
  </si>
  <si>
    <t>Yes</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</si>
  <si>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</si>
  <si>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</si>
  <si>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</si>
  <si>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</si>
  <si>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</si>
  <si>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</si>
  <si>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</si>
  <si>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</si>
  <si>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</si>
  <si>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</si>
  <si>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</si>
  <si>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</si>
  <si>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</si>
  <si>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</si>
  <si>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r>
      <t>Mass per FU (ton/m</t>
    </r>
    <r>
      <rPr>
        <b/>
        <vertAlign val="superscript"/>
        <sz val="11"/>
        <color theme="1"/>
        <rFont val="Aptos Narrow"/>
        <family val="2"/>
        <scheme val="minor"/>
      </rPr>
      <t>2</t>
    </r>
    <r>
      <rPr>
        <b/>
        <sz val="11"/>
        <color theme="1"/>
        <rFont val="Aptos Narrow"/>
        <family val="2"/>
        <scheme val="minor"/>
      </rPr>
      <t>)</t>
    </r>
  </si>
  <si>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</si>
  <si>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</si>
  <si>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</si>
  <si>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</si>
  <si>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</si>
  <si>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</si>
  <si>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</si>
  <si>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</si>
  <si>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</si>
  <si>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</si>
  <si>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</si>
  <si>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</si>
  <si>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</si>
  <si>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</si>
  <si>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</si>
  <si>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</si>
  <si>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</si>
  <si>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</si>
  <si>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</si>
  <si>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</si>
  <si>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</si>
  <si>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Binder_bio</t>
  </si>
  <si>
    <t>Antwerp</t>
  </si>
  <si>
    <t>Truck</t>
  </si>
  <si>
    <t>Diesel_Euro6</t>
  </si>
  <si>
    <t>Virgin crushed coarse aggregate 1 (&gt;2 mm)</t>
  </si>
  <si>
    <t>Bremanger</t>
  </si>
  <si>
    <t>Virgin crushed coarse aggregate 2 (&gt;2 mm)</t>
  </si>
  <si>
    <t>Ship</t>
  </si>
  <si>
    <t>Heavy_fuel_oil</t>
  </si>
  <si>
    <t>Virgin crushed coarse aggregate 3 (&gt;2 mm)</t>
  </si>
  <si>
    <t>Virgin crushed fine aggregate 1 (≤2 mm)</t>
  </si>
  <si>
    <t>Gaurain-Ramecroix</t>
  </si>
  <si>
    <t>Diesel_Euro5</t>
  </si>
  <si>
    <t>Virgin crushed fine aggregate 2 (≤2 mm)</t>
  </si>
  <si>
    <t>Virgin crushed fine aggregate 3 (≤2 mm)</t>
  </si>
  <si>
    <t>Virgin natural fine aggregate 1 (≤2 mm)</t>
  </si>
  <si>
    <t>Schelde</t>
  </si>
  <si>
    <t>Train</t>
  </si>
  <si>
    <t>Electric</t>
  </si>
  <si>
    <t>Virgin natural fine aggregate 2 (≤2 mm)</t>
  </si>
  <si>
    <t>Virgin natural fine aggregate 3 (≤2 mm)</t>
  </si>
  <si>
    <t>Filler 1</t>
  </si>
  <si>
    <t>Cement</t>
  </si>
  <si>
    <t>Wanssum</t>
  </si>
  <si>
    <t>Biodiesel_4.5%</t>
  </si>
  <si>
    <t>Filler 2</t>
  </si>
  <si>
    <t>Limestone_residue</t>
  </si>
  <si>
    <t>RAP 1</t>
  </si>
  <si>
    <t>RAP 2</t>
  </si>
  <si>
    <t>Other_waste 1</t>
  </si>
  <si>
    <t>Recycled_plastic</t>
  </si>
  <si>
    <t>Schoten</t>
  </si>
  <si>
    <t>Biodiesel_20%</t>
  </si>
  <si>
    <t>Other_waste 2</t>
  </si>
  <si>
    <t>Steel_slag_aggregate</t>
  </si>
  <si>
    <t>Additive 1</t>
  </si>
  <si>
    <t>Cellulose_fibres</t>
  </si>
  <si>
    <t>Arendonk</t>
  </si>
  <si>
    <t>Barge</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</si>
  <si>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</si>
  <si>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</si>
  <si>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</si>
  <si>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</si>
  <si>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</si>
  <si>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</si>
  <si>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</si>
  <si>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</si>
  <si>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</si>
  <si>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</si>
  <si>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</si>
  <si>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</si>
  <si>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</si>
  <si>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Excavator</t>
  </si>
  <si>
    <t>No_excavator</t>
  </si>
  <si>
    <t>Compaction operation</t>
  </si>
  <si>
    <t>Roller 1</t>
  </si>
  <si>
    <t>Roller_medium_scale_project_55kW</t>
  </si>
  <si>
    <t>Roller 2</t>
  </si>
  <si>
    <t>7. Deconstruction</t>
  </si>
  <si>
    <t>Milling depth (m)</t>
  </si>
  <si>
    <t>Asphalt milling operation</t>
  </si>
  <si>
    <t>Cold milling machine 1</t>
  </si>
  <si>
    <t>No_milling_machine</t>
  </si>
  <si>
    <t>Cold milling machine 2</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</si>
  <si>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</si>
  <si>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</si>
  <si>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</si>
  <si>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</si>
  <si>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</si>
  <si>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</si>
  <si>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</si>
  <si>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</si>
  <si>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</si>
  <si>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</si>
  <si>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</si>
  <si>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</si>
  <si>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</si>
  <si>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</si>
  <si>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</si>
  <si>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</si>
  <si>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</si>
  <si>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</si>
  <si>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</si>
  <si>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</si>
  <si>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</si>
  <si>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</si>
  <si>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LCA results for a modified declared unit (cradle-to-grave analysis: A1-C3, D)</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</si>
  <si>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</si>
  <si>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</si>
  <si>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</si>
  <si>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</si>
  <si>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</si>
  <si>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Asphalt plant: electric components</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</si>
  <si>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</si>
  <si>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</si>
  <si>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</si>
  <si>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</si>
  <si>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</si>
  <si>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</si>
  <si>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</si>
  <si>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</si>
  <si>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A1 - Primary Raw Material</t>
  </si>
  <si>
    <t>C3' - Secondary Raw Material</t>
  </si>
  <si>
    <t>A2 - Transport Primary Raw Material</t>
  </si>
  <si>
    <t>C2' - Transport Secondary Raw Material</t>
  </si>
  <si>
    <t>A3- Production</t>
  </si>
  <si>
    <t>A4- Transport</t>
  </si>
  <si>
    <t>A5- Construction</t>
  </si>
  <si>
    <t>C1 - Deconstruction</t>
  </si>
  <si>
    <t>D- Burdens &amp; Savings</t>
  </si>
  <si>
    <t>Total: A1-A3,C2',C3' (excl D)</t>
  </si>
  <si>
    <t>Total A1-A5,C1,C2',C3' (excl. D)</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</si>
  <si>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</si>
  <si>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</si>
  <si>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</si>
  <si>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</si>
  <si>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</si>
  <si>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</si>
  <si>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</si>
  <si>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</si>
  <si>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</si>
  <si>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</si>
  <si>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</si>
  <si>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</si>
  <si>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</si>
  <si>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</si>
  <si>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</si>
  <si>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</si>
  <si>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</si>
  <si>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</si>
  <si>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</si>
  <si>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</si>
  <si>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</si>
  <si>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</si>
  <si>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</si>
  <si>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</si>
  <si>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</si>
  <si>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</si>
  <si>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</si>
  <si>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</si>
  <si>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</si>
  <si>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</si>
  <si>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</si>
  <si>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</si>
  <si>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</si>
  <si>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</si>
  <si>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</si>
  <si>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</si>
  <si>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</si>
  <si>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</si>
  <si>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 xml:space="preserve">A1 - Primary Material </t>
  </si>
  <si>
    <t>C3' - Secondary Material</t>
  </si>
  <si>
    <t>A2 - Transport Primary</t>
  </si>
  <si>
    <t>C2' - Transport Secondary</t>
  </si>
  <si>
    <t>Total (incl. D)</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</si>
  <si>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</si>
  <si>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</si>
  <si>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</si>
  <si>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</si>
  <si>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</si>
  <si>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</si>
  <si>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</si>
  <si>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</si>
  <si>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</si>
  <si>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Plant</t>
  </si>
  <si>
    <t>Impact categories</t>
  </si>
  <si>
    <t>Unit/ton</t>
  </si>
  <si>
    <t>Aggregate</t>
  </si>
  <si>
    <t>Filler</t>
  </si>
  <si>
    <t>RAP</t>
  </si>
  <si>
    <t xml:space="preserve">Other Waste </t>
  </si>
  <si>
    <t>Additiv</t>
  </si>
  <si>
    <t xml:space="preserve"> </t>
  </si>
  <si>
    <t>Burden &amp; Savings</t>
  </si>
  <si>
    <t>Life cycle stage</t>
  </si>
  <si>
    <t>A3 - Production</t>
  </si>
  <si>
    <t>D - Burden &amp; Savings</t>
  </si>
  <si>
    <t>Environmental impacts per ton of mix per process</t>
  </si>
  <si>
    <t>Aggregates</t>
  </si>
  <si>
    <t>Additives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</si>
  <si>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</si>
  <si>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</si>
  <si>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</si>
  <si>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</si>
  <si>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</si>
  <si>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</si>
  <si>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</si>
  <si>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</si>
  <si>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</si>
  <si>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</si>
  <si>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</si>
  <si>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</si>
  <si>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</si>
  <si>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</si>
  <si>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</si>
  <si>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</si>
  <si>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</si>
  <si>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</si>
  <si>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</si>
  <si>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</si>
  <si>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</si>
  <si>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</si>
  <si>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</si>
  <si>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</si>
  <si>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</si>
  <si>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</si>
  <si>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</si>
  <si>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</si>
  <si>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</si>
  <si>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</si>
  <si>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</si>
  <si>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</si>
  <si>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</si>
  <si>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</si>
  <si>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Mix</t>
  </si>
  <si>
    <t>Construction</t>
  </si>
  <si>
    <t>Deconstruction</t>
  </si>
  <si>
    <t>Unit/m2</t>
  </si>
  <si>
    <t>Agg</t>
  </si>
  <si>
    <t>A4 - Transport</t>
  </si>
  <si>
    <t>A5 - Construction</t>
  </si>
  <si>
    <t>A2' - Transport</t>
  </si>
  <si>
    <t>Binder</t>
  </si>
  <si>
    <t>Sand</t>
  </si>
  <si>
    <t>A2' - Transport: Binder</t>
  </si>
  <si>
    <t>A2' - Transport: Filler</t>
  </si>
  <si>
    <t>A2' -  Transport:  Aggregate</t>
  </si>
  <si>
    <t>A2' - Transport: Sand</t>
  </si>
  <si>
    <t>Environmental impacts per m2 per process (A1-D)</t>
  </si>
  <si>
    <t>C3</t>
  </si>
  <si>
    <t>C1</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</si>
  <si>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</si>
  <si>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</si>
  <si>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</si>
  <si>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</si>
  <si>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</si>
  <si>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</si>
  <si>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</si>
  <si>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</si>
  <si>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</si>
  <si>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</si>
  <si>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</si>
  <si>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</si>
  <si>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</si>
  <si>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</si>
  <si>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</si>
  <si>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</si>
  <si>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</si>
  <si>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</si>
  <si>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</si>
  <si>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</si>
  <si>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</si>
  <si>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</si>
  <si>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</si>
  <si>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</si>
  <si>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</si>
  <si>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</si>
  <si>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</si>
  <si>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</si>
  <si>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Additive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</si>
  <si>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</si>
  <si>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</si>
  <si>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</si>
  <si>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</si>
  <si>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</si>
  <si>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</si>
  <si>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</si>
  <si>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</si>
  <si>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</si>
  <si>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</si>
  <si>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</si>
  <si>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</si>
  <si>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</si>
  <si>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</si>
  <si>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</si>
  <si>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</si>
  <si>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</si>
  <si>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Other Waste</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</si>
  <si>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</si>
  <si>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</si>
  <si>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</si>
  <si>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</si>
  <si>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</si>
  <si>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</si>
  <si>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Non-biogenic</t>
  </si>
  <si>
    <t>Biogenic</t>
  </si>
  <si>
    <t>Top tables</t>
  </si>
  <si>
    <t>Bottom tables</t>
  </si>
  <si>
    <t>Waste Processing</t>
  </si>
  <si>
    <t>The processing of waste comprises of two sections A: Reclamed Asphalt Pavement and Recycled Concrete Aggregate) processing and B; Crumb rubber recycling.</t>
  </si>
  <si>
    <t>A. Reclaimed Asphalt Pavement (RAP)  and Recycled Concrete Aggregate (RCA) Processing  Input Parameters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</si>
  <si>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</si>
  <si>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</si>
  <si>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</si>
  <si>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</si>
  <si>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</si>
  <si>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</si>
  <si>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</si>
  <si>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</si>
  <si>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</si>
  <si>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</si>
  <si>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</si>
  <si>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</si>
  <si>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</si>
  <si>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</si>
  <si>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</si>
  <si>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</si>
  <si>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</si>
  <si>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Reclaimed Asphalt Pavement Processing</t>
  </si>
  <si>
    <t>1a. Wheel loading operations RAP</t>
  </si>
  <si>
    <t>Details</t>
  </si>
  <si>
    <t>Input</t>
  </si>
  <si>
    <t>Source</t>
  </si>
  <si>
    <t>Source link</t>
  </si>
  <si>
    <t>Type of wheel loader</t>
  </si>
  <si>
    <t>Komatsu WA500</t>
  </si>
  <si>
    <t>Komatsu Wheel Loader WA500-8</t>
  </si>
  <si>
    <t xml:space="preserve">https://www.komatsu.eu/en/wheel-loaders/wheel-loaders/wa500-8    </t>
  </si>
  <si>
    <t>Number of wheel loaders</t>
  </si>
  <si>
    <t>Power rating (kW)</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</si>
  <si>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</si>
  <si>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</si>
  <si>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</si>
  <si>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</si>
  <si>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</si>
  <si>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</si>
  <si>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</si>
  <si>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</si>
  <si>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</si>
  <si>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</si>
  <si>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</si>
  <si>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</si>
  <si>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</si>
  <si>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</si>
  <si>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</si>
  <si>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</si>
  <si>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</si>
  <si>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</si>
  <si>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1b. Crushing of reclaimed asphalt pavement</t>
  </si>
  <si>
    <t>Type of crusher</t>
  </si>
  <si>
    <t>MOBICAT MC 120(i) PRO</t>
  </si>
  <si>
    <t xml:space="preserve">https://www.wirtgen-group.com/ocs/en-us/kleemann/mc-120i-pro-139-p/ </t>
  </si>
  <si>
    <t>Number of crushers</t>
  </si>
  <si>
    <t>Production capacity (ton/h)</t>
  </si>
  <si>
    <t>Quantity of RAP (ton)</t>
  </si>
  <si>
    <t>Operational time per quantity of RAP per ton of asphalt mix (h)</t>
  </si>
  <si>
    <t>Quantity of RAP (ton)/Production capacity</t>
  </si>
  <si>
    <t>1c. Conveying crushed reclaimed asphalt pavement</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</si>
  <si>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</si>
  <si>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</si>
  <si>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</si>
  <si>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</si>
  <si>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</si>
  <si>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</si>
  <si>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1d. Screening of crushed reclaimed asphalt pavement</t>
  </si>
  <si>
    <t>Type of screener</t>
  </si>
  <si>
    <t>MSC 953i EVO</t>
  </si>
  <si>
    <t xml:space="preserve">https://www.wirtgen-group.com/ocs/en-us/kleemann/msc-953i-evo-167-p/ </t>
  </si>
  <si>
    <t>Number of screeners</t>
  </si>
  <si>
    <t>Step 2:  Recycled Concrete Aggregate Processing</t>
  </si>
  <si>
    <t>2a. Wheel loading operations RCA</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</si>
  <si>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</si>
  <si>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</si>
  <si>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</si>
  <si>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</si>
  <si>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</si>
  <si>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</si>
  <si>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</si>
  <si>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2b. Crushing of Recycled Concrete Aggregate</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</si>
  <si>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</si>
  <si>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</si>
  <si>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</si>
  <si>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</si>
  <si>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</si>
  <si>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</si>
  <si>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</si>
  <si>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2c. Conveying crushed Recycled Concrete Aggregate</t>
  </si>
  <si>
    <t>RCA_Tracked_stacker_500tph</t>
  </si>
  <si>
    <t>Number of stackers</t>
  </si>
  <si>
    <t>Operational time per quantity of RCA 1 per ton of asphalt mix</t>
  </si>
  <si>
    <t>Operational time per quantity of RCA 2 per ton of asphalt mix</t>
  </si>
  <si>
    <t xml:space="preserve">DOI: 10.17559/TV-20141027115647 </t>
  </si>
  <si>
    <t>2d. Screening of crushed Recycled Concrete Aggregate</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</si>
  <si>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</si>
  <si>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</si>
  <si>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</si>
  <si>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</si>
  <si>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</si>
  <si>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</si>
  <si>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</si>
  <si>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</si>
  <si>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</si>
  <si>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</si>
  <si>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</si>
  <si>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</si>
  <si>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</si>
  <si>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</si>
  <si>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Step 3:  Impact Calculations (RAP and RCA)</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</si>
  <si>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</si>
  <si>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</si>
  <si>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</si>
  <si>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</si>
  <si>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</si>
  <si>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</si>
  <si>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</si>
  <si>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</si>
  <si>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</si>
  <si>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B. Crumb Rubber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</si>
  <si>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</si>
  <si>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</si>
  <si>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</si>
  <si>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</si>
  <si>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</si>
  <si>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</si>
  <si>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</si>
  <si>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</si>
  <si>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</si>
  <si>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</si>
  <si>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</si>
  <si>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</si>
  <si>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</si>
  <si>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</si>
  <si>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</si>
  <si>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</si>
  <si>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</si>
  <si>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</si>
  <si>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</si>
  <si>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</si>
  <si>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</si>
  <si>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</si>
  <si>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</si>
  <si>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</si>
  <si>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</si>
  <si>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</si>
  <si>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</si>
  <si>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</si>
  <si>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 xml:space="preserve">Weight of tyres to produce 1 ton crumb rubber </t>
  </si>
  <si>
    <t>Transportation</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</si>
  <si>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</si>
  <si>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</si>
  <si>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</si>
  <si>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</si>
  <si>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</si>
  <si>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</si>
  <si>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</si>
  <si>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</si>
  <si>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</si>
  <si>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</si>
  <si>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</si>
  <si>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</si>
  <si>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Excavator_Hitachi_ZX1357_160kW</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</si>
  <si>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</si>
  <si>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</si>
  <si>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</si>
  <si>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</si>
  <si>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</si>
  <si>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</si>
  <si>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</si>
  <si>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</si>
  <si>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</si>
  <si>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</si>
  <si>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</si>
  <si>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</si>
  <si>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</si>
  <si>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</si>
  <si>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</si>
  <si>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</si>
  <si>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</si>
  <si>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</si>
  <si>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</si>
  <si>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</si>
  <si>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</si>
  <si>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</si>
  <si>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</si>
  <si>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impacts for crumb rubber processing per ton of crumb rubber</t>
  </si>
  <si>
    <t>Total Impact per ton</t>
  </si>
  <si>
    <t>The total impact per ton of crumb rubber production is used as an inventory for crumb rubber (A1- Raw Material Supply LCI).</t>
  </si>
  <si>
    <t>Impact Calculations Other Waste</t>
  </si>
  <si>
    <t>Total Impacts: RAP and Other Waste  per Impact Category (Declared Unit)</t>
  </si>
  <si>
    <t>RAP Processing</t>
  </si>
  <si>
    <t>Total impacts</t>
  </si>
  <si>
    <t>check tables (RAP process &amp; RCA process &amp; Other Waste)</t>
  </si>
  <si>
    <t>Electric truck energy consumption and weight metrics</t>
  </si>
  <si>
    <t>Electric trucks</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</si>
  <si>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</si>
  <si>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</si>
  <si>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</si>
  <si>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</si>
  <si>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</si>
  <si>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</si>
  <si>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</si>
  <si>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</si>
  <si>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</si>
  <si>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</si>
  <si>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</si>
  <si>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</si>
  <si>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</si>
  <si>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Route 3</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</si>
  <si>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</si>
  <si>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</si>
  <si>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</si>
  <si>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</si>
  <si>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</si>
  <si>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</si>
  <si>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</si>
  <si>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</si>
  <si>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</si>
  <si>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</si>
  <si>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Step 1: Wheel loader productivity calculation</t>
  </si>
  <si>
    <t>1a. Input parameters</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</si>
  <si>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</si>
  <si>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</si>
  <si>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</si>
  <si>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</si>
  <si>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</si>
  <si>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</si>
  <si>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</si>
  <si>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</si>
  <si>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1b. Calculation of environmental impacts of wheel loader per ton of asphalt mix (Unit/ton)</t>
  </si>
  <si>
    <t>Productivity (tph)</t>
  </si>
  <si>
    <t>Asphalt mix loading operations</t>
  </si>
  <si>
    <t>Step 2:  Define temperature range and average production temperature (°C)</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</si>
  <si>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</si>
  <si>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</si>
  <si>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</si>
  <si>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</si>
  <si>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</si>
  <si>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</si>
  <si>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</si>
  <si>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Step 3: Determine the average production temperature based on temperature range selected by contractor</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</si>
  <si>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</si>
  <si>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</si>
  <si>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</si>
  <si>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</si>
  <si>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</si>
  <si>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</si>
  <si>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</si>
  <si>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</si>
  <si>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</si>
  <si>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</si>
  <si>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</si>
  <si>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 xml:space="preserve">https://www.inchcalculator.com/convert/megajoule-to-kilowatt-hour/ </t>
  </si>
  <si>
    <t>Energy equivalence (Grey hydrogen: MJ to kg)</t>
  </si>
  <si>
    <t>kg</t>
  </si>
  <si>
    <t>https://www.energy.gov/eere/fuelcells/hydrogen-storage#:~:text=On%20a%20mass%20basis%2C%20hydrogen,meet%20DOE%20hydrogen%20storage%20targets.</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</si>
  <si>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</si>
  <si>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</si>
  <si>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</si>
  <si>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</si>
  <si>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</si>
  <si>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</si>
  <si>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</si>
  <si>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</si>
  <si>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</si>
  <si>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</si>
  <si>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</si>
  <si>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</si>
  <si>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</si>
  <si>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</si>
  <si>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</si>
  <si>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Polymer_Modified_Bitumen</t>
  </si>
  <si>
    <t>Silica_fume</t>
  </si>
  <si>
    <t>No_filler</t>
  </si>
  <si>
    <t>Recycled_concrete_aggregate</t>
  </si>
  <si>
    <t>No_other_waste</t>
  </si>
  <si>
    <t>No_additives</t>
  </si>
  <si>
    <t>Rejuvenator_biobased</t>
  </si>
  <si>
    <t>Crumb_rubber</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</si>
  <si>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</si>
  <si>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</si>
  <si>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</si>
  <si>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</si>
  <si>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</si>
  <si>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</si>
  <si>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</si>
  <si>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</si>
  <si>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</si>
  <si>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</si>
  <si>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</si>
  <si>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</si>
  <si>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</si>
  <si>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</si>
  <si>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</si>
  <si>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</si>
  <si>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</si>
  <si>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</si>
  <si>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</si>
  <si>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</si>
  <si>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</si>
  <si>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</si>
  <si>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</si>
  <si>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</si>
  <si>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</si>
  <si>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</si>
  <si>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</si>
  <si>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</si>
  <si>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</si>
  <si>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</si>
  <si>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</si>
  <si>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</si>
  <si>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</si>
  <si>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Electricity Conversion factor from MJ to kWh</t>
  </si>
  <si>
    <t>List- Energy Source</t>
  </si>
  <si>
    <t>Percentage mix (%)</t>
  </si>
  <si>
    <t>Asphalt mix</t>
  </si>
  <si>
    <t>Production: Total Impacts per Impact Category (Declared Unit)</t>
  </si>
  <si>
    <t>Asphalt Mix Production</t>
  </si>
  <si>
    <t>Wheel loader operation</t>
  </si>
  <si>
    <t>Total Impact</t>
  </si>
  <si>
    <t>Total production</t>
  </si>
  <si>
    <t>top table</t>
  </si>
  <si>
    <t>bottom table</t>
  </si>
  <si>
    <t>Energy consumption (kWh/km)</t>
  </si>
  <si>
    <t>Energy consumption (kWh/tkm)</t>
  </si>
  <si>
    <t>Transport: PEF Impact Calculations</t>
  </si>
  <si>
    <t>Transport: Total Impacts per Impact Category (Declared Unit)</t>
  </si>
  <si>
    <t>Impacts</t>
  </si>
  <si>
    <t>check table</t>
  </si>
  <si>
    <t>Top table</t>
  </si>
  <si>
    <t>Bottom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</si>
  <si>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</si>
  <si>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</si>
  <si>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</si>
  <si>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</si>
  <si>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</si>
  <si>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</si>
  <si>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</si>
  <si>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</si>
  <si>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</si>
  <si>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</si>
  <si>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</si>
  <si>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</si>
  <si>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</si>
  <si>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</si>
  <si>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</si>
  <si>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</si>
  <si>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</si>
  <si>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</si>
  <si>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</si>
  <si>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</si>
  <si>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</si>
  <si>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</si>
  <si>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</si>
  <si>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</si>
  <si>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</si>
  <si>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</si>
  <si>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</si>
  <si>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</si>
  <si>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</si>
  <si>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</si>
  <si>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</si>
  <si>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</si>
  <si>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</si>
  <si>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</si>
  <si>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</si>
  <si>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</si>
  <si>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</si>
  <si>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</si>
  <si>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</si>
  <si>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</si>
  <si>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</si>
  <si>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</si>
  <si>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</si>
  <si>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</si>
  <si>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</si>
  <si>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</si>
  <si>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No_paver</t>
  </si>
  <si>
    <t>Paver_small_scale_project_25kW</t>
  </si>
  <si>
    <t>Paver_large_scale_project_354kW</t>
  </si>
  <si>
    <t>Roller_small_scale_project_30kW</t>
  </si>
  <si>
    <t>Roller_large_scale_project_100kW</t>
  </si>
  <si>
    <t>No_roller</t>
  </si>
  <si>
    <t>Step 3: PEF Impact Calculations Paver &amp; Roller</t>
  </si>
  <si>
    <t xml:space="preserve">Number of equipments </t>
  </si>
  <si>
    <t>Paving and compaction operations</t>
  </si>
  <si>
    <t>Paving operations</t>
  </si>
  <si>
    <t>Compaction operations</t>
  </si>
  <si>
    <t>Roller machine 1</t>
  </si>
  <si>
    <t>Roller machine 2</t>
  </si>
  <si>
    <t>Construction: Total Impacts per Impact Category (Declared Unit)</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</si>
  <si>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</si>
  <si>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</si>
  <si>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</si>
  <si>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</si>
  <si>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</si>
  <si>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</si>
  <si>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</si>
  <si>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</si>
  <si>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</si>
  <si>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</si>
  <si>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</si>
  <si>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</si>
  <si>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</si>
  <si>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</si>
  <si>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</si>
  <si>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</si>
  <si>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</si>
  <si>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</si>
  <si>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</si>
  <si>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</si>
  <si>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</si>
  <si>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</si>
  <si>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</si>
  <si>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</si>
  <si>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</si>
  <si>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</si>
  <si>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</si>
  <si>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</si>
  <si>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</si>
  <si>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</si>
  <si>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</si>
  <si>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</si>
  <si>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</si>
  <si>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Milling_medium_scale_project_Wirtgen_W210XPi_571kW</t>
  </si>
  <si>
    <t>Milling_large_scale_project_Wirtgen_W250Fi_753kW</t>
  </si>
  <si>
    <t>Depends on speed of the cold milling machine chosen</t>
  </si>
  <si>
    <t>Dependant on cold milling machine 1</t>
  </si>
  <si>
    <t>Step 2: PEF Impact Calculations Milling Machines</t>
  </si>
  <si>
    <t>Milling Operations</t>
  </si>
  <si>
    <t>Deconstruction: Total Impacts per Impact Category  (Declared Unit)</t>
  </si>
  <si>
    <t>Milling operation impact</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</si>
  <si>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</si>
  <si>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</si>
  <si>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</si>
  <si>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</si>
  <si>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</si>
  <si>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</si>
  <si>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</si>
  <si>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</si>
  <si>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</si>
  <si>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</si>
  <si>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</si>
  <si>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</si>
  <si>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</si>
  <si>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</si>
  <si>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</si>
  <si>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</si>
  <si>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</si>
  <si>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</si>
  <si>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</si>
  <si>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3a. Crushing of reclaimed asphalt pavement</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</si>
  <si>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</si>
  <si>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</si>
  <si>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</si>
  <si>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</si>
  <si>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</si>
  <si>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</si>
  <si>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</si>
  <si>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</si>
  <si>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</si>
  <si>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</si>
  <si>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</si>
  <si>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</si>
  <si>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</si>
  <si>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</si>
  <si>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</si>
  <si>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</si>
  <si>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</si>
  <si>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</si>
  <si>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</si>
  <si>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</si>
  <si>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</si>
  <si>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</si>
  <si>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</si>
  <si>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</si>
  <si>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</si>
  <si>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</si>
  <si>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</si>
  <si>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</si>
  <si>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</si>
  <si>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</si>
  <si>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</si>
  <si>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</si>
  <si>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</si>
  <si>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</si>
  <si>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</si>
  <si>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</si>
  <si>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</si>
  <si>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</si>
  <si>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</si>
  <si>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</si>
  <si>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</si>
  <si>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</si>
  <si>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</si>
  <si>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</si>
  <si>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</si>
  <si>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</si>
  <si>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</si>
  <si>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</si>
  <si>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</si>
  <si>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</si>
  <si>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</si>
  <si>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</si>
  <si>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</si>
  <si>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</si>
  <si>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</si>
  <si>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</si>
  <si>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Company X biogenic bitumen component |  retrieved from EPD X</t>
  </si>
  <si>
    <t>soybean oil, refined | soybean oil refinery operation | RoW | ton | PoAB_NEW</t>
  </si>
  <si>
    <t>paraffin | paraffin production | RER |ton | PoAB_NEW</t>
  </si>
  <si>
    <t>cellulose fibre production | CH</t>
  </si>
  <si>
    <t>Rejuvenator_biobased_soybean</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</si>
  <si>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</si>
  <si>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</si>
  <si>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</si>
  <si>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</si>
  <si>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</si>
  <si>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</si>
  <si>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</si>
  <si>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</si>
  <si>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Biodiesel_7%</t>
  </si>
  <si>
    <t>7% fatty acid methyl ester (rapeoil) &amp;  93% diesel combustion   | CH | RER</t>
  </si>
  <si>
    <t>Biodiesel_10%</t>
  </si>
  <si>
    <t>10% fatty acid methyl ester (rapeoil) &amp;  90% diesel combustion   | CH | RER</t>
  </si>
  <si>
    <t>20% fatty acid methyl ester (rapeoil) &amp;  80% diesel combustion   | CH | RER</t>
  </si>
  <si>
    <t>Biodiesel_100%</t>
  </si>
  <si>
    <t>100% fatty acid methyl ester (rape oil) combustion  | CH</t>
  </si>
  <si>
    <t>market for electricity, low voltage | BE</t>
  </si>
  <si>
    <t>Electric_green</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</si>
  <si>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</si>
  <si>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</si>
  <si>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</si>
  <si>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</si>
  <si>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</si>
  <si>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</si>
  <si>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</si>
  <si>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</si>
  <si>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</si>
  <si>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</si>
  <si>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</si>
  <si>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transport, freight, inland waterways, barge, diesel | RER</t>
  </si>
  <si>
    <t>Barge_tanker</t>
  </si>
  <si>
    <t xml:space="preserve">transport, freight, inland waterways, barge tanker | transport, freight, inland waterways, barge tanker | RER </t>
  </si>
  <si>
    <t>heavy_fuel_oil</t>
  </si>
  <si>
    <t>transport, freight, sea, transoceanic ship | GLO</t>
  </si>
  <si>
    <t>transport, freight, train, diesel | Europe without Switzerland</t>
  </si>
  <si>
    <t>transport, freight, train, electric | Europe without Switzerland</t>
  </si>
  <si>
    <t>Propane</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</si>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</sst>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22">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816331"/>
      <color rgb="FF009999"/>
      <color rgb="FFCCCC00"/>
      <color rgb="FFFFCC66"/>
      <color rgb="FFFF9933"/>
      <color rgb="FFA50021"/>
      <color rgb="FFFF7C80"/>
      <color rgb="FFFF0000"/>
      <color rgb="FFD20028"/>
      <color rgb="FFEFC3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4.8661055774313215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1.3536663898130448</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0.14324638187179148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7.1683222487824369E-2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1.2577034961254083</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-3.4761029144188873</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chart>
  <c:spPr>
    <a:solidFill>
      <a:schemeClr val="bg1"/>
    </a:solidFill>
    <a:ln w="9525" cap="flat" cmpd="sng" algn="ctr">
      <a:noFill/>
      <a:round/>
    </a:ln>
    <a:effectLst/>
  </c:spPr>
  <c:txPr>
    <a:bodyPr/>
    <a:lstStyle/>
    <a:p>
      <a:pPr>
        <a:defRPr sz="800"/>
      </a:pPr>
      <a:endParaRPr lang="nl-BE"/>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0.40372596875951572</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1.807359108175876</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0.33777956333932191</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3.0770325336316846</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0.21666056287408511</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0.12895614743992453</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0.18433891345668815</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4.0411037486592638E-2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7.3476155096596107E-2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0.13551304391347196</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3.6601931362071932E-2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3.5883612403529068E-6</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3.1993706905943248E-3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0.7944642002573461</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0.33868951270642422</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0.11419343017795713</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nl-BE"/>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32.154504468042923</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16.171525370749002</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1.7271550867544261</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0.70256398829953293</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18.758062939072442</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-37.502717394270519</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6.9589458070000019</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1.0156441108899819</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900"/>
      </a:pPr>
      <a:endParaRPr lang="nl-B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1.4161670193024245</c:v>
                </c:pt>
                <c:pt idx="1">
                  <c:v>1.3904853329188149</c:v>
                </c:pt>
                <c:pt idx="2">
                  <c:v>3.6800000000000006</c:v>
                </c:pt>
                <c:pt idx="3">
                  <c:v>6.3497943599999995E-2</c:v>
                </c:pt>
                <c:pt idx="4">
                  <c:v>5.6480748251686368</c:v>
                </c:pt>
                <c:pt idx="5">
                  <c:v>0.10710127324599999</c:v>
                </c:pt>
                <c:pt idx="6">
                  <c:v>0.22794679520343747</c:v>
                </c:pt>
                <c:pt idx="7">
                  <c:v>0.19145182729953297</c:v>
                </c:pt>
                <c:pt idx="8">
                  <c:v>15.943578575545565</c:v>
                </c:pt>
                <c:pt idx="9">
                  <c:v>0.51111216100000001</c:v>
                </c:pt>
                <c:pt idx="10">
                  <c:v>21.410262623571857</c:v>
                </c:pt>
                <c:pt idx="11">
                  <c:v>0.16607053698961105</c:v>
                </c:pt>
                <c:pt idx="12">
                  <c:v>18.758062939072442</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crossAx val="620420767"/>
        <c:crosses val="autoZero"/>
        <c:crossBetween val="between"/>
      </c:valAx>
      <c:spPr>
        <a:noFill/>
        <a:ln>
          <a:solidFill>
            <a:schemeClr val="bg2">
              <a:lumMod val="9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800"/>
      </a:pPr>
      <a:endParaRPr lang="nl-BE"/>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4.8661055774313215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1.3536663898130448</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0.14324638187179148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7.1683222487824369E-2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1.2577034961254083</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0.45604378522289096</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4.9967363296191371E-2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0</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-3.4761029144188873</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nl-BE"/>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pPr>
      <a:endParaRPr lang="nl-B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0.42640300288861754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2.0146984460410153</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0.34064059997916163</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3.2013820464604406</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0.21963144515193392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0.13977054909302547</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0.2006262095486705</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4.1309080594607049E-2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7.7598385257384481E-2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0.13606123086051622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3.7238382359166829E-2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3.5982191274802111E-6</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3.40854381384298E-3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0.86682972953917625</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0.37692366743112621</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0.11589129901066092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800"/>
      </a:pPr>
      <a:endParaRPr lang="nl-B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1.4161670193024245</c:v>
                </c:pt>
                <c:pt idx="1">
                  <c:v>1.3904853329188149</c:v>
                </c:pt>
                <c:pt idx="2">
                  <c:v>3.68</c:v>
                </c:pt>
                <c:pt idx="3">
                  <c:v>6.3497943599999995E-2</c:v>
                </c:pt>
                <c:pt idx="4">
                  <c:v>5.6480748251686368</c:v>
                </c:pt>
                <c:pt idx="5">
                  <c:v>0.10710127324599998</c:v>
                </c:pt>
                <c:pt idx="6">
                  <c:v>0.2279467952034375</c:v>
                </c:pt>
                <c:pt idx="7">
                  <c:v>0.19145182729953297</c:v>
                </c:pt>
                <c:pt idx="8">
                  <c:v>15.943578575545564</c:v>
                </c:pt>
                <c:pt idx="9">
                  <c:v>0.51111216100000001</c:v>
                </c:pt>
                <c:pt idx="10">
                  <c:v>21.410262623571857</c:v>
                </c:pt>
                <c:pt idx="11">
                  <c:v>0.16607053698961105</c:v>
                </c:pt>
                <c:pt idx="12">
                  <c:v>18.758062939072442</c:v>
                </c:pt>
                <c:pt idx="13">
                  <c:v>6.958945807000001</c:v>
                </c:pt>
                <c:pt idx="14">
                  <c:v>1.0156441108899819</c:v>
                </c:pt>
                <c:pt idx="15">
                  <c:v>0</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crossAx val="620420767"/>
        <c:crosses val="autoZero"/>
        <c:crossBetween val="between"/>
      </c:valAx>
      <c:spPr>
        <a:noFill/>
        <a:ln>
          <a:solidFill>
            <a:schemeClr val="bg2">
              <a:lumMod val="9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800"/>
      </a:pPr>
      <a:endParaRPr lang="nl-BE"/>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32.154504468042923</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16.171525370749002</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1.7271550867544261</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0.70256398829953293</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18.758062939072442</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6.9589458070000019</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1.0156441108899819</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-37.502717394270519</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379967"/>
        <c:crosses val="autoZero"/>
        <c:crossBetween val="between"/>
        <c:majorUnit val="10"/>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nl-BE"/>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900"/>
      </a:pPr>
      <a:endParaRPr lang="nl-B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0.93429227086681377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0.25990394684410462</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2.7503305319383962E-2</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1.3763178717662274E-2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0.24147907125607831</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8.7560406762795071E-2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9.5937337528687449E-3</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0</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-0.66741175956842647</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nl-BE"/>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pPr>
      <a:endParaRPr lang="nl-B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6.1736648578642397</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3.1049328711838085</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0.33161377665684982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0.13489228575351034</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3.6015480843019088</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1.3361175949440003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0.19500366929087651</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-7.2005217396999397</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413087"/>
        <c:crosses val="autoZero"/>
        <c:crossBetween val="between"/>
        <c:majorUnit val="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nl-BE"/>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800"/>
      </a:pPr>
      <a:endParaRPr lang="nl-B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8.1869376554614556E-2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0.38682210163987502</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6.5402995195999056E-2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0.61466535292040447</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4.2169237469171311E-2</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2.6835945425860885E-2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3.8520232233344734E-2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7.9313434741645553E-3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1.4898889969417822E-2</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2.612375632521911E-2</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7.1497694129600302E-3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6.9085807247620052E-7</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6.5444041225785215E-4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0.16643130807152184</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7.2369344146776218E-2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2.2251129410046904E-2</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800"/>
      </a:pPr>
      <a:endParaRPr lang="nl-B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nl-B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0.27190406770606551</c:v>
                </c:pt>
                <c:pt idx="1">
                  <c:v>0.26697318392041247</c:v>
                </c:pt>
                <c:pt idx="2">
                  <c:v>0.70656000000000008</c:v>
                </c:pt>
                <c:pt idx="3">
                  <c:v>1.21916051712E-2</c:v>
                </c:pt>
                <c:pt idx="4">
                  <c:v>1.0844303664323782</c:v>
                </c:pt>
                <c:pt idx="5">
                  <c:v>2.0563444463231998E-2</c:v>
                </c:pt>
                <c:pt idx="6">
                  <c:v>4.3765784679059998E-2</c:v>
                </c:pt>
                <c:pt idx="7">
                  <c:v>3.6758750841510333E-2</c:v>
                </c:pt>
                <c:pt idx="8">
                  <c:v>3.0611670865047484</c:v>
                </c:pt>
                <c:pt idx="9">
                  <c:v>9.8133534911999998E-2</c:v>
                </c:pt>
                <c:pt idx="10">
                  <c:v>4.1107704237257963</c:v>
                </c:pt>
                <c:pt idx="11">
                  <c:v>3.1885543102005323E-2</c:v>
                </c:pt>
                <c:pt idx="12">
                  <c:v>3.6015480843019088</c:v>
                </c:pt>
                <c:pt idx="13">
                  <c:v>1.3361175949440003</c:v>
                </c:pt>
                <c:pt idx="14">
                  <c:v>0.19500366929087651</c:v>
                </c:pt>
                <c:pt idx="15">
                  <c:v>0</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nl-BE"/>
          </a:p>
        </c:txPr>
        <c:crossAx val="620420767"/>
        <c:crosses val="autoZero"/>
        <c:crossBetween val="between"/>
      </c:valAx>
      <c:spPr>
        <a:noFill/>
        <a:ln>
          <a:solidFill>
            <a:schemeClr val="bg2">
              <a:lumMod val="9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800"/>
      </a:pPr>
      <a:endParaRPr lang="nl-BE"/>
    </a:p>
  </c:txPr>
  <c:printSettings>
    <c:headerFooter/>
    <c:pageMargins b="0.59055118110236227" l="0.59055118110236227" r="0.59055118110236227" t="0.74803149606299213" header="0.31496062992125984" footer="0.31496062992125984"/>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83</xdr:row>
      <xdr:rowOff>140425</xdr:rowOff>
    </xdr:from>
    <xdr:to>
      <xdr:col>1</xdr:col>
      <xdr:colOff>1630680</xdr:colOff>
      <xdr:row>85</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437642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tesla.com/semi"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6.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5" zeroHeight="1" x14ac:dyDescent="0.25"/>
  <cols>
    <col min="1" max="1" width="65.42578125" style="254" customWidth="1"/>
    <col min="2" max="16384" width="8.85546875" hidden="1"/>
  </cols>
  <sheetData>
    <row r="1" spans="1:1" x14ac:dyDescent="0.25"/>
    <row r="2" spans="1:1" ht="76.150000000000006" customHeight="1" x14ac:dyDescent="0.25">
      <c r="A2" s="287" t="s">
        <v>0</v>
      </c>
    </row>
    <row r="3" spans="1:1" x14ac:dyDescent="0.25"/>
    <row r="4" spans="1:1" x14ac:dyDescent="0.25">
      <c r="A4" s="288" t="s">
        <v>1</v>
      </c>
    </row>
    <row r="5" spans="1:1" x14ac:dyDescent="0.25">
      <c r="A5" s="288" t="s">
        <v>2</v>
      </c>
    </row>
    <row r="6" spans="1:1" x14ac:dyDescent="0.25">
      <c r="A6" s="288"/>
    </row>
    <row r="7" spans="1:1" x14ac:dyDescent="0.25"/>
    <row r="8" spans="1:1" x14ac:dyDescent="0.25"/>
    <row r="9" spans="1:1" x14ac:dyDescent="0.25"/>
    <row r="10" spans="1:1" x14ac:dyDescent="0.25"/>
    <row r="11" spans="1:1" x14ac:dyDescent="0.25"/>
    <row r="12" spans="1:1" ht="60" x14ac:dyDescent="0.25">
      <c r="A12" s="290" t="s">
        <v>3</v>
      </c>
    </row>
    <row r="13" spans="1:1" x14ac:dyDescent="0.25"/>
    <row r="14" spans="1:1" x14ac:dyDescent="0.25"/>
    <row r="15" spans="1:1" x14ac:dyDescent="0.25">
      <c r="A15" s="289" t="s">
        <v>4</v>
      </c>
    </row>
    <row r="16" spans="1:1" x14ac:dyDescent="0.25"/>
    <row r="17" spans="1:1" ht="30" x14ac:dyDescent="0.25">
      <c r="A17" s="287" t="s">
        <v>5</v>
      </c>
    </row>
    <row r="18" spans="1:1" x14ac:dyDescent="0.25"/>
    <row r="19" spans="1:1" x14ac:dyDescent="0.25"/>
    <row r="20" spans="1:1" x14ac:dyDescent="0.25"/>
    <row r="21" spans="1:1" x14ac:dyDescent="0.25"/>
    <row r="22" spans="1:1" x14ac:dyDescent="0.25"/>
    <row r="23" spans="1:1" x14ac:dyDescent="0.25"/>
    <row r="24" spans="1:1" x14ac:dyDescent="0.2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6"/>
  <sheetViews>
    <sheetView showGridLines="0" tabSelected="1" zoomScale="81" zoomScaleNormal="81" workbookViewId="0">
      <pane xSplit="1" ySplit="2" topLeftCell="B3" activePane="bottomRight" state="frozen"/>
      <selection pane="topRight" activeCell="B1" sqref="B1"/>
      <selection pane="bottomLeft" activeCell="A3" sqref="A3"/>
      <selection pane="bottomRight" activeCell="B6" sqref="B6"/>
    </sheetView>
  </sheetViews>
  <sheetFormatPr defaultRowHeight="15" x14ac:dyDescent="0.25"/>
  <cols>
    <col min="1" max="1" width="57.85546875" customWidth="1"/>
    <col min="2" max="2" width="37.28515625" customWidth="1"/>
    <col min="3" max="3" width="21.140625" customWidth="1"/>
    <col min="4" max="4" width="12.42578125" customWidth="1"/>
    <col min="5" max="5" width="12.28515625" customWidth="1"/>
    <col min="6" max="6" width="11.85546875" customWidth="1"/>
    <col min="7" max="7" width="10.140625" customWidth="1"/>
    <col min="8" max="8" width="28.28515625" customWidth="1"/>
    <col min="9" max="9" width="16.5703125" customWidth="1"/>
    <col min="10" max="10" width="9.7109375" customWidth="1"/>
    <col min="11" max="11" width="12.42578125" customWidth="1"/>
    <col min="12" max="12" width="8.5703125" customWidth="1"/>
    <col min="13" max="13" width="9.7109375" customWidth="1"/>
    <col min="14" max="14" width="12.42578125" customWidth="1"/>
    <col min="15" max="15" width="8.5703125" customWidth="1"/>
    <col min="16" max="16" width="9.7109375" customWidth="1"/>
    <col min="17" max="17" width="12.42578125" customWidth="1"/>
    <col min="18" max="18" width="8.5703125" customWidth="1"/>
    <col min="19" max="19" width="11.85546875" customWidth="1"/>
    <col min="20" max="20" width="6.140625" style="339" customWidth="1"/>
    <col min="21" max="21" width="6.42578125" style="339" customWidth="1"/>
    <col min="22" max="22" width="13.5703125" customWidth="1"/>
    <col min="23" max="23" width="11.85546875" customWidth="1"/>
    <col min="24" max="24" width="13" customWidth="1"/>
  </cols>
  <sheetData>
    <row r="1" spans="1:13" ht="21" x14ac:dyDescent="0.35">
      <c r="A1" s="76" t="s">
        <v>6</v>
      </c>
    </row>
    <row r="4" spans="1:13" ht="18.75" x14ac:dyDescent="0.3">
      <c r="A4" s="72" t="s">
        <v>7</v>
      </c>
      <c r="B4" s="72"/>
      <c r="C4" t="s">
        <v>8</v>
      </c>
      <c r="F4" s="93"/>
      <c r="G4" s="93"/>
      <c r="H4" s="93"/>
    </row>
    <row r="5" spans="1:13" x14ac:dyDescent="0.25">
      <c r="A5" s="1" t="s">
        <v>9</v>
      </c>
      <c r="B5" s="229">
        <v>45747</v>
      </c>
      <c r="C5" s="345">
        <v>45747</v>
      </c>
      <c r="F5" s="93"/>
      <c r="G5" s="93"/>
      <c r="H5" s="93"/>
    </row>
    <row r="6" spans="1:13" x14ac:dyDescent="0.25">
      <c r="A6" s="1" t="s">
        <v>10</v>
      </c>
      <c r="B6" s="315">
        <v>2221</v>
      </c>
      <c r="C6" s="346">
        <v>2221</v>
      </c>
      <c r="F6" s="93"/>
      <c r="G6" s="93"/>
      <c r="H6" s="93"/>
    </row>
    <row r="7" spans="1:13" x14ac:dyDescent="0.25">
      <c r="A7" s="1" t="s">
        <v>11</v>
      </c>
      <c r="B7" s="230"/>
      <c r="C7" s="346" t="s">
        <v>12</v>
      </c>
      <c r="F7" s="93"/>
      <c r="G7" s="93"/>
      <c r="H7" s="93"/>
    </row>
    <row r="8" spans="1:13" x14ac:dyDescent="0.25">
      <c r="A8" s="1" t="s">
        <v>13</v>
      </c>
      <c r="B8" s="230"/>
      <c r="C8" s="347" t="s">
        <v>14</v>
      </c>
      <c r="F8" s="93"/>
      <c r="G8" s="93"/>
      <c r="H8" s="93"/>
    </row>
    <row r="9" spans="1:13" x14ac:dyDescent="0.25">
      <c r="A9" s="1" t="s">
        <v>15</v>
      </c>
      <c r="B9" s="231">
        <v>4.2999999999999997E-2</v>
      </c>
      <c r="C9" s="348">
        <v>4.2999999999999997E-2</v>
      </c>
      <c r="D9" s="11"/>
      <c r="F9" s="93"/>
      <c r="G9" s="93"/>
      <c r="H9" s="93"/>
    </row>
    <row r="10" spans="1:13" x14ac:dyDescent="0.25">
      <c r="A10" s="13" t="s">
        <v>16</v>
      </c>
      <c r="B10" s="151">
        <f>(B9-B39)/B9</f>
        <v>0.53488372093023251</v>
      </c>
      <c r="F10" s="93"/>
      <c r="G10" s="93"/>
      <c r="H10" s="93"/>
    </row>
    <row r="11" spans="1:13" x14ac:dyDescent="0.25">
      <c r="A11" s="24"/>
      <c r="F11" s="93"/>
      <c r="G11" s="93"/>
      <c r="H11" s="93"/>
    </row>
    <row r="12" spans="1:13" x14ac:dyDescent="0.25">
      <c r="F12" s="93"/>
      <c r="G12" s="93"/>
      <c r="H12" s="93"/>
      <c r="L12" s="3"/>
      <c r="M12" s="12"/>
    </row>
    <row r="13" spans="1:13" ht="18.75" x14ac:dyDescent="0.3">
      <c r="A13" s="72" t="s">
        <v>17</v>
      </c>
      <c r="B13" s="72"/>
      <c r="F13" s="24"/>
      <c r="M13" s="11"/>
    </row>
    <row r="14" spans="1:13" x14ac:dyDescent="0.25">
      <c r="A14" s="1" t="s">
        <v>18</v>
      </c>
      <c r="B14" s="232" t="s">
        <v>19</v>
      </c>
      <c r="M14" s="11"/>
    </row>
    <row r="15" spans="1:13" x14ac:dyDescent="0.25">
      <c r="A15" s="1" t="s">
        <v>20</v>
      </c>
      <c r="B15" s="232" t="s">
        <v>21</v>
      </c>
      <c r="E15" s="11"/>
    </row>
    <row r="16" spans="1:13" x14ac:dyDescent="0.25">
      <c r="A16" s="1" t="s">
        <v>22</v>
      </c>
      <c r="B16" s="230">
        <v>180</v>
      </c>
      <c r="L16" s="11"/>
    </row>
    <row r="17" spans="1:21" x14ac:dyDescent="0.25">
      <c r="A17" s="1" t="s">
        <v>23</v>
      </c>
      <c r="B17" s="232" t="s">
        <v>24</v>
      </c>
      <c r="C17" s="235">
        <v>0.8</v>
      </c>
      <c r="D17" s="24" t="str">
        <f>IF(AND(C17 + C18 = 100%, OR(B18 &lt;&gt; "No", C18 = 0%)), "Correct", IF(B18 = "No", "Error", "Error: Check %"))</f>
        <v>Correct</v>
      </c>
    </row>
    <row r="18" spans="1:21" ht="13.9" customHeight="1" x14ac:dyDescent="0.25">
      <c r="A18" s="1" t="s">
        <v>25</v>
      </c>
      <c r="B18" s="232" t="s">
        <v>26</v>
      </c>
      <c r="C18" s="235">
        <v>0.2</v>
      </c>
      <c r="E18" s="11"/>
    </row>
    <row r="19" spans="1:21" x14ac:dyDescent="0.25">
      <c r="A19" s="1" t="s">
        <v>27</v>
      </c>
      <c r="B19" s="233" t="s">
        <v>28</v>
      </c>
      <c r="C19" s="236" t="s">
        <v>26</v>
      </c>
      <c r="D19" t="str">
        <f>IF(OR(AND(B19="Yes", C19&lt;&gt;"No"), AND(B19="No",C19="No")), "Correct", "Error")</f>
        <v>Correct</v>
      </c>
    </row>
    <row r="20" spans="1:21" ht="14.45" hidden="1" customHeight="1" x14ac:dyDescent="0.25">
      <c r="A20" s="8" t="s">
        <v>29</v>
      </c>
      <c r="B20" s="234" t="s">
        <v>30</v>
      </c>
      <c r="C20" s="131"/>
    </row>
    <row r="21" spans="1:21" x14ac:dyDescent="0.25">
      <c r="A21" s="1" t="s">
        <v>31</v>
      </c>
      <c r="B21" s="230" t="s">
        <v>32</v>
      </c>
      <c r="D21" s="11"/>
    </row>
    <row r="22" spans="1:21" ht="16.5" x14ac:dyDescent="0.25">
      <c r="A22" s="1" t="s">
        <v>33</v>
      </c>
      <c r="B22" s="230">
        <v>2400</v>
      </c>
      <c r="D22" s="11"/>
    </row>
    <row r="23" spans="1:21" x14ac:dyDescent="0.25">
      <c r="A23" s="1" t="s">
        <v>34</v>
      </c>
      <c r="B23" s="230">
        <v>11.2</v>
      </c>
    </row>
    <row r="24" spans="1:21" x14ac:dyDescent="0.25">
      <c r="B24" s="29"/>
    </row>
    <row r="25" spans="1:21" x14ac:dyDescent="0.25">
      <c r="B25" s="4" t="s">
        <v>35</v>
      </c>
      <c r="C25" s="4" t="s">
        <v>36</v>
      </c>
      <c r="D25" s="3"/>
      <c r="E25" s="59"/>
      <c r="F25" s="59"/>
      <c r="H25" s="3"/>
      <c r="J25" s="3"/>
      <c r="K25" s="3"/>
      <c r="L25" s="3"/>
      <c r="M25" s="3"/>
    </row>
    <row r="26" spans="1:21" ht="13.9" customHeight="1" x14ac:dyDescent="0.25">
      <c r="A26" s="1" t="s">
        <v>37</v>
      </c>
      <c r="B26" s="232" t="s">
        <v>38</v>
      </c>
      <c r="C26" s="232" t="s">
        <v>39</v>
      </c>
      <c r="D26" s="60" t="str">
        <f>IF(OR(AND(B26="No_wheel_loader", C26&lt;&gt;"No"), AND(C26="No", B26&lt;&gt;"No_wheel_loader")), "Error", "")</f>
        <v/>
      </c>
      <c r="E26" s="60"/>
      <c r="F26" s="64"/>
      <c r="G26" s="24"/>
      <c r="U26" s="339">
        <f>IF(OR(AND(B26="No_wheel_loader", C26&lt;&gt;"No"), AND(C26="No", B26&lt;&gt;"No_wheel_loader")), 1, 0)</f>
        <v>0</v>
      </c>
    </row>
    <row r="27" spans="1:21" x14ac:dyDescent="0.25">
      <c r="A27" s="31"/>
      <c r="C27" s="29"/>
    </row>
    <row r="29" spans="1:21" ht="18.75" x14ac:dyDescent="0.3">
      <c r="A29" s="72" t="s">
        <v>40</v>
      </c>
      <c r="B29" s="72"/>
      <c r="C29" s="72"/>
    </row>
    <row r="30" spans="1:21" ht="16.5" x14ac:dyDescent="0.25">
      <c r="A30" s="18" t="s">
        <v>41</v>
      </c>
      <c r="B30" s="18" t="s">
        <v>42</v>
      </c>
      <c r="C30" s="18" t="s">
        <v>43</v>
      </c>
    </row>
    <row r="31" spans="1:21" x14ac:dyDescent="0.25">
      <c r="A31" s="1" t="s">
        <v>44</v>
      </c>
      <c r="B31" s="237">
        <v>80</v>
      </c>
      <c r="C31" s="152">
        <f>($B$22/1000)*($B$31/1000)</f>
        <v>0.192</v>
      </c>
      <c r="F31" s="67"/>
    </row>
    <row r="32" spans="1:21" x14ac:dyDescent="0.25">
      <c r="F32" s="71"/>
    </row>
    <row r="33" spans="1:24" ht="13.9" customHeight="1" x14ac:dyDescent="0.25">
      <c r="E33" s="11"/>
      <c r="J33" s="11"/>
      <c r="W33" s="17"/>
    </row>
    <row r="34" spans="1:24" ht="18.75" x14ac:dyDescent="0.3">
      <c r="A34" s="72" t="s">
        <v>45</v>
      </c>
    </row>
    <row r="35" spans="1:24" ht="120" x14ac:dyDescent="0.25">
      <c r="A35" s="28" t="s">
        <v>46</v>
      </c>
    </row>
    <row r="36" spans="1:24" ht="30.6" customHeight="1" x14ac:dyDescent="0.25">
      <c r="A36" s="363" t="s">
        <v>47</v>
      </c>
      <c r="B36" s="363" t="s">
        <v>48</v>
      </c>
      <c r="C36" s="363" t="s">
        <v>35</v>
      </c>
      <c r="D36" s="364" t="s">
        <v>49</v>
      </c>
      <c r="E36" s="364" t="s">
        <v>50</v>
      </c>
      <c r="F36" s="360" t="s">
        <v>51</v>
      </c>
      <c r="G36" s="357" t="s">
        <v>52</v>
      </c>
      <c r="H36" s="350" t="s">
        <v>53</v>
      </c>
      <c r="I36" s="351"/>
      <c r="J36" s="351"/>
      <c r="K36" s="351"/>
      <c r="L36" s="351"/>
      <c r="M36" s="351"/>
      <c r="N36" s="351"/>
      <c r="O36" s="351"/>
      <c r="P36" s="351"/>
      <c r="Q36" s="351"/>
      <c r="R36" s="352"/>
      <c r="S36" s="16"/>
      <c r="T36" s="340"/>
      <c r="U36" s="340"/>
      <c r="V36" s="16"/>
      <c r="W36" s="16"/>
      <c r="X36" s="16"/>
    </row>
    <row r="37" spans="1:24" x14ac:dyDescent="0.25">
      <c r="A37" s="363"/>
      <c r="B37" s="363"/>
      <c r="C37" s="363"/>
      <c r="D37" s="364"/>
      <c r="E37" s="364"/>
      <c r="F37" s="361"/>
      <c r="G37" s="358"/>
      <c r="H37" s="356" t="s">
        <v>54</v>
      </c>
      <c r="I37" s="356" t="s">
        <v>55</v>
      </c>
      <c r="J37" s="353" t="s">
        <v>56</v>
      </c>
      <c r="K37" s="354"/>
      <c r="L37" s="355"/>
      <c r="M37" s="353" t="s">
        <v>57</v>
      </c>
      <c r="N37" s="354"/>
      <c r="O37" s="355"/>
      <c r="P37" s="353" t="s">
        <v>58</v>
      </c>
      <c r="Q37" s="354"/>
      <c r="R37" s="355"/>
    </row>
    <row r="38" spans="1:24" ht="28.9" customHeight="1" x14ac:dyDescent="0.25">
      <c r="A38" s="363"/>
      <c r="B38" s="363"/>
      <c r="C38" s="363"/>
      <c r="D38" s="364"/>
      <c r="E38" s="364"/>
      <c r="F38" s="362"/>
      <c r="G38" s="359"/>
      <c r="H38" s="356"/>
      <c r="I38" s="356"/>
      <c r="J38" s="19" t="s">
        <v>59</v>
      </c>
      <c r="K38" s="19" t="s">
        <v>36</v>
      </c>
      <c r="L38" s="19" t="s">
        <v>60</v>
      </c>
      <c r="M38" s="19" t="s">
        <v>59</v>
      </c>
      <c r="N38" s="19" t="s">
        <v>36</v>
      </c>
      <c r="O38" s="19" t="s">
        <v>60</v>
      </c>
      <c r="P38" s="19" t="s">
        <v>59</v>
      </c>
      <c r="Q38" s="19" t="s">
        <v>36</v>
      </c>
      <c r="R38" s="19" t="s">
        <v>60</v>
      </c>
      <c r="T38" s="341" t="s">
        <v>61</v>
      </c>
      <c r="U38" s="341" t="s">
        <v>62</v>
      </c>
    </row>
    <row r="39" spans="1:24" ht="15" customHeight="1" x14ac:dyDescent="0.25">
      <c r="A39" s="1" t="s">
        <v>63</v>
      </c>
      <c r="B39" s="238">
        <v>0.02</v>
      </c>
      <c r="C39" s="232" t="s">
        <v>64</v>
      </c>
      <c r="D39" s="232" t="s">
        <v>65</v>
      </c>
      <c r="E39" s="239">
        <v>0.1</v>
      </c>
      <c r="F39" s="134" t="str">
        <f>IF(AND(D39="No",E39&gt;0), "Check biogenic content","Correct")</f>
        <v>Correct</v>
      </c>
      <c r="G39" s="1"/>
      <c r="H39" s="1" t="s">
        <v>66</v>
      </c>
      <c r="I39" s="154" t="str">
        <f>IF($B39=0%,"Do not fill Transport", "Fill Transport")</f>
        <v>Fill Transport</v>
      </c>
      <c r="J39" s="232" t="s">
        <v>67</v>
      </c>
      <c r="K39" s="232" t="s">
        <v>68</v>
      </c>
      <c r="L39" s="240">
        <v>20</v>
      </c>
      <c r="M39" s="232" t="s">
        <v>30</v>
      </c>
      <c r="N39" s="232" t="s">
        <v>30</v>
      </c>
      <c r="O39" s="232">
        <v>0</v>
      </c>
      <c r="P39" s="232" t="s">
        <v>30</v>
      </c>
      <c r="Q39" s="232" t="s">
        <v>30</v>
      </c>
      <c r="R39" s="232">
        <v>0</v>
      </c>
      <c r="U39" s="339">
        <f>+IF(B39&gt;0,IF(K39="No",1,IF(SUM(L39,O39,R39)&gt;0,0,2)),0)</f>
        <v>0</v>
      </c>
    </row>
    <row r="40" spans="1:24" x14ac:dyDescent="0.25">
      <c r="A40" s="1" t="s">
        <v>69</v>
      </c>
      <c r="B40" s="238">
        <v>0</v>
      </c>
      <c r="C40" s="1"/>
      <c r="D40" s="9"/>
      <c r="E40" s="9"/>
      <c r="F40" s="9"/>
      <c r="G40" s="232" t="s">
        <v>30</v>
      </c>
      <c r="H40" s="1" t="s">
        <v>70</v>
      </c>
      <c r="I40" s="154" t="str">
        <f t="shared" ref="I40:I57" si="0">IF($B40=0%,"Do not fill Transport", "Fill Transport")</f>
        <v>Do not fill Transport</v>
      </c>
      <c r="J40" s="232" t="s">
        <v>30</v>
      </c>
      <c r="K40" s="232" t="s">
        <v>30</v>
      </c>
      <c r="L40" s="240">
        <v>0</v>
      </c>
      <c r="M40" s="232" t="s">
        <v>30</v>
      </c>
      <c r="N40" s="232" t="s">
        <v>30</v>
      </c>
      <c r="O40" s="240">
        <v>0</v>
      </c>
      <c r="P40" s="232" t="s">
        <v>30</v>
      </c>
      <c r="Q40" s="232" t="s">
        <v>30</v>
      </c>
      <c r="R40" s="240">
        <v>0</v>
      </c>
      <c r="U40" s="339">
        <f t="shared" ref="U40:U57" si="1">+IF(B40&gt;0,IF(K40="No",1,IF(SUM(L40,O40,R40)&gt;0,0,2)),0)</f>
        <v>0</v>
      </c>
    </row>
    <row r="41" spans="1:24" x14ac:dyDescent="0.25">
      <c r="A41" s="1" t="s">
        <v>71</v>
      </c>
      <c r="B41" s="238">
        <v>0.2</v>
      </c>
      <c r="C41" s="1"/>
      <c r="D41" s="45"/>
      <c r="E41" s="45"/>
      <c r="F41" s="45"/>
      <c r="G41" s="232" t="s">
        <v>30</v>
      </c>
      <c r="H41" s="1"/>
      <c r="I41" s="154" t="str">
        <f t="shared" si="0"/>
        <v>Fill Transport</v>
      </c>
      <c r="J41" s="232" t="s">
        <v>72</v>
      </c>
      <c r="K41" s="232" t="s">
        <v>73</v>
      </c>
      <c r="L41" s="240">
        <v>40</v>
      </c>
      <c r="M41" s="232" t="s">
        <v>72</v>
      </c>
      <c r="N41" s="232" t="s">
        <v>73</v>
      </c>
      <c r="O41" s="240">
        <v>40</v>
      </c>
      <c r="P41" s="232" t="s">
        <v>30</v>
      </c>
      <c r="Q41" s="232" t="s">
        <v>30</v>
      </c>
      <c r="R41" s="240">
        <v>0</v>
      </c>
      <c r="U41" s="339">
        <f t="shared" si="1"/>
        <v>0</v>
      </c>
    </row>
    <row r="42" spans="1:24" x14ac:dyDescent="0.25">
      <c r="A42" s="1" t="s">
        <v>74</v>
      </c>
      <c r="B42" s="238">
        <v>0.1</v>
      </c>
      <c r="C42" s="1"/>
      <c r="D42" s="45"/>
      <c r="E42" s="45"/>
      <c r="F42" s="45"/>
      <c r="G42" s="232" t="s">
        <v>28</v>
      </c>
      <c r="H42" s="1"/>
      <c r="I42" s="154" t="str">
        <f t="shared" si="0"/>
        <v>Fill Transport</v>
      </c>
      <c r="J42" s="232" t="s">
        <v>72</v>
      </c>
      <c r="K42" s="232" t="s">
        <v>73</v>
      </c>
      <c r="L42" s="240">
        <v>40</v>
      </c>
      <c r="M42" s="232" t="s">
        <v>72</v>
      </c>
      <c r="N42" s="232" t="s">
        <v>73</v>
      </c>
      <c r="O42" s="240">
        <v>40</v>
      </c>
      <c r="P42" s="232" t="s">
        <v>72</v>
      </c>
      <c r="Q42" s="232" t="s">
        <v>73</v>
      </c>
      <c r="R42" s="240">
        <v>40</v>
      </c>
      <c r="U42" s="339">
        <f t="shared" si="1"/>
        <v>0</v>
      </c>
    </row>
    <row r="43" spans="1:24" x14ac:dyDescent="0.25">
      <c r="A43" s="1" t="s">
        <v>75</v>
      </c>
      <c r="B43" s="238">
        <v>0.06</v>
      </c>
      <c r="C43" s="1"/>
      <c r="D43" s="45"/>
      <c r="E43" s="45"/>
      <c r="F43" s="45"/>
      <c r="G43" s="232" t="s">
        <v>30</v>
      </c>
      <c r="H43" s="1" t="s">
        <v>76</v>
      </c>
      <c r="I43" s="154" t="str">
        <f t="shared" si="0"/>
        <v>Fill Transport</v>
      </c>
      <c r="J43" s="232" t="s">
        <v>67</v>
      </c>
      <c r="K43" s="232" t="s">
        <v>77</v>
      </c>
      <c r="L43" s="240">
        <v>22</v>
      </c>
      <c r="M43" s="232" t="s">
        <v>30</v>
      </c>
      <c r="N43" s="232" t="s">
        <v>30</v>
      </c>
      <c r="O43" s="240">
        <v>0</v>
      </c>
      <c r="P43" s="232" t="s">
        <v>30</v>
      </c>
      <c r="Q43" s="232" t="s">
        <v>30</v>
      </c>
      <c r="R43" s="240">
        <v>0</v>
      </c>
      <c r="U43" s="339">
        <f t="shared" si="1"/>
        <v>0</v>
      </c>
    </row>
    <row r="44" spans="1:24" x14ac:dyDescent="0.25">
      <c r="A44" s="1" t="s">
        <v>78</v>
      </c>
      <c r="B44" s="238">
        <v>0</v>
      </c>
      <c r="C44" s="1"/>
      <c r="D44" s="45"/>
      <c r="E44" s="45"/>
      <c r="F44" s="45"/>
      <c r="G44" s="232" t="s">
        <v>30</v>
      </c>
      <c r="H44" s="1"/>
      <c r="I44" s="154" t="str">
        <f t="shared" si="0"/>
        <v>Do not fill Transport</v>
      </c>
      <c r="J44" s="232" t="s">
        <v>30</v>
      </c>
      <c r="K44" s="232" t="s">
        <v>30</v>
      </c>
      <c r="L44" s="240">
        <v>0</v>
      </c>
      <c r="M44" s="232" t="s">
        <v>30</v>
      </c>
      <c r="N44" s="232" t="s">
        <v>30</v>
      </c>
      <c r="O44" s="240">
        <v>0</v>
      </c>
      <c r="P44" s="232" t="s">
        <v>30</v>
      </c>
      <c r="Q44" s="232" t="s">
        <v>30</v>
      </c>
      <c r="R44" s="240">
        <v>0</v>
      </c>
      <c r="U44" s="339">
        <f t="shared" si="1"/>
        <v>0</v>
      </c>
    </row>
    <row r="45" spans="1:24" x14ac:dyDescent="0.25">
      <c r="A45" s="1" t="s">
        <v>79</v>
      </c>
      <c r="B45" s="238">
        <v>0.03</v>
      </c>
      <c r="C45" s="1"/>
      <c r="D45" s="45"/>
      <c r="E45" s="45"/>
      <c r="F45" s="45"/>
      <c r="G45" s="232" t="s">
        <v>28</v>
      </c>
      <c r="H45" s="1"/>
      <c r="I45" s="154" t="str">
        <f t="shared" si="0"/>
        <v>Fill Transport</v>
      </c>
      <c r="J45" s="232" t="s">
        <v>67</v>
      </c>
      <c r="K45" s="232" t="s">
        <v>77</v>
      </c>
      <c r="L45" s="240">
        <v>40</v>
      </c>
      <c r="M45" s="232" t="s">
        <v>67</v>
      </c>
      <c r="N45" s="232" t="s">
        <v>77</v>
      </c>
      <c r="O45" s="240">
        <v>40</v>
      </c>
      <c r="P45" s="232" t="s">
        <v>67</v>
      </c>
      <c r="Q45" s="232" t="s">
        <v>77</v>
      </c>
      <c r="R45" s="240">
        <v>40</v>
      </c>
      <c r="U45" s="339">
        <f t="shared" si="1"/>
        <v>0</v>
      </c>
    </row>
    <row r="46" spans="1:24" x14ac:dyDescent="0.25">
      <c r="A46" s="1" t="s">
        <v>80</v>
      </c>
      <c r="B46" s="238">
        <v>0.02</v>
      </c>
      <c r="C46" s="1"/>
      <c r="D46" s="45"/>
      <c r="E46" s="45"/>
      <c r="F46" s="45"/>
      <c r="G46" s="232" t="s">
        <v>30</v>
      </c>
      <c r="H46" s="1" t="s">
        <v>81</v>
      </c>
      <c r="I46" s="154" t="str">
        <f t="shared" si="0"/>
        <v>Fill Transport</v>
      </c>
      <c r="J46" s="232" t="s">
        <v>82</v>
      </c>
      <c r="K46" s="232" t="s">
        <v>83</v>
      </c>
      <c r="L46" s="240">
        <v>22</v>
      </c>
      <c r="M46" s="232" t="s">
        <v>82</v>
      </c>
      <c r="N46" s="232" t="s">
        <v>39</v>
      </c>
      <c r="O46" s="240">
        <v>30</v>
      </c>
      <c r="P46" s="232" t="s">
        <v>82</v>
      </c>
      <c r="Q46" s="232" t="s">
        <v>39</v>
      </c>
      <c r="R46" s="240">
        <v>30</v>
      </c>
      <c r="U46" s="339">
        <f t="shared" si="1"/>
        <v>0</v>
      </c>
    </row>
    <row r="47" spans="1:24" x14ac:dyDescent="0.25">
      <c r="A47" s="1" t="s">
        <v>84</v>
      </c>
      <c r="B47" s="238">
        <v>0.02</v>
      </c>
      <c r="C47" s="1"/>
      <c r="D47" s="45"/>
      <c r="E47" s="45"/>
      <c r="F47" s="45"/>
      <c r="G47" s="232" t="s">
        <v>30</v>
      </c>
      <c r="H47" s="1"/>
      <c r="I47" s="154" t="str">
        <f t="shared" si="0"/>
        <v>Fill Transport</v>
      </c>
      <c r="J47" s="232" t="s">
        <v>82</v>
      </c>
      <c r="K47" s="232" t="s">
        <v>39</v>
      </c>
      <c r="L47" s="240">
        <v>30</v>
      </c>
      <c r="M47" s="232" t="s">
        <v>82</v>
      </c>
      <c r="N47" s="232" t="s">
        <v>39</v>
      </c>
      <c r="O47" s="240">
        <v>30</v>
      </c>
      <c r="P47" s="232" t="s">
        <v>82</v>
      </c>
      <c r="Q47" s="232" t="s">
        <v>39</v>
      </c>
      <c r="R47" s="240">
        <v>30</v>
      </c>
      <c r="U47" s="339">
        <f t="shared" si="1"/>
        <v>0</v>
      </c>
    </row>
    <row r="48" spans="1:24" x14ac:dyDescent="0.25">
      <c r="A48" s="1" t="s">
        <v>85</v>
      </c>
      <c r="B48" s="238">
        <v>0.02</v>
      </c>
      <c r="C48" s="1"/>
      <c r="D48" s="45"/>
      <c r="E48" s="45"/>
      <c r="F48" s="45"/>
      <c r="G48" s="232" t="s">
        <v>28</v>
      </c>
      <c r="H48" s="1"/>
      <c r="I48" s="154" t="str">
        <f t="shared" si="0"/>
        <v>Fill Transport</v>
      </c>
      <c r="J48" s="232" t="s">
        <v>82</v>
      </c>
      <c r="K48" s="232" t="s">
        <v>39</v>
      </c>
      <c r="L48" s="240">
        <v>30</v>
      </c>
      <c r="M48" s="232" t="s">
        <v>82</v>
      </c>
      <c r="N48" s="232" t="s">
        <v>39</v>
      </c>
      <c r="O48" s="240">
        <v>30</v>
      </c>
      <c r="P48" s="232" t="s">
        <v>82</v>
      </c>
      <c r="Q48" s="232" t="s">
        <v>39</v>
      </c>
      <c r="R48" s="240">
        <v>30</v>
      </c>
      <c r="U48" s="339">
        <f t="shared" si="1"/>
        <v>0</v>
      </c>
    </row>
    <row r="49" spans="1:21" x14ac:dyDescent="0.25">
      <c r="A49" s="13" t="s">
        <v>86</v>
      </c>
      <c r="B49" s="238">
        <v>0.01</v>
      </c>
      <c r="C49" s="232" t="s">
        <v>87</v>
      </c>
      <c r="D49" s="45"/>
      <c r="E49" s="45"/>
      <c r="F49" s="45"/>
      <c r="G49" s="232" t="s">
        <v>28</v>
      </c>
      <c r="H49" s="1" t="s">
        <v>88</v>
      </c>
      <c r="I49" s="154" t="str">
        <f t="shared" si="0"/>
        <v>Fill Transport</v>
      </c>
      <c r="J49" s="232" t="s">
        <v>67</v>
      </c>
      <c r="K49" s="232" t="s">
        <v>89</v>
      </c>
      <c r="L49" s="240">
        <v>20</v>
      </c>
      <c r="M49" s="232" t="s">
        <v>30</v>
      </c>
      <c r="N49" s="232" t="s">
        <v>30</v>
      </c>
      <c r="O49" s="240">
        <v>0</v>
      </c>
      <c r="P49" s="232" t="s">
        <v>30</v>
      </c>
      <c r="Q49" s="232" t="s">
        <v>30</v>
      </c>
      <c r="R49" s="232">
        <v>0</v>
      </c>
      <c r="T49" s="339">
        <f>+IF(B49&gt;0,IF(C49="No_filler",1,0),0)</f>
        <v>0</v>
      </c>
      <c r="U49" s="339">
        <f t="shared" si="1"/>
        <v>0</v>
      </c>
    </row>
    <row r="50" spans="1:21" x14ac:dyDescent="0.25">
      <c r="A50" s="13" t="s">
        <v>90</v>
      </c>
      <c r="B50" s="238">
        <v>0.01</v>
      </c>
      <c r="C50" s="232" t="s">
        <v>91</v>
      </c>
      <c r="D50" s="45"/>
      <c r="E50" s="45"/>
      <c r="F50" s="45"/>
      <c r="G50" s="232" t="s">
        <v>30</v>
      </c>
      <c r="H50" s="1"/>
      <c r="I50" s="154" t="str">
        <f t="shared" si="0"/>
        <v>Fill Transport</v>
      </c>
      <c r="J50" s="232" t="s">
        <v>67</v>
      </c>
      <c r="K50" s="232" t="s">
        <v>77</v>
      </c>
      <c r="L50" s="240">
        <v>23</v>
      </c>
      <c r="M50" s="232" t="s">
        <v>67</v>
      </c>
      <c r="N50" s="232" t="s">
        <v>68</v>
      </c>
      <c r="O50" s="240">
        <v>24</v>
      </c>
      <c r="P50" s="232" t="s">
        <v>30</v>
      </c>
      <c r="Q50" s="232" t="s">
        <v>30</v>
      </c>
      <c r="R50" s="232">
        <v>0</v>
      </c>
      <c r="T50" s="339">
        <f>+IF(B50&gt;0,IF(C50="No_filler",1,0),0)</f>
        <v>0</v>
      </c>
      <c r="U50" s="339">
        <f t="shared" si="1"/>
        <v>0</v>
      </c>
    </row>
    <row r="51" spans="1:21" x14ac:dyDescent="0.25">
      <c r="A51" s="1" t="s">
        <v>92</v>
      </c>
      <c r="B51" s="238">
        <v>0.18</v>
      </c>
      <c r="C51" s="1"/>
      <c r="D51" s="45"/>
      <c r="E51" s="45"/>
      <c r="F51" s="45"/>
      <c r="G51" s="232" t="s">
        <v>30</v>
      </c>
      <c r="H51" s="1"/>
      <c r="I51" s="154" t="str">
        <f t="shared" si="0"/>
        <v>Fill Transport</v>
      </c>
      <c r="J51" s="232" t="s">
        <v>67</v>
      </c>
      <c r="K51" s="232" t="s">
        <v>83</v>
      </c>
      <c r="L51" s="240">
        <v>20</v>
      </c>
      <c r="M51" s="232" t="s">
        <v>67</v>
      </c>
      <c r="N51" s="232" t="s">
        <v>83</v>
      </c>
      <c r="O51" s="240">
        <v>25</v>
      </c>
      <c r="P51" s="232" t="s">
        <v>67</v>
      </c>
      <c r="Q51" s="232" t="s">
        <v>83</v>
      </c>
      <c r="R51" s="240">
        <v>30</v>
      </c>
      <c r="U51" s="339">
        <f t="shared" si="1"/>
        <v>0</v>
      </c>
    </row>
    <row r="52" spans="1:21" x14ac:dyDescent="0.25">
      <c r="A52" s="1" t="s">
        <v>93</v>
      </c>
      <c r="B52" s="238">
        <v>0.23</v>
      </c>
      <c r="C52" s="1"/>
      <c r="D52" s="45"/>
      <c r="E52" s="45"/>
      <c r="F52" s="45"/>
      <c r="G52" s="232" t="s">
        <v>28</v>
      </c>
      <c r="H52" s="1"/>
      <c r="I52" s="154" t="str">
        <f t="shared" si="0"/>
        <v>Fill Transport</v>
      </c>
      <c r="J52" s="232" t="s">
        <v>67</v>
      </c>
      <c r="K52" s="232" t="s">
        <v>83</v>
      </c>
      <c r="L52" s="240">
        <v>20</v>
      </c>
      <c r="M52" s="232" t="s">
        <v>67</v>
      </c>
      <c r="N52" s="232" t="s">
        <v>83</v>
      </c>
      <c r="O52" s="240">
        <v>25</v>
      </c>
      <c r="P52" s="232" t="s">
        <v>67</v>
      </c>
      <c r="Q52" s="232" t="s">
        <v>83</v>
      </c>
      <c r="R52" s="240">
        <v>30</v>
      </c>
      <c r="U52" s="339">
        <f t="shared" si="1"/>
        <v>0</v>
      </c>
    </row>
    <row r="53" spans="1:21" x14ac:dyDescent="0.25">
      <c r="A53" s="13" t="s">
        <v>94</v>
      </c>
      <c r="B53" s="238">
        <v>0.02</v>
      </c>
      <c r="C53" s="232" t="s">
        <v>95</v>
      </c>
      <c r="D53" s="147"/>
      <c r="E53" s="147"/>
      <c r="F53" s="147"/>
      <c r="G53" s="232" t="s">
        <v>28</v>
      </c>
      <c r="H53" s="1" t="s">
        <v>96</v>
      </c>
      <c r="I53" s="154" t="str">
        <f t="shared" si="0"/>
        <v>Fill Transport</v>
      </c>
      <c r="J53" s="232" t="s">
        <v>67</v>
      </c>
      <c r="K53" s="232" t="s">
        <v>97</v>
      </c>
      <c r="L53" s="240">
        <v>50</v>
      </c>
      <c r="M53" s="232" t="s">
        <v>67</v>
      </c>
      <c r="N53" s="232" t="s">
        <v>97</v>
      </c>
      <c r="O53" s="240">
        <v>50</v>
      </c>
      <c r="P53" s="232" t="s">
        <v>67</v>
      </c>
      <c r="Q53" s="232" t="s">
        <v>97</v>
      </c>
      <c r="R53" s="240">
        <v>50</v>
      </c>
      <c r="T53" s="339">
        <f>+IF(B53&gt;0,IF(C53="No_other_waste",1,0),0)</f>
        <v>0</v>
      </c>
      <c r="U53" s="339">
        <f t="shared" si="1"/>
        <v>0</v>
      </c>
    </row>
    <row r="54" spans="1:21" x14ac:dyDescent="0.25">
      <c r="A54" s="13" t="s">
        <v>98</v>
      </c>
      <c r="B54" s="238">
        <v>0.02</v>
      </c>
      <c r="C54" s="232" t="s">
        <v>99</v>
      </c>
      <c r="D54" s="147"/>
      <c r="E54" s="147"/>
      <c r="F54" s="147"/>
      <c r="G54" s="232" t="s">
        <v>28</v>
      </c>
      <c r="H54" s="1"/>
      <c r="I54" s="154" t="str">
        <f t="shared" si="0"/>
        <v>Fill Transport</v>
      </c>
      <c r="J54" s="232" t="s">
        <v>67</v>
      </c>
      <c r="K54" s="232" t="s">
        <v>77</v>
      </c>
      <c r="L54" s="240">
        <v>20</v>
      </c>
      <c r="M54" s="232" t="s">
        <v>30</v>
      </c>
      <c r="N54" s="232" t="s">
        <v>30</v>
      </c>
      <c r="O54" s="240">
        <v>0</v>
      </c>
      <c r="P54" s="232" t="s">
        <v>30</v>
      </c>
      <c r="Q54" s="232" t="s">
        <v>30</v>
      </c>
      <c r="R54" s="240">
        <v>0</v>
      </c>
      <c r="T54" s="339">
        <f>+IF(B54&gt;0,IF(C54="No_other_waste",1,0),0)</f>
        <v>0</v>
      </c>
      <c r="U54" s="339">
        <f t="shared" si="1"/>
        <v>0</v>
      </c>
    </row>
    <row r="55" spans="1:21" x14ac:dyDescent="0.25">
      <c r="A55" s="1" t="s">
        <v>100</v>
      </c>
      <c r="B55" s="238">
        <v>0.02</v>
      </c>
      <c r="C55" s="232" t="s">
        <v>101</v>
      </c>
      <c r="D55" s="147"/>
      <c r="E55" s="147"/>
      <c r="F55" s="147"/>
      <c r="G55" s="232" t="s">
        <v>28</v>
      </c>
      <c r="H55" s="1" t="s">
        <v>102</v>
      </c>
      <c r="I55" s="154" t="str">
        <f t="shared" si="0"/>
        <v>Fill Transport</v>
      </c>
      <c r="J55" s="232" t="s">
        <v>103</v>
      </c>
      <c r="K55" s="232" t="s">
        <v>39</v>
      </c>
      <c r="L55" s="240">
        <v>23</v>
      </c>
      <c r="M55" s="232" t="s">
        <v>30</v>
      </c>
      <c r="N55" s="232" t="s">
        <v>30</v>
      </c>
      <c r="O55" s="240">
        <v>0</v>
      </c>
      <c r="P55" s="232" t="s">
        <v>30</v>
      </c>
      <c r="Q55" s="232" t="s">
        <v>30</v>
      </c>
      <c r="R55" s="240">
        <v>0</v>
      </c>
      <c r="T55" s="339">
        <f>+IF(B55&gt;0,IF(C55="No_additives",1,0),0)</f>
        <v>0</v>
      </c>
      <c r="U55" s="339">
        <f t="shared" si="1"/>
        <v>0</v>
      </c>
    </row>
    <row r="56" spans="1:21" x14ac:dyDescent="0.25">
      <c r="A56" s="1" t="s">
        <v>104</v>
      </c>
      <c r="B56" s="238">
        <v>0.02</v>
      </c>
      <c r="C56" s="232" t="s">
        <v>105</v>
      </c>
      <c r="D56" s="147"/>
      <c r="E56" s="147"/>
      <c r="F56" s="147"/>
      <c r="G56" s="232" t="s">
        <v>28</v>
      </c>
      <c r="H56" s="1"/>
      <c r="I56" s="154" t="str">
        <f t="shared" si="0"/>
        <v>Fill Transport</v>
      </c>
      <c r="J56" s="232" t="s">
        <v>67</v>
      </c>
      <c r="K56" s="232" t="s">
        <v>68</v>
      </c>
      <c r="L56" s="240">
        <v>21</v>
      </c>
      <c r="M56" s="232" t="s">
        <v>30</v>
      </c>
      <c r="N56" s="232" t="s">
        <v>30</v>
      </c>
      <c r="O56" s="240">
        <v>0</v>
      </c>
      <c r="P56" s="232" t="s">
        <v>30</v>
      </c>
      <c r="Q56" s="232" t="s">
        <v>30</v>
      </c>
      <c r="R56" s="240">
        <v>0</v>
      </c>
      <c r="T56" s="339">
        <f>+IF(B56&gt;0,IF(C56="No_additives",1,0),0)</f>
        <v>0</v>
      </c>
      <c r="U56" s="339">
        <f t="shared" si="1"/>
        <v>0</v>
      </c>
    </row>
    <row r="57" spans="1:21" x14ac:dyDescent="0.25">
      <c r="A57" s="9" t="s">
        <v>106</v>
      </c>
      <c r="B57" s="238">
        <v>0.02</v>
      </c>
      <c r="C57" s="232" t="s">
        <v>101</v>
      </c>
      <c r="D57" s="291"/>
      <c r="E57" s="291"/>
      <c r="F57" s="291"/>
      <c r="G57" s="233" t="s">
        <v>28</v>
      </c>
      <c r="H57" s="1"/>
      <c r="I57" s="155" t="str">
        <f t="shared" si="0"/>
        <v>Fill Transport</v>
      </c>
      <c r="J57" s="233" t="s">
        <v>67</v>
      </c>
      <c r="K57" s="233" t="s">
        <v>68</v>
      </c>
      <c r="L57" s="241">
        <v>24</v>
      </c>
      <c r="M57" s="233" t="s">
        <v>30</v>
      </c>
      <c r="N57" s="233" t="s">
        <v>30</v>
      </c>
      <c r="O57" s="241">
        <v>0</v>
      </c>
      <c r="P57" s="233" t="s">
        <v>30</v>
      </c>
      <c r="Q57" s="233" t="s">
        <v>30</v>
      </c>
      <c r="R57" s="241">
        <v>0</v>
      </c>
      <c r="T57" s="339">
        <f>+IF(B57&gt;0,IF(C57="No_additives",1,0),0)</f>
        <v>0</v>
      </c>
      <c r="U57" s="339">
        <f t="shared" si="1"/>
        <v>0</v>
      </c>
    </row>
    <row r="58" spans="1:21" x14ac:dyDescent="0.25">
      <c r="A58" s="310" t="s">
        <v>107</v>
      </c>
      <c r="B58" s="211">
        <f>SUM(B39:B57)</f>
        <v>1.0000000000000002</v>
      </c>
      <c r="C58" s="149"/>
      <c r="D58" s="349" t="s">
        <v>108</v>
      </c>
      <c r="E58" s="349"/>
      <c r="F58" s="349"/>
      <c r="G58" s="166">
        <f>+'A3 - Production '!C188</f>
        <v>0.3296585837542988</v>
      </c>
      <c r="I58" s="149"/>
      <c r="J58" s="149"/>
      <c r="K58" s="149"/>
      <c r="L58" s="149" t="str">
        <f>IF(U58=0, "Correct", "Error: Fill in all transport information")</f>
        <v>Correct</v>
      </c>
      <c r="M58" s="149"/>
      <c r="N58" s="149"/>
      <c r="O58" s="149"/>
      <c r="P58" s="149"/>
      <c r="Q58" s="149"/>
      <c r="R58" s="149"/>
      <c r="U58" s="339">
        <f>+SUM(T39:U57)</f>
        <v>0</v>
      </c>
    </row>
    <row r="59" spans="1:21" ht="15.75" x14ac:dyDescent="0.25">
      <c r="B59" s="253" t="str">
        <f>IF(AND(B58&gt;=99.9%, B58&lt;=100.1%), "Correct", "Error: Percentage weight of Mixture")</f>
        <v>Correct</v>
      </c>
      <c r="C59" t="str">
        <f>+IF(SUM(T39:T57)=0,"Correct","Error: Select material type")</f>
        <v>Correct</v>
      </c>
      <c r="D59" s="135"/>
      <c r="F59" s="134"/>
    </row>
    <row r="60" spans="1:21" x14ac:dyDescent="0.25">
      <c r="C60" s="71"/>
      <c r="D60" s="210"/>
    </row>
    <row r="61" spans="1:21" ht="22.9" customHeight="1" x14ac:dyDescent="0.3">
      <c r="A61" s="72" t="s">
        <v>109</v>
      </c>
      <c r="E61" s="210"/>
    </row>
    <row r="62" spans="1:21" x14ac:dyDescent="0.25">
      <c r="A62" s="5" t="s">
        <v>47</v>
      </c>
      <c r="B62" s="70" t="s">
        <v>59</v>
      </c>
      <c r="C62" s="4" t="s">
        <v>36</v>
      </c>
      <c r="D62" s="4" t="s">
        <v>60</v>
      </c>
    </row>
    <row r="63" spans="1:21" x14ac:dyDescent="0.25">
      <c r="A63" s="1" t="s">
        <v>110</v>
      </c>
      <c r="B63" s="232" t="s">
        <v>67</v>
      </c>
      <c r="C63" s="232" t="s">
        <v>77</v>
      </c>
      <c r="D63" s="232">
        <v>43</v>
      </c>
      <c r="E63" s="60" t="str">
        <f>IF(AND(B63&lt;&gt;"No",D63&lt;=0),"Error","")</f>
        <v/>
      </c>
      <c r="U63" s="339">
        <f>IF(AND(B63&lt;&gt;"No",D63&lt;=0),1,0)</f>
        <v>0</v>
      </c>
    </row>
    <row r="65" spans="1:21" ht="22.9" customHeight="1" x14ac:dyDescent="0.3">
      <c r="A65" s="72" t="s">
        <v>111</v>
      </c>
      <c r="G65" s="135"/>
    </row>
    <row r="66" spans="1:21" x14ac:dyDescent="0.25">
      <c r="A66" s="13" t="s">
        <v>112</v>
      </c>
      <c r="B66" s="232">
        <v>3.5</v>
      </c>
      <c r="G66" s="135"/>
    </row>
    <row r="67" spans="1:21" x14ac:dyDescent="0.25">
      <c r="A67" s="5" t="s">
        <v>113</v>
      </c>
      <c r="B67" s="4" t="s">
        <v>35</v>
      </c>
      <c r="C67" s="4" t="s">
        <v>36</v>
      </c>
      <c r="D67" s="63"/>
      <c r="E67" s="59"/>
      <c r="F67" s="59"/>
    </row>
    <row r="68" spans="1:21" ht="13.9" customHeight="1" x14ac:dyDescent="0.25">
      <c r="A68" s="1" t="s">
        <v>114</v>
      </c>
      <c r="B68" s="232" t="s">
        <v>115</v>
      </c>
      <c r="C68" s="232" t="s">
        <v>39</v>
      </c>
      <c r="D68" s="60" t="str">
        <f>IF(AND(B68&lt;&gt;"No_paver", C68=""), "Error", "")</f>
        <v/>
      </c>
      <c r="E68" s="11"/>
      <c r="G68" s="24"/>
      <c r="U68" s="339">
        <f>+IF(B68&lt;&gt;"No_paver",IF(C68="No",1,0),0)</f>
        <v>0</v>
      </c>
    </row>
    <row r="69" spans="1:21" x14ac:dyDescent="0.25">
      <c r="A69" s="1" t="s">
        <v>116</v>
      </c>
      <c r="B69" s="232" t="s">
        <v>115</v>
      </c>
      <c r="C69" s="232" t="s">
        <v>39</v>
      </c>
      <c r="D69" s="60" t="str">
        <f>IF(AND(B69&lt;&gt;"No_paver", C69=""), "Error", "")</f>
        <v/>
      </c>
      <c r="G69" s="24"/>
      <c r="U69" s="339">
        <f>+IF(B69&lt;&gt;"No_paver",IF(C69="No",1,0),0)</f>
        <v>0</v>
      </c>
    </row>
    <row r="70" spans="1:21" x14ac:dyDescent="0.25">
      <c r="A70" s="1" t="s">
        <v>117</v>
      </c>
      <c r="B70" s="232" t="s">
        <v>118</v>
      </c>
      <c r="C70" s="232" t="s">
        <v>30</v>
      </c>
      <c r="D70" s="60" t="str">
        <f>IF(AND(B70&lt;&gt;"No_excavator", C70="No"), "Error", "")</f>
        <v/>
      </c>
      <c r="G70" s="24"/>
      <c r="U70" s="339">
        <f>+IF(B70&lt;&gt;"No_excavator",IF(C70="No",1,0),0)</f>
        <v>0</v>
      </c>
    </row>
    <row r="71" spans="1:21" x14ac:dyDescent="0.25">
      <c r="D71" s="60"/>
    </row>
    <row r="72" spans="1:21" x14ac:dyDescent="0.25">
      <c r="A72" s="5" t="s">
        <v>119</v>
      </c>
      <c r="B72" s="4" t="s">
        <v>35</v>
      </c>
      <c r="C72" s="4" t="s">
        <v>36</v>
      </c>
      <c r="D72" s="60" t="str">
        <f t="shared" ref="D72" si="2">IF(AND(B72="No_excavator", C72&lt;&gt;"No"), "Error", "")</f>
        <v/>
      </c>
      <c r="E72" s="59"/>
      <c r="F72" s="59"/>
    </row>
    <row r="73" spans="1:21" x14ac:dyDescent="0.25">
      <c r="A73" s="1" t="s">
        <v>120</v>
      </c>
      <c r="B73" s="232" t="s">
        <v>121</v>
      </c>
      <c r="C73" s="232" t="s">
        <v>39</v>
      </c>
      <c r="D73" s="60" t="str">
        <f>IF(AND(B73&lt;&gt;"No_roller", C73="No"), "Error", "")</f>
        <v/>
      </c>
      <c r="G73" s="24"/>
      <c r="U73" s="339">
        <f>+IF(B73&lt;&gt;"No_roller",IF(C73="No",1,0),0)</f>
        <v>0</v>
      </c>
    </row>
    <row r="74" spans="1:21" x14ac:dyDescent="0.25">
      <c r="A74" s="1" t="s">
        <v>122</v>
      </c>
      <c r="B74" s="232" t="s">
        <v>121</v>
      </c>
      <c r="C74" s="232" t="s">
        <v>39</v>
      </c>
      <c r="D74" s="60" t="str">
        <f>IF(AND(B74&lt;&gt;"No_roller", C74="No"), "Error", "")</f>
        <v/>
      </c>
      <c r="G74" s="137"/>
      <c r="U74" s="339">
        <f>+IF(B74&lt;&gt;"No_roller",IF(C74="No",1,0),0)</f>
        <v>0</v>
      </c>
    </row>
    <row r="75" spans="1:21" x14ac:dyDescent="0.25">
      <c r="G75" s="138"/>
    </row>
    <row r="76" spans="1:21" ht="18.75" x14ac:dyDescent="0.3">
      <c r="A76" s="72" t="s">
        <v>123</v>
      </c>
      <c r="G76" s="138"/>
    </row>
    <row r="77" spans="1:21" x14ac:dyDescent="0.25">
      <c r="A77" s="73" t="s">
        <v>124</v>
      </c>
      <c r="B77" s="156">
        <f>+B31/1000</f>
        <v>0.08</v>
      </c>
      <c r="C77" s="157" t="str">
        <f>IF(B77&gt;0.35,"Error, milling depth of machines less than 0.35m", "OK")</f>
        <v>OK</v>
      </c>
      <c r="G77" s="138"/>
    </row>
    <row r="78" spans="1:21" x14ac:dyDescent="0.25">
      <c r="G78" s="138"/>
    </row>
    <row r="79" spans="1:21" x14ac:dyDescent="0.25">
      <c r="A79" s="5" t="s">
        <v>125</v>
      </c>
      <c r="B79" s="4" t="s">
        <v>35</v>
      </c>
      <c r="C79" s="4" t="s">
        <v>36</v>
      </c>
      <c r="D79" s="3"/>
      <c r="E79" s="59"/>
      <c r="F79" s="59"/>
      <c r="G79" s="138"/>
    </row>
    <row r="80" spans="1:21" x14ac:dyDescent="0.25">
      <c r="A80" s="1" t="s">
        <v>126</v>
      </c>
      <c r="B80" s="232" t="s">
        <v>127</v>
      </c>
      <c r="C80" s="232" t="s">
        <v>30</v>
      </c>
      <c r="D80" s="60" t="str">
        <f>IF(AND(B80&lt;&gt;"No_milling_machine", C80="No"), "Error", "")</f>
        <v/>
      </c>
      <c r="G80" s="137"/>
      <c r="U80" s="339">
        <f>+IF(B80&lt;&gt;"No_milling_machine",IF(C80="No",1,0),0)</f>
        <v>0</v>
      </c>
    </row>
    <row r="81" spans="1:21" x14ac:dyDescent="0.25">
      <c r="A81" s="1" t="s">
        <v>128</v>
      </c>
      <c r="B81" s="232" t="s">
        <v>127</v>
      </c>
      <c r="C81" s="232" t="s">
        <v>30</v>
      </c>
      <c r="D81" s="60" t="str">
        <f>IF(AND(B81&lt;&gt;"No_milling_machine", C81="No"), "Error", "")</f>
        <v/>
      </c>
      <c r="G81" s="137"/>
      <c r="U81" s="339">
        <f>+IF(B81&lt;&gt;"No_milling_machine",IF(C81="No",1,0),0)</f>
        <v>0</v>
      </c>
    </row>
    <row r="82" spans="1:21" x14ac:dyDescent="0.25">
      <c r="A82" s="1" t="s">
        <v>129</v>
      </c>
      <c r="B82" s="232" t="s">
        <v>130</v>
      </c>
      <c r="C82" s="232" t="s">
        <v>39</v>
      </c>
      <c r="D82" s="60" t="str">
        <f>IF(AND(B82&lt;&gt;"No_sweeper_truck", C82="No"), "Error", "")</f>
        <v/>
      </c>
      <c r="G82" s="136"/>
      <c r="U82" s="339">
        <f>+IF(B82&lt;&gt;"No_sweeper_truck",IF(C82="No",1,0),0)</f>
        <v>0</v>
      </c>
    </row>
    <row r="83" spans="1:21" x14ac:dyDescent="0.25">
      <c r="U83" s="339">
        <f>U26+SUM(U63:U82)</f>
        <v>0</v>
      </c>
    </row>
    <row r="85" spans="1:21" x14ac:dyDescent="0.25">
      <c r="D85" s="57"/>
      <c r="E85" s="57"/>
      <c r="F85" s="57"/>
    </row>
    <row r="86" spans="1:21" x14ac:dyDescent="0.25">
      <c r="D86" s="60"/>
      <c r="E86" s="58"/>
      <c r="F86" s="58"/>
    </row>
    <row r="87" spans="1:21" x14ac:dyDescent="0.25">
      <c r="D87" s="60"/>
      <c r="E87" s="58"/>
      <c r="F87" s="58"/>
    </row>
    <row r="88" spans="1:21" x14ac:dyDescent="0.25">
      <c r="D88" s="60"/>
      <c r="E88" s="58"/>
      <c r="F88" s="58"/>
    </row>
    <row r="89" spans="1:21" x14ac:dyDescent="0.25">
      <c r="D89" s="60"/>
      <c r="E89" s="58"/>
      <c r="F89" s="58"/>
    </row>
    <row r="92" spans="1:21" x14ac:dyDescent="0.25">
      <c r="D92" s="59"/>
      <c r="E92" s="59"/>
      <c r="F92" s="59"/>
    </row>
    <row r="93" spans="1:21" x14ac:dyDescent="0.25">
      <c r="D93" s="60"/>
      <c r="E93" s="58"/>
      <c r="F93" s="58"/>
    </row>
    <row r="94" spans="1:21" x14ac:dyDescent="0.25">
      <c r="D94" s="60"/>
      <c r="E94" s="58"/>
      <c r="F94" s="58"/>
    </row>
    <row r="95" spans="1:21" x14ac:dyDescent="0.25">
      <c r="D95" s="60"/>
      <c r="E95" s="58"/>
      <c r="F95" s="58"/>
    </row>
    <row r="96" spans="1:21" x14ac:dyDescent="0.25">
      <c r="D96" s="60"/>
      <c r="E96" s="58"/>
      <c r="F96"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5">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4"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0" xr:uid="{AA2D1E54-B385-489A-AC3C-5C2E15E0F720}">
      <formula1>INDIRECT($B$80)</formula1>
    </dataValidation>
    <dataValidation type="list" allowBlank="1" showInputMessage="1" showErrorMessage="1" sqref="C81" xr:uid="{35BE8286-9C74-4FA1-B1DC-874CFD7F8276}">
      <formula1>INDIRECT($B$81)</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0:B81"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2" xr:uid="{93C03D81-DCBF-4387-B32C-547EAE5CC816}">
      <formula1>Types_sweeper_truck</formula1>
    </dataValidation>
    <dataValidation type="list" allowBlank="1" showInputMessage="1" showErrorMessage="1" sqref="C82" xr:uid="{659490DB-9959-4CF1-9BCF-2F43896AA399}">
      <formula1>INDIRECT($B$82)</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'A3 - Production '!$A$34:$A$36</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2" zoomScaleNormal="93" zoomScaleSheetLayoutView="100" workbookViewId="0"/>
  </sheetViews>
  <sheetFormatPr defaultRowHeight="15" x14ac:dyDescent="0.25"/>
  <cols>
    <col min="1" max="1" width="27.140625" customWidth="1"/>
    <col min="2" max="2" width="17.42578125" customWidth="1"/>
    <col min="3" max="3" width="10.42578125" customWidth="1"/>
    <col min="4" max="4" width="16.140625" customWidth="1"/>
    <col min="5" max="5" width="8.28515625" customWidth="1"/>
    <col min="6" max="6" width="13.85546875" customWidth="1"/>
    <col min="7" max="7" width="3.42578125" customWidth="1"/>
    <col min="8" max="8" width="9.5703125" customWidth="1"/>
    <col min="9" max="10" width="8.85546875" customWidth="1"/>
    <col min="18" max="18" width="36.5703125" bestFit="1" customWidth="1"/>
  </cols>
  <sheetData>
    <row r="1" spans="1:11" ht="15.75" x14ac:dyDescent="0.25">
      <c r="A1" s="278" t="s">
        <v>131</v>
      </c>
    </row>
    <row r="3" spans="1:11" x14ac:dyDescent="0.25">
      <c r="A3" s="150" t="s">
        <v>132</v>
      </c>
    </row>
    <row r="4" spans="1:11" x14ac:dyDescent="0.25">
      <c r="A4" s="269" t="s">
        <v>9</v>
      </c>
      <c r="B4" s="270">
        <f>Input!$B$5</f>
        <v>45747</v>
      </c>
      <c r="C4" s="271"/>
      <c r="D4" s="3" t="s">
        <v>133</v>
      </c>
    </row>
    <row r="5" spans="1:11" x14ac:dyDescent="0.25">
      <c r="A5" s="1" t="s">
        <v>10</v>
      </c>
      <c r="B5" s="21">
        <f>Input!$B$6</f>
        <v>2221</v>
      </c>
      <c r="C5" s="271"/>
      <c r="D5" s="53" t="s">
        <v>134</v>
      </c>
      <c r="E5" s="365" t="s">
        <v>135</v>
      </c>
      <c r="F5" s="365"/>
    </row>
    <row r="6" spans="1:11" x14ac:dyDescent="0.25">
      <c r="A6" s="143" t="s">
        <v>11</v>
      </c>
      <c r="B6" s="268">
        <f>Input!$B$7</f>
        <v>0</v>
      </c>
      <c r="C6" s="109"/>
      <c r="D6" s="53" t="s">
        <v>136</v>
      </c>
      <c r="E6" s="279">
        <f>IF(ABS('Aux - Check'!$B$11)&gt;10^-10,"Error",Results!$M$47)</f>
        <v>7.6924050677293918</v>
      </c>
      <c r="F6" s="280" t="s">
        <v>137</v>
      </c>
      <c r="G6" s="29"/>
    </row>
    <row r="7" spans="1:11" ht="18" x14ac:dyDescent="0.35">
      <c r="A7" s="9" t="s">
        <v>13</v>
      </c>
      <c r="B7" s="272">
        <f>+Input!B8</f>
        <v>0</v>
      </c>
      <c r="C7" s="29"/>
      <c r="D7" s="125" t="s">
        <v>138</v>
      </c>
      <c r="E7" s="281">
        <f>IF(ABS('Aux - Check'!$B$11)&gt;10^-10,"Error",Results!$L$53)</f>
        <v>69.513811852918323</v>
      </c>
      <c r="F7" s="280" t="s">
        <v>139</v>
      </c>
      <c r="G7" s="29"/>
    </row>
    <row r="8" spans="1:11" x14ac:dyDescent="0.25">
      <c r="A8" s="9" t="s">
        <v>140</v>
      </c>
      <c r="B8" s="272" t="str">
        <f>Input!$B$14</f>
        <v>Locatie A</v>
      </c>
      <c r="C8" s="15"/>
      <c r="K8" s="11"/>
    </row>
    <row r="9" spans="1:11" x14ac:dyDescent="0.25">
      <c r="A9" s="143" t="s">
        <v>141</v>
      </c>
      <c r="B9" s="268" t="str">
        <f>Input!$B$21</f>
        <v>155⁰C - 185⁰C</v>
      </c>
      <c r="C9" s="109"/>
    </row>
    <row r="10" spans="1:11" x14ac:dyDescent="0.25">
      <c r="A10" s="89" t="s">
        <v>142</v>
      </c>
      <c r="B10" s="273">
        <f>Input!$B$9</f>
        <v>4.2999999999999997E-2</v>
      </c>
      <c r="C10" s="274"/>
    </row>
    <row r="11" spans="1:11" x14ac:dyDescent="0.25">
      <c r="A11" s="89" t="s">
        <v>16</v>
      </c>
      <c r="B11" s="275">
        <f>+Input!B10</f>
        <v>0.53488372093023251</v>
      </c>
      <c r="C11" s="276"/>
    </row>
    <row r="12" spans="1:11" ht="16.5" x14ac:dyDescent="0.25">
      <c r="A12" s="1" t="s">
        <v>143</v>
      </c>
      <c r="B12" s="21">
        <f>Input!$B$22</f>
        <v>2400</v>
      </c>
      <c r="C12" s="15"/>
      <c r="K12" s="11"/>
    </row>
    <row r="13" spans="1:11" x14ac:dyDescent="0.25">
      <c r="B13" s="15"/>
      <c r="C13" s="15"/>
    </row>
    <row r="19" spans="18:18" x14ac:dyDescent="0.25">
      <c r="R19" s="28"/>
    </row>
    <row r="53" spans="1:7" ht="15.75" x14ac:dyDescent="0.25">
      <c r="A53" s="278" t="s">
        <v>144</v>
      </c>
    </row>
    <row r="54" spans="1:7" x14ac:dyDescent="0.25">
      <c r="C54" s="15"/>
      <c r="G54" s="29"/>
    </row>
    <row r="55" spans="1:7" x14ac:dyDescent="0.25">
      <c r="A55" s="150" t="s">
        <v>132</v>
      </c>
      <c r="C55" s="15"/>
      <c r="G55" s="29"/>
    </row>
    <row r="56" spans="1:7" x14ac:dyDescent="0.25">
      <c r="A56" s="143" t="s">
        <v>9</v>
      </c>
      <c r="B56" s="270">
        <f>Input!$B$5</f>
        <v>45747</v>
      </c>
      <c r="C56" s="109"/>
      <c r="D56" s="3" t="s">
        <v>145</v>
      </c>
    </row>
    <row r="57" spans="1:7" x14ac:dyDescent="0.25">
      <c r="A57" s="1" t="s">
        <v>10</v>
      </c>
      <c r="B57" s="21">
        <f>Input!$B$6</f>
        <v>2221</v>
      </c>
      <c r="C57" s="15"/>
      <c r="D57" s="53" t="s">
        <v>146</v>
      </c>
      <c r="E57" s="366" t="str">
        <f>+CONCATENATE("1 m2 (",Input!B31/10,"-cm thick)")</f>
        <v>1 m2 (8-cm thick)</v>
      </c>
      <c r="F57" s="366"/>
    </row>
    <row r="58" spans="1:7" ht="16.5" x14ac:dyDescent="0.25">
      <c r="A58" s="143" t="s">
        <v>11</v>
      </c>
      <c r="B58" s="268">
        <f>Input!$B$7</f>
        <v>0</v>
      </c>
      <c r="C58" s="15"/>
      <c r="D58" s="53" t="s">
        <v>136</v>
      </c>
      <c r="E58" s="282">
        <f>IF(E6="Error","Error",Results!$N$111)</f>
        <v>1.574095913519707</v>
      </c>
      <c r="F58" s="283" t="s">
        <v>147</v>
      </c>
    </row>
    <row r="59" spans="1:7" ht="18" x14ac:dyDescent="0.35">
      <c r="A59" s="9" t="s">
        <v>13</v>
      </c>
      <c r="B59" s="268">
        <f>Input!$B$8</f>
        <v>0</v>
      </c>
      <c r="C59" s="15"/>
      <c r="D59" s="125" t="s">
        <v>138</v>
      </c>
      <c r="E59" s="282">
        <f>IF(E7="Error","Error",Results!$M$118)</f>
        <v>14.877773139995194</v>
      </c>
      <c r="F59" s="283" t="s">
        <v>148</v>
      </c>
    </row>
    <row r="60" spans="1:7" x14ac:dyDescent="0.25">
      <c r="A60" s="9" t="s">
        <v>149</v>
      </c>
      <c r="B60" s="272" t="str">
        <f>Input!$B$14</f>
        <v>Locatie A</v>
      </c>
      <c r="C60" s="15"/>
    </row>
    <row r="61" spans="1:7" x14ac:dyDescent="0.25">
      <c r="A61" s="143" t="s">
        <v>141</v>
      </c>
      <c r="B61" s="268" t="str">
        <f>Input!$B$21</f>
        <v>155⁰C - 185⁰C</v>
      </c>
      <c r="C61" s="15"/>
    </row>
    <row r="62" spans="1:7" x14ac:dyDescent="0.25">
      <c r="A62" s="89" t="s">
        <v>150</v>
      </c>
      <c r="B62" s="273">
        <f>Input!$B$9</f>
        <v>4.2999999999999997E-2</v>
      </c>
    </row>
    <row r="63" spans="1:7" x14ac:dyDescent="0.25">
      <c r="A63" s="89" t="s">
        <v>16</v>
      </c>
      <c r="B63" s="275">
        <f>+Input!B10</f>
        <v>0.53488372093023251</v>
      </c>
    </row>
    <row r="64" spans="1:7" ht="16.5" x14ac:dyDescent="0.25">
      <c r="A64" s="1" t="s">
        <v>143</v>
      </c>
      <c r="B64" s="21">
        <f>Input!$B$22</f>
        <v>2400</v>
      </c>
    </row>
    <row r="86" spans="10:10" x14ac:dyDescent="0.25">
      <c r="J86" s="226"/>
    </row>
    <row r="102" spans="1:6" x14ac:dyDescent="0.25">
      <c r="C102" s="277"/>
    </row>
    <row r="103" spans="1:6" x14ac:dyDescent="0.25">
      <c r="C103" s="109"/>
    </row>
    <row r="104" spans="1:6" x14ac:dyDescent="0.25">
      <c r="C104" s="109"/>
    </row>
    <row r="105" spans="1:6" ht="15.75" x14ac:dyDescent="0.25">
      <c r="A105" s="278" t="s">
        <v>151</v>
      </c>
      <c r="C105" s="15"/>
    </row>
    <row r="106" spans="1:6" x14ac:dyDescent="0.25">
      <c r="C106" s="15"/>
    </row>
    <row r="107" spans="1:6" x14ac:dyDescent="0.25">
      <c r="A107" s="150" t="s">
        <v>132</v>
      </c>
      <c r="C107" s="109"/>
    </row>
    <row r="108" spans="1:6" x14ac:dyDescent="0.25">
      <c r="A108" s="143" t="s">
        <v>9</v>
      </c>
      <c r="B108" s="270">
        <f>Input!$B$5</f>
        <v>45747</v>
      </c>
      <c r="C108" s="15"/>
      <c r="D108" s="3" t="s">
        <v>152</v>
      </c>
    </row>
    <row r="109" spans="1:6" x14ac:dyDescent="0.25">
      <c r="A109" s="1" t="s">
        <v>10</v>
      </c>
      <c r="B109" s="21">
        <f>Input!$B$6</f>
        <v>2221</v>
      </c>
      <c r="C109" s="15"/>
      <c r="D109" s="53" t="s">
        <v>134</v>
      </c>
      <c r="E109" s="367" t="str">
        <f>+CONCATENATE("1 ton (",Input!B31/10,"-cm thick)")</f>
        <v>1 ton (8-cm thick)</v>
      </c>
      <c r="F109" s="367"/>
    </row>
    <row r="110" spans="1:6" x14ac:dyDescent="0.25">
      <c r="A110" s="143" t="s">
        <v>11</v>
      </c>
      <c r="B110" s="268">
        <f>Input!$B$7</f>
        <v>0</v>
      </c>
      <c r="C110" s="15"/>
      <c r="D110" s="53" t="s">
        <v>136</v>
      </c>
      <c r="E110" s="284">
        <f>IF(E6="Error","Error",Results!$N$47)</f>
        <v>8.1984162162484733</v>
      </c>
      <c r="F110" s="285" t="s">
        <v>137</v>
      </c>
    </row>
    <row r="111" spans="1:6" ht="18" x14ac:dyDescent="0.35">
      <c r="A111" s="9" t="s">
        <v>13</v>
      </c>
      <c r="B111" s="268">
        <f>Input!$B$8</f>
        <v>0</v>
      </c>
      <c r="C111" s="15"/>
      <c r="D111" s="125" t="s">
        <v>138</v>
      </c>
      <c r="E111" s="286">
        <f>IF(E7="Error","Error",Results!$M$53)</f>
        <v>77.488401770808309</v>
      </c>
      <c r="F111" s="285" t="s">
        <v>153</v>
      </c>
    </row>
    <row r="112" spans="1:6" x14ac:dyDescent="0.25">
      <c r="A112" s="9" t="s">
        <v>149</v>
      </c>
      <c r="B112" s="272" t="str">
        <f>Input!$B$14</f>
        <v>Locatie A</v>
      </c>
      <c r="C112" s="15"/>
    </row>
    <row r="113" spans="1:2" x14ac:dyDescent="0.25">
      <c r="A113" s="143" t="s">
        <v>141</v>
      </c>
      <c r="B113" s="268" t="str">
        <f>Input!$B$21</f>
        <v>155⁰C - 185⁰C</v>
      </c>
    </row>
    <row r="114" spans="1:2" x14ac:dyDescent="0.25">
      <c r="A114" s="89" t="s">
        <v>150</v>
      </c>
      <c r="B114" s="273">
        <f>Input!$B$9</f>
        <v>4.2999999999999997E-2</v>
      </c>
    </row>
    <row r="115" spans="1:2" x14ac:dyDescent="0.25">
      <c r="A115" s="89" t="s">
        <v>16</v>
      </c>
      <c r="B115" s="275">
        <f>+Input!$B$10</f>
        <v>0.53488372093023251</v>
      </c>
    </row>
    <row r="116" spans="1:2" ht="16.5" x14ac:dyDescent="0.25">
      <c r="A116" s="1" t="s">
        <v>143</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B10" sqref="B10"/>
    </sheetView>
  </sheetViews>
  <sheetFormatPr defaultRowHeight="15" x14ac:dyDescent="0.25"/>
  <cols>
    <col min="1" max="1" width="42.7109375" bestFit="1" customWidth="1"/>
    <col min="2" max="2" width="9.85546875" customWidth="1"/>
    <col min="3" max="3" width="35" customWidth="1"/>
    <col min="4" max="4" width="29.7109375" bestFit="1" customWidth="1"/>
    <col min="5" max="5" width="28.5703125" bestFit="1" customWidth="1"/>
    <col min="6" max="6" width="35" bestFit="1" customWidth="1"/>
    <col min="7" max="7" width="32.85546875" bestFit="1" customWidth="1"/>
  </cols>
  <sheetData>
    <row r="1" spans="1:2" x14ac:dyDescent="0.25">
      <c r="A1" s="1"/>
    </row>
    <row r="2" spans="1:2" x14ac:dyDescent="0.25">
      <c r="A2" s="1" t="s">
        <v>154</v>
      </c>
      <c r="B2" s="154">
        <f>+Input!U83</f>
        <v>0</v>
      </c>
    </row>
    <row r="3" spans="1:2" x14ac:dyDescent="0.25">
      <c r="A3" s="1" t="s">
        <v>155</v>
      </c>
      <c r="B3" s="154">
        <f>+Input!U58</f>
        <v>0</v>
      </c>
    </row>
    <row r="4" spans="1:2" x14ac:dyDescent="0.25">
      <c r="A4" s="1" t="s">
        <v>156</v>
      </c>
      <c r="B4" s="154">
        <f>IF(Input!C17 + Input!C18 = 100%,0, 1)</f>
        <v>0</v>
      </c>
    </row>
    <row r="5" spans="1:2" x14ac:dyDescent="0.25">
      <c r="A5" s="1" t="s">
        <v>157</v>
      </c>
      <c r="B5" s="154">
        <f>IF(OR(AND(Input!B19="Yes", Input!C19&lt;&gt;"No"), AND(Input!B19="No",Input!C19="No")), 0, 1)</f>
        <v>0</v>
      </c>
    </row>
    <row r="6" spans="1:2" x14ac:dyDescent="0.25">
      <c r="A6" s="1" t="s">
        <v>158</v>
      </c>
      <c r="B6" s="154">
        <f>IF(AND(Input!B58&gt;=99.9%, Input!B58&lt;=100.1%), 0, 1)</f>
        <v>0</v>
      </c>
    </row>
    <row r="7" spans="1:2" x14ac:dyDescent="0.25">
      <c r="A7" s="1" t="s">
        <v>159</v>
      </c>
      <c r="B7" s="154">
        <f>IF( COUNTIFS( _xlfn.XLOOKUP(Input!$B$19,'Aux - Lists'!B168:C168,'Aux - Lists'!B169:C170,Input!$C$19), Input!$C$19)=0,1, 0)</f>
        <v>0</v>
      </c>
    </row>
    <row r="8" spans="1:2" x14ac:dyDescent="0.25">
      <c r="A8" s="1" t="s">
        <v>160</v>
      </c>
      <c r="B8" s="154">
        <f>IF(COUNTIFS(_xlfn.XLOOKUP(Input!$B$26,'Aux - Lists'!B16:C16,'Aux - Lists'!B17:C24,Input!$C$26),Input!$C$26)=0,1,0)</f>
        <v>0</v>
      </c>
    </row>
    <row r="9" spans="1:2" x14ac:dyDescent="0.25">
      <c r="A9" s="1" t="s">
        <v>161</v>
      </c>
      <c r="B9" s="331">
        <f>+Results!B23+Results!B54+Results!B61+Results!B86+Results!B112+Results!B119+Results!B126+Results!B152+Results!B160</f>
        <v>0</v>
      </c>
    </row>
    <row r="10" spans="1:2" x14ac:dyDescent="0.25">
      <c r="A10" s="1" t="s">
        <v>162</v>
      </c>
      <c r="B10" s="154">
        <f>'A1 - Raw Material Supply'!$B$139+'A1 - Raw Material Supply'!$C$139+'A1 - Raw Material Supply'!$D$139+'C3'' - Secondary Raw Material '!B345+'A2 - Transport'!$B$143+'C2''- Transport Secondary'!B82+'A3 - Production '!$B$230+'A3 - Production '!$C$230+'A4 - Transport'!$B$42+'A5 - Construction'!$B$163+'C1 - Deconstruction'!$B$111+'D- Benefits &amp; Burdens'!$B$213+'D- Benefits &amp; Burdens'!C213</f>
        <v>-2.8421709430404007E-14</v>
      </c>
    </row>
    <row r="11" spans="1:2" x14ac:dyDescent="0.25">
      <c r="B11" s="251">
        <f>+SUM(B2:B10)</f>
        <v>-2.8421709430404007E-14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6"/>
  <sheetViews>
    <sheetView showGridLines="0" zoomScale="70" zoomScaleNormal="70" workbookViewId="0">
      <selection activeCell="C22" sqref="C22"/>
    </sheetView>
  </sheetViews>
  <sheetFormatPr defaultRowHeight="15" x14ac:dyDescent="0.25"/>
  <cols>
    <col min="1" max="1" width="43.42578125" customWidth="1"/>
    <col min="2" max="2" width="45.140625" customWidth="1"/>
    <col min="3" max="3" width="23.85546875" customWidth="1"/>
    <col min="4" max="4" width="23.28515625" customWidth="1"/>
    <col min="5" max="5" width="18.28515625" customWidth="1"/>
    <col min="6" max="6" width="17.28515625" customWidth="1"/>
    <col min="7" max="8" width="18.5703125" customWidth="1"/>
    <col min="9" max="9" width="20.28515625" customWidth="1"/>
    <col min="10" max="10" width="19.42578125" bestFit="1" customWidth="1"/>
    <col min="11" max="11" width="17.140625" customWidth="1"/>
    <col min="12" max="12" width="19.42578125" bestFit="1" customWidth="1"/>
    <col min="13" max="13" width="18.140625" customWidth="1"/>
    <col min="14" max="14" width="19" customWidth="1"/>
    <col min="15" max="15" width="16.85546875" bestFit="1" customWidth="1"/>
    <col min="16" max="16" width="18.28515625" bestFit="1" customWidth="1"/>
    <col min="17" max="17" width="16.140625" customWidth="1"/>
    <col min="18" max="18" width="18" bestFit="1" customWidth="1"/>
    <col min="19" max="19" width="14.85546875" customWidth="1"/>
    <col min="20" max="20" width="11.85546875" customWidth="1"/>
    <col min="21" max="21" width="16.42578125" customWidth="1"/>
    <col min="22" max="25" width="17.42578125" customWidth="1"/>
    <col min="26" max="26" width="18.140625" customWidth="1"/>
    <col min="27" max="27" width="17.85546875" customWidth="1"/>
    <col min="28" max="28" width="12.85546875" customWidth="1"/>
    <col min="29" max="29" width="16.7109375" customWidth="1"/>
    <col min="30" max="30" width="16.28515625" customWidth="1"/>
    <col min="31" max="31" width="13" customWidth="1"/>
    <col min="32" max="32" width="14.28515625" customWidth="1"/>
    <col min="33" max="33" width="18" customWidth="1"/>
    <col min="34" max="34" width="17.85546875" customWidth="1"/>
    <col min="35" max="35" width="19.7109375" customWidth="1"/>
    <col min="36" max="36" width="20.28515625" customWidth="1"/>
    <col min="37" max="37" width="12" customWidth="1"/>
    <col min="38" max="38" width="13.28515625" customWidth="1"/>
    <col min="39" max="39" width="12.140625" customWidth="1"/>
    <col min="40" max="40" width="11.140625" customWidth="1"/>
    <col min="41" max="41" width="12.85546875" customWidth="1"/>
  </cols>
  <sheetData>
    <row r="1" spans="1:17" ht="21" x14ac:dyDescent="0.35">
      <c r="A1" s="76" t="s">
        <v>163</v>
      </c>
    </row>
    <row r="3" spans="1:17" s="28" customFormat="1" ht="45" x14ac:dyDescent="0.25">
      <c r="A3" s="103" t="s">
        <v>164</v>
      </c>
      <c r="B3" s="103" t="s">
        <v>165</v>
      </c>
      <c r="C3" s="103" t="s">
        <v>166</v>
      </c>
      <c r="D3" s="103" t="s">
        <v>167</v>
      </c>
      <c r="E3" s="103" t="s">
        <v>168</v>
      </c>
      <c r="F3" s="103" t="s">
        <v>169</v>
      </c>
      <c r="G3" s="103" t="s">
        <v>170</v>
      </c>
      <c r="H3" s="103" t="s">
        <v>171</v>
      </c>
      <c r="I3" s="103" t="s">
        <v>172</v>
      </c>
      <c r="J3" s="103" t="s">
        <v>173</v>
      </c>
      <c r="K3" s="103" t="s">
        <v>174</v>
      </c>
      <c r="L3" s="103" t="s">
        <v>175</v>
      </c>
      <c r="M3" s="103" t="s">
        <v>176</v>
      </c>
    </row>
    <row r="4" spans="1:17" x14ac:dyDescent="0.25">
      <c r="A4" s="39" t="s">
        <v>177</v>
      </c>
      <c r="B4" s="39" t="s">
        <v>178</v>
      </c>
      <c r="C4" s="1">
        <f>'A1 - Raw Material Supply'!Z114</f>
        <v>0.24301606226851999</v>
      </c>
      <c r="D4" s="1">
        <f>'C3'' - Secondary Raw Material '!F320</f>
        <v>7.4906228814613743E-2</v>
      </c>
      <c r="E4" s="1">
        <f>'A2 - Transport'!Z118</f>
        <v>1.4214231440493769E-2</v>
      </c>
      <c r="F4" s="1">
        <f>'C2''- Transport Secondary'!H58</f>
        <v>3.6805785932812769E-3</v>
      </c>
      <c r="G4" s="1">
        <f>'A3 - Production '!D205</f>
        <v>2.6233928931947266E-2</v>
      </c>
      <c r="H4" s="1">
        <f>'A4 - Transport'!B17</f>
        <v>1.9037691000000002E-2</v>
      </c>
      <c r="I4" s="1">
        <f>'A5 - Construction'!E137</f>
        <v>1.2984879931945282E-3</v>
      </c>
      <c r="J4" s="1">
        <f>'C1 - Deconstruction'!B86</f>
        <v>0</v>
      </c>
      <c r="K4" s="1">
        <f>'D- Benefits &amp; Burdens'!N161</f>
        <v>-0.12930824298058954</v>
      </c>
      <c r="L4" s="1">
        <f>+SUM(C4:G4)</f>
        <v>0.36205103004885608</v>
      </c>
      <c r="M4" s="1">
        <f t="shared" ref="M4:M22" si="0">SUM(C4:J4)</f>
        <v>0.38238720904205065</v>
      </c>
      <c r="Q4" s="67"/>
    </row>
    <row r="5" spans="1:17" x14ac:dyDescent="0.25">
      <c r="A5" s="39" t="s">
        <v>179</v>
      </c>
      <c r="B5" s="39" t="s">
        <v>180</v>
      </c>
      <c r="C5" s="1">
        <f>'A1 - Raw Material Supply'!Z115</f>
        <v>32.154504468042916</v>
      </c>
      <c r="D5" s="1">
        <f>'C3'' - Secondary Raw Material '!F321</f>
        <v>16.171525370749002</v>
      </c>
      <c r="E5" s="1">
        <f>'A2 - Transport'!Z119</f>
        <v>1.7271550867544261</v>
      </c>
      <c r="F5" s="1">
        <f>'C2''- Transport Secondary'!H59</f>
        <v>0.70256398829953293</v>
      </c>
      <c r="G5" s="1">
        <f>'A3 - Production '!D206</f>
        <v>18.758062939072442</v>
      </c>
      <c r="H5" s="1">
        <f>'A4 - Transport'!B18</f>
        <v>6.9589458070000019</v>
      </c>
      <c r="I5" s="1">
        <f>'A5 - Construction'!E138</f>
        <v>1.0156441108899819</v>
      </c>
      <c r="J5" s="1">
        <f>'C1 - Deconstruction'!B87</f>
        <v>0</v>
      </c>
      <c r="K5" s="1">
        <f>'D- Benefits &amp; Burdens'!N162</f>
        <v>-37.502717394270519</v>
      </c>
      <c r="L5" s="1">
        <f t="shared" ref="L5:L22" si="1">+SUM(C5:G5)</f>
        <v>69.513811852918323</v>
      </c>
      <c r="M5" s="1">
        <f t="shared" si="0"/>
        <v>77.488401770808309</v>
      </c>
      <c r="Q5" s="67"/>
    </row>
    <row r="6" spans="1:17" x14ac:dyDescent="0.25">
      <c r="A6" s="39" t="s">
        <v>181</v>
      </c>
      <c r="B6" s="39" t="s">
        <v>180</v>
      </c>
      <c r="C6" s="1">
        <f>'A1 - Raw Material Supply'!Z116</f>
        <v>-4.5388231513764365</v>
      </c>
      <c r="D6" s="1">
        <f>'C3'' - Secondary Raw Material '!F322</f>
        <v>1.8526332450640164</v>
      </c>
      <c r="E6" s="1">
        <f>'A2 - Transport'!Z120</f>
        <v>7.0230324805191022E-4</v>
      </c>
      <c r="F6" s="1">
        <f>'C2''- Transport Secondary'!H60</f>
        <v>6.2040873647980898E-3</v>
      </c>
      <c r="G6" s="1">
        <f>'A3 - Production '!D207</f>
        <v>6.1985477848908989E-2</v>
      </c>
      <c r="H6" s="1">
        <f>'A4 - Transport'!B19</f>
        <v>3.216348400000001E-3</v>
      </c>
      <c r="I6" s="1">
        <f>'A5 - Construction'!E139</f>
        <v>2.0990787607837495E-4</v>
      </c>
      <c r="J6" s="1">
        <f>'C1 - Deconstruction'!B88</f>
        <v>0</v>
      </c>
      <c r="K6" s="1">
        <f>'D- Benefits &amp; Burdens'!N163</f>
        <v>-0.34335873199261713</v>
      </c>
      <c r="L6" s="1">
        <f t="shared" si="1"/>
        <v>-2.6172980378506616</v>
      </c>
      <c r="M6" s="1">
        <f t="shared" si="0"/>
        <v>-2.6138717815745833</v>
      </c>
      <c r="Q6" s="67"/>
    </row>
    <row r="7" spans="1:17" x14ac:dyDescent="0.25">
      <c r="A7" s="39" t="s">
        <v>182</v>
      </c>
      <c r="B7" s="39" t="s">
        <v>180</v>
      </c>
      <c r="C7" s="1">
        <f>'A1 - Raw Material Supply'!Z117</f>
        <v>36.681410796945002</v>
      </c>
      <c r="D7" s="1">
        <f>'C3'' - Secondary Raw Material '!F323</f>
        <v>14.294680521479386</v>
      </c>
      <c r="E7" s="1">
        <f>'A2 - Transport'!Z121</f>
        <v>1.7259877280781188</v>
      </c>
      <c r="F7" s="1">
        <f>'C2''- Transport Secondary'!H61</f>
        <v>0.69582445687062644</v>
      </c>
      <c r="G7" s="1">
        <f>'A3 - Production '!D208</f>
        <v>18.686115354846837</v>
      </c>
      <c r="H7" s="1">
        <f>'A4 - Transport'!B20</f>
        <v>6.9551822750000021</v>
      </c>
      <c r="I7" s="1">
        <f>'A5 - Construction'!E140</f>
        <v>1.0153892885779363</v>
      </c>
      <c r="J7" s="1">
        <f>'C1 - Deconstruction'!B89</f>
        <v>0</v>
      </c>
      <c r="K7" s="1">
        <f>'D- Benefits &amp; Burdens'!N164</f>
        <v>-37.151894644856199</v>
      </c>
      <c r="L7" s="1">
        <f t="shared" si="1"/>
        <v>72.084018858219963</v>
      </c>
      <c r="M7" s="1">
        <f t="shared" si="0"/>
        <v>80.054590421797897</v>
      </c>
      <c r="Q7" s="67"/>
    </row>
    <row r="8" spans="1:17" x14ac:dyDescent="0.25">
      <c r="A8" s="39" t="s">
        <v>183</v>
      </c>
      <c r="B8" s="39" t="s">
        <v>180</v>
      </c>
      <c r="C8" s="1">
        <f>'A1 - Raw Material Supply'!Z118</f>
        <v>1.6966822474357747E-2</v>
      </c>
      <c r="D8" s="1">
        <f>'C3'' - Secondary Raw Material '!F324</f>
        <v>2.4211604205600014E-2</v>
      </c>
      <c r="E8" s="1">
        <f>'A2 - Transport'!Z122</f>
        <v>4.6505352065478702E-4</v>
      </c>
      <c r="F8" s="1">
        <f>'C2''- Transport Secondary'!H62</f>
        <v>5.3544340410883985E-4</v>
      </c>
      <c r="G8" s="1">
        <f>'A3 - Production '!D209</f>
        <v>9.9621063766965317E-3</v>
      </c>
      <c r="H8" s="1">
        <f>'A4 - Transport'!B21</f>
        <v>5.4717070000000017E-4</v>
      </c>
      <c r="I8" s="1">
        <f>'A5 - Construction'!E141</f>
        <v>4.491443596708517E-5</v>
      </c>
      <c r="J8" s="1">
        <f>'C1 - Deconstruction'!B90</f>
        <v>0</v>
      </c>
      <c r="K8" s="1">
        <f>'D- Benefits &amp; Burdens'!N165</f>
        <v>-1.4650665705654512E-2</v>
      </c>
      <c r="L8" s="1">
        <f t="shared" si="1"/>
        <v>5.2141029981417925E-2</v>
      </c>
      <c r="M8" s="1">
        <f t="shared" si="0"/>
        <v>5.2733115117385009E-2</v>
      </c>
      <c r="Q8" s="67"/>
    </row>
    <row r="9" spans="1:17" x14ac:dyDescent="0.25">
      <c r="A9" s="39" t="s">
        <v>184</v>
      </c>
      <c r="B9" s="39" t="s">
        <v>185</v>
      </c>
      <c r="C9" s="1">
        <f>'A1 - Raw Material Supply'!Z119</f>
        <v>608.36492624816174</v>
      </c>
      <c r="D9" s="1">
        <f>'C3'' - Secondary Raw Material '!F325</f>
        <v>118.92360488259172</v>
      </c>
      <c r="E9" s="1">
        <f>'A2 - Transport'!Z123</f>
        <v>2.0495657328463794</v>
      </c>
      <c r="F9" s="1">
        <f>'C2''- Transport Secondary'!H63</f>
        <v>3.1475888553397535</v>
      </c>
      <c r="G9" s="1">
        <f>'A3 - Production '!D210</f>
        <v>18.721988999239983</v>
      </c>
      <c r="H9" s="1">
        <f>'A4 - Transport'!B22</f>
        <v>5.9140836040000009</v>
      </c>
      <c r="I9" s="1">
        <f>'A5 - Construction'!E142</f>
        <v>0.44874267314354949</v>
      </c>
      <c r="J9" s="1">
        <f>'C1 - Deconstruction'!B91</f>
        <v>0</v>
      </c>
      <c r="K9" s="1">
        <f>'D- Benefits &amp; Burdens'!N166</f>
        <v>-627.67293665300679</v>
      </c>
      <c r="L9" s="1">
        <f t="shared" si="1"/>
        <v>751.20767471817965</v>
      </c>
      <c r="M9" s="1">
        <f t="shared" si="0"/>
        <v>757.57050099532319</v>
      </c>
      <c r="Q9" s="67"/>
    </row>
    <row r="10" spans="1:17" ht="30" x14ac:dyDescent="0.25">
      <c r="A10" s="39" t="s">
        <v>186</v>
      </c>
      <c r="B10" s="39" t="s">
        <v>187</v>
      </c>
      <c r="C10" s="1">
        <f>'A1 - Raw Material Supply'!Z120</f>
        <v>2002.7158275654592</v>
      </c>
      <c r="D10" s="1">
        <f>'C3'' - Secondary Raw Material '!F326</f>
        <v>172.06188731826103</v>
      </c>
      <c r="E10" s="1">
        <f>'A2 - Transport'!Z124</f>
        <v>22.639429917177182</v>
      </c>
      <c r="F10" s="1">
        <f>'C2''- Transport Secondary'!H64</f>
        <v>15.869144084009942</v>
      </c>
      <c r="G10" s="1">
        <f>'A3 - Production '!D211</f>
        <v>435.81456788409292</v>
      </c>
      <c r="H10" s="1">
        <f>'A4 - Transport'!B23</f>
        <v>93.565403230000015</v>
      </c>
      <c r="I10" s="1">
        <f>'A5 - Construction'!E143</f>
        <v>13.490468741776288</v>
      </c>
      <c r="J10" s="1">
        <f>'C1 - Deconstruction'!B92</f>
        <v>0</v>
      </c>
      <c r="K10" s="1">
        <f>'D- Benefits &amp; Burdens'!N167</f>
        <v>-1105.8880751374281</v>
      </c>
      <c r="L10" s="1">
        <f t="shared" si="1"/>
        <v>2649.1008567690001</v>
      </c>
      <c r="M10" s="1">
        <f t="shared" si="0"/>
        <v>2756.1567287407761</v>
      </c>
      <c r="Q10" s="67"/>
    </row>
    <row r="11" spans="1:17" ht="30" x14ac:dyDescent="0.25">
      <c r="A11" s="39" t="s">
        <v>188</v>
      </c>
      <c r="B11" s="39" t="s">
        <v>189</v>
      </c>
      <c r="C11" s="1">
        <f>'A1 - Raw Material Supply'!Z121</f>
        <v>5.7525188623574596E-3</v>
      </c>
      <c r="D11" s="1">
        <f>'C3'' - Secondary Raw Material '!F327</f>
        <v>4.9076987526727386E-3</v>
      </c>
      <c r="E11" s="1">
        <f>'A2 - Transport'!Z125</f>
        <v>8.2885445880307736E-5</v>
      </c>
      <c r="F11" s="1">
        <f>'C2''- Transport Secondary'!H65</f>
        <v>9.5715564211882985E-5</v>
      </c>
      <c r="G11" s="1">
        <f>'A3 - Production '!D212</f>
        <v>1.6191637401375058E-3</v>
      </c>
      <c r="H11" s="1">
        <f>'A4 - Transport'!B24</f>
        <v>1.6008900000000003E-4</v>
      </c>
      <c r="I11" s="1">
        <f>'A5 - Construction'!E144</f>
        <v>1.0736730976307014E-5</v>
      </c>
      <c r="J11" s="1">
        <f>'C1 - Deconstruction'!B93</f>
        <v>0</v>
      </c>
      <c r="K11" s="1">
        <f>'D- Benefits &amp; Burdens'!N168</f>
        <v>-3.0101971338369173E-3</v>
      </c>
      <c r="L11" s="1">
        <f t="shared" si="1"/>
        <v>1.2457982365259895E-2</v>
      </c>
      <c r="M11" s="1">
        <f t="shared" si="0"/>
        <v>1.2628808096236201E-2</v>
      </c>
      <c r="Q11" s="67"/>
    </row>
    <row r="12" spans="1:17" ht="30" x14ac:dyDescent="0.25">
      <c r="A12" s="39" t="s">
        <v>190</v>
      </c>
      <c r="B12" s="39" t="s">
        <v>191</v>
      </c>
      <c r="C12" s="1">
        <f>'A1 - Raw Material Supply'!Z122</f>
        <v>5.2752289960571665E-2</v>
      </c>
      <c r="D12" s="1">
        <f>'C3'' - Secondary Raw Material '!F328</f>
        <v>1.9414041665459368E-2</v>
      </c>
      <c r="E12" s="1">
        <f>'A2 - Transport'!Z126</f>
        <v>4.3822842064683279E-3</v>
      </c>
      <c r="F12" s="1">
        <f>'C2''- Transport Secondary'!H66</f>
        <v>2.1353851984150943E-3</v>
      </c>
      <c r="G12" s="1">
        <f>'A3 - Production '!D213</f>
        <v>6.2702177217385108E-3</v>
      </c>
      <c r="H12" s="1">
        <f>'A4 - Transport'!B25</f>
        <v>6.8307220000000017E-3</v>
      </c>
      <c r="I12" s="1">
        <f>'A5 - Construction'!E145</f>
        <v>2.9363044038743628E-4</v>
      </c>
      <c r="J12" s="1">
        <f>'C1 - Deconstruction'!B94</f>
        <v>0</v>
      </c>
      <c r="K12" s="1">
        <f>'D- Benefits &amp; Burdens'!N169</f>
        <v>-3.7081252325062E-2</v>
      </c>
      <c r="L12" s="1">
        <f t="shared" si="1"/>
        <v>8.4954218752652966E-2</v>
      </c>
      <c r="M12" s="1">
        <f t="shared" si="0"/>
        <v>9.2078571193040401E-2</v>
      </c>
      <c r="Q12" s="67"/>
    </row>
    <row r="13" spans="1:17" x14ac:dyDescent="0.25">
      <c r="A13" s="39" t="s">
        <v>192</v>
      </c>
      <c r="B13" s="39" t="s">
        <v>193</v>
      </c>
      <c r="C13" s="1">
        <f>'A1 - Raw Material Supply'!Z123</f>
        <v>0.59039056063193396</v>
      </c>
      <c r="D13" s="1">
        <f>'C3'' - Secondary Raw Material '!F329</f>
        <v>0.16159923986378932</v>
      </c>
      <c r="E13" s="1">
        <f>'A2 - Transport'!Z127</f>
        <v>4.8090911736871134E-2</v>
      </c>
      <c r="F13" s="1">
        <f>'C2''- Transport Secondary'!H67</f>
        <v>1.4520349708137849E-2</v>
      </c>
      <c r="G13" s="1">
        <f>'A3 - Production '!D214</f>
        <v>6.4859522475273129E-2</v>
      </c>
      <c r="H13" s="1">
        <f>'A4 - Transport'!B26</f>
        <v>7.4512765000000009E-2</v>
      </c>
      <c r="I13" s="1">
        <f>'A5 - Construction'!E146</f>
        <v>3.1921247110746568E-3</v>
      </c>
      <c r="J13" s="1">
        <f>'C1 - Deconstruction'!B95</f>
        <v>0</v>
      </c>
      <c r="K13" s="1">
        <f>'D- Benefits &amp; Burdens'!N170</f>
        <v>-0.42325646577997594</v>
      </c>
      <c r="L13" s="1">
        <f t="shared" si="1"/>
        <v>0.87946058441600539</v>
      </c>
      <c r="M13" s="1">
        <f t="shared" si="0"/>
        <v>0.95716547412708008</v>
      </c>
      <c r="Q13" s="67"/>
    </row>
    <row r="14" spans="1:17" x14ac:dyDescent="0.25">
      <c r="A14" s="39" t="s">
        <v>194</v>
      </c>
      <c r="B14" s="39" t="s">
        <v>195</v>
      </c>
      <c r="C14" s="1">
        <f>'A1 - Raw Material Supply'!Z124</f>
        <v>1.6626147605092687E-8</v>
      </c>
      <c r="D14" s="1">
        <f>'C3'' - Secondary Raw Material '!F330</f>
        <v>1.2259060079279895E-8</v>
      </c>
      <c r="E14" s="1">
        <f>'A2 - Transport'!Z128</f>
        <v>2.3315267999701694E-10</v>
      </c>
      <c r="F14" s="1">
        <f>'C2''- Transport Secondary'!H68</f>
        <v>1.823228198708693E-10</v>
      </c>
      <c r="G14" s="1">
        <f>'A3 - Production '!D215</f>
        <v>2.7625343520701271E-9</v>
      </c>
      <c r="H14" s="1">
        <f>'A4 - Transport'!B27</f>
        <v>6.5046530000000008E-10</v>
      </c>
      <c r="I14" s="1">
        <f>'A5 - Construction'!E147</f>
        <v>6.206655565463285E-11</v>
      </c>
      <c r="J14" s="1">
        <f>'C1 - Deconstruction'!B96</f>
        <v>0</v>
      </c>
      <c r="K14" s="1">
        <f>'D- Benefits &amp; Burdens'!N171</f>
        <v>-1.2947754854325893E-8</v>
      </c>
      <c r="L14" s="1">
        <f t="shared" si="1"/>
        <v>3.2063217536310591E-8</v>
      </c>
      <c r="M14" s="1">
        <f t="shared" si="0"/>
        <v>3.2775749391965222E-8</v>
      </c>
      <c r="Q14" s="67"/>
    </row>
    <row r="15" spans="1:17" x14ac:dyDescent="0.25">
      <c r="A15" s="39" t="s">
        <v>196</v>
      </c>
      <c r="B15" s="39" t="s">
        <v>195</v>
      </c>
      <c r="C15" s="1">
        <f>'A1 - Raw Material Supply'!Z125</f>
        <v>6.1179361595430759E-7</v>
      </c>
      <c r="D15" s="1">
        <f>'C3'' - Secondary Raw Material '!F331</f>
        <v>1.8468839218153762E-7</v>
      </c>
      <c r="E15" s="1">
        <f>'A2 - Transport'!Z129</f>
        <v>1.0639366904419624E-8</v>
      </c>
      <c r="F15" s="1">
        <f>'C2''- Transport Secondary'!H69</f>
        <v>1.4947885318313607E-8</v>
      </c>
      <c r="G15" s="1">
        <f>'A3 - Production '!D216</f>
        <v>9.638267834887292E-8</v>
      </c>
      <c r="H15" s="1">
        <f>'A4 - Transport'!B28</f>
        <v>4.9873550000000016E-8</v>
      </c>
      <c r="I15" s="1">
        <f>'A5 - Construction'!E148</f>
        <v>1.6543270098548109E-9</v>
      </c>
      <c r="J15" s="1">
        <f>'C1 - Deconstruction'!B97</f>
        <v>0</v>
      </c>
      <c r="K15" s="1">
        <f>'D- Benefits &amp; Burdens'!N172</f>
        <v>-4.6033142997330146E-7</v>
      </c>
      <c r="L15" s="1">
        <f t="shared" si="1"/>
        <v>9.1845193870745146E-7</v>
      </c>
      <c r="M15" s="1">
        <f t="shared" si="0"/>
        <v>9.6997981571730622E-7</v>
      </c>
      <c r="Q15" s="67"/>
    </row>
    <row r="16" spans="1:17" ht="30" x14ac:dyDescent="0.25">
      <c r="A16" s="39" t="s">
        <v>197</v>
      </c>
      <c r="B16" s="39" t="s">
        <v>198</v>
      </c>
      <c r="C16" s="1">
        <f>'A1 - Raw Material Supply'!Z126</f>
        <v>2.11499579312735</v>
      </c>
      <c r="D16" s="1">
        <f>'C3'' - Secondary Raw Material '!F332</f>
        <v>1.0468105998832149</v>
      </c>
      <c r="E16" s="1">
        <f>'A2 - Transport'!Z130</f>
        <v>2.0065691351392179E-2</v>
      </c>
      <c r="F16" s="1">
        <f>'C2''- Transport Secondary'!H70</f>
        <v>0.39279000242804202</v>
      </c>
      <c r="G16" s="1">
        <f>'A3 - Production '!D217</f>
        <v>7.8398098755822909</v>
      </c>
      <c r="H16" s="1">
        <f>'A4 - Transport'!B29</f>
        <v>4.2124004000000007E-2</v>
      </c>
      <c r="I16" s="1">
        <f>'A5 - Construction'!E149</f>
        <v>4.0506250723887291E-3</v>
      </c>
      <c r="J16" s="1">
        <f>'C1 - Deconstruction'!B98</f>
        <v>0</v>
      </c>
      <c r="K16" s="1">
        <f>'D- Benefits &amp; Burdens'!N173</f>
        <v>-1.0655033786591523</v>
      </c>
      <c r="L16" s="1">
        <f t="shared" si="1"/>
        <v>11.414471962372289</v>
      </c>
      <c r="M16" s="1">
        <f t="shared" si="0"/>
        <v>11.460646591444677</v>
      </c>
      <c r="Q16" s="67"/>
    </row>
    <row r="17" spans="1:17" x14ac:dyDescent="0.25">
      <c r="A17" s="39" t="s">
        <v>199</v>
      </c>
      <c r="B17" s="39" t="s">
        <v>200</v>
      </c>
      <c r="C17" s="1">
        <f>'A1 - Raw Material Supply'!Z127</f>
        <v>247.13971010600605</v>
      </c>
      <c r="D17" s="1">
        <f>'C3'' - Secondary Raw Material '!F333</f>
        <v>88.452218868284604</v>
      </c>
      <c r="E17" s="1">
        <f>'A2 - Transport'!Z131</f>
        <v>3.5861180476147521</v>
      </c>
      <c r="F17" s="1">
        <f>'C2''- Transport Secondary'!H71</f>
        <v>6.071372118964864</v>
      </c>
      <c r="G17" s="1">
        <f>'A3 - Production '!D218</f>
        <v>32.294432062365431</v>
      </c>
      <c r="H17" s="1">
        <f>'A4 - Transport'!B30</f>
        <v>5.8712991200000006</v>
      </c>
      <c r="I17" s="1">
        <f>'A5 - Construction'!E150</f>
        <v>0.69360474172189257</v>
      </c>
      <c r="J17" s="1">
        <f>'C1 - Deconstruction'!B99</f>
        <v>0</v>
      </c>
      <c r="K17" s="1">
        <f>'D- Benefits &amp; Burdens'!N174</f>
        <v>-504.27052526162657</v>
      </c>
      <c r="L17" s="1">
        <f t="shared" si="1"/>
        <v>377.54385120323576</v>
      </c>
      <c r="M17" s="1">
        <f t="shared" si="0"/>
        <v>384.10875506495768</v>
      </c>
      <c r="Q17" s="67"/>
    </row>
    <row r="18" spans="1:17" ht="30" x14ac:dyDescent="0.25">
      <c r="A18" s="39" t="s">
        <v>201</v>
      </c>
      <c r="B18" s="39" t="s">
        <v>202</v>
      </c>
      <c r="C18" s="1">
        <f>'A1 - Raw Material Supply'!Z128</f>
        <v>2.6102169280109301E-3</v>
      </c>
      <c r="D18" s="1">
        <f>'C3'' - Secondary Raw Material '!F334</f>
        <v>8.52468004317464E-5</v>
      </c>
      <c r="E18" s="1">
        <f>'A2 - Transport'!Z132</f>
        <v>2.2517332788001105E-6</v>
      </c>
      <c r="F18" s="1">
        <f>'C2''- Transport Secondary'!H72</f>
        <v>5.8493259988833035E-6</v>
      </c>
      <c r="G18" s="1">
        <f>'A3 - Production '!D219</f>
        <v>9.984243130534876E-5</v>
      </c>
      <c r="H18" s="1">
        <f>'A4 - Transport'!B31</f>
        <v>7.5431030000000014E-6</v>
      </c>
      <c r="I18" s="1">
        <f>'A5 - Construction'!E151</f>
        <v>1.5837131820674658E-7</v>
      </c>
      <c r="J18" s="1">
        <f>'C1 - Deconstruction'!B100</f>
        <v>0</v>
      </c>
      <c r="K18" s="1">
        <f>'D- Benefits &amp; Burdens'!N175</f>
        <v>-7.7428062500166099E-5</v>
      </c>
      <c r="L18" s="1">
        <f t="shared" si="1"/>
        <v>2.8034072190257085E-3</v>
      </c>
      <c r="M18" s="1">
        <f t="shared" si="0"/>
        <v>2.8111086933439154E-3</v>
      </c>
      <c r="Q18" s="67"/>
    </row>
    <row r="19" spans="1:17" x14ac:dyDescent="0.25">
      <c r="A19" s="39" t="s">
        <v>203</v>
      </c>
      <c r="B19" s="39" t="s">
        <v>204</v>
      </c>
      <c r="C19" s="1">
        <f>'A1 - Raw Material Supply'!Z129</f>
        <v>3.1316636487153865E-7</v>
      </c>
      <c r="D19" s="1">
        <f>'C3'' - Secondary Raw Material '!F335</f>
        <v>1.3206845149439572E-7</v>
      </c>
      <c r="E19" s="1">
        <f>'A2 - Transport'!Z133</f>
        <v>3.4626370623094152E-8</v>
      </c>
      <c r="F19" s="1">
        <f>'C2''- Transport Secondary'!H73</f>
        <v>1.9405666465465117E-8</v>
      </c>
      <c r="G19" s="1">
        <f>'A3 - Production '!D220</f>
        <v>2.2184236222326039E-6</v>
      </c>
      <c r="H19" s="1">
        <f>'A4 - Transport'!B32</f>
        <v>1.5479398000000004E-7</v>
      </c>
      <c r="I19" s="1">
        <f>'A5 - Construction'!E152</f>
        <v>2.2887151634356993E-8</v>
      </c>
      <c r="J19" s="1">
        <f>'C1 - Deconstruction'!B101</f>
        <v>0</v>
      </c>
      <c r="K19" s="1">
        <f>'D- Benefits &amp; Burdens'!N176</f>
        <v>-2.4794648665360488E-7</v>
      </c>
      <c r="L19" s="1">
        <f t="shared" si="1"/>
        <v>2.7176904756870976E-6</v>
      </c>
      <c r="M19" s="1">
        <f t="shared" si="0"/>
        <v>2.8953716073214544E-6</v>
      </c>
      <c r="Q19" s="67"/>
    </row>
    <row r="20" spans="1:17" x14ac:dyDescent="0.25">
      <c r="A20" s="39" t="s">
        <v>205</v>
      </c>
      <c r="B20" s="39" t="s">
        <v>206</v>
      </c>
      <c r="C20" s="1">
        <f>'A1 - Raw Material Supply'!Z130</f>
        <v>2.9050290389812002E-6</v>
      </c>
      <c r="D20" s="1">
        <f>'C3'' - Secondary Raw Material '!F336</f>
        <v>2.0483049711123346E-6</v>
      </c>
      <c r="E20" s="1">
        <f>'A2 - Transport'!Z134</f>
        <v>1.1405035575247475E-7</v>
      </c>
      <c r="F20" s="1">
        <f>'C2''- Transport Secondary'!H74</f>
        <v>6.1776409271370495E-8</v>
      </c>
      <c r="G20" s="1">
        <f>'A3 - Production '!D221</f>
        <v>1.4657805471655783E-7</v>
      </c>
      <c r="H20" s="1">
        <f>'A4 - Transport'!B33</f>
        <v>4.7054900000000012E-7</v>
      </c>
      <c r="I20" s="1">
        <f>'A5 - Construction'!E153</f>
        <v>1.0003342887153199E-8</v>
      </c>
      <c r="J20" s="1">
        <f>'C1 - Deconstruction'!B102</f>
        <v>0</v>
      </c>
      <c r="K20" s="1">
        <f>'D- Benefits &amp; Burdens'!N177</f>
        <v>-1.8688346011891607E-6</v>
      </c>
      <c r="L20" s="1">
        <f t="shared" si="1"/>
        <v>5.2757388298339373E-6</v>
      </c>
      <c r="M20" s="1">
        <f t="shared" si="0"/>
        <v>5.7562911727210902E-6</v>
      </c>
      <c r="Q20" s="67"/>
    </row>
    <row r="21" spans="1:17" ht="30" x14ac:dyDescent="0.25">
      <c r="A21" s="39" t="s">
        <v>207</v>
      </c>
      <c r="B21" s="39" t="s">
        <v>208</v>
      </c>
      <c r="C21" s="1">
        <f>'A1 - Raw Material Supply'!Z131</f>
        <v>0.19467847361835888</v>
      </c>
      <c r="D21" s="1">
        <f>'C3'' - Secondary Raw Material '!F337</f>
        <v>5.3192923120790027E-2</v>
      </c>
      <c r="E21" s="1">
        <f>'A2 - Transport'!Z135</f>
        <v>1.4895823679998491E-2</v>
      </c>
      <c r="F21" s="1">
        <f>'C2''- Transport Secondary'!H75</f>
        <v>3.3440111806185046E-3</v>
      </c>
      <c r="G21" s="1">
        <f>'A3 - Production '!D222</f>
        <v>2.1562287560920764E-2</v>
      </c>
      <c r="H21" s="1">
        <f>'A4 - Transport'!B34</f>
        <v>2.9973365000000009E-2</v>
      </c>
      <c r="I21" s="1">
        <f>'A5 - Construction'!E154</f>
        <v>2.5016701845794521E-3</v>
      </c>
      <c r="J21" s="1">
        <f>'C1 - Deconstruction'!B103</f>
        <v>0</v>
      </c>
      <c r="K21" s="1">
        <f>'D- Benefits &amp; Burdens'!N178</f>
        <v>-0.13776322773904282</v>
      </c>
      <c r="L21" s="1">
        <f t="shared" si="1"/>
        <v>0.28767351916068667</v>
      </c>
      <c r="M21" s="1">
        <f t="shared" si="0"/>
        <v>0.32014855434526618</v>
      </c>
      <c r="Q21" s="67"/>
    </row>
    <row r="22" spans="1:17" ht="30" x14ac:dyDescent="0.25">
      <c r="A22" s="39" t="s">
        <v>209</v>
      </c>
      <c r="B22" s="39" t="s">
        <v>210</v>
      </c>
      <c r="C22" s="1">
        <f>'A1 - Raw Material Supply'!Z132</f>
        <v>9.3844033162187088</v>
      </c>
      <c r="D22" s="1">
        <f>'C3'' - Secondary Raw Material '!F338</f>
        <v>3.4045837613844849</v>
      </c>
      <c r="E22" s="1">
        <f>'A2 - Transport'!Z136</f>
        <v>8.3027998783432713E-2</v>
      </c>
      <c r="F22" s="1">
        <f>'C2''- Transport Secondary'!H76</f>
        <v>0.21279676441742298</v>
      </c>
      <c r="G22" s="1">
        <f>'A3 - Production '!D223</f>
        <v>2.3467327778388074</v>
      </c>
      <c r="H22" s="1">
        <f>'A4 - Transport'!B35</f>
        <v>0.21118340600000005</v>
      </c>
      <c r="I22" s="1">
        <f>'A5 - Construction'!E155</f>
        <v>1.8258328149160816E-2</v>
      </c>
      <c r="J22" s="1">
        <f>'C1 - Deconstruction'!B104</f>
        <v>0</v>
      </c>
      <c r="K22" s="1">
        <f>'D- Benefits &amp; Burdens'!N179</f>
        <v>-4.6117849994314906</v>
      </c>
      <c r="L22" s="1">
        <f t="shared" si="1"/>
        <v>15.431544618642857</v>
      </c>
      <c r="M22" s="1">
        <f t="shared" si="0"/>
        <v>15.660986352792017</v>
      </c>
      <c r="Q22" s="67"/>
    </row>
    <row r="23" spans="1:17" x14ac:dyDescent="0.25">
      <c r="A23" s="258" t="s">
        <v>62</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'!B229</f>
        <v>0</v>
      </c>
      <c r="H23" s="325">
        <f>+SUM(H4:H22)-'A4 - Transport'!B41</f>
        <v>0</v>
      </c>
      <c r="I23" s="325">
        <f>+SUM(I4:I22)-'A5 - Construction'!B162</f>
        <v>0</v>
      </c>
      <c r="J23" s="325">
        <f>+SUM(J4:J22)-'C1 - Deconstruction'!B110</f>
        <v>0</v>
      </c>
      <c r="K23" s="325">
        <f>+SUM(K4:K22)-'D- Benefits &amp; Burdens'!B212</f>
        <v>0</v>
      </c>
      <c r="L23" s="325"/>
      <c r="P23" s="67"/>
    </row>
    <row r="24" spans="1:17" x14ac:dyDescent="0.25">
      <c r="A24" s="66"/>
      <c r="B24" s="66"/>
      <c r="O24" s="67"/>
    </row>
    <row r="25" spans="1:17" ht="21" x14ac:dyDescent="0.35">
      <c r="A25" s="76" t="s">
        <v>211</v>
      </c>
      <c r="B25" s="66"/>
    </row>
    <row r="26" spans="1:17" x14ac:dyDescent="0.25">
      <c r="A26" s="328" t="s">
        <v>212</v>
      </c>
      <c r="B26" s="66"/>
    </row>
    <row r="27" spans="1:17" ht="45" x14ac:dyDescent="0.25">
      <c r="A27" s="103" t="s">
        <v>164</v>
      </c>
      <c r="B27" s="103" t="s">
        <v>213</v>
      </c>
      <c r="C27" s="103" t="s">
        <v>214</v>
      </c>
      <c r="D27" s="108" t="s">
        <v>215</v>
      </c>
      <c r="E27" s="103" t="s">
        <v>216</v>
      </c>
      <c r="F27" s="108" t="s">
        <v>217</v>
      </c>
      <c r="G27" s="108" t="s">
        <v>218</v>
      </c>
      <c r="H27" s="108" t="s">
        <v>170</v>
      </c>
      <c r="I27" s="108" t="s">
        <v>171</v>
      </c>
      <c r="J27" s="103" t="s">
        <v>172</v>
      </c>
      <c r="K27" s="103" t="s">
        <v>173</v>
      </c>
      <c r="L27" s="103" t="s">
        <v>174</v>
      </c>
      <c r="M27" s="103" t="s">
        <v>175</v>
      </c>
      <c r="N27" s="103" t="s">
        <v>176</v>
      </c>
      <c r="O27" s="103" t="s">
        <v>219</v>
      </c>
    </row>
    <row r="28" spans="1:17" x14ac:dyDescent="0.25">
      <c r="A28" s="39" t="s">
        <v>177</v>
      </c>
      <c r="B28" s="154">
        <v>55.6</v>
      </c>
      <c r="C28" s="154">
        <v>6.2E-2</v>
      </c>
      <c r="D28" s="1">
        <f t="shared" ref="D28" si="2">(C4/$B28)*$C28</f>
        <v>2.7098913418432084E-4</v>
      </c>
      <c r="E28" s="1">
        <f t="shared" ref="E28" si="3">(D4/$B28)*$C28</f>
        <v>8.3528528534281503E-5</v>
      </c>
      <c r="F28" s="1">
        <f t="shared" ref="F28" si="4">(E4/$B28)*$C28</f>
        <v>1.5850401966018229E-5</v>
      </c>
      <c r="G28" s="1">
        <f t="shared" ref="G28" si="5">(F4/$B28)*$C28</f>
        <v>4.1042423162489059E-6</v>
      </c>
      <c r="H28" s="1">
        <f t="shared" ref="H28" si="6">(G4/$B28)*$C28</f>
        <v>2.9253661758646232E-5</v>
      </c>
      <c r="I28" s="1">
        <f t="shared" ref="I28" si="7">(H4/$B28)*$C28</f>
        <v>2.1229079892086334E-5</v>
      </c>
      <c r="J28" s="1">
        <f t="shared" ref="J28" si="8">(I4/$B28)*$C28</f>
        <v>1.4479542370154811E-6</v>
      </c>
      <c r="K28" s="1">
        <f t="shared" ref="K28" si="9">(J4/$B28)*$C28</f>
        <v>0</v>
      </c>
      <c r="L28" s="1">
        <f t="shared" ref="L28" si="10">(K4/$B28)*$C28</f>
        <v>-1.441926450502977E-4</v>
      </c>
      <c r="M28" s="1">
        <f>SUM(D28:H28)*1000</f>
        <v>0.40372596875951572</v>
      </c>
      <c r="N28" s="1">
        <f>SUM(D28:K28)*1000</f>
        <v>0.42640300288861754</v>
      </c>
      <c r="O28" s="1">
        <f>SUM(D28:L28)*1000</f>
        <v>0.28221035783831983</v>
      </c>
    </row>
    <row r="29" spans="1:17" x14ac:dyDescent="0.25">
      <c r="A29" s="39" t="s">
        <v>179</v>
      </c>
      <c r="B29" s="154">
        <v>8100</v>
      </c>
      <c r="C29" s="154">
        <v>0.21059999999999998</v>
      </c>
      <c r="D29" s="1">
        <f t="shared" ref="D29:D46" si="11">(C5/$B29)*$C29</f>
        <v>8.3601711616911577E-4</v>
      </c>
      <c r="E29" s="1">
        <f t="shared" ref="E29:E46" si="12">(D5/$B29)*$C29</f>
        <v>4.2045965963947399E-4</v>
      </c>
      <c r="F29" s="1">
        <f t="shared" ref="F29:F46" si="13">(E5/$B29)*$C29</f>
        <v>4.4906032255615069E-5</v>
      </c>
      <c r="G29" s="1">
        <f t="shared" ref="G29:G46" si="14">(F5/$B29)*$C29</f>
        <v>1.8266663695787853E-5</v>
      </c>
      <c r="H29" s="1">
        <f t="shared" ref="H29:H46" si="15">(G5/$B29)*$C29</f>
        <v>4.8770963641588344E-4</v>
      </c>
      <c r="I29" s="1">
        <f t="shared" ref="I29:I46" si="16">(H5/$B29)*$C29</f>
        <v>1.8093259098200001E-4</v>
      </c>
      <c r="J29" s="1">
        <f t="shared" ref="J29:J46" si="17">(I5/$B29)*$C29</f>
        <v>2.6406746883139524E-5</v>
      </c>
      <c r="K29" s="1">
        <f t="shared" ref="K29:K46" si="18">(J5/$B29)*$C29</f>
        <v>0</v>
      </c>
      <c r="L29" s="1">
        <f t="shared" ref="L29:L46" si="19">(K5/$B29)*$C29</f>
        <v>-9.7507065225103332E-4</v>
      </c>
      <c r="M29" s="1">
        <f>SUM(D29:H29)*1000</f>
        <v>1.807359108175876</v>
      </c>
      <c r="N29" s="1">
        <f t="shared" ref="N29:N46" si="20">SUM(D29:K29)*1000</f>
        <v>2.0146984460410153</v>
      </c>
      <c r="O29" s="1">
        <f>SUM(D29:L29)*1000</f>
        <v>1.039627793789982</v>
      </c>
    </row>
    <row r="30" spans="1:17" x14ac:dyDescent="0.25">
      <c r="A30" s="39" t="s">
        <v>181</v>
      </c>
      <c r="B30" s="333"/>
      <c r="C30" s="333"/>
      <c r="D30" s="333"/>
      <c r="E30" s="333"/>
      <c r="F30" s="333"/>
      <c r="G30" s="333"/>
      <c r="H30" s="333"/>
      <c r="I30" s="333"/>
      <c r="J30" s="333"/>
      <c r="K30" s="333"/>
      <c r="L30" s="333"/>
      <c r="M30" s="333"/>
      <c r="N30" s="333"/>
      <c r="O30" s="333"/>
    </row>
    <row r="31" spans="1:17" x14ac:dyDescent="0.25">
      <c r="A31" s="39" t="s">
        <v>182</v>
      </c>
      <c r="B31" s="333"/>
      <c r="C31" s="333"/>
      <c r="D31" s="333"/>
      <c r="E31" s="333"/>
      <c r="F31" s="333"/>
      <c r="G31" s="333"/>
      <c r="H31" s="333"/>
      <c r="I31" s="333"/>
      <c r="J31" s="333"/>
      <c r="K31" s="333"/>
      <c r="L31" s="333"/>
      <c r="M31" s="333"/>
      <c r="N31" s="333"/>
      <c r="O31" s="333"/>
    </row>
    <row r="32" spans="1:17" x14ac:dyDescent="0.25">
      <c r="A32" s="39" t="s">
        <v>183</v>
      </c>
      <c r="B32" s="333"/>
      <c r="C32" s="333"/>
      <c r="D32" s="333"/>
      <c r="E32" s="333"/>
      <c r="F32" s="333"/>
      <c r="G32" s="333"/>
      <c r="H32" s="333"/>
      <c r="I32" s="333"/>
      <c r="J32" s="333"/>
      <c r="K32" s="333"/>
      <c r="L32" s="333"/>
      <c r="M32" s="333"/>
      <c r="N32" s="333"/>
      <c r="O32" s="333"/>
    </row>
    <row r="33" spans="1:15" x14ac:dyDescent="0.25">
      <c r="A33" s="39" t="s">
        <v>184</v>
      </c>
      <c r="B33" s="154">
        <v>42700</v>
      </c>
      <c r="C33" s="154">
        <v>1.9199999999999998E-2</v>
      </c>
      <c r="D33" s="1">
        <f t="shared" si="11"/>
        <v>2.7355050547926707E-4</v>
      </c>
      <c r="E33" s="1">
        <f t="shared" si="12"/>
        <v>5.3473845755170041E-5</v>
      </c>
      <c r="F33" s="1">
        <f t="shared" si="13"/>
        <v>9.215845918185125E-7</v>
      </c>
      <c r="G33" s="1">
        <f t="shared" si="14"/>
        <v>1.4153092745321607E-6</v>
      </c>
      <c r="H33" s="1">
        <f t="shared" si="15"/>
        <v>8.4183182385341371E-6</v>
      </c>
      <c r="I33" s="1">
        <f t="shared" si="16"/>
        <v>2.6592600748665108E-6</v>
      </c>
      <c r="J33" s="1">
        <f t="shared" si="17"/>
        <v>2.0177656497321193E-7</v>
      </c>
      <c r="K33" s="1">
        <f t="shared" si="18"/>
        <v>0</v>
      </c>
      <c r="L33" s="1">
        <f t="shared" si="19"/>
        <v>-2.8223232748800302E-4</v>
      </c>
      <c r="M33" s="1">
        <f t="shared" ref="M33:M46" si="21">SUM(D33:H33)*1000</f>
        <v>0.33777956333932191</v>
      </c>
      <c r="N33" s="1">
        <f t="shared" si="20"/>
        <v>0.34064059997916163</v>
      </c>
      <c r="O33" s="1">
        <f t="shared" ref="O33:O46" si="22">SUM(D33:L33)*1000</f>
        <v>5.8408272491158625E-2</v>
      </c>
    </row>
    <row r="34" spans="1:15" x14ac:dyDescent="0.25">
      <c r="A34" s="39" t="s">
        <v>186</v>
      </c>
      <c r="B34" s="154">
        <v>65000</v>
      </c>
      <c r="C34" s="154">
        <v>7.5499999999999998E-2</v>
      </c>
      <c r="D34" s="1">
        <f t="shared" si="11"/>
        <v>2.3262314612491103E-3</v>
      </c>
      <c r="E34" s="1">
        <f t="shared" si="12"/>
        <v>1.9985649988505703E-4</v>
      </c>
      <c r="F34" s="1">
        <f t="shared" si="13"/>
        <v>2.6296568596105804E-5</v>
      </c>
      <c r="G34" s="1">
        <f t="shared" si="14"/>
        <v>1.8432621205273086E-5</v>
      </c>
      <c r="H34" s="1">
        <f t="shared" si="15"/>
        <v>5.0621538269613863E-4</v>
      </c>
      <c r="I34" s="1">
        <f t="shared" si="16"/>
        <v>1.0867981452100003E-4</v>
      </c>
      <c r="J34" s="1">
        <f t="shared" si="17"/>
        <v>1.5669698307755535E-5</v>
      </c>
      <c r="K34" s="1">
        <f t="shared" si="18"/>
        <v>0</v>
      </c>
      <c r="L34" s="1">
        <f t="shared" si="19"/>
        <v>-1.2845315334288588E-3</v>
      </c>
      <c r="M34" s="1">
        <f t="shared" si="21"/>
        <v>3.0770325336316846</v>
      </c>
      <c r="N34" s="1">
        <f t="shared" si="20"/>
        <v>3.2013820464604406</v>
      </c>
      <c r="O34" s="1">
        <f t="shared" si="22"/>
        <v>1.9168505130315818</v>
      </c>
    </row>
    <row r="35" spans="1:15" x14ac:dyDescent="0.25">
      <c r="A35" s="39" t="s">
        <v>188</v>
      </c>
      <c r="B35" s="154">
        <v>1.61</v>
      </c>
      <c r="C35" s="154">
        <v>2.7999999999999997E-2</v>
      </c>
      <c r="D35" s="1">
        <f t="shared" si="11"/>
        <v>1.0004380630186885E-4</v>
      </c>
      <c r="E35" s="1">
        <f t="shared" si="12"/>
        <v>8.5351282655178048E-5</v>
      </c>
      <c r="F35" s="1">
        <f t="shared" si="13"/>
        <v>1.4414860153096997E-6</v>
      </c>
      <c r="G35" s="1">
        <f t="shared" si="14"/>
        <v>1.6646185080327473E-6</v>
      </c>
      <c r="H35" s="1">
        <f t="shared" si="15"/>
        <v>2.8159369393695749E-5</v>
      </c>
      <c r="I35" s="1">
        <f t="shared" si="16"/>
        <v>2.7841565217391308E-6</v>
      </c>
      <c r="J35" s="1">
        <f t="shared" si="17"/>
        <v>1.8672575610968716E-7</v>
      </c>
      <c r="K35" s="1">
        <f t="shared" si="18"/>
        <v>0</v>
      </c>
      <c r="L35" s="1">
        <f t="shared" si="19"/>
        <v>-5.2351254501511602E-5</v>
      </c>
      <c r="M35" s="1">
        <f t="shared" si="21"/>
        <v>0.21666056287408511</v>
      </c>
      <c r="N35" s="1">
        <f t="shared" si="20"/>
        <v>0.21963144515193392</v>
      </c>
      <c r="O35" s="1">
        <f t="shared" si="22"/>
        <v>0.16728019065042232</v>
      </c>
    </row>
    <row r="36" spans="1:15" x14ac:dyDescent="0.25">
      <c r="A36" s="39" t="s">
        <v>190</v>
      </c>
      <c r="B36" s="154">
        <v>19.5</v>
      </c>
      <c r="C36" s="154">
        <v>2.9600000000000001E-2</v>
      </c>
      <c r="D36" s="1">
        <f t="shared" si="11"/>
        <v>8.0075270914508798E-5</v>
      </c>
      <c r="E36" s="1">
        <f t="shared" si="12"/>
        <v>2.9469519656287038E-5</v>
      </c>
      <c r="F36" s="1">
        <f t="shared" si="13"/>
        <v>6.6520826928955134E-6</v>
      </c>
      <c r="G36" s="1">
        <f t="shared" si="14"/>
        <v>3.2414052242608615E-6</v>
      </c>
      <c r="H36" s="1">
        <f t="shared" si="15"/>
        <v>9.5178689519723046E-6</v>
      </c>
      <c r="I36" s="1">
        <f t="shared" si="16"/>
        <v>1.0368685702564106E-5</v>
      </c>
      <c r="J36" s="1">
        <f t="shared" si="17"/>
        <v>4.4571595053682637E-7</v>
      </c>
      <c r="K36" s="1">
        <f t="shared" si="18"/>
        <v>0</v>
      </c>
      <c r="L36" s="1">
        <f t="shared" si="19"/>
        <v>-5.6287439426760785E-5</v>
      </c>
      <c r="M36" s="1">
        <f t="shared" si="21"/>
        <v>0.12895614743992453</v>
      </c>
      <c r="N36" s="1">
        <f t="shared" si="20"/>
        <v>0.13977054909302547</v>
      </c>
      <c r="O36" s="1">
        <f t="shared" si="22"/>
        <v>8.3483109666264682E-2</v>
      </c>
    </row>
    <row r="37" spans="1:15" x14ac:dyDescent="0.25">
      <c r="A37" s="39" t="s">
        <v>192</v>
      </c>
      <c r="B37" s="154">
        <v>177</v>
      </c>
      <c r="C37" s="154">
        <v>3.7100000000000001E-2</v>
      </c>
      <c r="D37" s="1">
        <f t="shared" si="11"/>
        <v>1.2374852994036581E-4</v>
      </c>
      <c r="E37" s="1">
        <f t="shared" si="12"/>
        <v>3.3871931067494826E-5</v>
      </c>
      <c r="F37" s="1">
        <f t="shared" si="13"/>
        <v>1.0080072460101238E-5</v>
      </c>
      <c r="G37" s="1">
        <f t="shared" si="14"/>
        <v>3.0435309275249387E-6</v>
      </c>
      <c r="H37" s="1">
        <f t="shared" si="15"/>
        <v>1.3594849061201318E-5</v>
      </c>
      <c r="I37" s="1">
        <f t="shared" si="16"/>
        <v>1.561821232485876E-5</v>
      </c>
      <c r="J37" s="1">
        <f t="shared" si="17"/>
        <v>6.6908376712355803E-7</v>
      </c>
      <c r="K37" s="1">
        <f t="shared" si="18"/>
        <v>0</v>
      </c>
      <c r="L37" s="1">
        <f t="shared" si="19"/>
        <v>-8.8716468251057119E-5</v>
      </c>
      <c r="M37" s="1">
        <f t="shared" si="21"/>
        <v>0.18433891345668815</v>
      </c>
      <c r="N37" s="1">
        <f t="shared" si="20"/>
        <v>0.2006262095486705</v>
      </c>
      <c r="O37" s="1">
        <f t="shared" si="22"/>
        <v>0.11190974129761337</v>
      </c>
    </row>
    <row r="38" spans="1:15" x14ac:dyDescent="0.25">
      <c r="A38" s="39" t="s">
        <v>194</v>
      </c>
      <c r="B38" s="154">
        <v>1.6900000000000001E-5</v>
      </c>
      <c r="C38" s="154">
        <v>2.1299999999999999E-2</v>
      </c>
      <c r="D38" s="1">
        <f t="shared" si="11"/>
        <v>2.0954848756714447E-5</v>
      </c>
      <c r="E38" s="1">
        <f t="shared" si="12"/>
        <v>1.5450768028914896E-5</v>
      </c>
      <c r="F38" s="1">
        <f t="shared" si="13"/>
        <v>2.9385515289564856E-7</v>
      </c>
      <c r="G38" s="1">
        <f t="shared" si="14"/>
        <v>2.2979148303251574E-7</v>
      </c>
      <c r="H38" s="1">
        <f t="shared" si="15"/>
        <v>3.48177406503513E-6</v>
      </c>
      <c r="I38" s="1">
        <f t="shared" si="16"/>
        <v>8.1981721242603549E-7</v>
      </c>
      <c r="J38" s="1">
        <f t="shared" si="17"/>
        <v>7.8225895588383408E-8</v>
      </c>
      <c r="K38" s="1">
        <f t="shared" si="18"/>
        <v>0</v>
      </c>
      <c r="L38" s="1">
        <f t="shared" si="19"/>
        <v>-1.6318767952493581E-5</v>
      </c>
      <c r="M38" s="1">
        <f t="shared" si="21"/>
        <v>4.0411037486592638E-2</v>
      </c>
      <c r="N38" s="1">
        <f t="shared" si="20"/>
        <v>4.1309080594607049E-2</v>
      </c>
      <c r="O38" s="1">
        <f t="shared" si="22"/>
        <v>2.4990312642113471E-2</v>
      </c>
    </row>
    <row r="39" spans="1:15" x14ac:dyDescent="0.25">
      <c r="A39" s="39" t="s">
        <v>196</v>
      </c>
      <c r="B39" s="154">
        <v>2.3000000000000001E-4</v>
      </c>
      <c r="C39" s="154">
        <v>1.84E-2</v>
      </c>
      <c r="D39" s="1">
        <f t="shared" si="11"/>
        <v>4.8943489276344607E-5</v>
      </c>
      <c r="E39" s="1">
        <f t="shared" si="12"/>
        <v>1.4775071374523008E-5</v>
      </c>
      <c r="F39" s="1">
        <f t="shared" si="13"/>
        <v>8.5114935235356995E-7</v>
      </c>
      <c r="G39" s="1">
        <f t="shared" si="14"/>
        <v>1.1958308254650886E-6</v>
      </c>
      <c r="H39" s="1">
        <f t="shared" si="15"/>
        <v>7.7106142679098333E-6</v>
      </c>
      <c r="I39" s="1">
        <f t="shared" si="16"/>
        <v>3.9898840000000009E-6</v>
      </c>
      <c r="J39" s="1">
        <f t="shared" si="17"/>
        <v>1.3234616078838485E-7</v>
      </c>
      <c r="K39" s="1">
        <f t="shared" si="18"/>
        <v>0</v>
      </c>
      <c r="L39" s="1">
        <f t="shared" si="19"/>
        <v>-3.6826514397864117E-5</v>
      </c>
      <c r="M39" s="1">
        <f t="shared" si="21"/>
        <v>7.3476155096596107E-2</v>
      </c>
      <c r="N39" s="1">
        <f t="shared" si="20"/>
        <v>7.7598385257384481E-2</v>
      </c>
      <c r="O39" s="1">
        <f t="shared" si="22"/>
        <v>4.0771870859520359E-2</v>
      </c>
    </row>
    <row r="40" spans="1:15" x14ac:dyDescent="0.25">
      <c r="A40" s="39" t="s">
        <v>197</v>
      </c>
      <c r="B40" s="154">
        <v>4220</v>
      </c>
      <c r="C40" s="154">
        <v>5.0099999999999999E-2</v>
      </c>
      <c r="D40" s="1">
        <f t="shared" si="11"/>
        <v>2.5109310245421858E-5</v>
      </c>
      <c r="E40" s="1">
        <f t="shared" si="12"/>
        <v>1.2427775131314943E-5</v>
      </c>
      <c r="F40" s="1">
        <f t="shared" si="13"/>
        <v>2.3822064850823419E-7</v>
      </c>
      <c r="G40" s="1">
        <f t="shared" si="14"/>
        <v>4.6632178013376546E-6</v>
      </c>
      <c r="H40" s="1">
        <f t="shared" si="15"/>
        <v>9.3074520086889283E-5</v>
      </c>
      <c r="I40" s="1">
        <f t="shared" si="16"/>
        <v>5.0009777260663521E-7</v>
      </c>
      <c r="J40" s="1">
        <f t="shared" si="17"/>
        <v>4.8089174437600783E-8</v>
      </c>
      <c r="K40" s="1">
        <f t="shared" si="18"/>
        <v>0</v>
      </c>
      <c r="L40" s="1">
        <f t="shared" si="19"/>
        <v>-1.2649696509673822E-5</v>
      </c>
      <c r="M40" s="1">
        <f t="shared" si="21"/>
        <v>0.13551304391347196</v>
      </c>
      <c r="N40" s="1">
        <f t="shared" si="20"/>
        <v>0.13606123086051622</v>
      </c>
      <c r="O40" s="1">
        <f t="shared" si="22"/>
        <v>0.12341153435084239</v>
      </c>
    </row>
    <row r="41" spans="1:15" x14ac:dyDescent="0.25">
      <c r="A41" s="39" t="s">
        <v>199</v>
      </c>
      <c r="B41" s="154">
        <v>819000</v>
      </c>
      <c r="C41" s="154">
        <v>7.9399999999999998E-2</v>
      </c>
      <c r="D41" s="1">
        <f t="shared" si="11"/>
        <v>2.3959576291107299E-5</v>
      </c>
      <c r="E41" s="1">
        <f t="shared" si="12"/>
        <v>8.5752212187323533E-6</v>
      </c>
      <c r="F41" s="1">
        <f t="shared" si="13"/>
        <v>3.4766516847449487E-7</v>
      </c>
      <c r="G41" s="1">
        <f t="shared" si="14"/>
        <v>5.8860432997046428E-7</v>
      </c>
      <c r="H41" s="1">
        <f t="shared" si="15"/>
        <v>3.1308643537873198E-6</v>
      </c>
      <c r="I41" s="1">
        <f t="shared" si="16"/>
        <v>5.6920775351404159E-7</v>
      </c>
      <c r="J41" s="1">
        <f t="shared" si="17"/>
        <v>6.7243243580852589E-8</v>
      </c>
      <c r="K41" s="1">
        <f t="shared" si="18"/>
        <v>0</v>
      </c>
      <c r="L41" s="1">
        <f t="shared" si="19"/>
        <v>-4.8887765208514223E-5</v>
      </c>
      <c r="M41" s="1">
        <f t="shared" si="21"/>
        <v>3.6601931362071932E-2</v>
      </c>
      <c r="N41" s="1">
        <f t="shared" si="20"/>
        <v>3.7238382359166829E-2</v>
      </c>
      <c r="O41" s="1">
        <f t="shared" si="22"/>
        <v>-1.1649382849347394E-2</v>
      </c>
    </row>
    <row r="42" spans="1:15" x14ac:dyDescent="0.25">
      <c r="A42" s="39" t="s">
        <v>201</v>
      </c>
      <c r="B42" s="154">
        <v>65000</v>
      </c>
      <c r="C42" s="154">
        <v>8.3199999999999996E-2</v>
      </c>
      <c r="D42" s="1">
        <f t="shared" si="11"/>
        <v>3.3410776678539903E-9</v>
      </c>
      <c r="E42" s="1">
        <f t="shared" si="12"/>
        <v>1.0911590455263539E-10</v>
      </c>
      <c r="F42" s="1">
        <f t="shared" si="13"/>
        <v>2.8822185968641411E-12</v>
      </c>
      <c r="G42" s="1">
        <f t="shared" si="14"/>
        <v>7.4871372785706277E-12</v>
      </c>
      <c r="H42" s="1">
        <f t="shared" si="15"/>
        <v>1.2779831207084641E-10</v>
      </c>
      <c r="I42" s="1">
        <f t="shared" si="16"/>
        <v>9.6551718400000005E-12</v>
      </c>
      <c r="J42" s="1">
        <f t="shared" si="17"/>
        <v>2.0271528730463563E-13</v>
      </c>
      <c r="K42" s="1">
        <f t="shared" si="18"/>
        <v>0</v>
      </c>
      <c r="L42" s="1">
        <f t="shared" si="19"/>
        <v>-9.9107920000212607E-11</v>
      </c>
      <c r="M42" s="1">
        <f t="shared" si="21"/>
        <v>3.5883612403529068E-6</v>
      </c>
      <c r="N42" s="1">
        <f t="shared" si="20"/>
        <v>3.5982191274802111E-6</v>
      </c>
      <c r="O42" s="1">
        <f t="shared" si="22"/>
        <v>3.4991112074799985E-6</v>
      </c>
    </row>
    <row r="43" spans="1:15" x14ac:dyDescent="0.25">
      <c r="A43" s="39" t="s">
        <v>203</v>
      </c>
      <c r="B43" s="154">
        <v>5.3600000000000002E-2</v>
      </c>
      <c r="C43" s="154">
        <v>6.3099999999999989E-2</v>
      </c>
      <c r="D43" s="1">
        <f t="shared" si="11"/>
        <v>3.6867159745138222E-7</v>
      </c>
      <c r="E43" s="1">
        <f t="shared" si="12"/>
        <v>1.5547610614358897E-7</v>
      </c>
      <c r="F43" s="1">
        <f t="shared" si="13"/>
        <v>4.0763507207411203E-8</v>
      </c>
      <c r="G43" s="1">
        <f t="shared" si="14"/>
        <v>2.2845103618859116E-8</v>
      </c>
      <c r="H43" s="1">
        <f t="shared" si="15"/>
        <v>2.6116143761730833E-6</v>
      </c>
      <c r="I43" s="1">
        <f t="shared" si="16"/>
        <v>1.8222948018656716E-7</v>
      </c>
      <c r="J43" s="1">
        <f t="shared" si="17"/>
        <v>2.6943643062088172E-8</v>
      </c>
      <c r="K43" s="1">
        <f t="shared" si="18"/>
        <v>0</v>
      </c>
      <c r="L43" s="1">
        <f t="shared" si="19"/>
        <v>-2.9189222589258328E-7</v>
      </c>
      <c r="M43" s="1">
        <f t="shared" si="21"/>
        <v>3.1993706905943248E-3</v>
      </c>
      <c r="N43" s="1">
        <f t="shared" si="20"/>
        <v>3.40854381384298E-3</v>
      </c>
      <c r="O43" s="1">
        <f t="shared" si="22"/>
        <v>3.1166515879503969E-3</v>
      </c>
    </row>
    <row r="44" spans="1:15" x14ac:dyDescent="0.25">
      <c r="A44" s="39" t="s">
        <v>205</v>
      </c>
      <c r="B44" s="154">
        <v>5.9500000000000004E-4</v>
      </c>
      <c r="C44" s="154">
        <v>8.9600000000000013E-2</v>
      </c>
      <c r="D44" s="1">
        <f t="shared" si="11"/>
        <v>4.3746319645834549E-4</v>
      </c>
      <c r="E44" s="1">
        <f t="shared" si="12"/>
        <v>3.0845063094397512E-4</v>
      </c>
      <c r="F44" s="1">
        <f t="shared" si="13"/>
        <v>1.7174641807431493E-5</v>
      </c>
      <c r="G44" s="1">
        <f t="shared" si="14"/>
        <v>9.3028004549828516E-6</v>
      </c>
      <c r="H44" s="1">
        <f t="shared" si="15"/>
        <v>2.2072930592611066E-5</v>
      </c>
      <c r="I44" s="1">
        <f t="shared" si="16"/>
        <v>7.0859143529411792E-5</v>
      </c>
      <c r="J44" s="1">
        <f t="shared" si="17"/>
        <v>1.5063857524183641E-6</v>
      </c>
      <c r="K44" s="1">
        <f t="shared" si="18"/>
        <v>0</v>
      </c>
      <c r="L44" s="1">
        <f t="shared" si="19"/>
        <v>-2.8142450464966186E-4</v>
      </c>
      <c r="M44" s="1">
        <f t="shared" si="21"/>
        <v>0.7944642002573461</v>
      </c>
      <c r="N44" s="1">
        <f t="shared" si="20"/>
        <v>0.86682972953917625</v>
      </c>
      <c r="O44" s="1">
        <f t="shared" si="22"/>
        <v>0.58540522488951441</v>
      </c>
    </row>
    <row r="45" spans="1:15" ht="30" x14ac:dyDescent="0.25">
      <c r="A45" s="39" t="s">
        <v>207</v>
      </c>
      <c r="B45" s="154">
        <v>40.6</v>
      </c>
      <c r="C45" s="154">
        <v>4.7800000000000002E-2</v>
      </c>
      <c r="D45" s="1">
        <f t="shared" si="11"/>
        <v>2.2920273494969346E-4</v>
      </c>
      <c r="E45" s="1">
        <f t="shared" si="12"/>
        <v>6.2626150866348853E-5</v>
      </c>
      <c r="F45" s="1">
        <f t="shared" si="13"/>
        <v>1.7537447583840587E-5</v>
      </c>
      <c r="G45" s="1">
        <f t="shared" si="14"/>
        <v>3.9370377939301607E-6</v>
      </c>
      <c r="H45" s="1">
        <f t="shared" si="15"/>
        <v>2.5386141512611149E-5</v>
      </c>
      <c r="I45" s="1">
        <f t="shared" si="16"/>
        <v>3.5288838596059122E-5</v>
      </c>
      <c r="J45" s="1">
        <f t="shared" si="17"/>
        <v>2.9453161286428032E-6</v>
      </c>
      <c r="K45" s="1">
        <f t="shared" si="18"/>
        <v>0</v>
      </c>
      <c r="L45" s="1">
        <f t="shared" si="19"/>
        <v>-1.6219414497355288E-4</v>
      </c>
      <c r="M45" s="1">
        <f t="shared" si="21"/>
        <v>0.33868951270642422</v>
      </c>
      <c r="N45" s="1">
        <f t="shared" si="20"/>
        <v>0.37692366743112621</v>
      </c>
      <c r="O45" s="1">
        <f t="shared" si="22"/>
        <v>0.21472952245757332</v>
      </c>
    </row>
    <row r="46" spans="1:15" x14ac:dyDescent="0.25">
      <c r="A46" s="39" t="s">
        <v>209</v>
      </c>
      <c r="B46" s="154">
        <v>11500</v>
      </c>
      <c r="C46" s="154">
        <v>8.5099999999999995E-2</v>
      </c>
      <c r="D46" s="1">
        <f t="shared" si="11"/>
        <v>6.9444584540018448E-5</v>
      </c>
      <c r="E46" s="1">
        <f t="shared" si="12"/>
        <v>2.5193919834245187E-5</v>
      </c>
      <c r="F46" s="1">
        <f t="shared" si="13"/>
        <v>6.1440719099740208E-7</v>
      </c>
      <c r="G46" s="1">
        <f t="shared" si="14"/>
        <v>1.5746960566889298E-6</v>
      </c>
      <c r="H46" s="1">
        <f t="shared" si="15"/>
        <v>1.7365822556007174E-5</v>
      </c>
      <c r="I46" s="1">
        <f t="shared" si="16"/>
        <v>1.5627572044000002E-6</v>
      </c>
      <c r="J46" s="1">
        <f t="shared" si="17"/>
        <v>1.3511162830379003E-7</v>
      </c>
      <c r="K46" s="1">
        <f t="shared" si="18"/>
        <v>0</v>
      </c>
      <c r="L46" s="1">
        <f t="shared" si="19"/>
        <v>-3.412720899579303E-5</v>
      </c>
      <c r="M46" s="1">
        <f t="shared" si="21"/>
        <v>0.11419343017795713</v>
      </c>
      <c r="N46" s="1">
        <f t="shared" si="20"/>
        <v>0.11589129901066092</v>
      </c>
      <c r="O46" s="1">
        <f t="shared" si="22"/>
        <v>8.1764090014867882E-2</v>
      </c>
    </row>
    <row r="47" spans="1:15" x14ac:dyDescent="0.25">
      <c r="A47" s="368" t="s">
        <v>220</v>
      </c>
      <c r="B47" s="369"/>
      <c r="C47" s="330">
        <f>SUM(C28:C46)</f>
        <v>1</v>
      </c>
      <c r="D47" s="88">
        <f>SUM(D28:D46)*1000</f>
        <v>4.8661055774313215</v>
      </c>
      <c r="E47" s="88">
        <f>SUM(E28:E46)*1000</f>
        <v>1.3536663898130448</v>
      </c>
      <c r="F47" s="88">
        <f t="shared" ref="F47:L47" si="23">SUM(F28:F46)*1000</f>
        <v>0.14324638187179148</v>
      </c>
      <c r="G47" s="88">
        <f t="shared" si="23"/>
        <v>7.1683222487824369E-2</v>
      </c>
      <c r="H47" s="88">
        <f t="shared" si="23"/>
        <v>1.2577034961254083</v>
      </c>
      <c r="I47" s="88">
        <f t="shared" si="23"/>
        <v>0.45604378522289096</v>
      </c>
      <c r="J47" s="88">
        <f t="shared" si="23"/>
        <v>4.9967363296191371E-2</v>
      </c>
      <c r="K47" s="88">
        <f t="shared" si="23"/>
        <v>0</v>
      </c>
      <c r="L47" s="88">
        <f t="shared" si="23"/>
        <v>-3.4761029144188873</v>
      </c>
      <c r="M47" s="1">
        <f>+SUM(M28:M46)</f>
        <v>7.6924050677293918</v>
      </c>
      <c r="N47" s="1">
        <f>+SUM(N28:N46)</f>
        <v>8.1984162162484733</v>
      </c>
      <c r="O47" s="1">
        <f>SUM(O28:O46)</f>
        <v>4.7223133018295851</v>
      </c>
    </row>
    <row r="48" spans="1:15" x14ac:dyDescent="0.25">
      <c r="A48" s="86"/>
      <c r="B48" s="86"/>
      <c r="C48" s="86"/>
      <c r="D48" s="86"/>
      <c r="E48" s="3"/>
    </row>
    <row r="49" spans="1:16" ht="21" x14ac:dyDescent="0.35">
      <c r="A49" s="84"/>
      <c r="B49" s="86"/>
      <c r="C49" s="86"/>
      <c r="D49" s="86"/>
      <c r="E49" s="3"/>
    </row>
    <row r="50" spans="1:16" ht="21" x14ac:dyDescent="0.35">
      <c r="A50" s="76" t="s">
        <v>221</v>
      </c>
      <c r="B50" s="86"/>
      <c r="C50" s="86"/>
      <c r="D50" s="86"/>
      <c r="E50" s="3"/>
    </row>
    <row r="51" spans="1:16" x14ac:dyDescent="0.25">
      <c r="A51" s="264" t="s">
        <v>222</v>
      </c>
      <c r="B51" s="86"/>
      <c r="C51" s="86"/>
      <c r="D51" s="86"/>
      <c r="E51" s="3"/>
    </row>
    <row r="52" spans="1:16" ht="45" x14ac:dyDescent="0.25">
      <c r="A52" s="108" t="s">
        <v>223</v>
      </c>
      <c r="B52" s="108" t="s">
        <v>165</v>
      </c>
      <c r="C52" s="108" t="s">
        <v>215</v>
      </c>
      <c r="D52" s="108" t="s">
        <v>216</v>
      </c>
      <c r="E52" s="108" t="s">
        <v>217</v>
      </c>
      <c r="F52" s="108" t="s">
        <v>218</v>
      </c>
      <c r="G52" s="108" t="s">
        <v>170</v>
      </c>
      <c r="H52" s="108" t="s">
        <v>171</v>
      </c>
      <c r="I52" s="108" t="s">
        <v>172</v>
      </c>
      <c r="J52" s="108" t="s">
        <v>173</v>
      </c>
      <c r="K52" s="108" t="s">
        <v>224</v>
      </c>
      <c r="L52" s="103" t="s">
        <v>175</v>
      </c>
      <c r="M52" s="103" t="s">
        <v>176</v>
      </c>
    </row>
    <row r="53" spans="1:16" x14ac:dyDescent="0.25">
      <c r="A53" s="88" t="s">
        <v>225</v>
      </c>
      <c r="B53" s="88" t="s">
        <v>226</v>
      </c>
      <c r="C53" s="88">
        <f>'A1 - Raw Material Supply'!F54</f>
        <v>32.154504468042923</v>
      </c>
      <c r="D53" s="88">
        <f>'C3'' - Secondary Raw Material '!F321</f>
        <v>16.171525370749002</v>
      </c>
      <c r="E53" s="88">
        <f>+'A2 - Transport'!Z119</f>
        <v>1.7271550867544261</v>
      </c>
      <c r="F53" s="88">
        <f>+'C2''- Transport Secondary'!H59</f>
        <v>0.70256398829953293</v>
      </c>
      <c r="G53" s="88">
        <f>'A3 - Production '!D206</f>
        <v>18.758062939072442</v>
      </c>
      <c r="H53" s="88">
        <f>'A4 - Transport'!B18</f>
        <v>6.9589458070000019</v>
      </c>
      <c r="I53" s="88">
        <f>'A5 - Construction'!E138</f>
        <v>1.0156441108899819</v>
      </c>
      <c r="J53" s="88">
        <f>'C1 - Deconstruction'!B87</f>
        <v>0</v>
      </c>
      <c r="K53" s="1">
        <f>'D- Benefits &amp; Burdens'!N162</f>
        <v>-37.502717394270519</v>
      </c>
      <c r="L53" s="1">
        <f>SUM(C53:G53)</f>
        <v>69.513811852918323</v>
      </c>
      <c r="M53" s="1">
        <f>SUM(C53:J53)</f>
        <v>77.488401770808309</v>
      </c>
    </row>
    <row r="54" spans="1:16" x14ac:dyDescent="0.25">
      <c r="A54" s="258" t="s">
        <v>62</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25">
      <c r="A55" s="86"/>
      <c r="B55" s="86"/>
      <c r="C55" s="242"/>
      <c r="D55" s="242"/>
    </row>
    <row r="56" spans="1:16" ht="21" x14ac:dyDescent="0.35">
      <c r="A56" s="76" t="s">
        <v>227</v>
      </c>
      <c r="B56" s="86"/>
      <c r="C56" s="86"/>
      <c r="D56" s="86"/>
      <c r="E56" s="3"/>
    </row>
    <row r="57" spans="1:16" x14ac:dyDescent="0.25">
      <c r="A57" s="11" t="s">
        <v>228</v>
      </c>
      <c r="B57" s="86"/>
      <c r="C57" s="86"/>
      <c r="D57" s="86"/>
      <c r="E57" s="3"/>
      <c r="O57" s="15" t="s">
        <v>229</v>
      </c>
    </row>
    <row r="58" spans="1:16" x14ac:dyDescent="0.25">
      <c r="A58" s="370" t="s">
        <v>230</v>
      </c>
      <c r="B58" s="104" t="s">
        <v>231</v>
      </c>
      <c r="C58" s="372" t="s">
        <v>232</v>
      </c>
      <c r="D58" s="372"/>
      <c r="E58" s="372" t="s">
        <v>63</v>
      </c>
      <c r="F58" s="372"/>
      <c r="G58" s="372" t="s">
        <v>233</v>
      </c>
      <c r="H58" s="372"/>
      <c r="I58" s="370" t="s">
        <v>234</v>
      </c>
      <c r="J58" s="371"/>
      <c r="K58" s="370" t="s">
        <v>235</v>
      </c>
      <c r="L58" s="371"/>
      <c r="M58" s="370" t="s">
        <v>236</v>
      </c>
      <c r="N58" s="371"/>
      <c r="O58" s="103" t="s">
        <v>237</v>
      </c>
      <c r="P58" s="336" t="s">
        <v>238</v>
      </c>
    </row>
    <row r="59" spans="1:16" ht="30" x14ac:dyDescent="0.25">
      <c r="A59" s="370"/>
      <c r="B59" s="104" t="s">
        <v>239</v>
      </c>
      <c r="C59" s="103" t="s">
        <v>215</v>
      </c>
      <c r="D59" s="103" t="s">
        <v>217</v>
      </c>
      <c r="E59" s="103" t="s">
        <v>215</v>
      </c>
      <c r="F59" s="103" t="s">
        <v>217</v>
      </c>
      <c r="G59" s="103" t="s">
        <v>215</v>
      </c>
      <c r="H59" s="103" t="s">
        <v>217</v>
      </c>
      <c r="I59" s="103" t="s">
        <v>216</v>
      </c>
      <c r="J59" s="103" t="s">
        <v>218</v>
      </c>
      <c r="K59" s="103" t="s">
        <v>216</v>
      </c>
      <c r="L59" s="103" t="s">
        <v>218</v>
      </c>
      <c r="M59" s="103" t="s">
        <v>215</v>
      </c>
      <c r="N59" s="103" t="s">
        <v>217</v>
      </c>
      <c r="O59" s="103" t="s">
        <v>240</v>
      </c>
      <c r="P59" s="248" t="s">
        <v>241</v>
      </c>
    </row>
    <row r="60" spans="1:16" x14ac:dyDescent="0.25">
      <c r="A60" s="243" t="s">
        <v>225</v>
      </c>
      <c r="B60" s="243" t="s">
        <v>226</v>
      </c>
      <c r="C60" s="244">
        <f>'A1 - Raw Material Supply'!K115</f>
        <v>1.4161670193024245</v>
      </c>
      <c r="D60" s="244">
        <f>'A2 - Transport'!L119</f>
        <v>1.3904853329188149</v>
      </c>
      <c r="E60" s="245">
        <f>'A1 - Raw Material Supply'!O115</f>
        <v>3.6800000000000006</v>
      </c>
      <c r="F60" s="245">
        <f>'A2 - Transport'!B119</f>
        <v>6.3497943599999995E-2</v>
      </c>
      <c r="G60" s="245">
        <f>'A1 - Raw Material Supply'!N115</f>
        <v>5.6480748251686368</v>
      </c>
      <c r="H60" s="245">
        <f>'A2 - Transport'!O119</f>
        <v>0.10710127324599999</v>
      </c>
      <c r="I60" s="245">
        <f>'C3'' - Secondary Raw Material '!B321</f>
        <v>0.22794679520343747</v>
      </c>
      <c r="J60" s="245">
        <f>'C2''- Transport Secondary'!$D$59</f>
        <v>0.19145182729953297</v>
      </c>
      <c r="K60" s="245">
        <f>'C3'' - Secondary Raw Material '!C321+'C3'' - Secondary Raw Material '!D321+'C3'' - Secondary Raw Material '!E321</f>
        <v>15.943578575545565</v>
      </c>
      <c r="L60" s="245">
        <f>'C2''- Transport Secondary'!$G$59</f>
        <v>0.51111216100000001</v>
      </c>
      <c r="M60" s="245">
        <f>'A1 - Raw Material Supply'!Y$115</f>
        <v>21.410262623571857</v>
      </c>
      <c r="N60" s="245">
        <f>'A2 - Transport'!$Y$119</f>
        <v>0.16607053698961105</v>
      </c>
      <c r="O60" s="245">
        <f>'A3 - Production '!D206</f>
        <v>18.758062939072442</v>
      </c>
      <c r="P60" s="245">
        <f>'D- Benefits &amp; Burdens'!N162</f>
        <v>-37.502717394270519</v>
      </c>
    </row>
    <row r="61" spans="1:16" x14ac:dyDescent="0.25">
      <c r="A61" s="258" t="s">
        <v>62</v>
      </c>
      <c r="B61" s="338">
        <f>+SUM(C60:O60)-SUM(C53:G53)</f>
        <v>0</v>
      </c>
      <c r="C61" s="252"/>
      <c r="D61" s="242"/>
      <c r="E61" s="11"/>
      <c r="G61" s="11"/>
      <c r="J61" s="11"/>
      <c r="L61" s="11"/>
    </row>
    <row r="62" spans="1:16" x14ac:dyDescent="0.25">
      <c r="A62" s="86"/>
      <c r="B62" s="86"/>
      <c r="C62" s="317"/>
      <c r="D62" s="318"/>
      <c r="E62" s="319"/>
      <c r="F62" s="319"/>
      <c r="G62" s="319"/>
      <c r="H62" s="319"/>
      <c r="I62" s="319"/>
      <c r="J62" s="319"/>
      <c r="K62" s="319"/>
      <c r="L62" s="319"/>
    </row>
    <row r="63" spans="1:16" ht="21" x14ac:dyDescent="0.35">
      <c r="A63" s="76" t="s">
        <v>242</v>
      </c>
      <c r="B63" s="86"/>
      <c r="C63" s="86"/>
      <c r="D63" s="86"/>
      <c r="E63" s="3"/>
    </row>
    <row r="65" spans="1:40" ht="30" x14ac:dyDescent="0.25">
      <c r="A65" s="372" t="s">
        <v>230</v>
      </c>
      <c r="B65" s="104" t="s">
        <v>231</v>
      </c>
      <c r="C65" s="372" t="s">
        <v>243</v>
      </c>
      <c r="D65" s="372"/>
      <c r="E65" s="372"/>
      <c r="F65" s="372" t="s">
        <v>63</v>
      </c>
      <c r="G65" s="372"/>
      <c r="H65" s="372"/>
      <c r="I65" s="372" t="s">
        <v>233</v>
      </c>
      <c r="J65" s="372"/>
      <c r="K65" s="372"/>
      <c r="L65" s="370" t="s">
        <v>234</v>
      </c>
      <c r="M65" s="379"/>
      <c r="N65" s="371"/>
      <c r="O65" s="370" t="s">
        <v>235</v>
      </c>
      <c r="P65" s="379"/>
      <c r="Q65" s="371"/>
      <c r="R65" s="370" t="s">
        <v>244</v>
      </c>
      <c r="S65" s="379"/>
      <c r="T65" s="371"/>
      <c r="U65" s="104" t="s">
        <v>245</v>
      </c>
      <c r="V65" s="103" t="s">
        <v>246</v>
      </c>
      <c r="W65" s="104" t="s">
        <v>247</v>
      </c>
      <c r="X65" s="104" t="s">
        <v>248</v>
      </c>
      <c r="Y65" s="103" t="s">
        <v>249</v>
      </c>
      <c r="Z65" s="380" t="s">
        <v>250</v>
      </c>
      <c r="AA65" s="382" t="s">
        <v>251</v>
      </c>
      <c r="AB65" s="320" t="s">
        <v>252</v>
      </c>
      <c r="AC65" s="322"/>
      <c r="AD65" s="380" t="s">
        <v>253</v>
      </c>
      <c r="AE65" s="376" t="s">
        <v>254</v>
      </c>
      <c r="AF65" s="376"/>
      <c r="AG65" s="376"/>
      <c r="AH65" s="376"/>
      <c r="AI65" s="376"/>
      <c r="AJ65" s="376"/>
      <c r="AK65" s="376"/>
      <c r="AL65" s="373"/>
      <c r="AM65" s="376" t="s">
        <v>255</v>
      </c>
      <c r="AN65" s="376" t="s">
        <v>256</v>
      </c>
    </row>
    <row r="66" spans="1:40" ht="45" x14ac:dyDescent="0.25">
      <c r="A66" s="372"/>
      <c r="B66" s="104" t="s">
        <v>239</v>
      </c>
      <c r="C66" s="104" t="s">
        <v>257</v>
      </c>
      <c r="D66" s="104" t="s">
        <v>258</v>
      </c>
      <c r="E66" s="104" t="s">
        <v>220</v>
      </c>
      <c r="F66" s="104" t="s">
        <v>257</v>
      </c>
      <c r="G66" s="104" t="s">
        <v>258</v>
      </c>
      <c r="H66" s="104" t="s">
        <v>220</v>
      </c>
      <c r="I66" s="104" t="s">
        <v>257</v>
      </c>
      <c r="J66" s="104" t="s">
        <v>258</v>
      </c>
      <c r="K66" s="104" t="s">
        <v>220</v>
      </c>
      <c r="L66" s="104" t="s">
        <v>259</v>
      </c>
      <c r="M66" s="104" t="s">
        <v>260</v>
      </c>
      <c r="N66" s="104" t="s">
        <v>220</v>
      </c>
      <c r="O66" s="104" t="s">
        <v>259</v>
      </c>
      <c r="P66" s="104" t="s">
        <v>260</v>
      </c>
      <c r="Q66" s="104" t="s">
        <v>220</v>
      </c>
      <c r="R66" s="104" t="s">
        <v>257</v>
      </c>
      <c r="S66" s="104" t="s">
        <v>258</v>
      </c>
      <c r="T66" s="104" t="s">
        <v>220</v>
      </c>
      <c r="U66" s="104" t="s">
        <v>261</v>
      </c>
      <c r="V66" s="104" t="s">
        <v>262</v>
      </c>
      <c r="W66" s="104" t="s">
        <v>263</v>
      </c>
      <c r="X66" s="104" t="s">
        <v>263</v>
      </c>
      <c r="Y66" s="104" t="s">
        <v>263</v>
      </c>
      <c r="Z66" s="381"/>
      <c r="AA66" s="383"/>
      <c r="AB66" s="104" t="s">
        <v>264</v>
      </c>
      <c r="AC66" s="103" t="s">
        <v>265</v>
      </c>
      <c r="AD66" s="381"/>
      <c r="AE66" s="247" t="s">
        <v>266</v>
      </c>
      <c r="AF66" s="247" t="s">
        <v>267</v>
      </c>
      <c r="AG66" s="103" t="s">
        <v>268</v>
      </c>
      <c r="AH66" s="103" t="s">
        <v>269</v>
      </c>
      <c r="AI66" s="103" t="s">
        <v>270</v>
      </c>
      <c r="AJ66" s="103" t="s">
        <v>271</v>
      </c>
      <c r="AK66" s="103" t="s">
        <v>272</v>
      </c>
      <c r="AL66" s="103" t="s">
        <v>273</v>
      </c>
      <c r="AM66" s="382"/>
      <c r="AN66" s="382"/>
    </row>
    <row r="67" spans="1:40" x14ac:dyDescent="0.25">
      <c r="A67" s="39" t="s">
        <v>177</v>
      </c>
      <c r="B67" s="39" t="s">
        <v>178</v>
      </c>
      <c r="C67" s="13">
        <f>'A1 - Raw Material Supply'!K114</f>
        <v>2.398899530259576E-2</v>
      </c>
      <c r="D67" s="1">
        <f>'A2 - Transport'!L118</f>
        <v>1.3433384201856382E-2</v>
      </c>
      <c r="E67" s="62">
        <f>SUM(C67:D67)</f>
        <v>3.7422379504452138E-2</v>
      </c>
      <c r="F67" s="1">
        <f>'A1 - Raw Material Supply'!O114</f>
        <v>3.2102000000000006E-2</v>
      </c>
      <c r="G67" s="1">
        <f>'A2 - Transport'!B118</f>
        <v>9.46888E-5</v>
      </c>
      <c r="H67" s="62">
        <f>SUM(F67:G67)</f>
        <v>3.2196688800000005E-2</v>
      </c>
      <c r="I67" s="1">
        <f>'A1 - Raw Material Supply'!N114</f>
        <v>1.7263694445731691E-2</v>
      </c>
      <c r="J67" s="1">
        <f>'A2 - Transport'!O118</f>
        <v>2.6956788000000002E-4</v>
      </c>
      <c r="K67" s="62">
        <f>SUM(I67:J67)</f>
        <v>1.7533262325731692E-2</v>
      </c>
      <c r="L67" s="1">
        <f>'C3'' - Secondary Raw Material '!B320</f>
        <v>2.9142705942485195E-4</v>
      </c>
      <c r="M67" s="1">
        <f>'C2''- Transport Secondary'!D58</f>
        <v>6.8342679328127715E-4</v>
      </c>
      <c r="N67" s="62">
        <f t="shared" ref="N67" si="25">SUM(L67:M67)</f>
        <v>9.7485385270612915E-4</v>
      </c>
      <c r="O67" s="1">
        <f>'C3'' - Secondary Raw Material '!C320+'C3'' - Secondary Raw Material '!D320+'C3'' - Secondary Raw Material '!E320</f>
        <v>7.4614801755188892E-2</v>
      </c>
      <c r="P67" s="1">
        <f>'C2''- Transport Secondary'!G58</f>
        <v>2.9971517999999998E-3</v>
      </c>
      <c r="Q67" s="62">
        <f t="shared" ref="Q67" si="26">SUM(O67:P67)</f>
        <v>7.7611953555188892E-2</v>
      </c>
      <c r="R67" s="1">
        <f>'A1 - Raw Material Supply'!Y114</f>
        <v>0.16966137252019253</v>
      </c>
      <c r="S67" s="1">
        <f>'A2 - Transport'!Y118</f>
        <v>4.1659055863738727E-4</v>
      </c>
      <c r="T67" s="62">
        <f>SUM(R67:S67)</f>
        <v>0.17007796307882991</v>
      </c>
      <c r="U67" s="62">
        <f>'A3 - Production '!D205</f>
        <v>2.6233928931947266E-2</v>
      </c>
      <c r="V67" s="62">
        <f>'A4 - Transport'!B17</f>
        <v>1.9037691000000002E-2</v>
      </c>
      <c r="W67" s="1">
        <f>'A5 - Construction'!B137</f>
        <v>1.0426237398672052E-3</v>
      </c>
      <c r="X67" s="1">
        <f>'A5 - Construction'!C137</f>
        <v>0</v>
      </c>
      <c r="Y67" s="1">
        <f>'A5 - Construction'!D137</f>
        <v>2.55864253327323E-4</v>
      </c>
      <c r="Z67" s="62">
        <f>SUM(W67:Y67)</f>
        <v>1.2984879931945282E-3</v>
      </c>
      <c r="AA67" s="62">
        <f>'C1 - Deconstruction'!B86</f>
        <v>0</v>
      </c>
      <c r="AB67" s="1">
        <f>'D- Benefits &amp; Burdens'!B161</f>
        <v>5.2242966E-3</v>
      </c>
      <c r="AC67" s="1">
        <f>'D- Benefits &amp; Burdens'!C161</f>
        <v>8.1932729125431625E-4</v>
      </c>
      <c r="AD67" s="62">
        <f>SUM(AB67:AC67)</f>
        <v>6.0436238912543166E-3</v>
      </c>
      <c r="AE67" s="1">
        <f>'D- Benefits &amp; Burdens'!D161</f>
        <v>-3.3865905599999996E-2</v>
      </c>
      <c r="AF67" s="1">
        <f>'D- Benefits &amp; Burdens'!E161</f>
        <v>-5.6208313155636506E-2</v>
      </c>
      <c r="AG67" s="1">
        <f>'D- Benefits &amp; Burdens'!F161</f>
        <v>-1.3960382058064044E-2</v>
      </c>
      <c r="AH67" s="1">
        <f>'D- Benefits &amp; Burdens'!G161</f>
        <v>-8.5073821289970136E-3</v>
      </c>
      <c r="AI67" s="1">
        <f>'D- Benefits &amp; Burdens'!H161</f>
        <v>-1.7434522613519999E-4</v>
      </c>
      <c r="AJ67" s="1">
        <f>'D- Benefits &amp; Burdens'!I161</f>
        <v>-3.1963291458119998E-4</v>
      </c>
      <c r="AK67" s="1">
        <f>'D- Benefits &amp; Burdens'!J161</f>
        <v>-1.4533112200826882E-2</v>
      </c>
      <c r="AL67" s="1">
        <f>'D- Benefits &amp; Burdens'!K161</f>
        <v>-7.7827935876030006E-3</v>
      </c>
      <c r="AM67" s="62">
        <f>SUM(AE67:AL67)</f>
        <v>-0.13535186687184386</v>
      </c>
      <c r="AN67" s="62">
        <f>AD67+AM67</f>
        <v>-0.12930824298058954</v>
      </c>
    </row>
    <row r="68" spans="1:40" x14ac:dyDescent="0.25">
      <c r="A68" s="39" t="s">
        <v>179</v>
      </c>
      <c r="B68" s="39" t="s">
        <v>180</v>
      </c>
      <c r="C68" s="13">
        <f>'A1 - Raw Material Supply'!K115</f>
        <v>1.4161670193024245</v>
      </c>
      <c r="D68" s="1">
        <f>'A2 - Transport'!L119</f>
        <v>1.3904853329188149</v>
      </c>
      <c r="E68" s="62">
        <f t="shared" ref="E68:E85" si="27">SUM(C68:D68)</f>
        <v>2.8066523522212394</v>
      </c>
      <c r="F68" s="1">
        <f>'A1 - Raw Material Supply'!O115</f>
        <v>3.6800000000000006</v>
      </c>
      <c r="G68" s="1">
        <f>'A2 - Transport'!B119</f>
        <v>6.3497943599999995E-2</v>
      </c>
      <c r="H68" s="62">
        <f t="shared" ref="H68:H85" si="28">SUM(F68:G68)</f>
        <v>3.7434979436000004</v>
      </c>
      <c r="I68" s="1">
        <f>'A1 - Raw Material Supply'!N115</f>
        <v>5.6480748251686368</v>
      </c>
      <c r="J68" s="1">
        <f>'A2 - Transport'!O119</f>
        <v>0.10710127324599999</v>
      </c>
      <c r="K68" s="62">
        <f t="shared" ref="K68:K85" si="29">SUM(I68:J68)</f>
        <v>5.755176098414637</v>
      </c>
      <c r="L68" s="1">
        <f>'C3'' - Secondary Raw Material '!B321</f>
        <v>0.22794679520343747</v>
      </c>
      <c r="M68" s="1">
        <f>'C2''- Transport Secondary'!D59</f>
        <v>0.19145182729953297</v>
      </c>
      <c r="N68" s="62">
        <f t="shared" ref="N68:N85" si="30">SUM(L68:M68)</f>
        <v>0.41939862250297044</v>
      </c>
      <c r="O68" s="1">
        <f>'C3'' - Secondary Raw Material '!C321+'C3'' - Secondary Raw Material '!D321+'C3'' - Secondary Raw Material '!E321</f>
        <v>15.943578575545565</v>
      </c>
      <c r="P68" s="1">
        <f>'C2''- Transport Secondary'!G59</f>
        <v>0.51111216100000001</v>
      </c>
      <c r="Q68" s="62">
        <f t="shared" ref="Q68:Q85" si="31">SUM(O68:P68)</f>
        <v>16.454690736545565</v>
      </c>
      <c r="R68" s="1">
        <f>'A1 - Raw Material Supply'!Y115</f>
        <v>21.410262623571857</v>
      </c>
      <c r="S68" s="1">
        <f>'A2 - Transport'!Y119</f>
        <v>0.16607053698961105</v>
      </c>
      <c r="T68" s="62">
        <f t="shared" ref="T68:T85" si="32">SUM(R68:S68)</f>
        <v>21.576333160561468</v>
      </c>
      <c r="U68" s="62">
        <f>'A3 - Production '!D206</f>
        <v>18.758062939072442</v>
      </c>
      <c r="V68" s="62">
        <f>'A4 - Transport'!B18</f>
        <v>6.9589458070000019</v>
      </c>
      <c r="W68" s="1">
        <f>'A5 - Construction'!B138</f>
        <v>0.8155136334106825</v>
      </c>
      <c r="X68" s="1">
        <f>'A5 - Construction'!C138</f>
        <v>0</v>
      </c>
      <c r="Y68" s="1">
        <f>'A5 - Construction'!D138</f>
        <v>0.20013047747929927</v>
      </c>
      <c r="Z68" s="62">
        <f t="shared" ref="Z68:Z85" si="33">SUM(W68:Y68)</f>
        <v>1.0156441108899819</v>
      </c>
      <c r="AA68" s="62">
        <f>'C1 - Deconstruction'!B87</f>
        <v>0</v>
      </c>
      <c r="AB68" s="1">
        <f>'D- Benefits &amp; Burdens'!B162</f>
        <v>1.9096641982</v>
      </c>
      <c r="AC68" s="1">
        <f>'D- Benefits &amp; Burdens'!C162</f>
        <v>0.64085686014442989</v>
      </c>
      <c r="AD68" s="62">
        <f t="shared" ref="AD68:AD85" si="34">SUM(AB68:AC68)</f>
        <v>2.55052105834443</v>
      </c>
      <c r="AE68" s="1">
        <f>'D- Benefits &amp; Burdens'!D162</f>
        <v>-10.435424399999999</v>
      </c>
      <c r="AF68" s="1">
        <f>'D- Benefits &amp; Burdens'!E162</f>
        <v>-19.58956751944017</v>
      </c>
      <c r="AG68" s="1">
        <f>'D- Benefits &amp; Burdens'!F162</f>
        <v>-0.72547501694082206</v>
      </c>
      <c r="AH68" s="1">
        <f>'D- Benefits &amp; Burdens'!G162</f>
        <v>-0.96495648777860554</v>
      </c>
      <c r="AI68" s="1">
        <f>'D- Benefits &amp; Burdens'!H162</f>
        <v>-6.3729313622330391E-2</v>
      </c>
      <c r="AJ68" s="1">
        <f>'D- Benefits &amp; Burdens'!I162</f>
        <v>-0.1168370749742724</v>
      </c>
      <c r="AK68" s="1">
        <f>'D- Benefits &amp; Burdens'!J162</f>
        <v>-5.3123637846945186</v>
      </c>
      <c r="AL68" s="1">
        <f>'D- Benefits &amp; Burdens'!K162</f>
        <v>-2.8448848551642314</v>
      </c>
      <c r="AM68" s="62">
        <f t="shared" ref="AM68:AM85" si="35">SUM(AE68:AL68)</f>
        <v>-40.053238452614949</v>
      </c>
      <c r="AN68" s="62">
        <f t="shared" ref="AN68:AN85" si="36">AD68+AM68</f>
        <v>-37.502717394270519</v>
      </c>
    </row>
    <row r="69" spans="1:40" x14ac:dyDescent="0.25">
      <c r="A69" s="39" t="s">
        <v>181</v>
      </c>
      <c r="B69" s="39" t="s">
        <v>180</v>
      </c>
      <c r="C69" s="13">
        <f>'A1 - Raw Material Supply'!K116</f>
        <v>3.3254127745028727E-3</v>
      </c>
      <c r="D69" s="1">
        <f>'A2 - Transport'!L120</f>
        <v>5.2028559521720083E-4</v>
      </c>
      <c r="E69" s="62">
        <f t="shared" si="27"/>
        <v>3.8456983697200734E-3</v>
      </c>
      <c r="F69" s="1">
        <f>'A1 - Raw Material Supply'!O116</f>
        <v>-5.9622000000000002</v>
      </c>
      <c r="G69" s="1">
        <f>'A2 - Transport'!B120</f>
        <v>2.967612E-5</v>
      </c>
      <c r="H69" s="62">
        <f t="shared" si="28"/>
        <v>-5.9621703238800006</v>
      </c>
      <c r="I69" s="1">
        <f>'A1 - Raw Material Supply'!N116</f>
        <v>8.5773857952544358E-2</v>
      </c>
      <c r="J69" s="1">
        <f>'A2 - Transport'!O120</f>
        <v>7.9179935799999986E-5</v>
      </c>
      <c r="K69" s="62">
        <f t="shared" si="29"/>
        <v>8.5853037888344363E-2</v>
      </c>
      <c r="L69" s="1">
        <f>'C3'' - Secondary Raw Material '!B322</f>
        <v>4.7110820736309001E-5</v>
      </c>
      <c r="M69" s="1">
        <f>'C2''- Transport Secondary'!D60</f>
        <v>4.0023861247980904E-3</v>
      </c>
      <c r="N69" s="62">
        <f t="shared" si="30"/>
        <v>4.0494969455343996E-3</v>
      </c>
      <c r="O69" s="1">
        <f>'C3'' - Secondary Raw Material '!C322+'C3'' - Secondary Raw Material '!D322+'C3'' - Secondary Raw Material '!E322</f>
        <v>1.8525861342432801</v>
      </c>
      <c r="P69" s="1">
        <f>'C2''- Transport Secondary'!G60</f>
        <v>2.2017012399999998E-3</v>
      </c>
      <c r="Q69" s="62">
        <f t="shared" si="31"/>
        <v>1.8547878354832801</v>
      </c>
      <c r="R69" s="1">
        <f>'A1 - Raw Material Supply'!Y116</f>
        <v>1.3342775778965166</v>
      </c>
      <c r="S69" s="1">
        <f>'A2 - Transport'!Y120</f>
        <v>7.316159703470935E-5</v>
      </c>
      <c r="T69" s="62">
        <f t="shared" si="32"/>
        <v>1.3343507394935512</v>
      </c>
      <c r="U69" s="62">
        <f>'A3 - Production '!D207</f>
        <v>6.1985477848908989E-2</v>
      </c>
      <c r="V69" s="62">
        <f>'A4 - Transport'!B19</f>
        <v>3.216348400000001E-3</v>
      </c>
      <c r="W69" s="1">
        <f>'A5 - Construction'!B139</f>
        <v>1.6854598265941009E-4</v>
      </c>
      <c r="X69" s="1">
        <f>'A5 - Construction'!C139</f>
        <v>0</v>
      </c>
      <c r="Y69" s="1">
        <f>'A5 - Construction'!D139</f>
        <v>4.1361893418964866E-5</v>
      </c>
      <c r="Z69" s="62">
        <f t="shared" si="33"/>
        <v>2.0990787607837495E-4</v>
      </c>
      <c r="AA69" s="62">
        <f>'C1 - Deconstruction'!B88</f>
        <v>0</v>
      </c>
      <c r="AB69" s="1">
        <f>'D- Benefits &amp; Burdens'!B163</f>
        <v>8.8262583999999995E-4</v>
      </c>
      <c r="AC69" s="1">
        <f>'D- Benefits &amp; Burdens'!C163</f>
        <v>1.3244885776504564E-4</v>
      </c>
      <c r="AD69" s="62">
        <f t="shared" si="34"/>
        <v>1.0150746977650455E-3</v>
      </c>
      <c r="AE69" s="1">
        <f>'D- Benefits &amp; Burdens'!D163</f>
        <v>-4.1347908000000003E-2</v>
      </c>
      <c r="AF69" s="1">
        <f>'D- Benefits &amp; Burdens'!E163</f>
        <v>-0.29716823177504659</v>
      </c>
      <c r="AG69" s="1">
        <f>'D- Benefits &amp; Burdens'!F163</f>
        <v>-2.2361715149516645E-3</v>
      </c>
      <c r="AH69" s="1">
        <f>'D- Benefits &amp; Burdens'!G163</f>
        <v>2.3215122512829309E-4</v>
      </c>
      <c r="AI69" s="1">
        <f>'D- Benefits &amp; Burdens'!H163</f>
        <v>-2.9454989532479996E-5</v>
      </c>
      <c r="AJ69" s="1">
        <f>'D- Benefits &amp; Burdens'!I163</f>
        <v>-5.4000814142879996E-5</v>
      </c>
      <c r="AK69" s="1">
        <f>'D- Benefits &amp; Burdens'!J163</f>
        <v>-2.455316255219712E-3</v>
      </c>
      <c r="AL69" s="1">
        <f>'D- Benefits &amp; Burdens'!K163</f>
        <v>-1.3148745666172002E-3</v>
      </c>
      <c r="AM69" s="62">
        <f t="shared" si="35"/>
        <v>-0.3443738066903822</v>
      </c>
      <c r="AN69" s="62">
        <f t="shared" si="36"/>
        <v>-0.34335873199261713</v>
      </c>
    </row>
    <row r="70" spans="1:40" x14ac:dyDescent="0.25">
      <c r="A70" s="39" t="s">
        <v>182</v>
      </c>
      <c r="B70" s="39" t="s">
        <v>180</v>
      </c>
      <c r="C70" s="13">
        <f>'A1 - Raw Material Supply'!K117</f>
        <v>1.4124358700996731</v>
      </c>
      <c r="D70" s="1">
        <f>'A2 - Transport'!L121</f>
        <v>1.3895467469961886</v>
      </c>
      <c r="E70" s="62">
        <f t="shared" si="27"/>
        <v>2.8019826170958617</v>
      </c>
      <c r="F70" s="1">
        <f>'A1 - Raw Material Supply'!O117</f>
        <v>9.6420000000000012</v>
      </c>
      <c r="G70" s="1">
        <f>'A2 - Transport'!B121</f>
        <v>6.34632168E-2</v>
      </c>
      <c r="H70" s="62">
        <f t="shared" si="28"/>
        <v>9.7054632168000019</v>
      </c>
      <c r="I70" s="1">
        <f>'A1 - Raw Material Supply'!N117</f>
        <v>5.5595489391503952</v>
      </c>
      <c r="J70" s="1">
        <f>'A2 - Transport'!O121</f>
        <v>0.10701327038</v>
      </c>
      <c r="K70" s="62">
        <f t="shared" si="29"/>
        <v>5.6665622095303956</v>
      </c>
      <c r="L70" s="1">
        <f>'C3'' - Secondary Raw Material '!B323</f>
        <v>0.22788960397990332</v>
      </c>
      <c r="M70" s="1">
        <f>'C2''- Transport Secondary'!D61</f>
        <v>0.18697864187062638</v>
      </c>
      <c r="N70" s="62">
        <f t="shared" si="30"/>
        <v>0.41486824585052973</v>
      </c>
      <c r="O70" s="1">
        <f>'C3'' - Secondary Raw Material '!C323+'C3'' - Secondary Raw Material '!D323+'C3'' - Secondary Raw Material '!E323</f>
        <v>14.066790917499482</v>
      </c>
      <c r="P70" s="1">
        <f>'C2''- Transport Secondary'!G61</f>
        <v>0.50884581500000003</v>
      </c>
      <c r="Q70" s="62">
        <f t="shared" si="31"/>
        <v>14.575636732499483</v>
      </c>
      <c r="R70" s="1">
        <f>'A1 - Raw Material Supply'!Y117</f>
        <v>20.067425987694929</v>
      </c>
      <c r="S70" s="1">
        <f>'A2 - Transport'!Y121</f>
        <v>0.16596449390193033</v>
      </c>
      <c r="T70" s="62">
        <f t="shared" si="32"/>
        <v>20.23339048159686</v>
      </c>
      <c r="U70" s="62">
        <f>'A3 - Production '!D208</f>
        <v>18.686115354846837</v>
      </c>
      <c r="V70" s="62">
        <f>'A4 - Transport'!B20</f>
        <v>6.9551822750000021</v>
      </c>
      <c r="W70" s="1">
        <f>'A5 - Construction'!B140</f>
        <v>0.81530902328461363</v>
      </c>
      <c r="X70" s="1">
        <f>'A5 - Construction'!C140</f>
        <v>0</v>
      </c>
      <c r="Y70" s="1">
        <f>'A5 - Construction'!D140</f>
        <v>0.20008026529332268</v>
      </c>
      <c r="Z70" s="62">
        <f t="shared" si="33"/>
        <v>1.0153892885779363</v>
      </c>
      <c r="AA70" s="62">
        <f>'C1 - Deconstruction'!B89</f>
        <v>0</v>
      </c>
      <c r="AB70" s="1">
        <f>'D- Benefits &amp; Burdens'!B164</f>
        <v>1.9086314149999999</v>
      </c>
      <c r="AC70" s="1">
        <f>'D- Benefits &amp; Burdens'!C164</f>
        <v>0.64069607092206238</v>
      </c>
      <c r="AD70" s="62">
        <f t="shared" si="34"/>
        <v>2.5493274859220625</v>
      </c>
      <c r="AE70" s="1">
        <f>'D- Benefits &amp; Burdens'!D164</f>
        <v>-10.39604544</v>
      </c>
      <c r="AF70" s="1">
        <f>'D- Benefits &amp; Burdens'!E164</f>
        <v>-19.283814704514366</v>
      </c>
      <c r="AG70" s="1">
        <f>'D- Benefits &amp; Burdens'!F164</f>
        <v>-0.72300036108193522</v>
      </c>
      <c r="AH70" s="1">
        <f>'D- Benefits &amp; Burdens'!G164</f>
        <v>-0.96505584777410203</v>
      </c>
      <c r="AI70" s="1">
        <f>'D- Benefits &amp; Burdens'!H164</f>
        <v>-6.3694847581379999E-2</v>
      </c>
      <c r="AJ70" s="1">
        <f>'D- Benefits &amp; Burdens'!I164</f>
        <v>-0.11677388723252999</v>
      </c>
      <c r="AK70" s="1">
        <f>'D- Benefits &amp; Burdens'!J164</f>
        <v>-5.3094907559838722</v>
      </c>
      <c r="AL70" s="1">
        <f>'D- Benefits &amp; Burdens'!K164</f>
        <v>-2.8433462866100752</v>
      </c>
      <c r="AM70" s="62">
        <f t="shared" si="35"/>
        <v>-39.701222130778262</v>
      </c>
      <c r="AN70" s="62">
        <f t="shared" si="36"/>
        <v>-37.151894644856199</v>
      </c>
    </row>
    <row r="71" spans="1:40" x14ac:dyDescent="0.25">
      <c r="A71" s="39" t="s">
        <v>183</v>
      </c>
      <c r="B71" s="39" t="s">
        <v>180</v>
      </c>
      <c r="C71" s="13">
        <f>'A1 - Raw Material Supply'!K118</f>
        <v>4.0573642824849636E-4</v>
      </c>
      <c r="D71" s="1">
        <f>'A2 - Transport'!L122</f>
        <v>4.1829885140875133E-4</v>
      </c>
      <c r="E71" s="62">
        <f t="shared" si="27"/>
        <v>8.2403527965724775E-4</v>
      </c>
      <c r="F71" s="1">
        <f>'A1 - Raw Material Supply'!O118</f>
        <v>5.2500000000000012E-3</v>
      </c>
      <c r="G71" s="1">
        <f>'A2 - Transport'!B122</f>
        <v>5.0506000000000004E-6</v>
      </c>
      <c r="H71" s="62">
        <f t="shared" si="28"/>
        <v>5.2550506000000009E-3</v>
      </c>
      <c r="I71" s="1">
        <f>'A1 - Raw Material Supply'!N118</f>
        <v>2.7520280656980222E-3</v>
      </c>
      <c r="J71" s="1">
        <f>'A2 - Transport'!O122</f>
        <v>8.8227586000000011E-6</v>
      </c>
      <c r="K71" s="62">
        <f t="shared" si="29"/>
        <v>2.7608508242980222E-3</v>
      </c>
      <c r="L71" s="1">
        <f>'C3'' - Secondary Raw Material '!B324</f>
        <v>1.0080402797881333E-5</v>
      </c>
      <c r="M71" s="1">
        <f>'C2''- Transport Secondary'!D62</f>
        <v>4.7079930410883983E-4</v>
      </c>
      <c r="N71" s="62">
        <f t="shared" si="30"/>
        <v>4.8087970690672118E-4</v>
      </c>
      <c r="O71" s="1">
        <f>'C3'' - Secondary Raw Material '!C324+'C3'' - Secondary Raw Material '!D324+'C3'' - Secondary Raw Material '!E324</f>
        <v>2.4201523802802133E-2</v>
      </c>
      <c r="P71" s="1">
        <f>'C2''- Transport Secondary'!G62</f>
        <v>6.464410000000002E-5</v>
      </c>
      <c r="Q71" s="62">
        <f t="shared" si="31"/>
        <v>2.4266167902802133E-2</v>
      </c>
      <c r="R71" s="1">
        <f>'A1 - Raw Material Supply'!Y118</f>
        <v>8.5590579804112263E-3</v>
      </c>
      <c r="S71" s="1">
        <f>'A2 - Transport'!Y122</f>
        <v>3.2881310646035716E-5</v>
      </c>
      <c r="T71" s="62">
        <f t="shared" si="32"/>
        <v>8.5919392910572615E-3</v>
      </c>
      <c r="U71" s="62">
        <f>'A3 - Production '!D209</f>
        <v>9.9621063766965317E-3</v>
      </c>
      <c r="V71" s="62">
        <f>'A4 - Transport'!B21</f>
        <v>5.4717070000000017E-4</v>
      </c>
      <c r="W71" s="1">
        <f>'A5 - Construction'!B141</f>
        <v>3.6064143409459281E-5</v>
      </c>
      <c r="X71" s="1">
        <f>'A5 - Construction'!C141</f>
        <v>0</v>
      </c>
      <c r="Y71" s="1">
        <f>'A5 - Construction'!D141</f>
        <v>8.8502925576258877E-6</v>
      </c>
      <c r="Z71" s="62">
        <f t="shared" si="33"/>
        <v>4.491443596708517E-5</v>
      </c>
      <c r="AA71" s="62">
        <f>'C1 - Deconstruction'!B90</f>
        <v>0</v>
      </c>
      <c r="AB71" s="1">
        <f>'D- Benefits &amp; Burdens'!B165</f>
        <v>1.5015382000000001E-4</v>
      </c>
      <c r="AC71" s="1">
        <f>'D- Benefits &amp; Burdens'!C165</f>
        <v>2.8340364602519918E-5</v>
      </c>
      <c r="AD71" s="62">
        <f t="shared" si="34"/>
        <v>1.7849418460251992E-4</v>
      </c>
      <c r="AE71" s="1">
        <f>'D- Benefits &amp; Burdens'!D165</f>
        <v>-5.2177122000000003E-3</v>
      </c>
      <c r="AF71" s="1">
        <f>'D- Benefits &amp; Burdens'!E165</f>
        <v>-8.5845831507574619E-3</v>
      </c>
      <c r="AG71" s="1">
        <f>'D- Benefits &amp; Burdens'!F165</f>
        <v>-2.3848434393506342E-4</v>
      </c>
      <c r="AH71" s="1">
        <f>'D- Benefits &amp; Burdens'!G165</f>
        <v>-1.3279122963215021E-4</v>
      </c>
      <c r="AI71" s="1">
        <f>'D- Benefits &amp; Burdens'!H165</f>
        <v>-5.0109332810399999E-6</v>
      </c>
      <c r="AJ71" s="1">
        <f>'D- Benefits &amp; Burdens'!I165</f>
        <v>-9.1867110152399995E-6</v>
      </c>
      <c r="AK71" s="1">
        <f>'D- Benefits &amp; Burdens'!J165</f>
        <v>-4.1770260774297605E-4</v>
      </c>
      <c r="AL71" s="1">
        <f>'D- Benefits &amp; Burdens'!K165</f>
        <v>-2.2368871389310003E-4</v>
      </c>
      <c r="AM71" s="62">
        <f t="shared" si="35"/>
        <v>-1.4829159890257033E-2</v>
      </c>
      <c r="AN71" s="62">
        <f t="shared" si="36"/>
        <v>-1.4650665705654512E-2</v>
      </c>
    </row>
    <row r="72" spans="1:40" x14ac:dyDescent="0.25">
      <c r="A72" s="39" t="s">
        <v>184</v>
      </c>
      <c r="B72" s="39" t="s">
        <v>185</v>
      </c>
      <c r="C72" s="13">
        <f>'A1 - Raw Material Supply'!K119</f>
        <v>11.168863411495231</v>
      </c>
      <c r="D72" s="1">
        <f>'A2 - Transport'!L123</f>
        <v>1.7270636820511682</v>
      </c>
      <c r="E72" s="62">
        <f t="shared" si="27"/>
        <v>12.895927093546399</v>
      </c>
      <c r="F72" s="1">
        <f>'A1 - Raw Material Supply'!O119</f>
        <v>524.24000000000012</v>
      </c>
      <c r="G72" s="1">
        <f>'A2 - Transport'!B123</f>
        <v>5.4537579599999997E-2</v>
      </c>
      <c r="H72" s="62">
        <f t="shared" si="28"/>
        <v>524.29453757960016</v>
      </c>
      <c r="I72" s="1">
        <f>'A1 - Raw Material Supply'!N119</f>
        <v>15.47004415221395</v>
      </c>
      <c r="J72" s="1">
        <f>'A2 - Transport'!O123</f>
        <v>0.121766296018</v>
      </c>
      <c r="K72" s="62">
        <f t="shared" si="29"/>
        <v>15.59181044823195</v>
      </c>
      <c r="L72" s="1">
        <f>'C3'' - Secondary Raw Material '!B325</f>
        <v>0.10071387518257968</v>
      </c>
      <c r="M72" s="1">
        <f>'C2''- Transport Secondary'!D63</f>
        <v>0.68643615893975363</v>
      </c>
      <c r="N72" s="62">
        <f t="shared" si="30"/>
        <v>0.78715003412233331</v>
      </c>
      <c r="O72" s="1">
        <f>'C3'' - Secondary Raw Material '!C325+'C3'' - Secondary Raw Material '!D325+'C3'' - Secondary Raw Material '!E325</f>
        <v>118.82289100740914</v>
      </c>
      <c r="P72" s="1">
        <f>'C2''- Transport Secondary'!G63</f>
        <v>2.4611526964000001</v>
      </c>
      <c r="Q72" s="62">
        <f t="shared" si="31"/>
        <v>121.28404370380915</v>
      </c>
      <c r="R72" s="1">
        <f>'A1 - Raw Material Supply'!Y119</f>
        <v>57.486018684452517</v>
      </c>
      <c r="S72" s="1">
        <f>'A2 - Transport'!Y123</f>
        <v>0.14619817517721112</v>
      </c>
      <c r="T72" s="62">
        <f t="shared" si="32"/>
        <v>57.632216859629729</v>
      </c>
      <c r="U72" s="62">
        <f>'A3 - Production '!D210</f>
        <v>18.721988999239983</v>
      </c>
      <c r="V72" s="62">
        <f>'A4 - Transport'!B22</f>
        <v>5.9140836040000009</v>
      </c>
      <c r="W72" s="1">
        <f>'A5 - Construction'!B142</f>
        <v>0.360318899029544</v>
      </c>
      <c r="X72" s="1">
        <f>'A5 - Construction'!C142</f>
        <v>0</v>
      </c>
      <c r="Y72" s="1">
        <f>'A5 - Construction'!D142</f>
        <v>8.8423774114005468E-2</v>
      </c>
      <c r="Z72" s="62">
        <f t="shared" si="33"/>
        <v>0.44874267314354949</v>
      </c>
      <c r="AA72" s="62">
        <f>'C1 - Deconstruction'!B91</f>
        <v>0</v>
      </c>
      <c r="AB72" s="1">
        <f>'D- Benefits &amp; Burdens'!B166</f>
        <v>1.6229345704</v>
      </c>
      <c r="AC72" s="1">
        <f>'D- Benefits &amp; Burdens'!C166</f>
        <v>0.28315018759040977</v>
      </c>
      <c r="AD72" s="62">
        <f t="shared" si="34"/>
        <v>1.9060847579904099</v>
      </c>
      <c r="AE72" s="1">
        <f>'D- Benefits &amp; Burdens'!D166</f>
        <v>-561.15017999999998</v>
      </c>
      <c r="AF72" s="1">
        <f>'D- Benefits &amp; Burdens'!E166</f>
        <v>-53.350278952319726</v>
      </c>
      <c r="AG72" s="1">
        <f>'D- Benefits &amp; Burdens'!F166</f>
        <v>-7.1685307312791462</v>
      </c>
      <c r="AH72" s="1">
        <f>'D- Benefits &amp; Burdens'!G166</f>
        <v>-0.82411145720854018</v>
      </c>
      <c r="AI72" s="1">
        <f>'D- Benefits &amp; Burdens'!H166</f>
        <v>-5.4160572483388798E-2</v>
      </c>
      <c r="AJ72" s="1">
        <f>'D- Benefits &amp; Burdens'!I166</f>
        <v>-9.9294382886212798E-2</v>
      </c>
      <c r="AK72" s="1">
        <f>'D- Benefits &amp; Burdens'!J166</f>
        <v>-4.5147303095739195</v>
      </c>
      <c r="AL72" s="1">
        <f>'D- Benefits &amp; Burdens'!K166</f>
        <v>-2.4177350052461319</v>
      </c>
      <c r="AM72" s="62">
        <f t="shared" si="35"/>
        <v>-629.57902141099714</v>
      </c>
      <c r="AN72" s="62">
        <f t="shared" si="36"/>
        <v>-627.67293665300679</v>
      </c>
    </row>
    <row r="73" spans="1:40" ht="30" x14ac:dyDescent="0.25">
      <c r="A73" s="39" t="s">
        <v>186</v>
      </c>
      <c r="B73" s="39" t="s">
        <v>187</v>
      </c>
      <c r="C73" s="13">
        <f>'A1 - Raw Material Supply'!K120</f>
        <v>19.700178703780143</v>
      </c>
      <c r="D73" s="1">
        <f>'A2 - Transport'!L124</f>
        <v>18.139952477795457</v>
      </c>
      <c r="E73" s="62">
        <f t="shared" si="27"/>
        <v>37.8401311815756</v>
      </c>
      <c r="F73" s="1">
        <f>'A1 - Raw Material Supply'!O120</f>
        <v>825.63000000000011</v>
      </c>
      <c r="G73" s="1">
        <f>'A2 - Transport'!B124</f>
        <v>0.85461630399999999</v>
      </c>
      <c r="H73" s="62">
        <f t="shared" si="28"/>
        <v>826.48461630400016</v>
      </c>
      <c r="I73" s="1">
        <f>'A1 - Raw Material Supply'!N120</f>
        <v>32.340930068810088</v>
      </c>
      <c r="J73" s="1">
        <f>'A2 - Transport'!O124</f>
        <v>1.437404420629</v>
      </c>
      <c r="K73" s="62">
        <f t="shared" si="29"/>
        <v>33.778334489439089</v>
      </c>
      <c r="L73" s="1">
        <f>'C3'' - Secondary Raw Material '!B326</f>
        <v>3.0277427718114946</v>
      </c>
      <c r="M73" s="1">
        <f>'C2''- Transport Secondary'!D64</f>
        <v>9.2055756814099432</v>
      </c>
      <c r="N73" s="62">
        <f t="shared" si="30"/>
        <v>12.233318453221438</v>
      </c>
      <c r="O73" s="1">
        <f>'C3'' - Secondary Raw Material '!C326+'C3'' - Secondary Raw Material '!D326+'C3'' - Secondary Raw Material '!E326</f>
        <v>169.03414454644954</v>
      </c>
      <c r="P73" s="1">
        <f>'C2''- Transport Secondary'!G64</f>
        <v>6.6635684025999993</v>
      </c>
      <c r="Q73" s="62">
        <f t="shared" si="31"/>
        <v>175.69771294904953</v>
      </c>
      <c r="R73" s="1">
        <f>'A1 - Raw Material Supply'!Y120</f>
        <v>1125.0447187928689</v>
      </c>
      <c r="S73" s="1">
        <f>'A2 - Transport'!Y124</f>
        <v>2.2074567147527233</v>
      </c>
      <c r="T73" s="62">
        <f t="shared" si="32"/>
        <v>1127.2521755076216</v>
      </c>
      <c r="U73" s="62">
        <f>'A3 - Production '!D211</f>
        <v>435.81456788409292</v>
      </c>
      <c r="V73" s="62">
        <f>'A4 - Transport'!B23</f>
        <v>93.565403230000015</v>
      </c>
      <c r="W73" s="1">
        <f>'A5 - Construction'!B143</f>
        <v>10.832201025986118</v>
      </c>
      <c r="X73" s="1">
        <f>'A5 - Construction'!C143</f>
        <v>0</v>
      </c>
      <c r="Y73" s="1">
        <f>'A5 - Construction'!D143</f>
        <v>2.6582677157901702</v>
      </c>
      <c r="Z73" s="62">
        <f t="shared" si="33"/>
        <v>13.490468741776288</v>
      </c>
      <c r="AA73" s="62">
        <f>'C1 - Deconstruction'!B92</f>
        <v>0</v>
      </c>
      <c r="AB73" s="1">
        <f>'D- Benefits &amp; Burdens'!B167</f>
        <v>25.676087398</v>
      </c>
      <c r="AC73" s="1">
        <f>'D- Benefits &amp; Burdens'!C167</f>
        <v>8.5122921966785636</v>
      </c>
      <c r="AD73" s="62">
        <f t="shared" si="34"/>
        <v>34.188379594678565</v>
      </c>
      <c r="AE73" s="1">
        <f>'D- Benefits &amp; Burdens'!D167</f>
        <v>-901.7781839999999</v>
      </c>
      <c r="AF73" s="1">
        <f>'D- Benefits &amp; Burdens'!E167</f>
        <v>-103.37094765328328</v>
      </c>
      <c r="AG73" s="1">
        <f>'D- Benefits &amp; Burdens'!F167</f>
        <v>-10.279795854635511</v>
      </c>
      <c r="AH73" s="1">
        <f>'D- Benefits &amp; Burdens'!G167</f>
        <v>-12.54275635359949</v>
      </c>
      <c r="AI73" s="1">
        <f>'D- Benefits &amp; Burdens'!H167</f>
        <v>-0.85686238864605591</v>
      </c>
      <c r="AJ73" s="1">
        <f>'D- Benefits &amp; Burdens'!I167</f>
        <v>-1.570914379184436</v>
      </c>
      <c r="AK73" s="1">
        <f>'D- Benefits &amp; Burdens'!J167</f>
        <v>-71.426545543637616</v>
      </c>
      <c r="AL73" s="1">
        <f>'D- Benefits &amp; Burdens'!K167</f>
        <v>-38.250448559120592</v>
      </c>
      <c r="AM73" s="62">
        <f t="shared" si="35"/>
        <v>-1140.0764547321066</v>
      </c>
      <c r="AN73" s="62">
        <f t="shared" si="36"/>
        <v>-1105.8880751374281</v>
      </c>
    </row>
    <row r="74" spans="1:40" ht="30" x14ac:dyDescent="0.25">
      <c r="A74" s="39" t="s">
        <v>188</v>
      </c>
      <c r="B74" s="39" t="s">
        <v>189</v>
      </c>
      <c r="C74" s="13">
        <f>'A1 - Raw Material Supply'!K121</f>
        <v>9.5633571015964897E-5</v>
      </c>
      <c r="D74" s="1">
        <f>'A2 - Transport'!L125</f>
        <v>7.3298024198005824E-5</v>
      </c>
      <c r="E74" s="62">
        <f t="shared" si="27"/>
        <v>1.6893159521397071E-4</v>
      </c>
      <c r="F74" s="1">
        <f>'A1 - Raw Material Supply'!O121</f>
        <v>1.721E-5</v>
      </c>
      <c r="G74" s="1">
        <f>'A2 - Transport'!B125</f>
        <v>1.4810759999999999E-6</v>
      </c>
      <c r="H74" s="62">
        <f t="shared" si="28"/>
        <v>1.8691075999999999E-5</v>
      </c>
      <c r="I74" s="1">
        <f>'A1 - Raw Material Supply'!N121</f>
        <v>8.9840582788204429E-4</v>
      </c>
      <c r="J74" s="1">
        <f>'A2 - Transport'!O125</f>
        <v>2.6819187000000002E-6</v>
      </c>
      <c r="K74" s="62">
        <f t="shared" si="29"/>
        <v>9.010877465820443E-4</v>
      </c>
      <c r="L74" s="1">
        <f>'C3'' - Secondary Raw Material '!B327</f>
        <v>2.4097057136146485E-6</v>
      </c>
      <c r="M74" s="1">
        <f>'C2''- Transport Secondary'!D65</f>
        <v>7.0231824211882987E-5</v>
      </c>
      <c r="N74" s="62">
        <f t="shared" si="30"/>
        <v>7.2641529925497633E-5</v>
      </c>
      <c r="O74" s="1">
        <f>'C3'' - Secondary Raw Material '!C327+'C3'' - Secondary Raw Material '!D327+'C3'' - Secondary Raw Material '!E327</f>
        <v>4.9052890469591243E-3</v>
      </c>
      <c r="P74" s="1">
        <f>'C2''- Transport Secondary'!G65</f>
        <v>2.5483740000000004E-5</v>
      </c>
      <c r="Q74" s="62">
        <f t="shared" si="31"/>
        <v>4.9307727869591245E-3</v>
      </c>
      <c r="R74" s="1">
        <f>'A1 - Raw Material Supply'!Y121</f>
        <v>4.7412694634594507E-3</v>
      </c>
      <c r="S74" s="1">
        <f>'A2 - Transport'!Y125</f>
        <v>5.4244269823019113E-6</v>
      </c>
      <c r="T74" s="62">
        <f t="shared" si="32"/>
        <v>4.7466938904417522E-3</v>
      </c>
      <c r="U74" s="62">
        <f>'A3 - Production '!D212</f>
        <v>1.6191637401375058E-3</v>
      </c>
      <c r="V74" s="62">
        <f>'A4 - Transport'!B24</f>
        <v>1.6008900000000003E-4</v>
      </c>
      <c r="W74" s="1">
        <f>'A5 - Construction'!B144</f>
        <v>8.6210813370133686E-6</v>
      </c>
      <c r="X74" s="1">
        <f>'A5 - Construction'!C144</f>
        <v>0</v>
      </c>
      <c r="Y74" s="1">
        <f>'A5 - Construction'!D144</f>
        <v>2.1156496392936459E-6</v>
      </c>
      <c r="Z74" s="62">
        <f t="shared" si="33"/>
        <v>1.0736730976307014E-5</v>
      </c>
      <c r="AA74" s="62">
        <f>'C1 - Deconstruction'!B93</f>
        <v>0</v>
      </c>
      <c r="AB74" s="1">
        <f>'D- Benefits &amp; Burdens'!B168</f>
        <v>4.3931399999999998E-5</v>
      </c>
      <c r="AC74" s="1">
        <f>'D- Benefits &amp; Burdens'!C168</f>
        <v>6.7747231809990723E-6</v>
      </c>
      <c r="AD74" s="62">
        <f t="shared" si="34"/>
        <v>5.0706123180999071E-5</v>
      </c>
      <c r="AE74" s="1">
        <f>'D- Benefits &amp; Burdens'!D168</f>
        <v>-8.7618185999999986E-6</v>
      </c>
      <c r="AF74" s="1">
        <f>'D- Benefits &amp; Burdens'!E168</f>
        <v>-2.7632038391447625E-3</v>
      </c>
      <c r="AG74" s="1">
        <f>'D- Benefits &amp; Burdens'!F168</f>
        <v>-5.3605434442295689E-5</v>
      </c>
      <c r="AH74" s="1">
        <f>'D- Benefits &amp; Burdens'!G168</f>
        <v>-4.3522585174738216E-5</v>
      </c>
      <c r="AI74" s="1">
        <f>'D- Benefits &amp; Burdens'!H168</f>
        <v>-1.4660786807999999E-6</v>
      </c>
      <c r="AJ74" s="1">
        <f>'D- Benefits &amp; Burdens'!I168</f>
        <v>-2.6878109148000001E-6</v>
      </c>
      <c r="AK74" s="1">
        <f>'D- Benefits &amp; Burdens'!J168</f>
        <v>-1.2220974692352002E-4</v>
      </c>
      <c r="AL74" s="1">
        <f>'D- Benefits &amp; Burdens'!K168</f>
        <v>-6.5445943137000011E-5</v>
      </c>
      <c r="AM74" s="62">
        <f t="shared" si="35"/>
        <v>-3.0609032570179163E-3</v>
      </c>
      <c r="AN74" s="62">
        <f t="shared" si="36"/>
        <v>-3.0101971338369173E-3</v>
      </c>
    </row>
    <row r="75" spans="1:40" ht="30" x14ac:dyDescent="0.25">
      <c r="A75" s="39" t="s">
        <v>190</v>
      </c>
      <c r="B75" s="39" t="s">
        <v>191</v>
      </c>
      <c r="C75" s="13">
        <f>'A1 - Raw Material Supply'!K122</f>
        <v>8.8920571429866018E-3</v>
      </c>
      <c r="D75" s="1">
        <f>'A2 - Transport'!L126</f>
        <v>4.1204152858603689E-3</v>
      </c>
      <c r="E75" s="62">
        <f t="shared" si="27"/>
        <v>1.3012472428846971E-2</v>
      </c>
      <c r="F75" s="1">
        <f>'A1 - Raw Material Supply'!O122</f>
        <v>8.234E-3</v>
      </c>
      <c r="G75" s="1">
        <f>'A2 - Transport'!B126</f>
        <v>2.0638879999999998E-5</v>
      </c>
      <c r="H75" s="62">
        <f t="shared" si="28"/>
        <v>8.2546388799999999E-3</v>
      </c>
      <c r="I75" s="1">
        <f>'A1 - Raw Material Supply'!N122</f>
        <v>4.0666025005615808E-3</v>
      </c>
      <c r="J75" s="1">
        <f>'A2 - Transport'!O126</f>
        <v>1.0251451300000001E-4</v>
      </c>
      <c r="K75" s="62">
        <f t="shared" si="29"/>
        <v>4.1691170135615806E-3</v>
      </c>
      <c r="L75" s="1">
        <f>'C3'' - Secondary Raw Material '!B328</f>
        <v>6.5901152916486919E-5</v>
      </c>
      <c r="M75" s="1">
        <f>'C2''- Transport Secondary'!D66</f>
        <v>1.4035059841509446E-4</v>
      </c>
      <c r="N75" s="62">
        <f t="shared" si="30"/>
        <v>2.0625175133158138E-4</v>
      </c>
      <c r="O75" s="1">
        <f>'C3'' - Secondary Raw Material '!C328+'C3'' - Secondary Raw Material '!D328+'C3'' - Secondary Raw Material '!E328</f>
        <v>1.9348140512542879E-2</v>
      </c>
      <c r="P75" s="1">
        <f>'C2''- Transport Secondary'!G66</f>
        <v>1.9950345999999999E-3</v>
      </c>
      <c r="Q75" s="62">
        <f t="shared" si="31"/>
        <v>2.134317511254288E-2</v>
      </c>
      <c r="R75" s="1">
        <f>'A1 - Raw Material Supply'!Y122</f>
        <v>3.1559630317023482E-2</v>
      </c>
      <c r="S75" s="1">
        <f>'A2 - Transport'!Y126</f>
        <v>1.387155276079589E-4</v>
      </c>
      <c r="T75" s="62">
        <f t="shared" si="32"/>
        <v>3.1698345844631444E-2</v>
      </c>
      <c r="U75" s="62">
        <f>'A3 - Production '!D213</f>
        <v>6.2702177217385108E-3</v>
      </c>
      <c r="V75" s="62">
        <f>'A4 - Transport'!B25</f>
        <v>6.8307220000000017E-3</v>
      </c>
      <c r="W75" s="1">
        <f>'A5 - Construction'!B145</f>
        <v>2.3577119657643158E-4</v>
      </c>
      <c r="X75" s="1">
        <f>'A5 - Construction'!C145</f>
        <v>0</v>
      </c>
      <c r="Y75" s="1">
        <f>'A5 - Construction'!D145</f>
        <v>5.7859243811004693E-5</v>
      </c>
      <c r="Z75" s="62">
        <f t="shared" si="33"/>
        <v>2.9363044038743628E-4</v>
      </c>
      <c r="AA75" s="62">
        <f>'C1 - Deconstruction'!B94</f>
        <v>0</v>
      </c>
      <c r="AB75" s="1">
        <f>'D- Benefits &amp; Burdens'!B169</f>
        <v>1.8744771999999997E-3</v>
      </c>
      <c r="AC75" s="1">
        <f>'D- Benefits &amp; Burdens'!C169</f>
        <v>1.8527659448015291E-4</v>
      </c>
      <c r="AD75" s="62">
        <f t="shared" si="34"/>
        <v>2.0597537944801528E-3</v>
      </c>
      <c r="AE75" s="1">
        <f>'D- Benefits &amp; Burdens'!D169</f>
        <v>-8.742129119999999E-3</v>
      </c>
      <c r="AF75" s="1">
        <f>'D- Benefits &amp; Burdens'!E169</f>
        <v>-1.3295838345363787E-2</v>
      </c>
      <c r="AG75" s="1">
        <f>'D- Benefits &amp; Burdens'!F169</f>
        <v>-5.0146547118943216E-3</v>
      </c>
      <c r="AH75" s="1">
        <f>'D- Benefits &amp; Burdens'!G169</f>
        <v>-3.9041994226242816E-3</v>
      </c>
      <c r="AI75" s="1">
        <f>'D- Benefits &amp; Burdens'!H169</f>
        <v>-6.2555053118399992E-5</v>
      </c>
      <c r="AJ75" s="1">
        <f>'D- Benefits &amp; Burdens'!I169</f>
        <v>-1.146842640504E-4</v>
      </c>
      <c r="AK75" s="1">
        <f>'D- Benefits &amp; Burdens'!J169</f>
        <v>-5.2144794890649606E-3</v>
      </c>
      <c r="AL75" s="1">
        <f>'D- Benefits &amp; Burdens'!K169</f>
        <v>-2.7924657134260002E-3</v>
      </c>
      <c r="AM75" s="62">
        <f t="shared" si="35"/>
        <v>-3.9141006119542153E-2</v>
      </c>
      <c r="AN75" s="62">
        <f t="shared" si="36"/>
        <v>-3.7081252325062E-2</v>
      </c>
    </row>
    <row r="76" spans="1:40" x14ac:dyDescent="0.25">
      <c r="A76" s="39" t="s">
        <v>192</v>
      </c>
      <c r="B76" s="39" t="s">
        <v>193</v>
      </c>
      <c r="C76" s="13">
        <f>'A1 - Raw Material Supply'!K123</f>
        <v>0.12027135148823478</v>
      </c>
      <c r="D76" s="1">
        <f>'A2 - Transport'!L127</f>
        <v>4.5367303723673341E-2</v>
      </c>
      <c r="E76" s="62">
        <f t="shared" si="27"/>
        <v>0.16563865521190813</v>
      </c>
      <c r="F76" s="1">
        <f>'A1 - Raw Material Supply'!O123</f>
        <v>8.9540000000000022E-2</v>
      </c>
      <c r="G76" s="1">
        <f>'A2 - Transport'!B127</f>
        <v>2.233972E-4</v>
      </c>
      <c r="H76" s="62">
        <f t="shared" si="28"/>
        <v>8.9763397200000025E-2</v>
      </c>
      <c r="I76" s="1">
        <f>'A1 - Raw Material Supply'!N123</f>
        <v>4.552297249995986E-2</v>
      </c>
      <c r="J76" s="1">
        <f>'A2 - Transport'!O127</f>
        <v>9.8861375499999997E-4</v>
      </c>
      <c r="K76" s="62">
        <f t="shared" si="29"/>
        <v>4.6511586254959859E-2</v>
      </c>
      <c r="L76" s="1">
        <f>'C3'' - Secondary Raw Material '!B329</f>
        <v>7.1642673843848716E-4</v>
      </c>
      <c r="M76" s="1">
        <f>'C2''- Transport Secondary'!D67</f>
        <v>1.3321237081378476E-3</v>
      </c>
      <c r="N76" s="62">
        <f t="shared" si="30"/>
        <v>2.0485504465763346E-3</v>
      </c>
      <c r="O76" s="1">
        <f>'C3'' - Secondary Raw Material '!C329+'C3'' - Secondary Raw Material '!D329+'C3'' - Secondary Raw Material '!E329</f>
        <v>0.1608828131253508</v>
      </c>
      <c r="P76" s="1">
        <f>'C2''- Transport Secondary'!G67</f>
        <v>1.3188226000000001E-2</v>
      </c>
      <c r="Q76" s="62">
        <f t="shared" si="31"/>
        <v>0.1740710391253508</v>
      </c>
      <c r="R76" s="1">
        <f>'A1 - Raw Material Supply'!Y123</f>
        <v>0.33505623664373935</v>
      </c>
      <c r="S76" s="1">
        <f>'A2 - Transport'!Y127</f>
        <v>1.511597058197787E-3</v>
      </c>
      <c r="T76" s="62">
        <f t="shared" si="32"/>
        <v>0.33656783370193716</v>
      </c>
      <c r="U76" s="62">
        <f>'A3 - Production '!D214</f>
        <v>6.4859522475273129E-2</v>
      </c>
      <c r="V76" s="62">
        <f>'A4 - Transport'!B26</f>
        <v>7.4512765000000009E-2</v>
      </c>
      <c r="W76" s="1">
        <f>'A5 - Construction'!B146</f>
        <v>2.5631234341991953E-3</v>
      </c>
      <c r="X76" s="1">
        <f>'A5 - Construction'!C146</f>
        <v>0</v>
      </c>
      <c r="Y76" s="1">
        <f>'A5 - Construction'!D146</f>
        <v>6.2900127687546138E-4</v>
      </c>
      <c r="Z76" s="62">
        <f t="shared" si="33"/>
        <v>3.1921247110746568E-3</v>
      </c>
      <c r="AA76" s="62">
        <f>'C1 - Deconstruction'!B95</f>
        <v>0</v>
      </c>
      <c r="AB76" s="1">
        <f>'D- Benefits &amp; Burdens'!B170</f>
        <v>2.0447688999999998E-2</v>
      </c>
      <c r="AC76" s="1">
        <f>'D- Benefits &amp; Burdens'!C170</f>
        <v>2.0141848877912186E-3</v>
      </c>
      <c r="AD76" s="62">
        <f t="shared" si="34"/>
        <v>2.2461873887791216E-2</v>
      </c>
      <c r="AE76" s="1">
        <f>'D- Benefits &amp; Burdens'!D170</f>
        <v>-9.5690872800000007E-2</v>
      </c>
      <c r="AF76" s="1">
        <f>'D- Benefits &amp; Burdens'!E170</f>
        <v>-0.14792730813290791</v>
      </c>
      <c r="AG76" s="1">
        <f>'D- Benefits &amp; Burdens'!F170</f>
        <v>-6.9943421394914898E-2</v>
      </c>
      <c r="AH76" s="1">
        <f>'D- Benefits &amp; Burdens'!G170</f>
        <v>-4.287975932355817E-2</v>
      </c>
      <c r="AI76" s="1">
        <f>'D- Benefits &amp; Burdens'!H170</f>
        <v>-6.8238027730799992E-4</v>
      </c>
      <c r="AJ76" s="1">
        <f>'D- Benefits &amp; Burdens'!I170</f>
        <v>-1.2510305083979997E-3</v>
      </c>
      <c r="AK76" s="1">
        <f>'D- Benefits &amp; Burdens'!J170</f>
        <v>-5.6882022832435201E-2</v>
      </c>
      <c r="AL76" s="1">
        <f>'D- Benefits &amp; Burdens'!K170</f>
        <v>-3.0461544398245E-2</v>
      </c>
      <c r="AM76" s="62">
        <f t="shared" si="35"/>
        <v>-0.44571833966776714</v>
      </c>
      <c r="AN76" s="62">
        <f t="shared" si="36"/>
        <v>-0.42325646577997594</v>
      </c>
    </row>
    <row r="77" spans="1:40" x14ac:dyDescent="0.25">
      <c r="A77" s="39" t="s">
        <v>194</v>
      </c>
      <c r="B77" s="39" t="s">
        <v>195</v>
      </c>
      <c r="C77" s="13">
        <f>'A1 - Raw Material Supply'!K124</f>
        <v>2.3563610559012078E-10</v>
      </c>
      <c r="D77" s="1">
        <f>'A2 - Transport'!L128</f>
        <v>2.0108867408947194E-10</v>
      </c>
      <c r="E77" s="62">
        <f t="shared" si="27"/>
        <v>4.3672477967959274E-10</v>
      </c>
      <c r="F77" s="1">
        <f>'A1 - Raw Material Supply'!O124</f>
        <v>9.0206000000000001E-9</v>
      </c>
      <c r="G77" s="1">
        <f>'A2 - Transport'!B128</f>
        <v>5.62788E-12</v>
      </c>
      <c r="H77" s="62">
        <f t="shared" si="28"/>
        <v>9.0262278799999994E-9</v>
      </c>
      <c r="I77" s="1">
        <f>'A1 - Raw Material Supply'!N124</f>
        <v>7.0375513380291404E-10</v>
      </c>
      <c r="J77" s="1">
        <f>'A2 - Transport'!O128</f>
        <v>1.06414409E-11</v>
      </c>
      <c r="K77" s="62">
        <f t="shared" si="29"/>
        <v>7.1439657470291403E-10</v>
      </c>
      <c r="L77" s="1">
        <f>'C3'' - Secondary Raw Material '!B330</f>
        <v>1.3929950756463255E-11</v>
      </c>
      <c r="M77" s="1">
        <f>'C2''- Transport Secondary'!D68</f>
        <v>8.0220019870869294E-11</v>
      </c>
      <c r="N77" s="62">
        <f t="shared" si="30"/>
        <v>9.414997062733255E-11</v>
      </c>
      <c r="O77" s="1">
        <f>'C3'' - Secondary Raw Material '!C330+'C3'' - Secondary Raw Material '!D330+'C3'' - Secondary Raw Material '!E330</f>
        <v>1.2245130128523432E-8</v>
      </c>
      <c r="P77" s="1">
        <f>'C2''- Transport Secondary'!G68</f>
        <v>1.021028E-10</v>
      </c>
      <c r="Q77" s="62">
        <f t="shared" si="31"/>
        <v>1.2347232928523432E-8</v>
      </c>
      <c r="R77" s="1">
        <f>'A1 - Raw Material Supply'!Y124</f>
        <v>6.6661563656996499E-9</v>
      </c>
      <c r="S77" s="1">
        <f>'A2 - Transport'!Y128</f>
        <v>1.5794685007545019E-11</v>
      </c>
      <c r="T77" s="62">
        <f t="shared" si="32"/>
        <v>6.6819510507071947E-9</v>
      </c>
      <c r="U77" s="62">
        <f>'A3 - Production '!D215</f>
        <v>2.7625343520701271E-9</v>
      </c>
      <c r="V77" s="62">
        <f>'A4 - Transport'!B27</f>
        <v>6.5046530000000008E-10</v>
      </c>
      <c r="W77" s="1">
        <f>'A5 - Construction'!B147</f>
        <v>4.9836474974331733E-11</v>
      </c>
      <c r="X77" s="1">
        <f>'A5 - Construction'!C147</f>
        <v>0</v>
      </c>
      <c r="Y77" s="1">
        <f>'A5 - Construction'!D147</f>
        <v>1.2230080680301121E-11</v>
      </c>
      <c r="Z77" s="62">
        <f t="shared" si="33"/>
        <v>6.206655565463285E-11</v>
      </c>
      <c r="AA77" s="62">
        <f>'C1 - Deconstruction'!B96</f>
        <v>0</v>
      </c>
      <c r="AB77" s="1">
        <f>'D- Benefits &amp; Burdens'!B171</f>
        <v>1.7849977999999998E-10</v>
      </c>
      <c r="AC77" s="1">
        <f>'D- Benefits &amp; Burdens'!C171</f>
        <v>3.9163106003689684E-11</v>
      </c>
      <c r="AD77" s="62">
        <f t="shared" si="34"/>
        <v>2.1766288600368966E-10</v>
      </c>
      <c r="AE77" s="1">
        <f>'D- Benefits &amp; Burdens'!D171</f>
        <v>-9.7659820799999992E-9</v>
      </c>
      <c r="AF77" s="1">
        <f>'D- Benefits &amp; Burdens'!E171</f>
        <v>-2.3758263723139958E-9</v>
      </c>
      <c r="AG77" s="1">
        <f>'D- Benefits &amp; Burdens'!F171</f>
        <v>-1.3074217943355367E-10</v>
      </c>
      <c r="AH77" s="1">
        <f>'D- Benefits &amp; Burdens'!G171</f>
        <v>-1.135163988275099E-10</v>
      </c>
      <c r="AI77" s="1">
        <f>'D- Benefits &amp; Burdens'!H171</f>
        <v>-5.9568946581599989E-12</v>
      </c>
      <c r="AJ77" s="1">
        <f>'D- Benefits &amp; Burdens'!I171</f>
        <v>-1.0920973539959999E-11</v>
      </c>
      <c r="AK77" s="1">
        <f>'D- Benefits &amp; Burdens'!J171</f>
        <v>-4.9655628866150401E-10</v>
      </c>
      <c r="AL77" s="1">
        <f>'D- Benefits &amp; Burdens'!K171</f>
        <v>-2.659165528949E-10</v>
      </c>
      <c r="AM77" s="62">
        <f t="shared" si="35"/>
        <v>-1.3165417740329583E-8</v>
      </c>
      <c r="AN77" s="62">
        <f t="shared" si="36"/>
        <v>-1.2947754854325893E-8</v>
      </c>
    </row>
    <row r="78" spans="1:40" x14ac:dyDescent="0.25">
      <c r="A78" s="39" t="s">
        <v>196</v>
      </c>
      <c r="B78" s="39" t="s">
        <v>195</v>
      </c>
      <c r="C78" s="13">
        <f>'A1 - Raw Material Supply'!K125</f>
        <v>5.8713569973519779E-9</v>
      </c>
      <c r="D78" s="1">
        <f>'A2 - Transport'!L129</f>
        <v>8.2209719913777214E-9</v>
      </c>
      <c r="E78" s="62">
        <f t="shared" si="27"/>
        <v>1.4092328988729699E-8</v>
      </c>
      <c r="F78" s="1">
        <f>'A1 - Raw Material Supply'!O125</f>
        <v>2.6255999999999999E-7</v>
      </c>
      <c r="G78" s="1">
        <f>'A2 - Transport'!B129</f>
        <v>4.5791200000000004E-10</v>
      </c>
      <c r="H78" s="62">
        <f t="shared" si="28"/>
        <v>2.6301791199999998E-7</v>
      </c>
      <c r="I78" s="1">
        <f>'A1 - Raw Material Supply'!N125</f>
        <v>3.731517062574753E-8</v>
      </c>
      <c r="J78" s="1">
        <f>'A2 - Transport'!O129</f>
        <v>8.6100725000000006E-10</v>
      </c>
      <c r="K78" s="62">
        <f t="shared" si="29"/>
        <v>3.8176177875747527E-8</v>
      </c>
      <c r="L78" s="1">
        <f>'C3'' - Secondary Raw Material '!B331</f>
        <v>3.7129003759441711E-10</v>
      </c>
      <c r="M78" s="1">
        <f>'C2''- Transport Secondary'!D69</f>
        <v>5.1694253183136048E-9</v>
      </c>
      <c r="N78" s="62">
        <f t="shared" si="30"/>
        <v>5.5407153559080218E-9</v>
      </c>
      <c r="O78" s="1">
        <f>'C3'' - Secondary Raw Material '!C331+'C3'' - Secondary Raw Material '!D331+'C3'' - Secondary Raw Material '!E331</f>
        <v>1.8431710214394321E-7</v>
      </c>
      <c r="P78" s="1">
        <f>'C2''- Transport Secondary'!G69</f>
        <v>9.7784600000000026E-9</v>
      </c>
      <c r="Q78" s="62">
        <f t="shared" si="31"/>
        <v>1.9409556214394321E-7</v>
      </c>
      <c r="R78" s="1">
        <f>'A1 - Raw Material Supply'!Y125</f>
        <v>3.0604708833120814E-7</v>
      </c>
      <c r="S78" s="1">
        <f>'A2 - Transport'!Y129</f>
        <v>1.0994756630419026E-9</v>
      </c>
      <c r="T78" s="62">
        <f t="shared" si="32"/>
        <v>3.0714656399425005E-7</v>
      </c>
      <c r="U78" s="62">
        <f>'A3 - Production '!D216</f>
        <v>9.638267834887292E-8</v>
      </c>
      <c r="V78" s="62">
        <f>'A4 - Transport'!B28</f>
        <v>4.9873550000000016E-8</v>
      </c>
      <c r="W78" s="1">
        <f>'A5 - Construction'!B148</f>
        <v>1.3283454471802367E-9</v>
      </c>
      <c r="X78" s="1">
        <f>'A5 - Construction'!C148</f>
        <v>0</v>
      </c>
      <c r="Y78" s="1">
        <f>'A5 - Construction'!D148</f>
        <v>3.2598156267457412E-10</v>
      </c>
      <c r="Z78" s="62">
        <f t="shared" si="33"/>
        <v>1.6543270098548109E-9</v>
      </c>
      <c r="AA78" s="62">
        <f>'C1 - Deconstruction'!B97</f>
        <v>0</v>
      </c>
      <c r="AB78" s="1">
        <f>'D- Benefits &amp; Burdens'!B172</f>
        <v>1.3686230000000001E-8</v>
      </c>
      <c r="AC78" s="1">
        <f>'D- Benefits &amp; Burdens'!C172</f>
        <v>1.0438566047103489E-9</v>
      </c>
      <c r="AD78" s="62">
        <f t="shared" si="34"/>
        <v>1.473008660471035E-8</v>
      </c>
      <c r="AE78" s="1">
        <f>'D- Benefits &amp; Burdens'!D172</f>
        <v>-2.8155956399999999E-7</v>
      </c>
      <c r="AF78" s="1">
        <f>'D- Benefits &amp; Burdens'!E172</f>
        <v>-1.2844588965888433E-7</v>
      </c>
      <c r="AG78" s="1">
        <f>'D- Benefits &amp; Burdens'!F172</f>
        <v>-3.4706627624601451E-9</v>
      </c>
      <c r="AH78" s="1">
        <f>'D- Benefits &amp; Burdens'!G172</f>
        <v>-1.8297351112332823E-9</v>
      </c>
      <c r="AI78" s="1">
        <f>'D- Benefits &amp; Burdens'!H172</f>
        <v>-4.5673686755999998E-10</v>
      </c>
      <c r="AJ78" s="1">
        <f>'D- Benefits &amp; Burdens'!I172</f>
        <v>-8.3735092386000004E-10</v>
      </c>
      <c r="AK78" s="1">
        <f>'D- Benefits &amp; Burdens'!J172</f>
        <v>-3.8072784036864009E-8</v>
      </c>
      <c r="AL78" s="1">
        <f>'D- Benefits &amp; Burdens'!K172</f>
        <v>-2.0388793217150004E-8</v>
      </c>
      <c r="AM78" s="62">
        <f t="shared" si="35"/>
        <v>-4.750615165780118E-7</v>
      </c>
      <c r="AN78" s="62">
        <f t="shared" si="36"/>
        <v>-4.6033142997330146E-7</v>
      </c>
    </row>
    <row r="79" spans="1:40" ht="30" x14ac:dyDescent="0.25">
      <c r="A79" s="39" t="s">
        <v>197</v>
      </c>
      <c r="B79" s="39" t="s">
        <v>198</v>
      </c>
      <c r="C79" s="13">
        <f>'A1 - Raw Material Supply'!K126</f>
        <v>4.4381289874510337E-2</v>
      </c>
      <c r="D79" s="1">
        <f>'A2 - Transport'!L130</f>
        <v>1.7332628228662977E-2</v>
      </c>
      <c r="E79" s="62">
        <f t="shared" si="27"/>
        <v>6.171391810317331E-2</v>
      </c>
      <c r="F79" s="1">
        <f>'A1 - Raw Material Supply'!O126</f>
        <v>0.13731000000000002</v>
      </c>
      <c r="G79" s="1">
        <f>'A2 - Transport'!B130</f>
        <v>3.8752239999999998E-4</v>
      </c>
      <c r="H79" s="62">
        <f t="shared" si="28"/>
        <v>0.13769752240000002</v>
      </c>
      <c r="I79" s="1">
        <f>'A1 - Raw Material Supply'!N126</f>
        <v>0.30514888608973378</v>
      </c>
      <c r="J79" s="1">
        <f>'A2 - Transport'!O130</f>
        <v>6.9520010899999998E-4</v>
      </c>
      <c r="K79" s="62">
        <f t="shared" si="29"/>
        <v>0.30584408619873377</v>
      </c>
      <c r="L79" s="1">
        <f>'C3'' - Secondary Raw Material '!B332</f>
        <v>9.0910486647986951E-4</v>
      </c>
      <c r="M79" s="1">
        <f>'C2''- Transport Secondary'!D70</f>
        <v>0.38669615862804202</v>
      </c>
      <c r="N79" s="62">
        <f t="shared" si="30"/>
        <v>0.3876052634945219</v>
      </c>
      <c r="O79" s="1">
        <f>'C3'' - Secondary Raw Material '!C332+'C3'' - Secondary Raw Material '!D332+'C3'' - Secondary Raw Material '!E332</f>
        <v>1.0459014950167349</v>
      </c>
      <c r="P79" s="1">
        <f>'C2''- Transport Secondary'!G70</f>
        <v>6.0938438000000001E-3</v>
      </c>
      <c r="Q79" s="62">
        <f t="shared" si="31"/>
        <v>1.0519953388167349</v>
      </c>
      <c r="R79" s="1">
        <f>'A1 - Raw Material Supply'!Y126</f>
        <v>1.6281556171631058</v>
      </c>
      <c r="S79" s="1">
        <f>'A2 - Transport'!Y130</f>
        <v>1.6503406137292024E-3</v>
      </c>
      <c r="T79" s="62">
        <f t="shared" si="32"/>
        <v>1.6298059577768349</v>
      </c>
      <c r="U79" s="62">
        <f>'A3 - Production '!D217</f>
        <v>7.8398098755822909</v>
      </c>
      <c r="V79" s="62">
        <f>'A4 - Transport'!B29</f>
        <v>4.2124004000000007E-2</v>
      </c>
      <c r="W79" s="1">
        <f>'A5 - Construction'!B149</f>
        <v>3.252458154336673E-3</v>
      </c>
      <c r="X79" s="1">
        <f>'A5 - Construction'!C149</f>
        <v>0</v>
      </c>
      <c r="Y79" s="1">
        <f>'A5 - Construction'!D149</f>
        <v>7.9816691805205604E-4</v>
      </c>
      <c r="Z79" s="62">
        <f t="shared" si="33"/>
        <v>4.0506250723887291E-3</v>
      </c>
      <c r="AA79" s="62">
        <f>'C1 - Deconstruction'!B98</f>
        <v>0</v>
      </c>
      <c r="AB79" s="1">
        <f>'D- Benefits &amp; Burdens'!B173</f>
        <v>1.1559610399999998E-2</v>
      </c>
      <c r="AC79" s="1">
        <f>'D- Benefits &amp; Burdens'!C173</f>
        <v>2.5558862968630344E-3</v>
      </c>
      <c r="AD79" s="62">
        <f t="shared" si="34"/>
        <v>1.4115496696863033E-2</v>
      </c>
      <c r="AE79" s="1">
        <f>'D- Benefits &amp; Burdens'!D173</f>
        <v>-0.14865557399999998</v>
      </c>
      <c r="AF79" s="1">
        <f>'D- Benefits &amp; Burdens'!E173</f>
        <v>-0.8448222976847386</v>
      </c>
      <c r="AG79" s="1">
        <f>'D- Benefits &amp; Burdens'!F173</f>
        <v>-2.7425616527417308E-2</v>
      </c>
      <c r="AH79" s="1">
        <f>'D- Benefits &amp; Burdens'!G173</f>
        <v>-8.2447895345751799E-3</v>
      </c>
      <c r="AI79" s="1">
        <f>'D- Benefits &amp; Burdens'!H173</f>
        <v>-3.8576731826879995E-4</v>
      </c>
      <c r="AJ79" s="1">
        <f>'D- Benefits &amp; Burdens'!I173</f>
        <v>-7.0724008349279995E-4</v>
      </c>
      <c r="AK79" s="1">
        <f>'D- Benefits &amp; Burdens'!J173</f>
        <v>-3.215688690819072E-2</v>
      </c>
      <c r="AL79" s="1">
        <f>'D- Benefits &amp; Burdens'!K173</f>
        <v>-1.7220703299332001E-2</v>
      </c>
      <c r="AM79" s="62">
        <f t="shared" si="35"/>
        <v>-1.0796188753560154</v>
      </c>
      <c r="AN79" s="62">
        <f t="shared" si="36"/>
        <v>-1.0655033786591523</v>
      </c>
    </row>
    <row r="80" spans="1:40" x14ac:dyDescent="0.25">
      <c r="A80" s="39" t="s">
        <v>199</v>
      </c>
      <c r="B80" s="39" t="s">
        <v>200</v>
      </c>
      <c r="C80" s="13">
        <f>'A1 - Raw Material Supply'!K127</f>
        <v>159.59911348335103</v>
      </c>
      <c r="D80" s="1">
        <f>'A2 - Transport'!L131</f>
        <v>3.0676077247476377</v>
      </c>
      <c r="E80" s="62">
        <f t="shared" si="27"/>
        <v>162.66672120809866</v>
      </c>
      <c r="F80" s="1">
        <f>'A1 - Raw Material Supply'!O127</f>
        <v>5.5520000000000014</v>
      </c>
      <c r="G80" s="1">
        <f>'A2 - Transport'!B131</f>
        <v>5.3906605600000004E-2</v>
      </c>
      <c r="H80" s="62">
        <f t="shared" si="28"/>
        <v>5.6059066056000013</v>
      </c>
      <c r="I80" s="1">
        <f>'A1 - Raw Material Supply'!N127</f>
        <v>10.312283713328883</v>
      </c>
      <c r="J80" s="1">
        <f>'A2 - Transport'!O131</f>
        <v>0.153373670357</v>
      </c>
      <c r="K80" s="62">
        <f t="shared" si="29"/>
        <v>10.465657383685883</v>
      </c>
      <c r="L80" s="1">
        <f>'C3'' - Secondary Raw Material '!B333</f>
        <v>0.15566966451946462</v>
      </c>
      <c r="M80" s="1">
        <f>'C2''- Transport Secondary'!D71</f>
        <v>1.4526821431648635</v>
      </c>
      <c r="N80" s="62">
        <f t="shared" si="30"/>
        <v>1.6083518076843282</v>
      </c>
      <c r="O80" s="1">
        <f>'C3'' - Secondary Raw Material '!C333+'C3'' - Secondary Raw Material '!D333+'C3'' - Secondary Raw Material '!E333</f>
        <v>88.296549203765139</v>
      </c>
      <c r="P80" s="1">
        <f>'C2''- Transport Secondary'!G71</f>
        <v>4.6186899758000006</v>
      </c>
      <c r="Q80" s="62">
        <f t="shared" si="31"/>
        <v>92.915239179565134</v>
      </c>
      <c r="R80" s="1">
        <f>'A1 - Raw Material Supply'!Y127</f>
        <v>71.676312909326128</v>
      </c>
      <c r="S80" s="1">
        <f>'A2 - Transport'!Y131</f>
        <v>0.3112300469101148</v>
      </c>
      <c r="T80" s="62">
        <f t="shared" si="32"/>
        <v>71.98754295623624</v>
      </c>
      <c r="U80" s="62">
        <f>'A3 - Production '!D218</f>
        <v>32.294432062365431</v>
      </c>
      <c r="V80" s="62">
        <f>'A4 - Transport'!B30</f>
        <v>5.8712991200000006</v>
      </c>
      <c r="W80" s="1">
        <f>'A5 - Construction'!B150</f>
        <v>0.55693142608471369</v>
      </c>
      <c r="X80" s="1">
        <f>'A5 - Construction'!C150</f>
        <v>0</v>
      </c>
      <c r="Y80" s="1">
        <f>'A5 - Construction'!D150</f>
        <v>0.13667331563717891</v>
      </c>
      <c r="Z80" s="62">
        <f t="shared" si="33"/>
        <v>0.69360474172189257</v>
      </c>
      <c r="AA80" s="62">
        <f>'C1 - Deconstruction'!B99</f>
        <v>0</v>
      </c>
      <c r="AB80" s="1">
        <f>'D- Benefits &amp; Burdens'!B174</f>
        <v>1.6111937119999999</v>
      </c>
      <c r="AC80" s="1">
        <f>'D- Benefits &amp; Burdens'!C174</f>
        <v>0.43765463925318848</v>
      </c>
      <c r="AD80" s="62">
        <f t="shared" si="34"/>
        <v>2.0488483512531883</v>
      </c>
      <c r="AE80" s="1">
        <f>'D- Benefits &amp; Burdens'!D174</f>
        <v>-5.1783332399999997</v>
      </c>
      <c r="AF80" s="1">
        <f>'D- Benefits &amp; Burdens'!E174</f>
        <v>-33.101337302727082</v>
      </c>
      <c r="AG80" s="1">
        <f>'D- Benefits &amp; Burdens'!F174</f>
        <v>-8.4549619335314645</v>
      </c>
      <c r="AH80" s="1">
        <f>'D- Benefits &amp; Burdens'!G174</f>
        <v>-452.55008281379742</v>
      </c>
      <c r="AI80" s="1">
        <f>'D- Benefits &amp; Burdens'!H174</f>
        <v>-5.3768756556864E-2</v>
      </c>
      <c r="AJ80" s="1">
        <f>'D- Benefits &amp; Burdens'!I174</f>
        <v>-9.8576053687583987E-2</v>
      </c>
      <c r="AK80" s="1">
        <f>'D- Benefits &amp; Burdens'!J174</f>
        <v>-4.4820692212924422</v>
      </c>
      <c r="AL80" s="1">
        <f>'D- Benefits &amp; Burdens'!K174</f>
        <v>-2.4002442912869602</v>
      </c>
      <c r="AM80" s="62">
        <f t="shared" si="35"/>
        <v>-506.31937361287976</v>
      </c>
      <c r="AN80" s="62">
        <f t="shared" si="36"/>
        <v>-504.27052526162657</v>
      </c>
    </row>
    <row r="81" spans="1:40" ht="30" x14ac:dyDescent="0.25">
      <c r="A81" s="39" t="s">
        <v>201</v>
      </c>
      <c r="B81" s="39" t="s">
        <v>202</v>
      </c>
      <c r="C81" s="13">
        <f>'A1 - Raw Material Supply'!K128</f>
        <v>3.398464157373844E-6</v>
      </c>
      <c r="D81" s="1">
        <f>'A2 - Transport'!L132</f>
        <v>1.870609946056502E-6</v>
      </c>
      <c r="E81" s="62">
        <f t="shared" si="27"/>
        <v>5.2690741034303459E-6</v>
      </c>
      <c r="F81" s="1">
        <f>'A1 - Raw Material Supply'!O128</f>
        <v>3.3560000000000006E-6</v>
      </c>
      <c r="G81" s="1">
        <f>'A2 - Transport'!B132</f>
        <v>7.005479999999999E-8</v>
      </c>
      <c r="H81" s="62">
        <f t="shared" si="28"/>
        <v>3.4260548000000005E-6</v>
      </c>
      <c r="I81" s="1">
        <f>'A1 - Raw Material Supply'!N128</f>
        <v>1.8887527927432426E-5</v>
      </c>
      <c r="J81" s="1">
        <f>'A2 - Transport'!O132</f>
        <v>1.21480889E-7</v>
      </c>
      <c r="K81" s="62">
        <f t="shared" si="29"/>
        <v>1.9009008816432424E-5</v>
      </c>
      <c r="L81" s="1">
        <f>'C3'' - Secondary Raw Material '!B334</f>
        <v>3.5544177384869613E-8</v>
      </c>
      <c r="M81" s="1">
        <f>'C2''- Transport Secondary'!D72</f>
        <v>4.9850959988833029E-6</v>
      </c>
      <c r="N81" s="62">
        <f t="shared" si="30"/>
        <v>5.0206401762681722E-6</v>
      </c>
      <c r="O81" s="1">
        <f>'C3'' - Secondary Raw Material '!C334+'C3'' - Secondary Raw Material '!D334+'C3'' - Secondary Raw Material '!E334</f>
        <v>8.5211256254361529E-5</v>
      </c>
      <c r="P81" s="1">
        <f>'C2''- Transport Secondary'!G72</f>
        <v>8.6423000000000011E-7</v>
      </c>
      <c r="Q81" s="62">
        <f t="shared" si="31"/>
        <v>8.6075486254361529E-5</v>
      </c>
      <c r="R81" s="1">
        <f>'A1 - Raw Material Supply'!Y128</f>
        <v>2.584574935926124E-3</v>
      </c>
      <c r="S81" s="1">
        <f>'A2 - Transport'!Y132</f>
        <v>1.8958764374360839E-7</v>
      </c>
      <c r="T81" s="62">
        <f t="shared" si="32"/>
        <v>2.5847645235698674E-3</v>
      </c>
      <c r="U81" s="62">
        <f>'A3 - Production '!D219</f>
        <v>9.984243130534876E-5</v>
      </c>
      <c r="V81" s="62">
        <f>'A4 - Transport'!B31</f>
        <v>7.5431030000000014E-6</v>
      </c>
      <c r="W81" s="1">
        <f>'A5 - Construction'!B151</f>
        <v>1.2716459215782692E-7</v>
      </c>
      <c r="X81" s="1">
        <f>'A5 - Construction'!C151</f>
        <v>0</v>
      </c>
      <c r="Y81" s="1">
        <f>'A5 - Construction'!D151</f>
        <v>3.1206726048919648E-8</v>
      </c>
      <c r="Z81" s="62">
        <f t="shared" si="33"/>
        <v>1.5837131820674658E-7</v>
      </c>
      <c r="AA81" s="62">
        <f>'C1 - Deconstruction'!B100</f>
        <v>0</v>
      </c>
      <c r="AB81" s="1">
        <f>'D- Benefits &amp; Burdens'!B175</f>
        <v>2.0699677999999997E-6</v>
      </c>
      <c r="AC81" s="1">
        <f>'D- Benefits &amp; Burdens'!C175</f>
        <v>9.9930029263866931E-8</v>
      </c>
      <c r="AD81" s="62">
        <f t="shared" si="34"/>
        <v>2.1698978292638667E-6</v>
      </c>
      <c r="AE81" s="1">
        <f>'D- Benefits &amp; Burdens'!D175</f>
        <v>-2.0083269599999999E-6</v>
      </c>
      <c r="AF81" s="1">
        <f>'D- Benefits &amp; Burdens'!E175</f>
        <v>-6.5830153266825973E-5</v>
      </c>
      <c r="AG81" s="1">
        <f>'D- Benefits &amp; Burdens'!F175</f>
        <v>-2.1027177039817372E-6</v>
      </c>
      <c r="AH81" s="1">
        <f>'D- Benefits &amp; Burdens'!G175</f>
        <v>-6.1904328155101664E-7</v>
      </c>
      <c r="AI81" s="1">
        <f>'D- Benefits &amp; Burdens'!H175</f>
        <v>-6.9078965421599994E-8</v>
      </c>
      <c r="AJ81" s="1">
        <f>'D- Benefits &amp; Burdens'!I175</f>
        <v>-1.2664476993959998E-7</v>
      </c>
      <c r="AK81" s="1">
        <f>'D- Benefits &amp; Burdens'!J175</f>
        <v>-5.75830137391104E-6</v>
      </c>
      <c r="AL81" s="1">
        <f>'D- Benefits &amp; Burdens'!K175</f>
        <v>-3.083694007799E-6</v>
      </c>
      <c r="AM81" s="62">
        <f t="shared" si="35"/>
        <v>-7.9597960329429968E-5</v>
      </c>
      <c r="AN81" s="62">
        <f t="shared" si="36"/>
        <v>-7.7428062500166099E-5</v>
      </c>
    </row>
    <row r="82" spans="1:40" x14ac:dyDescent="0.25">
      <c r="A82" s="39" t="s">
        <v>203</v>
      </c>
      <c r="B82" s="39" t="s">
        <v>204</v>
      </c>
      <c r="C82" s="13">
        <f>'A1 - Raw Material Supply'!K129</f>
        <v>2.2750937230830854E-8</v>
      </c>
      <c r="D82" s="1">
        <f>'A2 - Transport'!L133</f>
        <v>2.7195152923779091E-8</v>
      </c>
      <c r="E82" s="62">
        <f t="shared" si="27"/>
        <v>4.9946090154609941E-8</v>
      </c>
      <c r="F82" s="1">
        <f>'A1 - Raw Material Supply'!O129</f>
        <v>4.5059760000000006E-9</v>
      </c>
      <c r="G82" s="1">
        <f>'A2 - Transport'!B133</f>
        <v>1.4119280000000003E-9</v>
      </c>
      <c r="H82" s="62">
        <f t="shared" si="28"/>
        <v>5.9179040000000013E-9</v>
      </c>
      <c r="I82" s="1">
        <f>'A1 - Raw Material Supply'!N129</f>
        <v>2.8694275543610648E-8</v>
      </c>
      <c r="J82" s="1">
        <f>'A2 - Transport'!O133</f>
        <v>2.4129212799999999E-9</v>
      </c>
      <c r="K82" s="62">
        <f t="shared" si="29"/>
        <v>3.1107196823610645E-8</v>
      </c>
      <c r="L82" s="1">
        <f>'C3'' - Secondary Raw Material '!B335</f>
        <v>5.1366938580633615E-9</v>
      </c>
      <c r="M82" s="1">
        <f>'C2''- Transport Secondary'!D73</f>
        <v>5.9778304654651172E-9</v>
      </c>
      <c r="N82" s="62">
        <f t="shared" si="30"/>
        <v>1.1114524323528479E-8</v>
      </c>
      <c r="O82" s="1">
        <f>'C3'' - Secondary Raw Material '!C335+'C3'' - Secondary Raw Material '!D335+'C3'' - Secondary Raw Material '!E335</f>
        <v>1.2693175763633234E-7</v>
      </c>
      <c r="P82" s="1">
        <f>'C2''- Transport Secondary'!G73</f>
        <v>1.3427836E-8</v>
      </c>
      <c r="Q82" s="62">
        <f t="shared" si="31"/>
        <v>1.4035959363633234E-7</v>
      </c>
      <c r="R82" s="1">
        <f>'A1 - Raw Material Supply'!Y129</f>
        <v>2.5721517609709713E-7</v>
      </c>
      <c r="S82" s="1">
        <f>'A2 - Transport'!Y133</f>
        <v>3.6063684193150653E-9</v>
      </c>
      <c r="T82" s="62">
        <f t="shared" si="32"/>
        <v>2.6082154451641218E-7</v>
      </c>
      <c r="U82" s="62">
        <f>'A3 - Production '!D220</f>
        <v>2.2184236222326039E-6</v>
      </c>
      <c r="V82" s="62">
        <f>'A4 - Transport'!B32</f>
        <v>1.5479398000000004E-7</v>
      </c>
      <c r="W82" s="1">
        <f>'A5 - Construction'!B152</f>
        <v>1.8377287858638062E-8</v>
      </c>
      <c r="X82" s="1">
        <f>'A5 - Construction'!C152</f>
        <v>0</v>
      </c>
      <c r="Y82" s="1">
        <f>'A5 - Construction'!D152</f>
        <v>4.5098637757189311E-9</v>
      </c>
      <c r="Z82" s="62">
        <f t="shared" si="33"/>
        <v>2.2887151634356993E-8</v>
      </c>
      <c r="AA82" s="62">
        <f>'C1 - Deconstruction'!B101</f>
        <v>0</v>
      </c>
      <c r="AB82" s="1">
        <f>'D- Benefits &amp; Burdens'!B176</f>
        <v>4.2478347999999997E-8</v>
      </c>
      <c r="AC82" s="1">
        <f>'D- Benefits &amp; Burdens'!C176</f>
        <v>1.4441464265657818E-8</v>
      </c>
      <c r="AD82" s="62">
        <f t="shared" si="34"/>
        <v>5.6919812265657818E-8</v>
      </c>
      <c r="AE82" s="1">
        <f>'D- Benefits &amp; Burdens'!D176</f>
        <v>-6.5369073599999996E-12</v>
      </c>
      <c r="AF82" s="1">
        <f>'D- Benefits &amp; Burdens'!E176</f>
        <v>-9.3357248219403563E-8</v>
      </c>
      <c r="AG82" s="1">
        <f>'D- Benefits &amp; Burdens'!F176</f>
        <v>-1.1958361168644021E-8</v>
      </c>
      <c r="AH82" s="1">
        <f>'D- Benefits &amp; Burdens'!G176</f>
        <v>-1.4078766263156694E-8</v>
      </c>
      <c r="AI82" s="1">
        <f>'D- Benefits &amp; Burdens'!H176</f>
        <v>-1.4175874294559999E-9</v>
      </c>
      <c r="AJ82" s="1">
        <f>'D- Benefits &amp; Burdens'!I176</f>
        <v>-2.5989102873359998E-9</v>
      </c>
      <c r="AK82" s="1">
        <f>'D- Benefits &amp; Burdens'!J176</f>
        <v>-1.1816760127856641E-7</v>
      </c>
      <c r="AL82" s="1">
        <f>'D- Benefits &amp; Burdens'!K176</f>
        <v>-6.3281287365340006E-8</v>
      </c>
      <c r="AM82" s="62">
        <f t="shared" si="35"/>
        <v>-3.048662989192627E-7</v>
      </c>
      <c r="AN82" s="62">
        <f t="shared" si="36"/>
        <v>-2.4794648665360488E-7</v>
      </c>
    </row>
    <row r="83" spans="1:40" x14ac:dyDescent="0.25">
      <c r="A83" s="39" t="s">
        <v>205</v>
      </c>
      <c r="B83" s="39" t="s">
        <v>206</v>
      </c>
      <c r="C83" s="13">
        <f>'A1 - Raw Material Supply'!K130</f>
        <v>4.2175225893463284E-7</v>
      </c>
      <c r="D83" s="1">
        <f>'A2 - Transport'!L134</f>
        <v>9.3531101330520317E-8</v>
      </c>
      <c r="E83" s="62">
        <f t="shared" si="27"/>
        <v>5.1528336026515313E-7</v>
      </c>
      <c r="F83" s="1">
        <f>'A1 - Raw Material Supply'!O130</f>
        <v>4.9196000000000007E-7</v>
      </c>
      <c r="G83" s="1">
        <f>'A2 - Transport'!B134</f>
        <v>3.9358279999999994E-9</v>
      </c>
      <c r="H83" s="62">
        <f t="shared" si="28"/>
        <v>4.958958280000001E-7</v>
      </c>
      <c r="I83" s="1">
        <f>'A1 - Raw Material Supply'!N130</f>
        <v>1.4157810050720335E-7</v>
      </c>
      <c r="J83" s="1">
        <f>'A2 - Transport'!O134</f>
        <v>7.2379669999999994E-9</v>
      </c>
      <c r="K83" s="62">
        <f t="shared" si="29"/>
        <v>1.4881606750720333E-7</v>
      </c>
      <c r="L83" s="1">
        <f>'C3'' - Secondary Raw Material '!B336</f>
        <v>2.2451072457354859E-9</v>
      </c>
      <c r="M83" s="1">
        <f>'C2''- Transport Secondary'!D74</f>
        <v>1.3171529271370492E-8</v>
      </c>
      <c r="N83" s="62">
        <f t="shared" si="30"/>
        <v>1.5416636517105979E-8</v>
      </c>
      <c r="O83" s="1">
        <f>'C3'' - Secondary Raw Material '!C336+'C3'' - Secondary Raw Material '!D336+'C3'' - Secondary Raw Material '!E336</f>
        <v>2.046059863866599E-6</v>
      </c>
      <c r="P83" s="1">
        <f>'C2''- Transport Secondary'!G74</f>
        <v>4.8604879999999999E-8</v>
      </c>
      <c r="Q83" s="62">
        <f t="shared" si="31"/>
        <v>2.0946647438665991E-6</v>
      </c>
      <c r="R83" s="1">
        <f>'A1 - Raw Material Supply'!Y130</f>
        <v>1.849738679539364E-6</v>
      </c>
      <c r="S83" s="1">
        <f>'A2 - Transport'!Y134</f>
        <v>9.3454594219544334E-9</v>
      </c>
      <c r="T83" s="62">
        <f t="shared" si="32"/>
        <v>1.8590841389613184E-6</v>
      </c>
      <c r="U83" s="62">
        <f>'A3 - Production '!D221</f>
        <v>1.4657805471655783E-7</v>
      </c>
      <c r="V83" s="62">
        <f>'A4 - Transport'!B33</f>
        <v>4.7054900000000012E-7</v>
      </c>
      <c r="W83" s="1">
        <f>'A5 - Construction'!B153</f>
        <v>8.0322057861455981E-9</v>
      </c>
      <c r="X83" s="1">
        <f>'A5 - Construction'!C153</f>
        <v>0</v>
      </c>
      <c r="Y83" s="1">
        <f>'A5 - Construction'!D153</f>
        <v>1.9711371010076017E-9</v>
      </c>
      <c r="Z83" s="62">
        <f t="shared" si="33"/>
        <v>1.0003342887153199E-8</v>
      </c>
      <c r="AA83" s="62">
        <f>'C1 - Deconstruction'!B102</f>
        <v>0</v>
      </c>
      <c r="AB83" s="1">
        <f>'D- Benefits &amp; Burdens'!B177</f>
        <v>1.2912740000000001E-7</v>
      </c>
      <c r="AC83" s="1">
        <f>'D- Benefits &amp; Burdens'!C177</f>
        <v>6.3119658203812956E-9</v>
      </c>
      <c r="AD83" s="62">
        <f t="shared" si="34"/>
        <v>1.3543936582038129E-7</v>
      </c>
      <c r="AE83" s="1">
        <f>'D- Benefits &amp; Burdens'!D177</f>
        <v>-5.2767806399999999E-7</v>
      </c>
      <c r="AF83" s="1">
        <f>'D- Benefits &amp; Burdens'!E177</f>
        <v>-4.4643083980117118E-7</v>
      </c>
      <c r="AG83" s="1">
        <f>'D- Benefits &amp; Burdens'!F177</f>
        <v>-2.2609655816336632E-7</v>
      </c>
      <c r="AH83" s="1">
        <f>'D- Benefits &amp; Burdens'!G177</f>
        <v>-2.4028332369208438E-7</v>
      </c>
      <c r="AI83" s="1">
        <f>'D- Benefits &amp; Burdens'!H177</f>
        <v>-4.3092395928000001E-9</v>
      </c>
      <c r="AJ83" s="1">
        <f>'D- Benefits &amp; Burdens'!I177</f>
        <v>-7.9002725867999995E-9</v>
      </c>
      <c r="AK83" s="1">
        <f>'D- Benefits &amp; Burdens'!J177</f>
        <v>-3.5921065285632006E-7</v>
      </c>
      <c r="AL83" s="1">
        <f>'D- Benefits &amp; Burdens'!K177</f>
        <v>-1.9236501631700004E-7</v>
      </c>
      <c r="AM83" s="62">
        <f t="shared" si="35"/>
        <v>-2.004273967009542E-6</v>
      </c>
      <c r="AN83" s="62">
        <f t="shared" si="36"/>
        <v>-1.8688346011891607E-6</v>
      </c>
    </row>
    <row r="84" spans="1:40" ht="30" x14ac:dyDescent="0.25">
      <c r="A84" s="39" t="s">
        <v>207</v>
      </c>
      <c r="B84" s="39" t="s">
        <v>208</v>
      </c>
      <c r="C84" s="13">
        <f>'A1 - Raw Material Supply'!K131</f>
        <v>2.8170616951307015E-2</v>
      </c>
      <c r="D84" s="1">
        <f>'A2 - Transport'!L135</f>
        <v>1.3670196586800094E-2</v>
      </c>
      <c r="E84" s="62">
        <f t="shared" si="27"/>
        <v>4.1840813538107105E-2</v>
      </c>
      <c r="F84" s="1">
        <f>'A1 - Raw Material Supply'!O131</f>
        <v>3.6974E-2</v>
      </c>
      <c r="G84" s="1">
        <f>'A2 - Transport'!B135</f>
        <v>1.650864E-4</v>
      </c>
      <c r="H84" s="62">
        <f t="shared" si="28"/>
        <v>3.71390864E-2</v>
      </c>
      <c r="I84" s="1">
        <f>'A1 - Raw Material Supply'!N131</f>
        <v>1.3138604589651548E-2</v>
      </c>
      <c r="J84" s="1">
        <f>'A2 - Transport'!O135</f>
        <v>4.0701145400000001E-4</v>
      </c>
      <c r="K84" s="62">
        <f t="shared" si="29"/>
        <v>1.3545616043651548E-2</v>
      </c>
      <c r="L84" s="1">
        <f>'C3'' - Secondary Raw Material '!B337</f>
        <v>5.6146409467306931E-4</v>
      </c>
      <c r="M84" s="1">
        <f>'C2''- Transport Secondary'!D75</f>
        <v>4.2562658061850447E-4</v>
      </c>
      <c r="N84" s="62">
        <f t="shared" si="30"/>
        <v>9.8709067529157389E-4</v>
      </c>
      <c r="O84" s="1">
        <f>'C3'' - Secondary Raw Material '!C337+'C3'' - Secondary Raw Material '!D337+'C3'' - Secondary Raw Material '!E337</f>
        <v>5.2631459026116954E-2</v>
      </c>
      <c r="P84" s="1">
        <f>'C2''- Transport Secondary'!G75</f>
        <v>2.9183846000000002E-3</v>
      </c>
      <c r="Q84" s="62">
        <f t="shared" si="31"/>
        <v>5.5549843626116951E-2</v>
      </c>
      <c r="R84" s="1">
        <f>'A1 - Raw Material Supply'!Y131</f>
        <v>0.11639525207740031</v>
      </c>
      <c r="S84" s="1">
        <f>'A2 - Transport'!Y135</f>
        <v>6.5352923919839647E-4</v>
      </c>
      <c r="T84" s="62">
        <f t="shared" si="32"/>
        <v>0.11704878131659871</v>
      </c>
      <c r="U84" s="62">
        <f>'A3 - Production '!D222</f>
        <v>2.1562287560920764E-2</v>
      </c>
      <c r="V84" s="62">
        <f>'A4 - Transport'!B34</f>
        <v>2.9973365000000009E-2</v>
      </c>
      <c r="W84" s="1">
        <f>'A5 - Construction'!B154</f>
        <v>2.0087214802376359E-3</v>
      </c>
      <c r="X84" s="1">
        <f>'A5 - Construction'!C154</f>
        <v>0</v>
      </c>
      <c r="Y84" s="1">
        <f>'A5 - Construction'!D154</f>
        <v>4.9294870434181631E-4</v>
      </c>
      <c r="Z84" s="62">
        <f t="shared" si="33"/>
        <v>2.5016701845794521E-3</v>
      </c>
      <c r="AA84" s="62">
        <f>'C1 - Deconstruction'!B103</f>
        <v>0</v>
      </c>
      <c r="AB84" s="1">
        <f>'D- Benefits &amp; Burdens'!B178</f>
        <v>8.2252490000000004E-3</v>
      </c>
      <c r="AC84" s="1">
        <f>'D- Benefits &amp; Burdens'!C178</f>
        <v>1.5785179891425469E-3</v>
      </c>
      <c r="AD84" s="62">
        <f t="shared" si="34"/>
        <v>9.8037669891425476E-3</v>
      </c>
      <c r="AE84" s="1">
        <f>'D- Benefits &amp; Burdens'!D178</f>
        <v>-3.9969644399999997E-2</v>
      </c>
      <c r="AF84" s="1">
        <f>'D- Benefits &amp; Burdens'!E178</f>
        <v>-4.3095630594899549E-2</v>
      </c>
      <c r="AG84" s="1">
        <f>'D- Benefits &amp; Burdens'!F178</f>
        <v>-1.5796288438723424E-2</v>
      </c>
      <c r="AH84" s="1">
        <f>'D- Benefits &amp; Burdens'!G178</f>
        <v>-1.2793041676728199E-2</v>
      </c>
      <c r="AI84" s="1">
        <f>'D- Benefits &amp; Burdens'!H178</f>
        <v>-2.7449300962800001E-4</v>
      </c>
      <c r="AJ84" s="1">
        <f>'D- Benefits &amp; Burdens'!I178</f>
        <v>-5.0323718431800001E-4</v>
      </c>
      <c r="AK84" s="1">
        <f>'D- Benefits &amp; Burdens'!J178</f>
        <v>-2.2881255745843203E-2</v>
      </c>
      <c r="AL84" s="1">
        <f>'D- Benefits &amp; Burdens'!K178</f>
        <v>-1.2253403678045002E-2</v>
      </c>
      <c r="AM84" s="62">
        <f t="shared" si="35"/>
        <v>-0.14756699472818535</v>
      </c>
      <c r="AN84" s="62">
        <f t="shared" si="36"/>
        <v>-0.13776322773904282</v>
      </c>
    </row>
    <row r="85" spans="1:40" ht="30" x14ac:dyDescent="0.25">
      <c r="A85" s="39" t="s">
        <v>209</v>
      </c>
      <c r="B85" s="39" t="s">
        <v>210</v>
      </c>
      <c r="C85" s="13">
        <f>'A1 - Raw Material Supply'!K132</f>
        <v>1.9702914707883248</v>
      </c>
      <c r="D85" s="1">
        <f>'A2 - Transport'!L136</f>
        <v>6.9939458213901046E-2</v>
      </c>
      <c r="E85" s="62">
        <f t="shared" si="27"/>
        <v>2.040230929002226</v>
      </c>
      <c r="F85" s="1">
        <f>'A1 - Raw Material Supply'!O132</f>
        <v>0.23218</v>
      </c>
      <c r="G85" s="1">
        <f>'A2 - Transport'!B136</f>
        <v>1.9464756E-3</v>
      </c>
      <c r="H85" s="62">
        <f t="shared" si="28"/>
        <v>0.23412647559999999</v>
      </c>
      <c r="I85" s="1">
        <f>'A1 - Raw Material Supply'!N132</f>
        <v>1.0211087562218619</v>
      </c>
      <c r="J85" s="1">
        <f>'A2 - Transport'!O136</f>
        <v>4.5623773250000003E-3</v>
      </c>
      <c r="K85" s="62">
        <f t="shared" si="29"/>
        <v>1.025671133546862</v>
      </c>
      <c r="L85" s="1">
        <f>'C3'' - Secondary Raw Material '!B338</f>
        <v>4.0978206270766756E-3</v>
      </c>
      <c r="M85" s="1">
        <f>'C2''- Transport Secondary'!D76</f>
        <v>0.11058801461742296</v>
      </c>
      <c r="N85" s="62">
        <f t="shared" si="30"/>
        <v>0.11468583524449963</v>
      </c>
      <c r="O85" s="1">
        <f>'C3'' - Secondary Raw Material '!C338+'C3'' - Secondary Raw Material '!D338+'C3'' - Secondary Raw Material '!E338</f>
        <v>3.4004859407574077</v>
      </c>
      <c r="P85" s="1">
        <f>'C2''- Transport Secondary'!G76</f>
        <v>0.10220874980000003</v>
      </c>
      <c r="Q85" s="62">
        <f t="shared" si="31"/>
        <v>3.5026946905574077</v>
      </c>
      <c r="R85" s="1">
        <f>'A1 - Raw Material Supply'!Y132</f>
        <v>6.1608230892085221</v>
      </c>
      <c r="S85" s="1">
        <f>'A2 - Transport'!Y136</f>
        <v>6.5796876445316666E-3</v>
      </c>
      <c r="T85" s="62">
        <f t="shared" si="32"/>
        <v>6.1674027768530539</v>
      </c>
      <c r="U85" s="62">
        <f>'A3 - Production '!D223</f>
        <v>2.3467327778388074</v>
      </c>
      <c r="V85" s="62">
        <f>'A4 - Transport'!B35</f>
        <v>0.21118340600000005</v>
      </c>
      <c r="W85" s="1">
        <f>'A5 - Construction'!B155</f>
        <v>1.4660564039384863E-2</v>
      </c>
      <c r="X85" s="1">
        <f>'A5 - Construction'!C155</f>
        <v>0</v>
      </c>
      <c r="Y85" s="1">
        <f>'A5 - Construction'!D155</f>
        <v>3.5977641097759529E-3</v>
      </c>
      <c r="Z85" s="62">
        <f t="shared" si="33"/>
        <v>1.8258328149160816E-2</v>
      </c>
      <c r="AA85" s="62">
        <f>'C1 - Deconstruction'!B104</f>
        <v>0</v>
      </c>
      <c r="AB85" s="1">
        <f>'D- Benefits &amp; Burdens'!B179</f>
        <v>5.7952655599999993E-2</v>
      </c>
      <c r="AC85" s="1">
        <f>'D- Benefits &amp; Burdens'!C179</f>
        <v>1.1520743067081448E-2</v>
      </c>
      <c r="AD85" s="62">
        <f t="shared" si="34"/>
        <v>6.9473398667081437E-2</v>
      </c>
      <c r="AE85" s="1">
        <f>'D- Benefits &amp; Burdens'!D179</f>
        <v>-0.14196115079999999</v>
      </c>
      <c r="AF85" s="1">
        <f>'D- Benefits &amp; Burdens'!E179</f>
        <v>-2.0193799005542212</v>
      </c>
      <c r="AG85" s="1">
        <f>'D- Benefits &amp; Burdens'!F179</f>
        <v>-1.0323723999226222</v>
      </c>
      <c r="AH85" s="1">
        <f>'D- Benefits &amp; Burdens'!G179</f>
        <v>-1.23451694155461</v>
      </c>
      <c r="AI85" s="1">
        <f>'D- Benefits &amp; Burdens'!H179</f>
        <v>-1.9339960226831998E-3</v>
      </c>
      <c r="AJ85" s="1">
        <f>'D- Benefits &amp; Burdens'!I179</f>
        <v>-3.5456593749191995E-3</v>
      </c>
      <c r="AK85" s="1">
        <f>'D- Benefits &amp; Burdens'!J179</f>
        <v>-0.16121451568631809</v>
      </c>
      <c r="AL85" s="1">
        <f>'D- Benefits &amp; Burdens'!K179</f>
        <v>-8.6333834183198011E-2</v>
      </c>
      <c r="AM85" s="62">
        <f t="shared" si="35"/>
        <v>-4.6812583980985716</v>
      </c>
      <c r="AN85" s="62">
        <f t="shared" si="36"/>
        <v>-4.6117849994314906</v>
      </c>
    </row>
    <row r="86" spans="1:40" x14ac:dyDescent="0.25">
      <c r="A86" s="148" t="s">
        <v>62</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25">
      <c r="A87" s="148"/>
      <c r="B87" s="329"/>
      <c r="G87" s="319"/>
      <c r="H87" s="319"/>
      <c r="I87" s="319"/>
      <c r="J87" s="319"/>
      <c r="K87" s="319"/>
      <c r="L87" s="319"/>
      <c r="M87" s="319"/>
    </row>
    <row r="88" spans="1:40" x14ac:dyDescent="0.25">
      <c r="F88" s="3"/>
      <c r="G88" s="323"/>
      <c r="H88" s="323"/>
      <c r="I88" s="323"/>
      <c r="J88" s="323"/>
      <c r="K88" s="323"/>
      <c r="L88" s="323"/>
      <c r="M88" s="323"/>
      <c r="N88" s="3"/>
      <c r="O88" s="3"/>
      <c r="P88" s="3"/>
      <c r="Q88" s="3"/>
      <c r="R88" s="3"/>
      <c r="S88" s="3"/>
    </row>
    <row r="89" spans="1:40" ht="21" x14ac:dyDescent="0.35">
      <c r="A89" s="76" t="s">
        <v>274</v>
      </c>
    </row>
    <row r="90" spans="1:40" x14ac:dyDescent="0.25">
      <c r="A90" s="328" t="s">
        <v>212</v>
      </c>
    </row>
    <row r="91" spans="1:40" ht="45" x14ac:dyDescent="0.25">
      <c r="A91" s="103" t="s">
        <v>164</v>
      </c>
      <c r="B91" s="103" t="s">
        <v>213</v>
      </c>
      <c r="C91" s="103" t="s">
        <v>214</v>
      </c>
      <c r="D91" s="108" t="s">
        <v>215</v>
      </c>
      <c r="E91" s="103" t="s">
        <v>216</v>
      </c>
      <c r="F91" s="108" t="s">
        <v>217</v>
      </c>
      <c r="G91" s="108" t="s">
        <v>218</v>
      </c>
      <c r="H91" s="108" t="s">
        <v>170</v>
      </c>
      <c r="I91" s="108" t="s">
        <v>171</v>
      </c>
      <c r="J91" s="103" t="s">
        <v>172</v>
      </c>
      <c r="K91" s="103" t="s">
        <v>173</v>
      </c>
      <c r="L91" s="103" t="s">
        <v>174</v>
      </c>
      <c r="M91" s="103" t="s">
        <v>175</v>
      </c>
      <c r="N91" s="103" t="s">
        <v>176</v>
      </c>
      <c r="O91" s="103" t="s">
        <v>219</v>
      </c>
    </row>
    <row r="92" spans="1:40" x14ac:dyDescent="0.25">
      <c r="A92" s="39" t="s">
        <v>177</v>
      </c>
      <c r="B92" s="154">
        <v>55.6</v>
      </c>
      <c r="C92" s="154">
        <v>6.2E-2</v>
      </c>
      <c r="D92" s="1">
        <f>((C4/$B92)*$C92)*Input!$C$31</f>
        <v>5.2029913763389606E-5</v>
      </c>
      <c r="E92" s="1">
        <f>((D4/$B92)*$C92)*Input!$C$31</f>
        <v>1.6037477478582049E-5</v>
      </c>
      <c r="F92" s="1">
        <f>((E4/$B92)*$C92)*Input!$C$31</f>
        <v>3.0432771774755E-6</v>
      </c>
      <c r="G92" s="1">
        <f>((F4/$B92)*$C92)*Input!$C$31</f>
        <v>7.8801452471978994E-7</v>
      </c>
      <c r="H92" s="1">
        <f>((G4/$B92)*$C92)*Input!$C$31</f>
        <v>5.616703057660077E-6</v>
      </c>
      <c r="I92" s="1">
        <f>((H4/$B92)*$C92)*Input!$C$31</f>
        <v>4.0759833392805765E-6</v>
      </c>
      <c r="J92" s="1">
        <f>((I4/$B92)*$C92)*Input!$C$31</f>
        <v>2.7800721350697239E-7</v>
      </c>
      <c r="K92" s="1">
        <f>((J4/$B92)*$C92)*Input!$C$31</f>
        <v>0</v>
      </c>
      <c r="L92" s="1">
        <f>((K4/$B92)*$C92)*Input!$C$31</f>
        <v>-2.7684987849657158E-5</v>
      </c>
      <c r="M92" s="1">
        <f>(SUM(D92:H92))*1000</f>
        <v>7.7515386001827016E-2</v>
      </c>
      <c r="N92" s="1">
        <f>SUM(D92:K92)*1000</f>
        <v>8.1869376554614556E-2</v>
      </c>
      <c r="O92" s="1">
        <f>SUM(D92:L92)*1000</f>
        <v>5.4184388704957398E-2</v>
      </c>
    </row>
    <row r="93" spans="1:40" x14ac:dyDescent="0.25">
      <c r="A93" s="39" t="s">
        <v>179</v>
      </c>
      <c r="B93" s="154">
        <v>8100</v>
      </c>
      <c r="C93" s="154">
        <v>0.21059999999999998</v>
      </c>
      <c r="D93" s="1">
        <f>((C5/$B93)*$C93)*Input!$C$31</f>
        <v>1.6051528630447022E-4</v>
      </c>
      <c r="E93" s="1">
        <f>((D5/$B93)*$C93)*Input!$C$31</f>
        <v>8.072825465077901E-5</v>
      </c>
      <c r="F93" s="1">
        <f>((E5/$B93)*$C93)*Input!$C$31</f>
        <v>8.621958193078094E-6</v>
      </c>
      <c r="G93" s="1">
        <f>((F5/$B93)*$C93)*Input!$C$31</f>
        <v>3.507199429591268E-6</v>
      </c>
      <c r="H93" s="1">
        <f>((G5/$B93)*$C93)*Input!$C$31</f>
        <v>9.3640250191849624E-5</v>
      </c>
      <c r="I93" s="1">
        <f>((H5/$B93)*$C93)*Input!$C$31</f>
        <v>3.4739057468544003E-5</v>
      </c>
      <c r="J93" s="1">
        <f>((I5/$B93)*$C93)*Input!$C$31</f>
        <v>5.0700954015627887E-6</v>
      </c>
      <c r="K93" s="1">
        <f>((J5/$B93)*$C93)*Input!$C$31</f>
        <v>0</v>
      </c>
      <c r="L93" s="1">
        <f>((K5/$B93)*$C93)*Input!$C$31</f>
        <v>-1.8721356523219841E-4</v>
      </c>
      <c r="M93" s="1">
        <f>(SUM(D93:H93))*1000</f>
        <v>0.34701294876976824</v>
      </c>
      <c r="N93" s="1">
        <f>SUM(D93:K93)*1000</f>
        <v>0.38682210163987502</v>
      </c>
      <c r="O93" s="1">
        <f>SUM(D93:L93)*1000</f>
        <v>0.19960853640767659</v>
      </c>
    </row>
    <row r="94" spans="1:40" x14ac:dyDescent="0.25">
      <c r="A94" s="39" t="s">
        <v>181</v>
      </c>
      <c r="B94" s="333"/>
      <c r="C94" s="333"/>
      <c r="D94" s="333"/>
      <c r="E94" s="333"/>
      <c r="F94" s="333"/>
      <c r="G94" s="333"/>
      <c r="H94" s="333"/>
      <c r="I94" s="333"/>
      <c r="J94" s="333"/>
      <c r="K94" s="333"/>
      <c r="L94" s="333"/>
      <c r="M94" s="333"/>
      <c r="N94" s="333"/>
      <c r="O94" s="333"/>
    </row>
    <row r="95" spans="1:40" x14ac:dyDescent="0.25">
      <c r="A95" s="39" t="s">
        <v>182</v>
      </c>
      <c r="B95" s="333"/>
      <c r="C95" s="333"/>
      <c r="D95" s="333"/>
      <c r="E95" s="333"/>
      <c r="F95" s="333"/>
      <c r="G95" s="333"/>
      <c r="H95" s="333"/>
      <c r="I95" s="333"/>
      <c r="J95" s="333"/>
      <c r="K95" s="333"/>
      <c r="L95" s="333"/>
      <c r="M95" s="333"/>
      <c r="N95" s="333"/>
      <c r="O95" s="333"/>
    </row>
    <row r="96" spans="1:40" x14ac:dyDescent="0.25">
      <c r="A96" s="39" t="s">
        <v>183</v>
      </c>
      <c r="B96" s="333"/>
      <c r="C96" s="333"/>
      <c r="D96" s="333"/>
      <c r="E96" s="333"/>
      <c r="F96" s="333"/>
      <c r="G96" s="333"/>
      <c r="H96" s="333"/>
      <c r="I96" s="333"/>
      <c r="J96" s="333"/>
      <c r="K96" s="333"/>
      <c r="L96" s="333"/>
      <c r="M96" s="333"/>
      <c r="N96" s="333"/>
      <c r="O96" s="333"/>
    </row>
    <row r="97" spans="1:15" x14ac:dyDescent="0.25">
      <c r="A97" s="39" t="s">
        <v>184</v>
      </c>
      <c r="B97" s="154">
        <v>42700</v>
      </c>
      <c r="C97" s="154">
        <v>1.9199999999999998E-2</v>
      </c>
      <c r="D97" s="1">
        <f>((C9/$B97)*$C97)*Input!$C$31</f>
        <v>5.2521697052019276E-5</v>
      </c>
      <c r="E97" s="1">
        <f>((D9/$B97)*$C97)*Input!$C$31</f>
        <v>1.0266978384992648E-5</v>
      </c>
      <c r="F97" s="1">
        <f>((E9/$B97)*$C97)*Input!$C$31</f>
        <v>1.7694424162915439E-7</v>
      </c>
      <c r="G97" s="1">
        <f>((F9/$B97)*$C97)*Input!$C$31</f>
        <v>2.7173938071017487E-7</v>
      </c>
      <c r="H97" s="1">
        <f>((G9/$B97)*$C97)*Input!$C$31</f>
        <v>1.6163171017985543E-6</v>
      </c>
      <c r="I97" s="1">
        <f>((H9/$B97)*$C97)*Input!$C$31</f>
        <v>5.1057793437437007E-7</v>
      </c>
      <c r="J97" s="1">
        <f>((I9/$B97)*$C97)*Input!$C$31</f>
        <v>3.874110047485669E-8</v>
      </c>
      <c r="K97" s="1">
        <f>((J9/$B97)*$C97)*Input!$C$31</f>
        <v>0</v>
      </c>
      <c r="L97" s="1">
        <f>((K9/$B97)*$C97)*Input!$C$31</f>
        <v>-5.4188606877696578E-5</v>
      </c>
      <c r="M97" s="1">
        <f t="shared" ref="M97:M110" si="37">(SUM(D97:H97))*1000</f>
        <v>6.4853676161149829E-2</v>
      </c>
      <c r="N97" s="1">
        <f t="shared" ref="N97:N110" si="38">SUM(D97:K97)*1000</f>
        <v>6.5402995195999056E-2</v>
      </c>
      <c r="O97" s="1">
        <f t="shared" ref="O97:O110" si="39">SUM(D97:L97)*1000</f>
        <v>1.1214388318302472E-2</v>
      </c>
    </row>
    <row r="98" spans="1:15" x14ac:dyDescent="0.25">
      <c r="A98" s="39" t="s">
        <v>186</v>
      </c>
      <c r="B98" s="154">
        <v>65000</v>
      </c>
      <c r="C98" s="154">
        <v>7.5499999999999998E-2</v>
      </c>
      <c r="D98" s="1">
        <f>((C10/$B98)*$C98)*Input!$C$31</f>
        <v>4.4663644055982916E-4</v>
      </c>
      <c r="E98" s="1">
        <f>((D10/$B98)*$C98)*Input!$C$31</f>
        <v>3.8372447977930953E-5</v>
      </c>
      <c r="F98" s="1">
        <f>((E10/$B98)*$C98)*Input!$C$31</f>
        <v>5.048941170452314E-6</v>
      </c>
      <c r="G98" s="1">
        <f>((F10/$B98)*$C98)*Input!$C$31</f>
        <v>3.5390632714124326E-6</v>
      </c>
      <c r="H98" s="1">
        <f>((G10/$B98)*$C98)*Input!$C$31</f>
        <v>9.7193353477658618E-5</v>
      </c>
      <c r="I98" s="1">
        <f>((H10/$B98)*$C98)*Input!$C$31</f>
        <v>2.0866524388032007E-5</v>
      </c>
      <c r="J98" s="1">
        <f>((I10/$B98)*$C98)*Input!$C$31</f>
        <v>3.0085820750890627E-6</v>
      </c>
      <c r="K98" s="1">
        <f>((J10/$B98)*$C98)*Input!$C$31</f>
        <v>0</v>
      </c>
      <c r="L98" s="1">
        <f>((K10/$B98)*$C98)*Input!$C$31</f>
        <v>-2.4663005441834089E-4</v>
      </c>
      <c r="M98" s="1">
        <f t="shared" si="37"/>
        <v>0.5907902464572834</v>
      </c>
      <c r="N98" s="1">
        <f t="shared" si="38"/>
        <v>0.61466535292040447</v>
      </c>
      <c r="O98" s="1">
        <f t="shared" si="39"/>
        <v>0.36803529850206362</v>
      </c>
    </row>
    <row r="99" spans="1:15" x14ac:dyDescent="0.25">
      <c r="A99" s="39" t="s">
        <v>188</v>
      </c>
      <c r="B99" s="154">
        <v>1.61</v>
      </c>
      <c r="C99" s="154">
        <v>2.7999999999999997E-2</v>
      </c>
      <c r="D99" s="1">
        <f>((C11/$B99)*$C99)*Input!$C$31</f>
        <v>1.9208410809958818E-5</v>
      </c>
      <c r="E99" s="1">
        <f>((D11/$B99)*$C99)*Input!$C$31</f>
        <v>1.6387446269794184E-5</v>
      </c>
      <c r="F99" s="1">
        <f>((E11/$B99)*$C99)*Input!$C$31</f>
        <v>2.7676531493946235E-7</v>
      </c>
      <c r="G99" s="1">
        <f>((F11/$B99)*$C99)*Input!$C$31</f>
        <v>3.196067535422875E-7</v>
      </c>
      <c r="H99" s="1">
        <f>((G11/$B99)*$C99)*Input!$C$31</f>
        <v>5.4065989235895837E-6</v>
      </c>
      <c r="I99" s="1">
        <f>((H11/$B99)*$C99)*Input!$C$31</f>
        <v>5.3455805217391314E-7</v>
      </c>
      <c r="J99" s="1">
        <f>((I11/$B99)*$C99)*Input!$C$31</f>
        <v>3.5851345173059937E-8</v>
      </c>
      <c r="K99" s="1">
        <f>((J11/$B99)*$C99)*Input!$C$31</f>
        <v>0</v>
      </c>
      <c r="L99" s="1">
        <f>((K11/$B99)*$C99)*Input!$C$31</f>
        <v>-1.0051440864290228E-5</v>
      </c>
      <c r="M99" s="1">
        <f t="shared" si="37"/>
        <v>4.1598828071824336E-2</v>
      </c>
      <c r="N99" s="1">
        <f t="shared" si="38"/>
        <v>4.2169237469171311E-2</v>
      </c>
      <c r="O99" s="1">
        <f t="shared" si="39"/>
        <v>3.211779660488108E-2</v>
      </c>
    </row>
    <row r="100" spans="1:15" x14ac:dyDescent="0.25">
      <c r="A100" s="39" t="s">
        <v>190</v>
      </c>
      <c r="B100" s="154">
        <v>19.5</v>
      </c>
      <c r="C100" s="154">
        <v>2.9600000000000001E-2</v>
      </c>
      <c r="D100" s="1">
        <f>((C12/$B100)*$C100)*Input!$C$31</f>
        <v>1.5374452015585689E-5</v>
      </c>
      <c r="E100" s="1">
        <f>((D12/$B100)*$C100)*Input!$C$31</f>
        <v>5.6581477740071116E-6</v>
      </c>
      <c r="F100" s="1">
        <f>((E12/$B100)*$C100)*Input!$C$31</f>
        <v>1.2771998770359387E-6</v>
      </c>
      <c r="G100" s="1">
        <f>((F12/$B100)*$C100)*Input!$C$31</f>
        <v>6.2234980305808537E-7</v>
      </c>
      <c r="H100" s="1">
        <f>((G12/$B100)*$C100)*Input!$C$31</f>
        <v>1.8274308387786826E-6</v>
      </c>
      <c r="I100" s="1">
        <f>((H12/$B100)*$C100)*Input!$C$31</f>
        <v>1.9907876548923085E-6</v>
      </c>
      <c r="J100" s="1">
        <f>((I12/$B100)*$C100)*Input!$C$31</f>
        <v>8.5577462503070663E-8</v>
      </c>
      <c r="K100" s="1">
        <f>((J12/$B100)*$C100)*Input!$C$31</f>
        <v>0</v>
      </c>
      <c r="L100" s="1">
        <f>((K12/$B100)*$C100)*Input!$C$31</f>
        <v>-1.0807188369938071E-5</v>
      </c>
      <c r="M100" s="1">
        <f t="shared" si="37"/>
        <v>2.4759580308465506E-2</v>
      </c>
      <c r="N100" s="1">
        <f t="shared" si="38"/>
        <v>2.6835945425860885E-2</v>
      </c>
      <c r="O100" s="1">
        <f t="shared" si="39"/>
        <v>1.6028757055922816E-2</v>
      </c>
    </row>
    <row r="101" spans="1:15" x14ac:dyDescent="0.25">
      <c r="A101" s="39" t="s">
        <v>192</v>
      </c>
      <c r="B101" s="154">
        <v>177</v>
      </c>
      <c r="C101" s="154">
        <v>3.7100000000000001E-2</v>
      </c>
      <c r="D101" s="1">
        <f>((C13/$B101)*$C101)*Input!$C$31</f>
        <v>2.3759717748550234E-5</v>
      </c>
      <c r="E101" s="1">
        <f>((D13/$B101)*$C101)*Input!$C$31</f>
        <v>6.5034107649590064E-6</v>
      </c>
      <c r="F101" s="1">
        <f>((E13/$B101)*$C101)*Input!$C$31</f>
        <v>1.9353739123394378E-6</v>
      </c>
      <c r="G101" s="1">
        <f>((F13/$B101)*$C101)*Input!$C$31</f>
        <v>5.8435793808478827E-7</v>
      </c>
      <c r="H101" s="1">
        <f>((G13/$B101)*$C101)*Input!$C$31</f>
        <v>2.6102110197506532E-6</v>
      </c>
      <c r="I101" s="1">
        <f>((H13/$B101)*$C101)*Input!$C$31</f>
        <v>2.9986967663728822E-6</v>
      </c>
      <c r="J101" s="1">
        <f>((I13/$B101)*$C101)*Input!$C$31</f>
        <v>1.2846408328772316E-7</v>
      </c>
      <c r="K101" s="1">
        <f>((J13/$B101)*$C101)*Input!$C$31</f>
        <v>0</v>
      </c>
      <c r="L101" s="1">
        <f>((K13/$B101)*$C101)*Input!$C$31</f>
        <v>-1.7033561904202967E-5</v>
      </c>
      <c r="M101" s="1">
        <f t="shared" si="37"/>
        <v>3.5393071383684124E-2</v>
      </c>
      <c r="N101" s="1">
        <f t="shared" si="38"/>
        <v>3.8520232233344734E-2</v>
      </c>
      <c r="O101" s="1">
        <f t="shared" si="39"/>
        <v>2.1486670329141765E-2</v>
      </c>
    </row>
    <row r="102" spans="1:15" x14ac:dyDescent="0.25">
      <c r="A102" s="39" t="s">
        <v>194</v>
      </c>
      <c r="B102" s="154">
        <v>1.6900000000000001E-5</v>
      </c>
      <c r="C102" s="154">
        <v>2.1299999999999999E-2</v>
      </c>
      <c r="D102" s="1">
        <f>((C14/$B102)*$C102)*Input!$C$31</f>
        <v>4.0233309612891737E-6</v>
      </c>
      <c r="E102" s="1">
        <f>((D14/$B102)*$C102)*Input!$C$31</f>
        <v>2.9665474615516603E-6</v>
      </c>
      <c r="F102" s="1">
        <f>((E14/$B102)*$C102)*Input!$C$31</f>
        <v>5.6420189355964526E-8</v>
      </c>
      <c r="G102" s="1">
        <f>((F14/$B102)*$C102)*Input!$C$31</f>
        <v>4.4119964742243023E-8</v>
      </c>
      <c r="H102" s="1">
        <f>((G14/$B102)*$C102)*Input!$C$31</f>
        <v>6.68500620486745E-7</v>
      </c>
      <c r="I102" s="1">
        <f>((H14/$B102)*$C102)*Input!$C$31</f>
        <v>1.5740490478579881E-7</v>
      </c>
      <c r="J102" s="1">
        <f>((I14/$B102)*$C102)*Input!$C$31</f>
        <v>1.5019371952969614E-8</v>
      </c>
      <c r="K102" s="1">
        <f>((J14/$B102)*$C102)*Input!$C$31</f>
        <v>0</v>
      </c>
      <c r="L102" s="1">
        <f>((K14/$B102)*$C102)*Input!$C$31</f>
        <v>-3.1332034468787674E-6</v>
      </c>
      <c r="M102" s="1">
        <f t="shared" si="37"/>
        <v>7.7589191974257871E-3</v>
      </c>
      <c r="N102" s="1">
        <f t="shared" si="38"/>
        <v>7.9313434741645553E-3</v>
      </c>
      <c r="O102" s="1">
        <f t="shared" si="39"/>
        <v>4.7981400272857876E-3</v>
      </c>
    </row>
    <row r="103" spans="1:15" x14ac:dyDescent="0.25">
      <c r="A103" s="39" t="s">
        <v>196</v>
      </c>
      <c r="B103" s="154">
        <v>2.3000000000000001E-4</v>
      </c>
      <c r="C103" s="154">
        <v>1.84E-2</v>
      </c>
      <c r="D103" s="1">
        <f>((C15/$B103)*$C103)*Input!$C$31</f>
        <v>9.3971499410581641E-6</v>
      </c>
      <c r="E103" s="1">
        <f>((D15/$B103)*$C103)*Input!$C$31</f>
        <v>2.8368137039084178E-6</v>
      </c>
      <c r="F103" s="1">
        <f>((E15/$B103)*$C103)*Input!$C$31</f>
        <v>1.6342067565188543E-7</v>
      </c>
      <c r="G103" s="1">
        <f>((F15/$B103)*$C103)*Input!$C$31</f>
        <v>2.2959951848929702E-7</v>
      </c>
      <c r="H103" s="1">
        <f>((G15/$B103)*$C103)*Input!$C$31</f>
        <v>1.480437939438688E-6</v>
      </c>
      <c r="I103" s="1">
        <f>((H15/$B103)*$C103)*Input!$C$31</f>
        <v>7.6605772800000025E-7</v>
      </c>
      <c r="J103" s="1">
        <f>((I15/$B103)*$C103)*Input!$C$31</f>
        <v>2.541046287136989E-8</v>
      </c>
      <c r="K103" s="1">
        <f>((J15/$B103)*$C103)*Input!$C$31</f>
        <v>0</v>
      </c>
      <c r="L103" s="1">
        <f>((K15/$B103)*$C103)*Input!$C$31</f>
        <v>-7.0706907643899103E-6</v>
      </c>
      <c r="M103" s="1">
        <f t="shared" si="37"/>
        <v>1.4107421778546453E-2</v>
      </c>
      <c r="N103" s="1">
        <f t="shared" si="38"/>
        <v>1.4898889969417822E-2</v>
      </c>
      <c r="O103" s="1">
        <f t="shared" si="39"/>
        <v>7.8281992050279123E-3</v>
      </c>
    </row>
    <row r="104" spans="1:15" x14ac:dyDescent="0.25">
      <c r="A104" s="39" t="s">
        <v>197</v>
      </c>
      <c r="B104" s="154">
        <v>4220</v>
      </c>
      <c r="C104" s="154">
        <v>5.0099999999999999E-2</v>
      </c>
      <c r="D104" s="1">
        <f>((C16/$B104)*$C104)*Input!$C$31</f>
        <v>4.8209875671209965E-6</v>
      </c>
      <c r="E104" s="1">
        <f>((D16/$B104)*$C104)*Input!$C$31</f>
        <v>2.3861328252124692E-6</v>
      </c>
      <c r="F104" s="1">
        <f>((E16/$B104)*$C104)*Input!$C$31</f>
        <v>4.5738364513580963E-8</v>
      </c>
      <c r="G104" s="1">
        <f>((F16/$B104)*$C104)*Input!$C$31</f>
        <v>8.9533781785682972E-7</v>
      </c>
      <c r="H104" s="1">
        <f>((G16/$B104)*$C104)*Input!$C$31</f>
        <v>1.7870307856682743E-5</v>
      </c>
      <c r="I104" s="1">
        <f>((H16/$B104)*$C104)*Input!$C$31</f>
        <v>9.601877234047396E-8</v>
      </c>
      <c r="J104" s="1">
        <f>((I16/$B104)*$C104)*Input!$C$31</f>
        <v>9.2331214920193512E-9</v>
      </c>
      <c r="K104" s="1">
        <f>((J16/$B104)*$C104)*Input!$C$31</f>
        <v>0</v>
      </c>
      <c r="L104" s="1">
        <f>((K16/$B104)*$C104)*Input!$C$31</f>
        <v>-2.4287417298573737E-6</v>
      </c>
      <c r="M104" s="1">
        <f t="shared" si="37"/>
        <v>2.6018504431386619E-2</v>
      </c>
      <c r="N104" s="1">
        <f t="shared" si="38"/>
        <v>2.612375632521911E-2</v>
      </c>
      <c r="O104" s="1">
        <f t="shared" si="39"/>
        <v>2.3695014595361739E-2</v>
      </c>
    </row>
    <row r="105" spans="1:15" x14ac:dyDescent="0.25">
      <c r="A105" s="39" t="s">
        <v>199</v>
      </c>
      <c r="B105" s="154">
        <v>819000</v>
      </c>
      <c r="C105" s="154">
        <v>7.9399999999999998E-2</v>
      </c>
      <c r="D105" s="1">
        <f>((C17/$B105)*$C105)*Input!$C$31</f>
        <v>4.6002386478926013E-6</v>
      </c>
      <c r="E105" s="1">
        <f>((D17/$B105)*$C105)*Input!$C$31</f>
        <v>1.6464424739966118E-6</v>
      </c>
      <c r="F105" s="1">
        <f>((E17/$B105)*$C105)*Input!$C$31</f>
        <v>6.6751712347103013E-8</v>
      </c>
      <c r="G105" s="1">
        <f>((F17/$B105)*$C105)*Input!$C$31</f>
        <v>1.1301203135432914E-7</v>
      </c>
      <c r="H105" s="1">
        <f>((G17/$B105)*$C105)*Input!$C$31</f>
        <v>6.0112595592716542E-7</v>
      </c>
      <c r="I105" s="1">
        <f>((H17/$B105)*$C105)*Input!$C$31</f>
        <v>1.0928788867469599E-7</v>
      </c>
      <c r="J105" s="1">
        <f>((I17/$B105)*$C105)*Input!$C$31</f>
        <v>1.2910702767523697E-8</v>
      </c>
      <c r="K105" s="1">
        <f>((J17/$B105)*$C105)*Input!$C$31</f>
        <v>0</v>
      </c>
      <c r="L105" s="1">
        <f>((K17/$B105)*$C105)*Input!$C$31</f>
        <v>-9.3864509200347314E-6</v>
      </c>
      <c r="M105" s="1">
        <f t="shared" si="37"/>
        <v>7.0275708215178099E-3</v>
      </c>
      <c r="N105" s="1">
        <f t="shared" si="38"/>
        <v>7.1497694129600302E-3</v>
      </c>
      <c r="O105" s="1">
        <f t="shared" si="39"/>
        <v>-2.2366815070747016E-3</v>
      </c>
    </row>
    <row r="106" spans="1:15" x14ac:dyDescent="0.25">
      <c r="A106" s="39" t="s">
        <v>201</v>
      </c>
      <c r="B106" s="154">
        <v>65000</v>
      </c>
      <c r="C106" s="154">
        <v>8.3199999999999996E-2</v>
      </c>
      <c r="D106" s="1">
        <f>((C18/$B106)*$C106)*Input!$C$31</f>
        <v>6.4148691222796612E-10</v>
      </c>
      <c r="E106" s="1">
        <f>((D18/$B106)*$C106)*Input!$C$31</f>
        <v>2.0950253674105997E-11</v>
      </c>
      <c r="F106" s="1">
        <f>((E18/$B106)*$C106)*Input!$C$31</f>
        <v>5.5338597059791515E-13</v>
      </c>
      <c r="G106" s="1">
        <f>((F18/$B106)*$C106)*Input!$C$31</f>
        <v>1.4375303574855605E-12</v>
      </c>
      <c r="H106" s="1">
        <f>((G18/$B106)*$C106)*Input!$C$31</f>
        <v>2.4537275917602511E-11</v>
      </c>
      <c r="I106" s="1">
        <f>((H18/$B106)*$C106)*Input!$C$31</f>
        <v>1.8537929932800001E-12</v>
      </c>
      <c r="J106" s="1">
        <f>((I18/$B106)*$C106)*Input!$C$31</f>
        <v>3.8921335162490042E-14</v>
      </c>
      <c r="K106" s="1">
        <f>((J18/$B106)*$C106)*Input!$C$31</f>
        <v>0</v>
      </c>
      <c r="L106" s="1">
        <f>((K18/$B106)*$C106)*Input!$C$31</f>
        <v>-1.9028720640040821E-11</v>
      </c>
      <c r="M106" s="1">
        <f t="shared" si="37"/>
        <v>6.8896535814775813E-7</v>
      </c>
      <c r="N106" s="1">
        <f t="shared" si="38"/>
        <v>6.9085807247620052E-7</v>
      </c>
      <c r="O106" s="1">
        <f t="shared" si="39"/>
        <v>6.7182935183615972E-7</v>
      </c>
    </row>
    <row r="107" spans="1:15" x14ac:dyDescent="0.25">
      <c r="A107" s="39" t="s">
        <v>203</v>
      </c>
      <c r="B107" s="154">
        <v>5.3600000000000002E-2</v>
      </c>
      <c r="C107" s="154">
        <v>6.3099999999999989E-2</v>
      </c>
      <c r="D107" s="1">
        <f>((C19/$B107)*$C107)*Input!$C$31</f>
        <v>7.0784946710665392E-8</v>
      </c>
      <c r="E107" s="1">
        <f>((D19/$B107)*$C107)*Input!$C$31</f>
        <v>2.9851412379569082E-8</v>
      </c>
      <c r="F107" s="1">
        <f>((E19/$B107)*$C107)*Input!$C$31</f>
        <v>7.8265933838229518E-9</v>
      </c>
      <c r="G107" s="1">
        <f>((F19/$B107)*$C107)*Input!$C$31</f>
        <v>4.3862598948209507E-9</v>
      </c>
      <c r="H107" s="1">
        <f>((G19/$B107)*$C107)*Input!$C$31</f>
        <v>5.0142996022523201E-7</v>
      </c>
      <c r="I107" s="1">
        <f>((H19/$B107)*$C107)*Input!$C$31</f>
        <v>3.4988060195820896E-8</v>
      </c>
      <c r="J107" s="1">
        <f>((I19/$B107)*$C107)*Input!$C$31</f>
        <v>5.1731794679209287E-9</v>
      </c>
      <c r="K107" s="1">
        <f>((J19/$B107)*$C107)*Input!$C$31</f>
        <v>0</v>
      </c>
      <c r="L107" s="1">
        <f>((K19/$B107)*$C107)*Input!$C$31</f>
        <v>-5.6043307371375994E-8</v>
      </c>
      <c r="M107" s="1">
        <f t="shared" si="37"/>
        <v>6.1427917259411046E-4</v>
      </c>
      <c r="N107" s="1">
        <f t="shared" si="38"/>
        <v>6.5444041225785215E-4</v>
      </c>
      <c r="O107" s="1">
        <f t="shared" si="39"/>
        <v>5.983971048864761E-4</v>
      </c>
    </row>
    <row r="108" spans="1:15" x14ac:dyDescent="0.25">
      <c r="A108" s="39" t="s">
        <v>205</v>
      </c>
      <c r="B108" s="154">
        <v>5.9500000000000004E-4</v>
      </c>
      <c r="C108" s="154">
        <v>8.9600000000000013E-2</v>
      </c>
      <c r="D108" s="1">
        <f>((C20/$B108)*$C108)*Input!$C$31</f>
        <v>8.3992933720002336E-5</v>
      </c>
      <c r="E108" s="1">
        <f>((D20/$B108)*$C108)*Input!$C$31</f>
        <v>5.9222521141243227E-5</v>
      </c>
      <c r="F108" s="1">
        <f>((E20/$B108)*$C108)*Input!$C$31</f>
        <v>3.2975312270268468E-6</v>
      </c>
      <c r="G108" s="1">
        <f>((F20/$B108)*$C108)*Input!$C$31</f>
        <v>1.7861376873567075E-6</v>
      </c>
      <c r="H108" s="1">
        <f>((G20/$B108)*$C108)*Input!$C$31</f>
        <v>4.238002673781325E-6</v>
      </c>
      <c r="I108" s="1">
        <f>((H20/$B108)*$C108)*Input!$C$31</f>
        <v>1.3604955557647064E-5</v>
      </c>
      <c r="J108" s="1">
        <f>((I20/$B108)*$C108)*Input!$C$31</f>
        <v>2.892260644643259E-7</v>
      </c>
      <c r="K108" s="1">
        <f>((J20/$B108)*$C108)*Input!$C$31</f>
        <v>0</v>
      </c>
      <c r="L108" s="1">
        <f>((K20/$B108)*$C108)*Input!$C$31</f>
        <v>-5.4033504892735079E-5</v>
      </c>
      <c r="M108" s="1">
        <f t="shared" si="37"/>
        <v>0.15253712644941045</v>
      </c>
      <c r="N108" s="1">
        <f t="shared" si="38"/>
        <v>0.16643130807152184</v>
      </c>
      <c r="O108" s="1">
        <f t="shared" si="39"/>
        <v>0.11239780317878674</v>
      </c>
    </row>
    <row r="109" spans="1:15" ht="30" x14ac:dyDescent="0.25">
      <c r="A109" s="39" t="s">
        <v>207</v>
      </c>
      <c r="B109" s="154">
        <v>40.6</v>
      </c>
      <c r="C109" s="154">
        <v>4.7800000000000002E-2</v>
      </c>
      <c r="D109" s="1">
        <f>((C21/$B109)*$C109)*Input!$C$31</f>
        <v>4.4006925110341148E-5</v>
      </c>
      <c r="E109" s="1">
        <f>((D21/$B109)*$C109)*Input!$C$31</f>
        <v>1.202422096633898E-5</v>
      </c>
      <c r="F109" s="1">
        <f>((E21/$B109)*$C109)*Input!$C$31</f>
        <v>3.3671899360973927E-6</v>
      </c>
      <c r="G109" s="1">
        <f>((F21/$B109)*$C109)*Input!$C$31</f>
        <v>7.559112564345909E-7</v>
      </c>
      <c r="H109" s="1">
        <f>((G21/$B109)*$C109)*Input!$C$31</f>
        <v>4.8741391704213405E-6</v>
      </c>
      <c r="I109" s="1">
        <f>((H21/$B109)*$C109)*Input!$C$31</f>
        <v>6.7754570104433517E-6</v>
      </c>
      <c r="J109" s="1">
        <f>((I21/$B109)*$C109)*Input!$C$31</f>
        <v>5.655006966994182E-7</v>
      </c>
      <c r="K109" s="1">
        <f>((J21/$B109)*$C109)*Input!$C$31</f>
        <v>0</v>
      </c>
      <c r="L109" s="1">
        <f>((K21/$B109)*$C109)*Input!$C$31</f>
        <v>-3.1141275834922156E-5</v>
      </c>
      <c r="M109" s="1">
        <f t="shared" si="37"/>
        <v>6.5028386439633448E-2</v>
      </c>
      <c r="N109" s="1">
        <f t="shared" si="38"/>
        <v>7.2369344146776218E-2</v>
      </c>
      <c r="O109" s="1">
        <f t="shared" si="39"/>
        <v>4.1228068311854063E-2</v>
      </c>
    </row>
    <row r="110" spans="1:15" x14ac:dyDescent="0.25">
      <c r="A110" s="39" t="s">
        <v>209</v>
      </c>
      <c r="B110" s="154">
        <v>11500</v>
      </c>
      <c r="C110" s="154">
        <v>8.5099999999999995E-2</v>
      </c>
      <c r="D110" s="1">
        <f>((C22/$B110)*$C110)*Input!$C$31</f>
        <v>1.3333360231683542E-5</v>
      </c>
      <c r="E110" s="1">
        <f>((D22/$B110)*$C110)*Input!$C$31</f>
        <v>4.8372326081750764E-6</v>
      </c>
      <c r="F110" s="1">
        <f>((E22/$B110)*$C110)*Input!$C$31</f>
        <v>1.179661806715012E-7</v>
      </c>
      <c r="G110" s="1">
        <f>((F22/$B110)*$C110)*Input!$C$31</f>
        <v>3.0234164288427452E-7</v>
      </c>
      <c r="H110" s="1">
        <f>((G22/$B110)*$C110)*Input!$C$31</f>
        <v>3.3342379307533777E-6</v>
      </c>
      <c r="I110" s="1">
        <f>((H22/$B110)*$C110)*Input!$C$31</f>
        <v>3.0004938324480001E-7</v>
      </c>
      <c r="J110" s="1">
        <f>((I22/$B110)*$C110)*Input!$C$31</f>
        <v>2.5941432634327687E-8</v>
      </c>
      <c r="K110" s="1">
        <f>((J22/$B110)*$C110)*Input!$C$31</f>
        <v>0</v>
      </c>
      <c r="L110" s="1">
        <f>((K22/$B110)*$C110)*Input!$C$31</f>
        <v>-6.5524241271922622E-6</v>
      </c>
      <c r="M110" s="1">
        <f t="shared" si="37"/>
        <v>2.1925138594167778E-2</v>
      </c>
      <c r="N110" s="1">
        <f t="shared" si="38"/>
        <v>2.2251129410046904E-2</v>
      </c>
      <c r="O110" s="1">
        <f t="shared" si="39"/>
        <v>1.5698705282854646E-2</v>
      </c>
    </row>
    <row r="111" spans="1:15" x14ac:dyDescent="0.25">
      <c r="A111" s="368" t="s">
        <v>220</v>
      </c>
      <c r="B111" s="369"/>
      <c r="C111" s="330">
        <f>SUM(C92:C110)</f>
        <v>1</v>
      </c>
      <c r="D111" s="13">
        <f>SUM(D92:D110)*1000</f>
        <v>0.93429227086681377</v>
      </c>
      <c r="E111" s="13">
        <f t="shared" ref="E111:L111" si="40">SUM(E92:E110)*1000</f>
        <v>0.25990394684410462</v>
      </c>
      <c r="F111" s="13">
        <f t="shared" si="40"/>
        <v>2.7503305319383962E-2</v>
      </c>
      <c r="G111" s="13">
        <f>SUM(G92:G110)*1000</f>
        <v>1.3763178717662274E-2</v>
      </c>
      <c r="H111" s="13">
        <f t="shared" si="40"/>
        <v>0.24147907125607831</v>
      </c>
      <c r="I111" s="13">
        <f t="shared" si="40"/>
        <v>8.7560406762795071E-2</v>
      </c>
      <c r="J111" s="13">
        <f t="shared" si="40"/>
        <v>9.5937337528687449E-3</v>
      </c>
      <c r="K111" s="13">
        <f t="shared" si="40"/>
        <v>0</v>
      </c>
      <c r="L111" s="13">
        <f t="shared" si="40"/>
        <v>-0.66741175956842647</v>
      </c>
      <c r="M111" s="1">
        <f>SUM(M92:M110)</f>
        <v>1.4769417730040426</v>
      </c>
      <c r="N111" s="1">
        <f>SUM(N92:N110)</f>
        <v>1.574095913519707</v>
      </c>
      <c r="O111" s="1">
        <f>SUM(O92:O110)</f>
        <v>0.90668415395128021</v>
      </c>
    </row>
    <row r="112" spans="1:15" x14ac:dyDescent="0.25">
      <c r="A112" s="148" t="s">
        <v>62</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25">
      <c r="A113" s="24"/>
      <c r="B113" s="24"/>
      <c r="C113" s="24"/>
      <c r="D113" s="24"/>
    </row>
    <row r="115" spans="1:28" ht="21" x14ac:dyDescent="0.35">
      <c r="A115" s="76" t="s">
        <v>275</v>
      </c>
    </row>
    <row r="117" spans="1:28" ht="45" x14ac:dyDescent="0.25">
      <c r="A117" s="246" t="s">
        <v>164</v>
      </c>
      <c r="B117" s="246" t="s">
        <v>165</v>
      </c>
      <c r="C117" s="108" t="s">
        <v>215</v>
      </c>
      <c r="D117" s="108" t="s">
        <v>216</v>
      </c>
      <c r="E117" s="108" t="s">
        <v>217</v>
      </c>
      <c r="F117" s="108" t="s">
        <v>218</v>
      </c>
      <c r="G117" s="108" t="s">
        <v>170</v>
      </c>
      <c r="H117" s="108" t="s">
        <v>171</v>
      </c>
      <c r="I117" s="108" t="s">
        <v>172</v>
      </c>
      <c r="J117" s="108" t="s">
        <v>173</v>
      </c>
      <c r="K117" s="108" t="s">
        <v>224</v>
      </c>
      <c r="L117" s="103" t="s">
        <v>175</v>
      </c>
      <c r="M117" s="103" t="s">
        <v>176</v>
      </c>
    </row>
    <row r="118" spans="1:28" x14ac:dyDescent="0.25">
      <c r="A118" s="1" t="s">
        <v>179</v>
      </c>
      <c r="B118" s="1" t="s">
        <v>276</v>
      </c>
      <c r="C118" s="1">
        <f>'A1 - Raw Material Supply'!$Z$115*Input!$C$31</f>
        <v>6.1736648578642397</v>
      </c>
      <c r="D118" s="1">
        <f>'C3'' - Secondary Raw Material '!$F$321*Input!$C$31</f>
        <v>3.1049328711838085</v>
      </c>
      <c r="E118" s="1">
        <f>'A2 - Transport'!$Z$119*Input!$C$31</f>
        <v>0.33161377665684982</v>
      </c>
      <c r="F118" s="1">
        <f>('C2''- Transport Secondary'!$D$59+'C2''- Transport Secondary'!$G$59)*Input!$C$31</f>
        <v>0.13489228575351034</v>
      </c>
      <c r="G118" s="1">
        <f>'A3 - Production '!$D$206*Input!$C$31</f>
        <v>3.6015480843019088</v>
      </c>
      <c r="H118" s="1">
        <f>'A4 - Transport'!$B$18*Input!$C$31</f>
        <v>1.3361175949440003</v>
      </c>
      <c r="I118" s="1">
        <f>'A5 - Construction'!$E$138*Input!$C$31</f>
        <v>0.19500366929087651</v>
      </c>
      <c r="J118" s="1">
        <f>'C1 - Deconstruction'!$B$87*Input!$C$31</f>
        <v>0</v>
      </c>
      <c r="K118" s="1">
        <f>'D- Benefits &amp; Burdens'!$N$162*Input!$C$31</f>
        <v>-7.2005217396999397</v>
      </c>
      <c r="L118" s="1">
        <f>SUM(C118:G118)</f>
        <v>13.346651875760317</v>
      </c>
      <c r="M118" s="1">
        <f>SUM(C118:J118)</f>
        <v>14.877773139995194</v>
      </c>
    </row>
    <row r="119" spans="1:28" x14ac:dyDescent="0.25">
      <c r="A119" s="148" t="s">
        <v>62</v>
      </c>
      <c r="B119" s="338">
        <f>+SUM(E134,H134,K134,N134,Q134,T134,U134,V134,Z134,AA134,AD134,AM134)-SUM(C118:K118)</f>
        <v>0</v>
      </c>
      <c r="L119" s="257">
        <f>+L118-L53*Input!$C$31</f>
        <v>0</v>
      </c>
      <c r="M119" s="257">
        <f>+M118-M53*Input!$C$31</f>
        <v>0</v>
      </c>
    </row>
    <row r="121" spans="1:28" ht="21" x14ac:dyDescent="0.35">
      <c r="A121" s="76" t="s">
        <v>277</v>
      </c>
    </row>
    <row r="122" spans="1:28" x14ac:dyDescent="0.25">
      <c r="A122" s="11" t="s">
        <v>278</v>
      </c>
      <c r="O122" s="15" t="s">
        <v>229</v>
      </c>
      <c r="P122" s="15" t="s">
        <v>279</v>
      </c>
      <c r="Q122" s="15" t="s">
        <v>280</v>
      </c>
      <c r="R122" s="15" t="s">
        <v>281</v>
      </c>
      <c r="S122" s="15"/>
    </row>
    <row r="123" spans="1:28" ht="14.45" customHeight="1" x14ac:dyDescent="0.25">
      <c r="A123" s="376" t="s">
        <v>230</v>
      </c>
      <c r="B123" s="376" t="s">
        <v>282</v>
      </c>
      <c r="C123" s="373" t="s">
        <v>283</v>
      </c>
      <c r="D123" s="374"/>
      <c r="E123" s="373" t="s">
        <v>63</v>
      </c>
      <c r="F123" s="374"/>
      <c r="G123" s="373" t="s">
        <v>233</v>
      </c>
      <c r="H123" s="374"/>
      <c r="I123" s="373" t="s">
        <v>234</v>
      </c>
      <c r="J123" s="374"/>
      <c r="K123" s="370" t="s">
        <v>235</v>
      </c>
      <c r="L123" s="371"/>
      <c r="M123" s="373" t="s">
        <v>236</v>
      </c>
      <c r="N123" s="374"/>
      <c r="O123" s="103" t="s">
        <v>237</v>
      </c>
      <c r="P123" s="103" t="s">
        <v>237</v>
      </c>
      <c r="Q123" s="103" t="s">
        <v>237</v>
      </c>
      <c r="R123" s="103" t="s">
        <v>237</v>
      </c>
      <c r="S123" s="373" t="s">
        <v>252</v>
      </c>
      <c r="T123" s="374"/>
      <c r="U123" s="376" t="s">
        <v>254</v>
      </c>
      <c r="V123" s="376"/>
      <c r="W123" s="376"/>
      <c r="X123" s="376"/>
      <c r="Y123" s="376"/>
      <c r="Z123" s="376"/>
      <c r="AA123" s="376"/>
      <c r="AB123" s="376"/>
    </row>
    <row r="124" spans="1:28" ht="45" x14ac:dyDescent="0.25">
      <c r="A124" s="376"/>
      <c r="B124" s="376"/>
      <c r="C124" s="103" t="s">
        <v>215</v>
      </c>
      <c r="D124" s="103" t="s">
        <v>217</v>
      </c>
      <c r="E124" s="103" t="s">
        <v>215</v>
      </c>
      <c r="F124" s="103" t="s">
        <v>217</v>
      </c>
      <c r="G124" s="103" t="s">
        <v>215</v>
      </c>
      <c r="H124" s="103" t="s">
        <v>217</v>
      </c>
      <c r="I124" s="103" t="s">
        <v>216</v>
      </c>
      <c r="J124" s="103" t="s">
        <v>218</v>
      </c>
      <c r="K124" s="103" t="s">
        <v>216</v>
      </c>
      <c r="L124" s="103" t="s">
        <v>218</v>
      </c>
      <c r="M124" s="103" t="s">
        <v>215</v>
      </c>
      <c r="N124" s="103" t="s">
        <v>217</v>
      </c>
      <c r="O124" s="103" t="s">
        <v>240</v>
      </c>
      <c r="P124" s="103" t="s">
        <v>284</v>
      </c>
      <c r="Q124" s="103" t="s">
        <v>285</v>
      </c>
      <c r="R124" s="108" t="s">
        <v>173</v>
      </c>
      <c r="S124" s="103" t="s">
        <v>167</v>
      </c>
      <c r="T124" s="103" t="s">
        <v>286</v>
      </c>
      <c r="U124" s="103" t="s">
        <v>287</v>
      </c>
      <c r="V124" s="103" t="s">
        <v>233</v>
      </c>
      <c r="W124" s="103" t="s">
        <v>232</v>
      </c>
      <c r="X124" s="103" t="s">
        <v>288</v>
      </c>
      <c r="Y124" s="103" t="s">
        <v>289</v>
      </c>
      <c r="Z124" s="103" t="s">
        <v>290</v>
      </c>
      <c r="AA124" s="103" t="s">
        <v>291</v>
      </c>
      <c r="AB124" s="103" t="s">
        <v>292</v>
      </c>
    </row>
    <row r="125" spans="1:28" x14ac:dyDescent="0.25">
      <c r="A125" s="1" t="s">
        <v>179</v>
      </c>
      <c r="B125" s="1" t="s">
        <v>276</v>
      </c>
      <c r="C125" s="1">
        <f>C68*Input!$C$31</f>
        <v>0.27190406770606551</v>
      </c>
      <c r="D125" s="1">
        <f>D68*Input!$C$31</f>
        <v>0.26697318392041247</v>
      </c>
      <c r="E125" s="1">
        <f>F68*Input!$C$31</f>
        <v>0.70656000000000008</v>
      </c>
      <c r="F125" s="1">
        <f>G68*Input!$C$31</f>
        <v>1.21916051712E-2</v>
      </c>
      <c r="G125" s="1">
        <f>I68*Input!$C$31</f>
        <v>1.0844303664323782</v>
      </c>
      <c r="H125" s="1">
        <f>J68*Input!$C$31</f>
        <v>2.0563444463231998E-2</v>
      </c>
      <c r="I125" s="1">
        <f>L68*Input!C31</f>
        <v>4.3765784679059998E-2</v>
      </c>
      <c r="J125" s="1">
        <f>M68*Input!C31</f>
        <v>3.6758750841510333E-2</v>
      </c>
      <c r="K125" s="1">
        <f>O68*Input!$C$31</f>
        <v>3.0611670865047484</v>
      </c>
      <c r="L125" s="1">
        <f>P68*Input!$C$31</f>
        <v>9.8133534911999998E-2</v>
      </c>
      <c r="M125" s="1">
        <f>R68*Input!$C$31</f>
        <v>4.1107704237257963</v>
      </c>
      <c r="N125" s="1">
        <f>S68*Input!$C$31</f>
        <v>3.1885543102005323E-2</v>
      </c>
      <c r="O125" s="1">
        <f>U68*Input!$C$31</f>
        <v>3.6015480843019088</v>
      </c>
      <c r="P125" s="1">
        <f>V68*Input!$C$31</f>
        <v>1.3361175949440003</v>
      </c>
      <c r="Q125" s="1">
        <f>Z68*Input!$C$31</f>
        <v>0.19500366929087651</v>
      </c>
      <c r="R125" s="1">
        <f>AA68*Input!$C$31</f>
        <v>0</v>
      </c>
      <c r="S125" s="1">
        <f>$AC$68*Input!$C$31</f>
        <v>0.12304451714773054</v>
      </c>
      <c r="T125" s="1">
        <f>$AB$68*Input!$C$31</f>
        <v>0.36665552605439999</v>
      </c>
      <c r="U125" s="1">
        <f>AE68*Input!$C$31</f>
        <v>-2.0036014847999999</v>
      </c>
      <c r="V125" s="1">
        <f>AF68*Input!$C$31</f>
        <v>-3.7611969637325124</v>
      </c>
      <c r="W125" s="1">
        <f>AG68*Input!$C$31</f>
        <v>-0.13929120325263783</v>
      </c>
      <c r="X125" s="1">
        <f>AH68*Input!$C$31</f>
        <v>-0.18527164565349227</v>
      </c>
      <c r="Y125" s="1">
        <f>AI68*Input!$C$31</f>
        <v>-1.2236028215487435E-2</v>
      </c>
      <c r="Z125" s="1">
        <f>AJ68*Input!$C$31</f>
        <v>-2.2432718395060301E-2</v>
      </c>
      <c r="AA125" s="1">
        <f>AK68*Input!$C$31</f>
        <v>-1.0199738466613475</v>
      </c>
      <c r="AB125" s="1">
        <f>AL68*Input!$C$31</f>
        <v>-0.54621789219153249</v>
      </c>
    </row>
    <row r="126" spans="1:28" x14ac:dyDescent="0.25">
      <c r="A126" s="148" t="s">
        <v>62</v>
      </c>
      <c r="B126" s="338">
        <f>+SUM(C118:J118)-SUM(C125:R125)</f>
        <v>0</v>
      </c>
    </row>
    <row r="127" spans="1:28" x14ac:dyDescent="0.25">
      <c r="A127" s="24"/>
      <c r="B127" s="24"/>
      <c r="C127" s="24"/>
      <c r="D127" s="24"/>
    </row>
    <row r="128" spans="1:28" ht="15" customHeight="1" x14ac:dyDescent="0.35">
      <c r="A128" s="76"/>
    </row>
    <row r="129" spans="1:40" ht="21" x14ac:dyDescent="0.35">
      <c r="A129" s="76" t="s">
        <v>293</v>
      </c>
      <c r="F129" s="37"/>
      <c r="G129" s="37"/>
      <c r="H129" s="37"/>
      <c r="I129" s="37"/>
      <c r="J129" s="37"/>
      <c r="K129" s="37"/>
      <c r="L129" s="37"/>
      <c r="M129" s="37"/>
      <c r="N129" s="37"/>
      <c r="O129" s="37"/>
      <c r="P129" s="37"/>
      <c r="Q129" s="37"/>
      <c r="R129" s="16"/>
      <c r="S129" s="16"/>
    </row>
    <row r="131" spans="1:40" ht="30" x14ac:dyDescent="0.25">
      <c r="A131" s="377" t="s">
        <v>230</v>
      </c>
      <c r="B131" s="377" t="s">
        <v>282</v>
      </c>
      <c r="C131" s="370" t="s">
        <v>243</v>
      </c>
      <c r="D131" s="379"/>
      <c r="E131" s="371"/>
      <c r="F131" s="370" t="s">
        <v>63</v>
      </c>
      <c r="G131" s="379"/>
      <c r="H131" s="371"/>
      <c r="I131" s="370" t="s">
        <v>233</v>
      </c>
      <c r="J131" s="379"/>
      <c r="K131" s="371"/>
      <c r="L131" s="370" t="s">
        <v>234</v>
      </c>
      <c r="M131" s="379"/>
      <c r="N131" s="371"/>
      <c r="O131" s="370" t="s">
        <v>235</v>
      </c>
      <c r="P131" s="379"/>
      <c r="Q131" s="371"/>
      <c r="R131" s="370" t="s">
        <v>244</v>
      </c>
      <c r="S131" s="379"/>
      <c r="T131" s="371"/>
      <c r="U131" s="104" t="s">
        <v>149</v>
      </c>
      <c r="V131" s="103" t="s">
        <v>246</v>
      </c>
      <c r="W131" s="104" t="s">
        <v>247</v>
      </c>
      <c r="X131" s="104" t="s">
        <v>248</v>
      </c>
      <c r="Y131" s="103" t="s">
        <v>249</v>
      </c>
      <c r="Z131" s="382" t="s">
        <v>250</v>
      </c>
      <c r="AA131" s="321" t="s">
        <v>281</v>
      </c>
      <c r="AB131" s="320" t="s">
        <v>252</v>
      </c>
      <c r="AC131" s="322"/>
      <c r="AD131" s="382" t="s">
        <v>253</v>
      </c>
      <c r="AE131" s="373" t="s">
        <v>254</v>
      </c>
      <c r="AF131" s="375"/>
      <c r="AG131" s="375"/>
      <c r="AH131" s="375"/>
      <c r="AI131" s="375"/>
      <c r="AJ131" s="375"/>
      <c r="AK131" s="375"/>
      <c r="AL131" s="374"/>
      <c r="AM131" s="382" t="s">
        <v>255</v>
      </c>
      <c r="AN131" s="382" t="s">
        <v>256</v>
      </c>
    </row>
    <row r="132" spans="1:40" ht="45" x14ac:dyDescent="0.25">
      <c r="A132" s="378"/>
      <c r="B132" s="378"/>
      <c r="C132" s="104" t="s">
        <v>257</v>
      </c>
      <c r="D132" s="104" t="s">
        <v>258</v>
      </c>
      <c r="E132" s="104" t="s">
        <v>220</v>
      </c>
      <c r="F132" s="104" t="s">
        <v>257</v>
      </c>
      <c r="G132" s="104" t="s">
        <v>258</v>
      </c>
      <c r="H132" s="104" t="s">
        <v>220</v>
      </c>
      <c r="I132" s="104" t="s">
        <v>257</v>
      </c>
      <c r="J132" s="104" t="s">
        <v>258</v>
      </c>
      <c r="K132" s="104" t="s">
        <v>220</v>
      </c>
      <c r="L132" s="104" t="s">
        <v>259</v>
      </c>
      <c r="M132" s="104" t="s">
        <v>260</v>
      </c>
      <c r="N132" s="104" t="s">
        <v>220</v>
      </c>
      <c r="O132" s="104" t="s">
        <v>294</v>
      </c>
      <c r="P132" s="104" t="s">
        <v>260</v>
      </c>
      <c r="Q132" s="104" t="s">
        <v>220</v>
      </c>
      <c r="R132" s="104" t="s">
        <v>257</v>
      </c>
      <c r="S132" s="104" t="s">
        <v>258</v>
      </c>
      <c r="T132" s="104" t="s">
        <v>220</v>
      </c>
      <c r="U132" s="104" t="s">
        <v>261</v>
      </c>
      <c r="V132" s="104" t="s">
        <v>262</v>
      </c>
      <c r="W132" s="104" t="s">
        <v>263</v>
      </c>
      <c r="X132" s="104" t="s">
        <v>263</v>
      </c>
      <c r="Y132" s="104" t="s">
        <v>263</v>
      </c>
      <c r="Z132" s="383"/>
      <c r="AA132" s="103" t="s">
        <v>295</v>
      </c>
      <c r="AB132" s="104" t="str">
        <f>'D- Benefits &amp; Burdens'!B186</f>
        <v>Transport</v>
      </c>
      <c r="AC132" s="104" t="str">
        <f>'D- Benefits &amp; Burdens'!C186</f>
        <v>Waste processing</v>
      </c>
      <c r="AD132" s="383"/>
      <c r="AE132" s="103" t="s">
        <v>266</v>
      </c>
      <c r="AF132" s="103" t="s">
        <v>267</v>
      </c>
      <c r="AG132" s="103" t="s">
        <v>268</v>
      </c>
      <c r="AH132" s="103" t="s">
        <v>269</v>
      </c>
      <c r="AI132" s="103" t="s">
        <v>270</v>
      </c>
      <c r="AJ132" s="103" t="s">
        <v>271</v>
      </c>
      <c r="AK132" s="103" t="s">
        <v>272</v>
      </c>
      <c r="AL132" s="103" t="s">
        <v>273</v>
      </c>
      <c r="AM132" s="383"/>
      <c r="AN132" s="383"/>
    </row>
    <row r="133" spans="1:40" x14ac:dyDescent="0.25">
      <c r="A133" s="39" t="s">
        <v>177</v>
      </c>
      <c r="B133" s="39" t="s">
        <v>178</v>
      </c>
      <c r="C133" s="1">
        <f>C67*Input!$C$31</f>
        <v>4.6058870980983857E-3</v>
      </c>
      <c r="D133" s="1">
        <f>D67*Input!$C$31</f>
        <v>2.5792097667564256E-3</v>
      </c>
      <c r="E133" s="62">
        <f>E67*Input!$C$31</f>
        <v>7.1850968648548104E-3</v>
      </c>
      <c r="F133" s="1">
        <f>F67*Input!$C$31</f>
        <v>6.1635840000000015E-3</v>
      </c>
      <c r="G133" s="1">
        <f>G67*Input!$C$31</f>
        <v>1.81802496E-5</v>
      </c>
      <c r="H133" s="62">
        <f>H67*Input!$C$31</f>
        <v>6.1817642496000014E-3</v>
      </c>
      <c r="I133" s="1">
        <f>I67*Input!$C$31</f>
        <v>3.3146293335804848E-3</v>
      </c>
      <c r="J133" s="1">
        <f>J67*Input!$C$31</f>
        <v>5.1757032960000004E-5</v>
      </c>
      <c r="K133" s="62">
        <f>K67*Input!$C$31</f>
        <v>3.3663863665404849E-3</v>
      </c>
      <c r="L133" s="1">
        <f>L67*Input!$C$31</f>
        <v>5.5953995409571573E-5</v>
      </c>
      <c r="M133" s="1">
        <f>M67*Input!$C$31</f>
        <v>1.3121794431000521E-4</v>
      </c>
      <c r="N133" s="62">
        <f>N67*Input!$C$31</f>
        <v>1.8717193971957681E-4</v>
      </c>
      <c r="O133" s="1">
        <f>O67*Input!$C$31</f>
        <v>1.4326041936996268E-2</v>
      </c>
      <c r="P133" s="1">
        <f>P67*Input!$C$31</f>
        <v>5.7545314560000001E-4</v>
      </c>
      <c r="Q133" s="62">
        <f>Q67*Input!$C$31</f>
        <v>1.4901495082596267E-2</v>
      </c>
      <c r="R133" s="1">
        <f>R67*Input!$C$31</f>
        <v>3.2574983523876964E-2</v>
      </c>
      <c r="S133" s="1">
        <f>S67*Input!$C$31</f>
        <v>7.998538725837836E-5</v>
      </c>
      <c r="T133" s="62">
        <f>T67*Input!$C$31</f>
        <v>3.2654968911135347E-2</v>
      </c>
      <c r="U133" s="62">
        <f>U67*Input!$C$31</f>
        <v>5.0369143549338748E-3</v>
      </c>
      <c r="V133" s="62">
        <f>V67*Input!$C$31</f>
        <v>3.6552366720000004E-3</v>
      </c>
      <c r="W133" s="1">
        <f>W67*Input!$C$31</f>
        <v>2.0018375805450338E-4</v>
      </c>
      <c r="X133" s="1">
        <f>X67*Input!$C$31</f>
        <v>0</v>
      </c>
      <c r="Y133" s="1">
        <f>Y67*Input!$C$31</f>
        <v>4.912593663884602E-5</v>
      </c>
      <c r="Z133" s="250">
        <f>Z67*Input!$C$31</f>
        <v>2.4930969469334942E-4</v>
      </c>
      <c r="AA133" s="250">
        <f>AA67*Input!$C$31</f>
        <v>0</v>
      </c>
      <c r="AB133" s="89">
        <f>AB67*Input!$C$31</f>
        <v>1.0030649472E-3</v>
      </c>
      <c r="AC133" s="89">
        <f>AC67*Input!$C$31</f>
        <v>1.5731083992082871E-4</v>
      </c>
      <c r="AD133" s="250">
        <f>AD67*Input!$C$31</f>
        <v>1.1603757871208288E-3</v>
      </c>
      <c r="AE133" s="89">
        <f>AE67*Input!$C$31</f>
        <v>-6.5022538751999997E-3</v>
      </c>
      <c r="AF133" s="89">
        <f>AF67*Input!$C$31</f>
        <v>-1.0791996125882209E-2</v>
      </c>
      <c r="AG133" s="89">
        <f>AG67*Input!$C$31</f>
        <v>-2.6803933551482963E-3</v>
      </c>
      <c r="AH133" s="89">
        <f>AH67*Input!$C$31</f>
        <v>-1.6334173687674266E-3</v>
      </c>
      <c r="AI133" s="89">
        <f>AI67*Input!$C$31</f>
        <v>-3.3474283417958398E-5</v>
      </c>
      <c r="AJ133" s="89">
        <f>AJ67*Input!$C$31</f>
        <v>-6.1369519599590393E-5</v>
      </c>
      <c r="AK133" s="89">
        <f>AK67*Input!$C$31</f>
        <v>-2.7903575425587612E-3</v>
      </c>
      <c r="AL133" s="89">
        <f>AL67*Input!$C$31</f>
        <v>-1.4942963688197761E-3</v>
      </c>
      <c r="AM133" s="250">
        <f>AM67*Input!$C$31</f>
        <v>-2.5987558439394022E-2</v>
      </c>
      <c r="AN133" s="250">
        <f>AN67*Input!$C$31</f>
        <v>-2.4827182652273194E-2</v>
      </c>
    </row>
    <row r="134" spans="1:40" x14ac:dyDescent="0.25">
      <c r="A134" s="39" t="s">
        <v>179</v>
      </c>
      <c r="B134" s="39" t="s">
        <v>180</v>
      </c>
      <c r="C134" s="1">
        <f>C68*Input!$C$31</f>
        <v>0.27190406770606551</v>
      </c>
      <c r="D134" s="1">
        <f>D68*Input!$C$31</f>
        <v>0.26697318392041247</v>
      </c>
      <c r="E134" s="62">
        <f>E68*Input!$C$31</f>
        <v>0.53887725162647804</v>
      </c>
      <c r="F134" s="1">
        <f>F68*Input!$C$31</f>
        <v>0.70656000000000008</v>
      </c>
      <c r="G134" s="1">
        <f>G68*Input!$C$31</f>
        <v>1.21916051712E-2</v>
      </c>
      <c r="H134" s="62">
        <f>H68*Input!$C$31</f>
        <v>0.71875160517120007</v>
      </c>
      <c r="I134" s="1">
        <f>I68*Input!$C$31</f>
        <v>1.0844303664323782</v>
      </c>
      <c r="J134" s="1">
        <f>J68*Input!$C$31</f>
        <v>2.0563444463231998E-2</v>
      </c>
      <c r="K134" s="62">
        <f>K68*Input!$C$31</f>
        <v>1.1049938108956103</v>
      </c>
      <c r="L134" s="1">
        <f>L68*Input!$C$31</f>
        <v>4.3765784679059998E-2</v>
      </c>
      <c r="M134" s="1">
        <f>M68*Input!$C$31</f>
        <v>3.6758750841510333E-2</v>
      </c>
      <c r="N134" s="62">
        <f>N68*Input!$C$31</f>
        <v>8.0524535520570331E-2</v>
      </c>
      <c r="O134" s="1">
        <f>O68*Input!$C$31</f>
        <v>3.0611670865047484</v>
      </c>
      <c r="P134" s="1">
        <f>P68*Input!$C$31</f>
        <v>9.8133534911999998E-2</v>
      </c>
      <c r="Q134" s="62">
        <f>Q68*Input!$C$31</f>
        <v>3.1593006214167487</v>
      </c>
      <c r="R134" s="1">
        <f>R68*Input!$C$31</f>
        <v>4.1107704237257963</v>
      </c>
      <c r="S134" s="1">
        <f>S68*Input!$C$31</f>
        <v>3.1885543102005323E-2</v>
      </c>
      <c r="T134" s="62">
        <f>T68*Input!$C$31</f>
        <v>4.1426559668278022</v>
      </c>
      <c r="U134" s="62">
        <f>U68*Input!$C$31</f>
        <v>3.6015480843019088</v>
      </c>
      <c r="V134" s="62">
        <f>V68*Input!$C$31</f>
        <v>1.3361175949440003</v>
      </c>
      <c r="W134" s="1">
        <f>W68*Input!$C$31</f>
        <v>0.15657861761485103</v>
      </c>
      <c r="X134" s="1">
        <f>X68*Input!$C$31</f>
        <v>0</v>
      </c>
      <c r="Y134" s="1">
        <f>Y68*Input!$C$31</f>
        <v>3.842505167602546E-2</v>
      </c>
      <c r="Z134" s="250">
        <f>Z68*Input!$C$31</f>
        <v>0.19500366929087651</v>
      </c>
      <c r="AA134" s="250">
        <f>AA68*Input!$C$31</f>
        <v>0</v>
      </c>
      <c r="AB134" s="89">
        <f>AB68*Input!$C$31</f>
        <v>0.36665552605439999</v>
      </c>
      <c r="AC134" s="1">
        <f>AC68*Input!$C$31</f>
        <v>0.12304451714773054</v>
      </c>
      <c r="AD134" s="62">
        <f>AD68*Input!$C$31</f>
        <v>0.48970004320213056</v>
      </c>
      <c r="AE134" s="1">
        <f>AE68*Input!$C$31</f>
        <v>-2.0036014847999999</v>
      </c>
      <c r="AF134" s="1">
        <f>AF68*Input!$C$31</f>
        <v>-3.7611969637325124</v>
      </c>
      <c r="AG134" s="1">
        <f>AG68*Input!$C$31</f>
        <v>-0.13929120325263783</v>
      </c>
      <c r="AH134" s="1">
        <f>AH68*Input!$C$31</f>
        <v>-0.18527164565349227</v>
      </c>
      <c r="AI134" s="1">
        <f>AI68*Input!$C$31</f>
        <v>-1.2236028215487435E-2</v>
      </c>
      <c r="AJ134" s="1">
        <f>AJ68*Input!$C$31</f>
        <v>-2.2432718395060301E-2</v>
      </c>
      <c r="AK134" s="1">
        <f>AK68*Input!$C$31</f>
        <v>-1.0199738466613475</v>
      </c>
      <c r="AL134" s="1">
        <f>AL68*Input!$C$31</f>
        <v>-0.54621789219153249</v>
      </c>
      <c r="AM134" s="62">
        <f>AM68*Input!$C$31</f>
        <v>-7.6902217829020705</v>
      </c>
      <c r="AN134" s="62">
        <f>AN68*Input!$C$31</f>
        <v>-7.2005217396999397</v>
      </c>
    </row>
    <row r="135" spans="1:40" x14ac:dyDescent="0.25">
      <c r="A135" s="39" t="s">
        <v>181</v>
      </c>
      <c r="B135" s="39" t="s">
        <v>180</v>
      </c>
      <c r="C135" s="1">
        <f>C69*Input!$C$31</f>
        <v>6.3847925270455158E-4</v>
      </c>
      <c r="D135" s="1">
        <f>D69*Input!$C$31</f>
        <v>9.9894834281702563E-5</v>
      </c>
      <c r="E135" s="62">
        <f>E69*Input!$C$31</f>
        <v>7.3837408698625411E-4</v>
      </c>
      <c r="F135" s="1">
        <f>F69*Input!$C$31</f>
        <v>-1.1447424000000002</v>
      </c>
      <c r="G135" s="1">
        <f>G69*Input!$C$31</f>
        <v>5.6978150400000002E-6</v>
      </c>
      <c r="H135" s="62">
        <f>H69*Input!$C$31</f>
        <v>-1.1447367021849602</v>
      </c>
      <c r="I135" s="1">
        <f>I69*Input!$C$31</f>
        <v>1.6468580726888518E-2</v>
      </c>
      <c r="J135" s="1">
        <f>J69*Input!$C$31</f>
        <v>1.5202547673599998E-5</v>
      </c>
      <c r="K135" s="62">
        <f>K69*Input!$C$31</f>
        <v>1.6483783274562118E-2</v>
      </c>
      <c r="L135" s="1">
        <f>L69*Input!$C$31</f>
        <v>9.0452775813713277E-6</v>
      </c>
      <c r="M135" s="1">
        <f>M69*Input!$C$31</f>
        <v>7.6845813596123334E-4</v>
      </c>
      <c r="N135" s="62">
        <f>N69*Input!$C$31</f>
        <v>7.775034135426047E-4</v>
      </c>
      <c r="O135" s="1">
        <f>O69*Input!$C$31</f>
        <v>0.35569653777470978</v>
      </c>
      <c r="P135" s="1">
        <f>P69*Input!$C$31</f>
        <v>4.2272663807999997E-4</v>
      </c>
      <c r="Q135" s="62">
        <f>Q69*Input!$C$31</f>
        <v>0.35611926441278979</v>
      </c>
      <c r="R135" s="1">
        <f>R69*Input!$C$31</f>
        <v>0.25618129495613118</v>
      </c>
      <c r="S135" s="1">
        <f>S69*Input!$C$31</f>
        <v>1.4047026630664196E-5</v>
      </c>
      <c r="T135" s="62">
        <f>T69*Input!$C$31</f>
        <v>0.25619534198276184</v>
      </c>
      <c r="U135" s="62">
        <f>U69*Input!$C$31</f>
        <v>1.1901211746990527E-2</v>
      </c>
      <c r="V135" s="62">
        <f>V69*Input!$C$31</f>
        <v>6.1753889280000021E-4</v>
      </c>
      <c r="W135" s="1">
        <f>W69*Input!$C$31</f>
        <v>3.2360828670606738E-5</v>
      </c>
      <c r="X135" s="1">
        <f>X69*Input!$C$31</f>
        <v>0</v>
      </c>
      <c r="Y135" s="1">
        <f>Y69*Input!$C$31</f>
        <v>7.9414835364412547E-6</v>
      </c>
      <c r="Z135" s="250">
        <f>Z69*Input!$C$31</f>
        <v>4.030231220704799E-5</v>
      </c>
      <c r="AA135" s="250">
        <f>AA69*Input!$C$31</f>
        <v>0</v>
      </c>
      <c r="AB135" s="89">
        <f>AB69*Input!$C$31</f>
        <v>1.6946416127999999E-4</v>
      </c>
      <c r="AC135" s="1">
        <f>AC69*Input!$C$31</f>
        <v>2.5430180690888764E-5</v>
      </c>
      <c r="AD135" s="62">
        <f>AD69*Input!$C$31</f>
        <v>1.9489434197088873E-4</v>
      </c>
      <c r="AE135" s="1">
        <f>AE69*Input!$C$31</f>
        <v>-7.9387983360000008E-3</v>
      </c>
      <c r="AF135" s="1">
        <f>AF69*Input!$C$31</f>
        <v>-5.7056300500808947E-2</v>
      </c>
      <c r="AG135" s="1">
        <f>AG69*Input!$C$31</f>
        <v>-4.2934493087071961E-4</v>
      </c>
      <c r="AH135" s="1">
        <f>AH69*Input!$C$31</f>
        <v>4.4573035224632274E-5</v>
      </c>
      <c r="AI135" s="1">
        <f>AI69*Input!$C$31</f>
        <v>-5.6553579902361591E-6</v>
      </c>
      <c r="AJ135" s="1">
        <f>AJ69*Input!$C$31</f>
        <v>-1.036815631543296E-5</v>
      </c>
      <c r="AK135" s="1">
        <f>AK69*Input!$C$31</f>
        <v>-4.7142072100218472E-4</v>
      </c>
      <c r="AL135" s="1">
        <f>AL69*Input!$C$31</f>
        <v>-2.5245591679050241E-4</v>
      </c>
      <c r="AM135" s="62">
        <f>AM69*Input!$C$31</f>
        <v>-6.6119770884553383E-2</v>
      </c>
      <c r="AN135" s="62">
        <f>AN69*Input!$C$31</f>
        <v>-6.5924876542582486E-2</v>
      </c>
    </row>
    <row r="136" spans="1:40" x14ac:dyDescent="0.25">
      <c r="A136" s="39" t="s">
        <v>182</v>
      </c>
      <c r="B136" s="39" t="s">
        <v>180</v>
      </c>
      <c r="C136" s="1">
        <f>C70*Input!$C$31</f>
        <v>0.27118768705913726</v>
      </c>
      <c r="D136" s="1">
        <f>D70*Input!$C$31</f>
        <v>0.26679297542326824</v>
      </c>
      <c r="E136" s="62">
        <f>E70*Input!$C$31</f>
        <v>0.5379806624824055</v>
      </c>
      <c r="F136" s="1">
        <f>F70*Input!$C$31</f>
        <v>1.8512640000000002</v>
      </c>
      <c r="G136" s="1">
        <f>G70*Input!$C$31</f>
        <v>1.21849376256E-2</v>
      </c>
      <c r="H136" s="62">
        <f>H70*Input!$C$31</f>
        <v>1.8634489376256005</v>
      </c>
      <c r="I136" s="1">
        <f>I70*Input!$C$31</f>
        <v>1.0674333963168758</v>
      </c>
      <c r="J136" s="1">
        <f>J70*Input!$C$31</f>
        <v>2.0546547912960001E-2</v>
      </c>
      <c r="K136" s="62">
        <f>K70*Input!$C$31</f>
        <v>1.0879799442298359</v>
      </c>
      <c r="L136" s="1">
        <f>L70*Input!$C$31</f>
        <v>4.3754803964141435E-2</v>
      </c>
      <c r="M136" s="1">
        <f>M70*Input!$C$31</f>
        <v>3.5899899239160267E-2</v>
      </c>
      <c r="N136" s="62">
        <f>N70*Input!$C$31</f>
        <v>7.9654703203301716E-2</v>
      </c>
      <c r="O136" s="1">
        <f>O70*Input!$C$31</f>
        <v>2.7008238561599005</v>
      </c>
      <c r="P136" s="1">
        <f>P70*Input!$C$31</f>
        <v>9.7698396480000005E-2</v>
      </c>
      <c r="Q136" s="62">
        <f>Q70*Input!$C$31</f>
        <v>2.7985222526399007</v>
      </c>
      <c r="R136" s="1">
        <f>R70*Input!$C$31</f>
        <v>3.8529457896374262</v>
      </c>
      <c r="S136" s="1">
        <f>S70*Input!$C$31</f>
        <v>3.1865182829170627E-2</v>
      </c>
      <c r="T136" s="62">
        <f>T70*Input!$C$31</f>
        <v>3.8848109724665973</v>
      </c>
      <c r="U136" s="62">
        <f>U70*Input!$C$31</f>
        <v>3.5877341481305929</v>
      </c>
      <c r="V136" s="62">
        <f>V70*Input!$C$31</f>
        <v>1.3353949968000005</v>
      </c>
      <c r="W136" s="1">
        <f>W70*Input!$C$31</f>
        <v>0.15653933247064583</v>
      </c>
      <c r="X136" s="1">
        <f>X70*Input!$C$31</f>
        <v>0</v>
      </c>
      <c r="Y136" s="1">
        <f>Y70*Input!$C$31</f>
        <v>3.8415410936317958E-2</v>
      </c>
      <c r="Z136" s="250">
        <f>Z70*Input!$C$31</f>
        <v>0.19495474340696378</v>
      </c>
      <c r="AA136" s="250">
        <f>AA70*Input!$C$31</f>
        <v>0</v>
      </c>
      <c r="AB136" s="89">
        <f>AB70*Input!$C$31</f>
        <v>0.36645723168</v>
      </c>
      <c r="AC136" s="1">
        <f>AC70*Input!$C$31</f>
        <v>0.12301364561703598</v>
      </c>
      <c r="AD136" s="62">
        <f>AD70*Input!$C$31</f>
        <v>0.48947087729703603</v>
      </c>
      <c r="AE136" s="1">
        <f>AE70*Input!$C$31</f>
        <v>-1.99604072448</v>
      </c>
      <c r="AF136" s="1">
        <f>AF70*Input!$C$31</f>
        <v>-3.7024924232667584</v>
      </c>
      <c r="AG136" s="1">
        <f>AG70*Input!$C$31</f>
        <v>-0.13881606932773158</v>
      </c>
      <c r="AH136" s="1">
        <f>AH70*Input!$C$31</f>
        <v>-0.18529072277262759</v>
      </c>
      <c r="AI136" s="1">
        <f>AI70*Input!$C$31</f>
        <v>-1.222941073562496E-2</v>
      </c>
      <c r="AJ136" s="1">
        <f>AJ70*Input!$C$31</f>
        <v>-2.2420586348645757E-2</v>
      </c>
      <c r="AK136" s="1">
        <f>AK70*Input!$C$31</f>
        <v>-1.0194222251489036</v>
      </c>
      <c r="AL136" s="1">
        <f>AL70*Input!$C$31</f>
        <v>-0.54592248702913448</v>
      </c>
      <c r="AM136" s="62">
        <f>AM70*Input!$C$31</f>
        <v>-7.6226346491094263</v>
      </c>
      <c r="AN136" s="62">
        <f>AN70*Input!$C$31</f>
        <v>-7.1331637718123906</v>
      </c>
    </row>
    <row r="137" spans="1:40" x14ac:dyDescent="0.25">
      <c r="A137" s="39" t="s">
        <v>183</v>
      </c>
      <c r="B137" s="39" t="s">
        <v>180</v>
      </c>
      <c r="C137" s="1">
        <f>C71*Input!$C$31</f>
        <v>7.7901394223711304E-5</v>
      </c>
      <c r="D137" s="1">
        <f>D71*Input!$C$31</f>
        <v>8.0313379470480254E-5</v>
      </c>
      <c r="E137" s="62">
        <f>E71*Input!$C$31</f>
        <v>1.5821477369419156E-4</v>
      </c>
      <c r="F137" s="1">
        <f>F71*Input!$C$31</f>
        <v>1.0080000000000002E-3</v>
      </c>
      <c r="G137" s="1">
        <f>G71*Input!$C$31</f>
        <v>9.6971520000000009E-7</v>
      </c>
      <c r="H137" s="62">
        <f>H71*Input!$C$31</f>
        <v>1.0089697152000001E-3</v>
      </c>
      <c r="I137" s="1">
        <f>I71*Input!$C$31</f>
        <v>5.2838938861402029E-4</v>
      </c>
      <c r="J137" s="1">
        <f>J71*Input!$C$31</f>
        <v>1.6939696512000003E-6</v>
      </c>
      <c r="K137" s="62">
        <f>K71*Input!$C$31</f>
        <v>5.3008335826522032E-4</v>
      </c>
      <c r="L137" s="1">
        <f>L71*Input!$C$31</f>
        <v>1.9354373371932158E-6</v>
      </c>
      <c r="M137" s="1">
        <f>M71*Input!$C$31</f>
        <v>9.0393466388897242E-5</v>
      </c>
      <c r="N137" s="62">
        <f>N71*Input!$C$31</f>
        <v>9.2328903726090464E-5</v>
      </c>
      <c r="O137" s="1">
        <f>O71*Input!$C$31</f>
        <v>4.6466925701380097E-3</v>
      </c>
      <c r="P137" s="1">
        <f>P71*Input!$C$31</f>
        <v>1.2411667200000005E-5</v>
      </c>
      <c r="Q137" s="62">
        <f>Q71*Input!$C$31</f>
        <v>4.6591042373380093E-3</v>
      </c>
      <c r="R137" s="1">
        <f>R71*Input!$C$31</f>
        <v>1.6433391322389554E-3</v>
      </c>
      <c r="S137" s="1">
        <f>S71*Input!$C$31</f>
        <v>6.3132116440388579E-6</v>
      </c>
      <c r="T137" s="62">
        <f>T71*Input!$C$31</f>
        <v>1.6496523438829943E-3</v>
      </c>
      <c r="U137" s="62">
        <f>U71*Input!$C$31</f>
        <v>1.912724424325734E-3</v>
      </c>
      <c r="V137" s="62">
        <f>V71*Input!$C$31</f>
        <v>1.0505677440000004E-4</v>
      </c>
      <c r="W137" s="1">
        <f>W71*Input!$C$31</f>
        <v>6.9243155346161823E-6</v>
      </c>
      <c r="X137" s="1">
        <f>X71*Input!$C$31</f>
        <v>0</v>
      </c>
      <c r="Y137" s="1">
        <f>Y71*Input!$C$31</f>
        <v>1.6992561710641705E-6</v>
      </c>
      <c r="Z137" s="250">
        <f>Z71*Input!$C$31</f>
        <v>8.6235717056803522E-6</v>
      </c>
      <c r="AA137" s="250">
        <f>AA71*Input!$C$31</f>
        <v>0</v>
      </c>
      <c r="AB137" s="89">
        <f>AB71*Input!$C$31</f>
        <v>2.8829533440000002E-5</v>
      </c>
      <c r="AC137" s="1">
        <f>AC71*Input!$C$31</f>
        <v>5.4413500036838242E-6</v>
      </c>
      <c r="AD137" s="62">
        <f>AD71*Input!$C$31</f>
        <v>3.4270883443683824E-5</v>
      </c>
      <c r="AE137" s="1">
        <f>AE71*Input!$C$31</f>
        <v>-1.0018007424000002E-3</v>
      </c>
      <c r="AF137" s="1">
        <f>AF71*Input!$C$31</f>
        <v>-1.6482399649454327E-3</v>
      </c>
      <c r="AG137" s="1">
        <f>AG71*Input!$C$31</f>
        <v>-4.5788994035532173E-5</v>
      </c>
      <c r="AH137" s="1">
        <f>AH71*Input!$C$31</f>
        <v>-2.549591608937284E-5</v>
      </c>
      <c r="AI137" s="1">
        <f>AI71*Input!$C$31</f>
        <v>-9.6209918995968006E-7</v>
      </c>
      <c r="AJ137" s="1">
        <f>AJ71*Input!$C$31</f>
        <v>-1.7638485149260799E-6</v>
      </c>
      <c r="AK137" s="1">
        <f>AK71*Input!$C$31</f>
        <v>-8.0198900686651408E-5</v>
      </c>
      <c r="AL137" s="1">
        <f>AL71*Input!$C$31</f>
        <v>-4.2948233067475207E-5</v>
      </c>
      <c r="AM137" s="62">
        <f>AM71*Input!$C$31</f>
        <v>-2.8471986989293502E-3</v>
      </c>
      <c r="AN137" s="62">
        <f>AN71*Input!$C$31</f>
        <v>-2.8129278154856666E-3</v>
      </c>
    </row>
    <row r="138" spans="1:40" x14ac:dyDescent="0.25">
      <c r="A138" s="39" t="s">
        <v>184</v>
      </c>
      <c r="B138" s="39" t="s">
        <v>185</v>
      </c>
      <c r="C138" s="1">
        <f>C72*Input!$C$31</f>
        <v>2.1444217750070842</v>
      </c>
      <c r="D138" s="1">
        <f>D72*Input!$C$31</f>
        <v>0.33159622695382429</v>
      </c>
      <c r="E138" s="62">
        <f>E72*Input!$C$31</f>
        <v>2.4760180019609086</v>
      </c>
      <c r="F138" s="1">
        <f>F72*Input!$C$31</f>
        <v>100.65408000000002</v>
      </c>
      <c r="G138" s="1">
        <f>G72*Input!$C$31</f>
        <v>1.0471215283199999E-2</v>
      </c>
      <c r="H138" s="62">
        <f>H72*Input!$C$31</f>
        <v>100.66455121528324</v>
      </c>
      <c r="I138" s="1">
        <f>I72*Input!$C$31</f>
        <v>2.9702484772250783</v>
      </c>
      <c r="J138" s="1">
        <f>J72*Input!$C$31</f>
        <v>2.3379128835456002E-2</v>
      </c>
      <c r="K138" s="62">
        <f>K72*Input!$C$31</f>
        <v>2.9936276060605342</v>
      </c>
      <c r="L138" s="1">
        <f>L72*Input!$C$31</f>
        <v>1.93370640350553E-2</v>
      </c>
      <c r="M138" s="1">
        <f>M72*Input!$C$31</f>
        <v>0.1317957425164327</v>
      </c>
      <c r="N138" s="62">
        <f>N72*Input!$C$31</f>
        <v>0.151132806551488</v>
      </c>
      <c r="O138" s="1">
        <f>O72*Input!$C$31</f>
        <v>22.813995073422557</v>
      </c>
      <c r="P138" s="1">
        <f>P72*Input!$C$31</f>
        <v>0.47254131770880003</v>
      </c>
      <c r="Q138" s="62">
        <f>Q72*Input!$C$31</f>
        <v>23.286536391131357</v>
      </c>
      <c r="R138" s="1">
        <f>R72*Input!$C$31</f>
        <v>11.037315587414884</v>
      </c>
      <c r="S138" s="1">
        <f>S72*Input!$C$31</f>
        <v>2.8070049634024537E-2</v>
      </c>
      <c r="T138" s="62">
        <f>T72*Input!$C$31</f>
        <v>11.065385637048909</v>
      </c>
      <c r="U138" s="62">
        <f>U72*Input!$C$31</f>
        <v>3.594621887854077</v>
      </c>
      <c r="V138" s="62">
        <f>V72*Input!$C$31</f>
        <v>1.1355040519680002</v>
      </c>
      <c r="W138" s="1">
        <f>W72*Input!$C$31</f>
        <v>6.9181228613672444E-2</v>
      </c>
      <c r="X138" s="1">
        <f>X72*Input!$C$31</f>
        <v>0</v>
      </c>
      <c r="Y138" s="1">
        <f>Y72*Input!$C$31</f>
        <v>1.6977364629889049E-2</v>
      </c>
      <c r="Z138" s="250">
        <f>Z72*Input!$C$31</f>
        <v>8.615859324356151E-2</v>
      </c>
      <c r="AA138" s="250">
        <f>AA72*Input!$C$31</f>
        <v>0</v>
      </c>
      <c r="AB138" s="89">
        <f>AB72*Input!$C$31</f>
        <v>0.31160343751680003</v>
      </c>
      <c r="AC138" s="1">
        <f>AC72*Input!$C$31</f>
        <v>5.4364836017358677E-2</v>
      </c>
      <c r="AD138" s="62">
        <f>AD72*Input!$C$31</f>
        <v>0.36596827353415873</v>
      </c>
      <c r="AE138" s="1">
        <f>AE72*Input!$C$31</f>
        <v>-107.74083456</v>
      </c>
      <c r="AF138" s="1">
        <f>AF72*Input!$C$31</f>
        <v>-10.243253558845387</v>
      </c>
      <c r="AG138" s="1">
        <f>AG72*Input!$C$31</f>
        <v>-1.3763579004055961</v>
      </c>
      <c r="AH138" s="1">
        <f>AH72*Input!$C$31</f>
        <v>-0.15822939978403971</v>
      </c>
      <c r="AI138" s="1">
        <f>AI72*Input!$C$31</f>
        <v>-1.039882991681065E-2</v>
      </c>
      <c r="AJ138" s="1">
        <f>AJ72*Input!$C$31</f>
        <v>-1.9064521514152857E-2</v>
      </c>
      <c r="AK138" s="1">
        <f>AK72*Input!$C$31</f>
        <v>-0.86682821943819255</v>
      </c>
      <c r="AL138" s="1">
        <f>AL72*Input!$C$31</f>
        <v>-0.46420512100725736</v>
      </c>
      <c r="AM138" s="62">
        <f>AM72*Input!$C$31</f>
        <v>-120.87917211091145</v>
      </c>
      <c r="AN138" s="62">
        <f>AN72*Input!$C$31</f>
        <v>-120.5132038373773</v>
      </c>
    </row>
    <row r="139" spans="1:40" ht="30" x14ac:dyDescent="0.25">
      <c r="A139" s="39" t="s">
        <v>186</v>
      </c>
      <c r="B139" s="39" t="s">
        <v>187</v>
      </c>
      <c r="C139" s="1">
        <f>C73*Input!$C$31</f>
        <v>3.7824343111257877</v>
      </c>
      <c r="D139" s="1">
        <f>D73*Input!$C$31</f>
        <v>3.4828708757367277</v>
      </c>
      <c r="E139" s="62">
        <f>E73*Input!$C$31</f>
        <v>7.2653051868625154</v>
      </c>
      <c r="F139" s="1">
        <f>F73*Input!$C$31</f>
        <v>158.52096000000003</v>
      </c>
      <c r="G139" s="1">
        <f>G73*Input!$C$31</f>
        <v>0.16408633036799999</v>
      </c>
      <c r="H139" s="62">
        <f>H73*Input!$C$31</f>
        <v>158.68504633036804</v>
      </c>
      <c r="I139" s="1">
        <f>I73*Input!$C$31</f>
        <v>6.2094585732115375</v>
      </c>
      <c r="J139" s="1">
        <f>J73*Input!$C$31</f>
        <v>0.27598164876076803</v>
      </c>
      <c r="K139" s="62">
        <f>K73*Input!$C$31</f>
        <v>6.4854402219723051</v>
      </c>
      <c r="L139" s="1">
        <f>L73*Input!$C$31</f>
        <v>0.58132661218780701</v>
      </c>
      <c r="M139" s="1">
        <f>M73*Input!$C$31</f>
        <v>1.767470530830709</v>
      </c>
      <c r="N139" s="62">
        <f>N73*Input!$C$31</f>
        <v>2.3487971430185159</v>
      </c>
      <c r="O139" s="1">
        <f>O73*Input!$C$31</f>
        <v>32.45455575291831</v>
      </c>
      <c r="P139" s="1">
        <f>P73*Input!$C$31</f>
        <v>1.2794051332991998</v>
      </c>
      <c r="Q139" s="62">
        <f>Q73*Input!$C$31</f>
        <v>33.73396088621751</v>
      </c>
      <c r="R139" s="1">
        <f>R73*Input!$C$31</f>
        <v>216.00858600823085</v>
      </c>
      <c r="S139" s="1">
        <f>S73*Input!$C$31</f>
        <v>0.4238316892325229</v>
      </c>
      <c r="T139" s="62">
        <f>T73*Input!$C$31</f>
        <v>216.43241769746334</v>
      </c>
      <c r="U139" s="62">
        <f>U73*Input!$C$31</f>
        <v>83.676397033745843</v>
      </c>
      <c r="V139" s="62">
        <f>V73*Input!$C$31</f>
        <v>17.964557420160002</v>
      </c>
      <c r="W139" s="1">
        <f>W73*Input!$C$31</f>
        <v>2.0797825969893347</v>
      </c>
      <c r="X139" s="1">
        <f>X73*Input!$C$31</f>
        <v>0</v>
      </c>
      <c r="Y139" s="1">
        <f>Y73*Input!$C$31</f>
        <v>0.51038740143171268</v>
      </c>
      <c r="Z139" s="250">
        <f>Z73*Input!$C$31</f>
        <v>2.5901699984210476</v>
      </c>
      <c r="AA139" s="250">
        <f>AA73*Input!$C$31</f>
        <v>0</v>
      </c>
      <c r="AB139" s="89">
        <f>AB73*Input!$C$31</f>
        <v>4.9298087804159998</v>
      </c>
      <c r="AC139" s="1">
        <f>AC73*Input!$C$31</f>
        <v>1.6343601017622842</v>
      </c>
      <c r="AD139" s="62">
        <f>AD73*Input!$C$31</f>
        <v>6.5641688821782846</v>
      </c>
      <c r="AE139" s="1">
        <f>AE73*Input!$C$31</f>
        <v>-173.14141132799998</v>
      </c>
      <c r="AF139" s="1">
        <f>AF73*Input!$C$31</f>
        <v>-19.847221949430391</v>
      </c>
      <c r="AG139" s="1">
        <f>AG73*Input!$C$31</f>
        <v>-1.973720804090018</v>
      </c>
      <c r="AH139" s="1">
        <f>AH73*Input!$C$31</f>
        <v>-2.408209219891102</v>
      </c>
      <c r="AI139" s="1">
        <f>AI73*Input!$C$31</f>
        <v>-0.16451757862004274</v>
      </c>
      <c r="AJ139" s="1">
        <f>AJ73*Input!$C$31</f>
        <v>-0.30161556080341173</v>
      </c>
      <c r="AK139" s="1">
        <f>AK73*Input!$C$31</f>
        <v>-13.713896744378422</v>
      </c>
      <c r="AL139" s="1">
        <f>AL73*Input!$C$31</f>
        <v>-7.3440861233511541</v>
      </c>
      <c r="AM139" s="62">
        <f>AM73*Input!$C$31</f>
        <v>-218.89467930856449</v>
      </c>
      <c r="AN139" s="62">
        <f>AN73*Input!$C$31</f>
        <v>-212.33051042638621</v>
      </c>
    </row>
    <row r="140" spans="1:40" ht="30" x14ac:dyDescent="0.25">
      <c r="A140" s="39" t="s">
        <v>188</v>
      </c>
      <c r="B140" s="39" t="s">
        <v>189</v>
      </c>
      <c r="C140" s="1">
        <f>C74*Input!$C$31</f>
        <v>1.836164563506526E-5</v>
      </c>
      <c r="D140" s="1">
        <f>D74*Input!$C$31</f>
        <v>1.4073220646017118E-5</v>
      </c>
      <c r="E140" s="62">
        <f>E74*Input!$C$31</f>
        <v>3.2434866281082378E-5</v>
      </c>
      <c r="F140" s="1">
        <f>F74*Input!$C$31</f>
        <v>3.30432E-6</v>
      </c>
      <c r="G140" s="1">
        <f>G74*Input!$C$31</f>
        <v>2.8436659199999997E-7</v>
      </c>
      <c r="H140" s="62">
        <f>H74*Input!$C$31</f>
        <v>3.5886865919999997E-6</v>
      </c>
      <c r="I140" s="1">
        <f>I74*Input!$C$31</f>
        <v>1.724939189533525E-4</v>
      </c>
      <c r="J140" s="1">
        <f>J74*Input!$C$31</f>
        <v>5.1492839040000009E-7</v>
      </c>
      <c r="K140" s="62">
        <f>K74*Input!$C$31</f>
        <v>1.730088473437525E-4</v>
      </c>
      <c r="L140" s="1">
        <f>L74*Input!$C$31</f>
        <v>4.6266349701401254E-7</v>
      </c>
      <c r="M140" s="1">
        <f>M74*Input!$C$31</f>
        <v>1.3484510248681535E-5</v>
      </c>
      <c r="N140" s="62">
        <f>N74*Input!$C$31</f>
        <v>1.3947173745695545E-5</v>
      </c>
      <c r="O140" s="1">
        <f>O74*Input!$C$31</f>
        <v>9.418154970161519E-4</v>
      </c>
      <c r="P140" s="1">
        <f>P74*Input!$C$31</f>
        <v>4.8928780800000012E-6</v>
      </c>
      <c r="Q140" s="62">
        <f>Q74*Input!$C$31</f>
        <v>9.4670837509615194E-4</v>
      </c>
      <c r="R140" s="1">
        <f>R74*Input!$C$31</f>
        <v>9.1032373698421453E-4</v>
      </c>
      <c r="S140" s="1">
        <f>S74*Input!$C$31</f>
        <v>1.041489980601967E-6</v>
      </c>
      <c r="T140" s="62">
        <f>T74*Input!$C$31</f>
        <v>9.1136522696481643E-4</v>
      </c>
      <c r="U140" s="62">
        <f>U74*Input!$C$31</f>
        <v>3.1087943810640111E-4</v>
      </c>
      <c r="V140" s="62">
        <f>V74*Input!$C$31</f>
        <v>3.0737088000000008E-5</v>
      </c>
      <c r="W140" s="1">
        <f>W74*Input!$C$31</f>
        <v>1.6552476167065667E-6</v>
      </c>
      <c r="X140" s="1">
        <f>X74*Input!$C$31</f>
        <v>0</v>
      </c>
      <c r="Y140" s="1">
        <f>Y74*Input!$C$31</f>
        <v>4.0620473074438E-7</v>
      </c>
      <c r="Z140" s="250">
        <f>Z74*Input!$C$31</f>
        <v>2.0614523474509469E-6</v>
      </c>
      <c r="AA140" s="250">
        <f>AA74*Input!$C$31</f>
        <v>0</v>
      </c>
      <c r="AB140" s="89">
        <f>AB74*Input!$C$31</f>
        <v>8.4348288000000004E-6</v>
      </c>
      <c r="AC140" s="1">
        <f>AC74*Input!$C$31</f>
        <v>1.300746850751822E-6</v>
      </c>
      <c r="AD140" s="62">
        <f>AD74*Input!$C$31</f>
        <v>9.7355756507518222E-6</v>
      </c>
      <c r="AE140" s="1">
        <f>AE74*Input!$C$31</f>
        <v>-1.6822691711999998E-6</v>
      </c>
      <c r="AF140" s="1">
        <f>AF74*Input!$C$31</f>
        <v>-5.3053513711579436E-4</v>
      </c>
      <c r="AG140" s="1">
        <f>AG74*Input!$C$31</f>
        <v>-1.0292243412920773E-5</v>
      </c>
      <c r="AH140" s="1">
        <f>AH74*Input!$C$31</f>
        <v>-8.3563363535497379E-6</v>
      </c>
      <c r="AI140" s="1">
        <f>AI74*Input!$C$31</f>
        <v>-2.814871067136E-7</v>
      </c>
      <c r="AJ140" s="1">
        <f>AJ74*Input!$C$31</f>
        <v>-5.1605969564160007E-7</v>
      </c>
      <c r="AK140" s="1">
        <f>AK74*Input!$C$31</f>
        <v>-2.3464271409315843E-5</v>
      </c>
      <c r="AL140" s="1">
        <f>AL74*Input!$C$31</f>
        <v>-1.2565621082304002E-5</v>
      </c>
      <c r="AM140" s="62">
        <f>AM74*Input!$C$31</f>
        <v>-5.8769342534743991E-4</v>
      </c>
      <c r="AN140" s="62">
        <f>AN74*Input!$C$31</f>
        <v>-5.7795784969668816E-4</v>
      </c>
    </row>
    <row r="141" spans="1:40" ht="30" x14ac:dyDescent="0.25">
      <c r="A141" s="39" t="s">
        <v>190</v>
      </c>
      <c r="B141" s="39" t="s">
        <v>191</v>
      </c>
      <c r="C141" s="1">
        <f>C75*Input!$C$31</f>
        <v>1.7072749714534276E-3</v>
      </c>
      <c r="D141" s="1">
        <f>D75*Input!$C$31</f>
        <v>7.9111973488519085E-4</v>
      </c>
      <c r="E141" s="62">
        <f>E75*Input!$C$31</f>
        <v>2.4983947063386184E-3</v>
      </c>
      <c r="F141" s="1">
        <f>F75*Input!$C$31</f>
        <v>1.5809280000000001E-3</v>
      </c>
      <c r="G141" s="1">
        <f>G75*Input!$C$31</f>
        <v>3.9626649600000001E-6</v>
      </c>
      <c r="H141" s="62">
        <f>H75*Input!$C$31</f>
        <v>1.5848906649600001E-3</v>
      </c>
      <c r="I141" s="1">
        <f>I75*Input!$C$31</f>
        <v>7.8078768010782348E-4</v>
      </c>
      <c r="J141" s="1">
        <f>J75*Input!$C$31</f>
        <v>1.9682786496000003E-5</v>
      </c>
      <c r="K141" s="62">
        <f>K75*Input!$C$31</f>
        <v>8.0047046660382346E-4</v>
      </c>
      <c r="L141" s="1">
        <f>L75*Input!$C$31</f>
        <v>1.2653021359965489E-5</v>
      </c>
      <c r="M141" s="1">
        <f>M75*Input!$C$31</f>
        <v>2.6947314895698138E-5</v>
      </c>
      <c r="N141" s="62">
        <f>N75*Input!$C$31</f>
        <v>3.9600336255663627E-5</v>
      </c>
      <c r="O141" s="1">
        <f>O75*Input!$C$31</f>
        <v>3.7148429784082328E-3</v>
      </c>
      <c r="P141" s="1">
        <f>P75*Input!$C$31</f>
        <v>3.8304664319999999E-4</v>
      </c>
      <c r="Q141" s="62">
        <f>Q75*Input!$C$31</f>
        <v>4.0978896216082332E-3</v>
      </c>
      <c r="R141" s="1">
        <f>R75*Input!$C$31</f>
        <v>6.0594490208685089E-3</v>
      </c>
      <c r="S141" s="1">
        <f>S75*Input!$C$31</f>
        <v>2.6633381300728111E-5</v>
      </c>
      <c r="T141" s="62">
        <f>T75*Input!$C$31</f>
        <v>6.0860824021692376E-3</v>
      </c>
      <c r="U141" s="62">
        <f>U75*Input!$C$31</f>
        <v>1.2038818025737941E-3</v>
      </c>
      <c r="V141" s="62">
        <f>V75*Input!$C$31</f>
        <v>1.3114986240000005E-3</v>
      </c>
      <c r="W141" s="1">
        <f>W75*Input!$C$31</f>
        <v>4.5268069742674866E-5</v>
      </c>
      <c r="X141" s="1">
        <f>X75*Input!$C$31</f>
        <v>0</v>
      </c>
      <c r="Y141" s="1">
        <f>Y75*Input!$C$31</f>
        <v>1.1108974811712902E-5</v>
      </c>
      <c r="Z141" s="250">
        <f>Z75*Input!$C$31</f>
        <v>5.6377044554387766E-5</v>
      </c>
      <c r="AA141" s="250">
        <f>AA75*Input!$C$31</f>
        <v>0</v>
      </c>
      <c r="AB141" s="89">
        <f>AB75*Input!$C$31</f>
        <v>3.5989962239999992E-4</v>
      </c>
      <c r="AC141" s="1">
        <f>AC75*Input!$C$31</f>
        <v>3.5573106140189357E-5</v>
      </c>
      <c r="AD141" s="62">
        <f>AD75*Input!$C$31</f>
        <v>3.9547272854018934E-4</v>
      </c>
      <c r="AE141" s="1">
        <f>AE75*Input!$C$31</f>
        <v>-1.6784887910399999E-3</v>
      </c>
      <c r="AF141" s="1">
        <f>AF75*Input!$C$31</f>
        <v>-2.5528009623098473E-3</v>
      </c>
      <c r="AG141" s="1">
        <f>AG75*Input!$C$31</f>
        <v>-9.6281370468370979E-4</v>
      </c>
      <c r="AH141" s="1">
        <f>AH75*Input!$C$31</f>
        <v>-7.4960628914386206E-4</v>
      </c>
      <c r="AI141" s="1">
        <f>AI75*Input!$C$31</f>
        <v>-1.2010570198732799E-5</v>
      </c>
      <c r="AJ141" s="1">
        <f>AJ75*Input!$C$31</f>
        <v>-2.2019378697676801E-5</v>
      </c>
      <c r="AK141" s="1">
        <f>AK75*Input!$C$31</f>
        <v>-1.0011800619004725E-3</v>
      </c>
      <c r="AL141" s="1">
        <f>AL75*Input!$C$31</f>
        <v>-5.3615341697779207E-4</v>
      </c>
      <c r="AM141" s="62">
        <f>AM75*Input!$C$31</f>
        <v>-7.5150731749520933E-3</v>
      </c>
      <c r="AN141" s="62">
        <f>AN75*Input!$C$31</f>
        <v>-7.1196004464119042E-3</v>
      </c>
    </row>
    <row r="142" spans="1:40" x14ac:dyDescent="0.25">
      <c r="A142" s="39" t="s">
        <v>192</v>
      </c>
      <c r="B142" s="39" t="s">
        <v>193</v>
      </c>
      <c r="C142" s="1">
        <f>C76*Input!$C$31</f>
        <v>2.3092099485741081E-2</v>
      </c>
      <c r="D142" s="1">
        <f>D76*Input!$C$31</f>
        <v>8.7105223149452817E-3</v>
      </c>
      <c r="E142" s="62">
        <f>E76*Input!$C$31</f>
        <v>3.1802621800686361E-2</v>
      </c>
      <c r="F142" s="1">
        <f>F76*Input!$C$31</f>
        <v>1.7191680000000004E-2</v>
      </c>
      <c r="G142" s="1">
        <f>G76*Input!$C$31</f>
        <v>4.2892262399999998E-5</v>
      </c>
      <c r="H142" s="62">
        <f>H76*Input!$C$31</f>
        <v>1.7234572262400005E-2</v>
      </c>
      <c r="I142" s="1">
        <f>I76*Input!$C$31</f>
        <v>8.7404107199922938E-3</v>
      </c>
      <c r="J142" s="1">
        <f>J76*Input!$C$31</f>
        <v>1.8981384096000001E-4</v>
      </c>
      <c r="K142" s="62">
        <f>K76*Input!$C$31</f>
        <v>8.9302245609522938E-3</v>
      </c>
      <c r="L142" s="1">
        <f>L76*Input!$C$31</f>
        <v>1.3755393378018954E-4</v>
      </c>
      <c r="M142" s="1">
        <f>M76*Input!$C$31</f>
        <v>2.5576775196246675E-4</v>
      </c>
      <c r="N142" s="62">
        <f>N76*Input!$C$31</f>
        <v>3.9332168574265626E-4</v>
      </c>
      <c r="O142" s="1">
        <f>O76*Input!$C$31</f>
        <v>3.0889500120067356E-2</v>
      </c>
      <c r="P142" s="1">
        <f>P76*Input!$C$31</f>
        <v>2.5321393920000003E-3</v>
      </c>
      <c r="Q142" s="62">
        <f>Q76*Input!$C$31</f>
        <v>3.3421639512067357E-2</v>
      </c>
      <c r="R142" s="1">
        <f>R76*Input!$C$31</f>
        <v>6.4330797435597956E-2</v>
      </c>
      <c r="S142" s="1">
        <f>S76*Input!$C$31</f>
        <v>2.9022663517397514E-4</v>
      </c>
      <c r="T142" s="62">
        <f>T76*Input!$C$31</f>
        <v>6.4621024070771929E-2</v>
      </c>
      <c r="U142" s="62">
        <f>U76*Input!$C$31</f>
        <v>1.2453028315252442E-2</v>
      </c>
      <c r="V142" s="62">
        <f>V76*Input!$C$31</f>
        <v>1.4306450880000002E-2</v>
      </c>
      <c r="W142" s="1">
        <f>W76*Input!$C$31</f>
        <v>4.9211969936624553E-4</v>
      </c>
      <c r="X142" s="1">
        <f>X76*Input!$C$31</f>
        <v>0</v>
      </c>
      <c r="Y142" s="1">
        <f>Y76*Input!$C$31</f>
        <v>1.2076824516008859E-4</v>
      </c>
      <c r="Z142" s="250">
        <f>Z76*Input!$C$31</f>
        <v>6.128879445263341E-4</v>
      </c>
      <c r="AA142" s="250">
        <f>AA76*Input!$C$31</f>
        <v>0</v>
      </c>
      <c r="AB142" s="89">
        <f>AB76*Input!$C$31</f>
        <v>3.9259562880000001E-3</v>
      </c>
      <c r="AC142" s="1">
        <f>AC76*Input!$C$31</f>
        <v>3.8672349845591397E-4</v>
      </c>
      <c r="AD142" s="62">
        <f>AD76*Input!$C$31</f>
        <v>4.3126797864559132E-3</v>
      </c>
      <c r="AE142" s="1">
        <f>AE76*Input!$C$31</f>
        <v>-1.8372647577600001E-2</v>
      </c>
      <c r="AF142" s="1">
        <f>AF76*Input!$C$31</f>
        <v>-2.8402043161518321E-2</v>
      </c>
      <c r="AG142" s="1">
        <f>AG76*Input!$C$31</f>
        <v>-1.3429136907823661E-2</v>
      </c>
      <c r="AH142" s="1">
        <f>AH76*Input!$C$31</f>
        <v>-8.232913790123168E-3</v>
      </c>
      <c r="AI142" s="1">
        <f>AI76*Input!$C$31</f>
        <v>-1.3101701324313598E-4</v>
      </c>
      <c r="AJ142" s="1">
        <f>AJ76*Input!$C$31</f>
        <v>-2.4019785761241594E-4</v>
      </c>
      <c r="AK142" s="1">
        <f>AK76*Input!$C$31</f>
        <v>-1.0921348383827559E-2</v>
      </c>
      <c r="AL142" s="1">
        <f>AL76*Input!$C$31</f>
        <v>-5.8486165244630399E-3</v>
      </c>
      <c r="AM142" s="62">
        <f>AM76*Input!$C$31</f>
        <v>-8.5577921216211286E-2</v>
      </c>
      <c r="AN142" s="62">
        <f>AN76*Input!$C$31</f>
        <v>-8.1265241429755386E-2</v>
      </c>
    </row>
    <row r="143" spans="1:40" x14ac:dyDescent="0.25">
      <c r="A143" s="39" t="s">
        <v>194</v>
      </c>
      <c r="B143" s="39" t="s">
        <v>195</v>
      </c>
      <c r="C143" s="1">
        <f>C77*Input!$C$31</f>
        <v>4.5242132273303189E-11</v>
      </c>
      <c r="D143" s="1">
        <f>D77*Input!$C$31</f>
        <v>3.8609025425178611E-11</v>
      </c>
      <c r="E143" s="62">
        <f>E77*Input!$C$31</f>
        <v>8.3851157698481806E-11</v>
      </c>
      <c r="F143" s="1">
        <f>F77*Input!$C$31</f>
        <v>1.7319552E-9</v>
      </c>
      <c r="G143" s="1">
        <f>G77*Input!$C$31</f>
        <v>1.08055296E-12</v>
      </c>
      <c r="H143" s="62">
        <f>H77*Input!$C$31</f>
        <v>1.73303575296E-9</v>
      </c>
      <c r="I143" s="1">
        <f>I77*Input!$C$31</f>
        <v>1.351209856901595E-10</v>
      </c>
      <c r="J143" s="1">
        <f>J77*Input!$C$31</f>
        <v>2.0431566527999999E-12</v>
      </c>
      <c r="K143" s="62">
        <f>K77*Input!$C$31</f>
        <v>1.3716414234295949E-10</v>
      </c>
      <c r="L143" s="1">
        <f>L77*Input!$C$31</f>
        <v>2.6745505452409448E-12</v>
      </c>
      <c r="M143" s="1">
        <f>M77*Input!$C$31</f>
        <v>1.5402243815206904E-11</v>
      </c>
      <c r="N143" s="62">
        <f>N77*Input!$C$31</f>
        <v>1.807679436044785E-11</v>
      </c>
      <c r="O143" s="1">
        <f>O77*Input!$C$31</f>
        <v>2.3510649846764989E-9</v>
      </c>
      <c r="P143" s="1">
        <f>P77*Input!$C$31</f>
        <v>1.9603737600000001E-11</v>
      </c>
      <c r="Q143" s="62">
        <f>Q77*Input!$C$31</f>
        <v>2.3706687222764988E-9</v>
      </c>
      <c r="R143" s="1">
        <f>R77*Input!$C$31</f>
        <v>1.2799020222143327E-9</v>
      </c>
      <c r="S143" s="1">
        <f>S77*Input!$C$31</f>
        <v>3.0325795214486439E-12</v>
      </c>
      <c r="T143" s="62">
        <f>T77*Input!$C$31</f>
        <v>1.2829346017357815E-9</v>
      </c>
      <c r="U143" s="62">
        <f>U77*Input!$C$31</f>
        <v>5.3040659559746445E-10</v>
      </c>
      <c r="V143" s="62">
        <f>V77*Input!$C$31</f>
        <v>1.2488933760000003E-10</v>
      </c>
      <c r="W143" s="1">
        <f>W77*Input!$C$31</f>
        <v>9.5686031950716923E-12</v>
      </c>
      <c r="X143" s="1">
        <f>X77*Input!$C$31</f>
        <v>0</v>
      </c>
      <c r="Y143" s="1">
        <f>Y77*Input!$C$31</f>
        <v>2.3481754906178154E-12</v>
      </c>
      <c r="Z143" s="250">
        <f>Z77*Input!$C$31</f>
        <v>1.1916778685689508E-11</v>
      </c>
      <c r="AA143" s="250">
        <f>AA77*Input!$C$31</f>
        <v>0</v>
      </c>
      <c r="AB143" s="89">
        <f>AB77*Input!$C$31</f>
        <v>3.4271957759999996E-11</v>
      </c>
      <c r="AC143" s="1">
        <f>AC77*Input!$C$31</f>
        <v>7.5193163527084202E-12</v>
      </c>
      <c r="AD143" s="62">
        <f>AD77*Input!$C$31</f>
        <v>4.1791274112708416E-11</v>
      </c>
      <c r="AE143" s="1">
        <f>AE77*Input!$C$31</f>
        <v>-1.87506855936E-9</v>
      </c>
      <c r="AF143" s="1">
        <f>AF77*Input!$C$31</f>
        <v>-4.5615866348428723E-10</v>
      </c>
      <c r="AG143" s="1">
        <f>AG77*Input!$C$31</f>
        <v>-2.5102498451242305E-11</v>
      </c>
      <c r="AH143" s="1">
        <f>AH77*Input!$C$31</f>
        <v>-2.1795148574881901E-11</v>
      </c>
      <c r="AI143" s="1">
        <f>AI77*Input!$C$31</f>
        <v>-1.1437237743667198E-12</v>
      </c>
      <c r="AJ143" s="1">
        <f>AJ77*Input!$C$31</f>
        <v>-2.0968269196723198E-12</v>
      </c>
      <c r="AK143" s="1">
        <f>AK77*Input!$C$31</f>
        <v>-9.5338807423008772E-11</v>
      </c>
      <c r="AL143" s="1">
        <f>AL77*Input!$C$31</f>
        <v>-5.1055978155820801E-11</v>
      </c>
      <c r="AM143" s="62">
        <f>AM77*Input!$C$31</f>
        <v>-2.5277602061432798E-9</v>
      </c>
      <c r="AN143" s="62">
        <f>AN77*Input!$C$31</f>
        <v>-2.4859689320305715E-9</v>
      </c>
    </row>
    <row r="144" spans="1:40" x14ac:dyDescent="0.25">
      <c r="A144" s="39" t="s">
        <v>196</v>
      </c>
      <c r="B144" s="39" t="s">
        <v>195</v>
      </c>
      <c r="C144" s="1">
        <f>C78*Input!$C$31</f>
        <v>1.1273005434915798E-9</v>
      </c>
      <c r="D144" s="1">
        <f>D78*Input!$C$31</f>
        <v>1.5784266223445226E-9</v>
      </c>
      <c r="E144" s="62">
        <f>E78*Input!$C$31</f>
        <v>2.7057271658361022E-9</v>
      </c>
      <c r="F144" s="1">
        <f>F78*Input!$C$31</f>
        <v>5.0411520000000001E-8</v>
      </c>
      <c r="G144" s="1">
        <f>G78*Input!$C$31</f>
        <v>8.7919104000000005E-11</v>
      </c>
      <c r="H144" s="62">
        <f>H78*Input!$C$31</f>
        <v>5.0499439103999994E-8</v>
      </c>
      <c r="I144" s="1">
        <f>I78*Input!$C$31</f>
        <v>7.1645127601435258E-9</v>
      </c>
      <c r="J144" s="1">
        <f>J78*Input!$C$31</f>
        <v>1.6531339200000002E-10</v>
      </c>
      <c r="K144" s="62">
        <f>K78*Input!$C$31</f>
        <v>7.3298261521435254E-9</v>
      </c>
      <c r="L144" s="1">
        <f>L78*Input!$C$31</f>
        <v>7.1287687218128092E-11</v>
      </c>
      <c r="M144" s="1">
        <f>M78*Input!$C$31</f>
        <v>9.9252966111621222E-10</v>
      </c>
      <c r="N144" s="62">
        <f>N78*Input!$C$31</f>
        <v>1.0638173483343402E-9</v>
      </c>
      <c r="O144" s="1">
        <f>O78*Input!$C$31</f>
        <v>3.5388883611637097E-8</v>
      </c>
      <c r="P144" s="1">
        <f>P78*Input!$C$31</f>
        <v>1.8774643200000005E-9</v>
      </c>
      <c r="Q144" s="62">
        <f>Q78*Input!$C$31</f>
        <v>3.7266347931637099E-8</v>
      </c>
      <c r="R144" s="1">
        <f>R78*Input!$C$31</f>
        <v>5.8761040959591965E-8</v>
      </c>
      <c r="S144" s="1">
        <f>S78*Input!$C$31</f>
        <v>2.1109932730404531E-10</v>
      </c>
      <c r="T144" s="62">
        <f>T78*Input!$C$31</f>
        <v>5.8972140286896007E-8</v>
      </c>
      <c r="U144" s="62">
        <f>U78*Input!$C$31</f>
        <v>1.8505474242983602E-8</v>
      </c>
      <c r="V144" s="62">
        <f>V78*Input!$C$31</f>
        <v>9.5757216000000031E-9</v>
      </c>
      <c r="W144" s="1">
        <f>W78*Input!$C$31</f>
        <v>2.5504232585860546E-10</v>
      </c>
      <c r="X144" s="1">
        <f>X78*Input!$C$31</f>
        <v>0</v>
      </c>
      <c r="Y144" s="1">
        <f>Y78*Input!$C$31</f>
        <v>6.2588460033518228E-11</v>
      </c>
      <c r="Z144" s="250">
        <f>Z78*Input!$C$31</f>
        <v>3.176307858921237E-10</v>
      </c>
      <c r="AA144" s="250">
        <f>AA78*Input!$C$31</f>
        <v>0</v>
      </c>
      <c r="AB144" s="89">
        <f>AB78*Input!$C$31</f>
        <v>2.6277561600000003E-9</v>
      </c>
      <c r="AC144" s="1">
        <f>AC78*Input!$C$31</f>
        <v>2.0042046810438699E-10</v>
      </c>
      <c r="AD144" s="62">
        <f>AD78*Input!$C$31</f>
        <v>2.8281766281043871E-9</v>
      </c>
      <c r="AE144" s="1">
        <f>AE78*Input!$C$31</f>
        <v>-5.4059436287999998E-8</v>
      </c>
      <c r="AF144" s="1">
        <f>AF78*Input!$C$31</f>
        <v>-2.4661610814505791E-8</v>
      </c>
      <c r="AG144" s="1">
        <f>AG78*Input!$C$31</f>
        <v>-6.6636725039234789E-10</v>
      </c>
      <c r="AH144" s="1">
        <f>AH78*Input!$C$31</f>
        <v>-3.5130914135679023E-10</v>
      </c>
      <c r="AI144" s="1">
        <f>AI78*Input!$C$31</f>
        <v>-8.7693478571519998E-11</v>
      </c>
      <c r="AJ144" s="1">
        <f>AJ78*Input!$C$31</f>
        <v>-1.6077137738112002E-10</v>
      </c>
      <c r="AK144" s="1">
        <f>AK78*Input!$C$31</f>
        <v>-7.30997453507789E-9</v>
      </c>
      <c r="AL144" s="1">
        <f>AL78*Input!$C$31</f>
        <v>-3.9146482976928007E-9</v>
      </c>
      <c r="AM144" s="62">
        <f>AM78*Input!$C$31</f>
        <v>-9.1211811182978267E-8</v>
      </c>
      <c r="AN144" s="62">
        <f>AN78*Input!$C$31</f>
        <v>-8.8383634554873882E-8</v>
      </c>
    </row>
    <row r="145" spans="1:40" ht="30" x14ac:dyDescent="0.25">
      <c r="A145" s="39" t="s">
        <v>197</v>
      </c>
      <c r="B145" s="39" t="s">
        <v>198</v>
      </c>
      <c r="C145" s="1">
        <f>C79*Input!$C$31</f>
        <v>8.5212076559059852E-3</v>
      </c>
      <c r="D145" s="1">
        <f>D79*Input!$C$31</f>
        <v>3.3278646199032917E-3</v>
      </c>
      <c r="E145" s="62">
        <f>E79*Input!$C$31</f>
        <v>1.1849072275809275E-2</v>
      </c>
      <c r="F145" s="1">
        <f>F79*Input!$C$31</f>
        <v>2.6363520000000005E-2</v>
      </c>
      <c r="G145" s="1">
        <f>G79*Input!$C$31</f>
        <v>7.4404300799999995E-5</v>
      </c>
      <c r="H145" s="62">
        <f>H79*Input!$C$31</f>
        <v>2.6437924300800004E-2</v>
      </c>
      <c r="I145" s="1">
        <f>I79*Input!$C$31</f>
        <v>5.858858612922889E-2</v>
      </c>
      <c r="J145" s="1">
        <f>J79*Input!$C$31</f>
        <v>1.33478420928E-4</v>
      </c>
      <c r="K145" s="62">
        <f>K79*Input!$C$31</f>
        <v>5.8722064550156883E-2</v>
      </c>
      <c r="L145" s="1">
        <f>L79*Input!$C$31</f>
        <v>1.7454813436413495E-4</v>
      </c>
      <c r="M145" s="1">
        <f>M79*Input!$C$31</f>
        <v>7.4245662456584066E-2</v>
      </c>
      <c r="N145" s="62">
        <f>N79*Input!$C$31</f>
        <v>7.4420210590948208E-2</v>
      </c>
      <c r="O145" s="1">
        <f>O79*Input!$C$31</f>
        <v>0.2008130870432131</v>
      </c>
      <c r="P145" s="1">
        <f>P79*Input!$C$31</f>
        <v>1.1700180096000001E-3</v>
      </c>
      <c r="Q145" s="62">
        <f>Q79*Input!$C$31</f>
        <v>0.20198310505281311</v>
      </c>
      <c r="R145" s="1">
        <f>R79*Input!$C$31</f>
        <v>0.31260587849531629</v>
      </c>
      <c r="S145" s="1">
        <f>S79*Input!$C$31</f>
        <v>3.1686539783600686E-4</v>
      </c>
      <c r="T145" s="62">
        <f>T79*Input!$C$31</f>
        <v>0.31292274389315233</v>
      </c>
      <c r="U145" s="62">
        <f>U79*Input!$C$31</f>
        <v>1.5052434961118</v>
      </c>
      <c r="V145" s="62">
        <f>V79*Input!$C$31</f>
        <v>8.0878087680000023E-3</v>
      </c>
      <c r="W145" s="1">
        <f>W79*Input!$C$31</f>
        <v>6.2447196563264126E-4</v>
      </c>
      <c r="X145" s="1">
        <f>X79*Input!$C$31</f>
        <v>0</v>
      </c>
      <c r="Y145" s="1">
        <f>Y79*Input!$C$31</f>
        <v>1.5324804826599475E-4</v>
      </c>
      <c r="Z145" s="250">
        <f>Z79*Input!$C$31</f>
        <v>7.7772001389863601E-4</v>
      </c>
      <c r="AA145" s="250">
        <f>AA79*Input!$C$31</f>
        <v>0</v>
      </c>
      <c r="AB145" s="89">
        <f>AB79*Input!$C$31</f>
        <v>2.2194451967999995E-3</v>
      </c>
      <c r="AC145" s="1">
        <f>AC79*Input!$C$31</f>
        <v>4.9073016899770264E-4</v>
      </c>
      <c r="AD145" s="62">
        <f>AD79*Input!$C$31</f>
        <v>2.7101753657977025E-3</v>
      </c>
      <c r="AE145" s="1">
        <f>AE79*Input!$C$31</f>
        <v>-2.8541870207999996E-2</v>
      </c>
      <c r="AF145" s="1">
        <f>AF79*Input!$C$31</f>
        <v>-0.16220588115546983</v>
      </c>
      <c r="AG145" s="1">
        <f>AG79*Input!$C$31</f>
        <v>-5.2657183732641236E-3</v>
      </c>
      <c r="AH145" s="1">
        <f>AH79*Input!$C$31</f>
        <v>-1.5829995906384345E-3</v>
      </c>
      <c r="AI145" s="1">
        <f>AI79*Input!$C$31</f>
        <v>-7.4067325107609596E-5</v>
      </c>
      <c r="AJ145" s="1">
        <f>AJ79*Input!$C$31</f>
        <v>-1.3579009603061759E-4</v>
      </c>
      <c r="AK145" s="1">
        <f>AK79*Input!$C$31</f>
        <v>-6.1741222863726181E-3</v>
      </c>
      <c r="AL145" s="1">
        <f>AL79*Input!$C$31</f>
        <v>-3.3063750334717443E-3</v>
      </c>
      <c r="AM145" s="62">
        <f>AM79*Input!$C$31</f>
        <v>-0.20728682406835497</v>
      </c>
      <c r="AN145" s="62">
        <f>AN79*Input!$C$31</f>
        <v>-0.20457664870255726</v>
      </c>
    </row>
    <row r="146" spans="1:40" x14ac:dyDescent="0.25">
      <c r="A146" s="39" t="s">
        <v>199</v>
      </c>
      <c r="B146" s="39" t="s">
        <v>200</v>
      </c>
      <c r="C146" s="1">
        <f>C80*Input!$C$31</f>
        <v>30.6430297888034</v>
      </c>
      <c r="D146" s="1">
        <f>D80*Input!$C$31</f>
        <v>0.58898068315154639</v>
      </c>
      <c r="E146" s="62">
        <f>E80*Input!$C$31</f>
        <v>31.232010471954943</v>
      </c>
      <c r="F146" s="1">
        <f>F80*Input!$C$31</f>
        <v>1.0659840000000003</v>
      </c>
      <c r="G146" s="1">
        <f>G80*Input!$C$31</f>
        <v>1.03500682752E-2</v>
      </c>
      <c r="H146" s="62">
        <f>H80*Input!$C$31</f>
        <v>1.0763340682752003</v>
      </c>
      <c r="I146" s="1">
        <f>I80*Input!$C$31</f>
        <v>1.9799584729591455</v>
      </c>
      <c r="J146" s="1">
        <f>J80*Input!$C$31</f>
        <v>2.9447744708544003E-2</v>
      </c>
      <c r="K146" s="62">
        <f>K80*Input!$C$31</f>
        <v>2.0094062176676895</v>
      </c>
      <c r="L146" s="1">
        <f>L80*Input!$C$31</f>
        <v>2.9888575587737207E-2</v>
      </c>
      <c r="M146" s="1">
        <f>M80*Input!$C$31</f>
        <v>0.27891497148765382</v>
      </c>
      <c r="N146" s="62">
        <f>N80*Input!$C$31</f>
        <v>0.30880354707539104</v>
      </c>
      <c r="O146" s="1">
        <f>O80*Input!$C$31</f>
        <v>16.952937447122906</v>
      </c>
      <c r="P146" s="1">
        <f>P80*Input!$C$31</f>
        <v>0.88678847535360017</v>
      </c>
      <c r="Q146" s="62">
        <f>Q80*Input!$C$31</f>
        <v>17.839725922476507</v>
      </c>
      <c r="R146" s="1">
        <f>R80*Input!$C$31</f>
        <v>13.761852078590618</v>
      </c>
      <c r="S146" s="1">
        <f>S80*Input!$C$31</f>
        <v>5.9756169006742042E-2</v>
      </c>
      <c r="T146" s="62">
        <f>T80*Input!$C$31</f>
        <v>13.821608247597359</v>
      </c>
      <c r="U146" s="62">
        <f>U80*Input!$C$31</f>
        <v>6.2005309559741626</v>
      </c>
      <c r="V146" s="62">
        <f>V80*Input!$C$31</f>
        <v>1.1272894310400001</v>
      </c>
      <c r="W146" s="1">
        <f>W80*Input!$C$31</f>
        <v>0.10693083380826503</v>
      </c>
      <c r="X146" s="1">
        <f>X80*Input!$C$31</f>
        <v>0</v>
      </c>
      <c r="Y146" s="1">
        <f>Y80*Input!$C$31</f>
        <v>2.624127660233835E-2</v>
      </c>
      <c r="Z146" s="250">
        <f>Z80*Input!$C$31</f>
        <v>0.13317211041060337</v>
      </c>
      <c r="AA146" s="250">
        <f>AA80*Input!$C$31</f>
        <v>0</v>
      </c>
      <c r="AB146" s="89">
        <f>AB80*Input!$C$31</f>
        <v>0.30934919270400002</v>
      </c>
      <c r="AC146" s="1">
        <f>AC80*Input!$C$31</f>
        <v>8.4029690736612192E-2</v>
      </c>
      <c r="AD146" s="62">
        <f>AD80*Input!$C$31</f>
        <v>0.39337888344061217</v>
      </c>
      <c r="AE146" s="1">
        <f>AE80*Input!$C$31</f>
        <v>-0.99423998207999997</v>
      </c>
      <c r="AF146" s="1">
        <f>AF80*Input!$C$31</f>
        <v>-6.3554567621236</v>
      </c>
      <c r="AG146" s="1">
        <f>AG80*Input!$C$31</f>
        <v>-1.6233526912380412</v>
      </c>
      <c r="AH146" s="1">
        <f>AH80*Input!$C$31</f>
        <v>-86.889615900249112</v>
      </c>
      <c r="AI146" s="1">
        <f>AI80*Input!$C$31</f>
        <v>-1.0323601258917889E-2</v>
      </c>
      <c r="AJ146" s="1">
        <f>AJ80*Input!$C$31</f>
        <v>-1.8926602308016127E-2</v>
      </c>
      <c r="AK146" s="1">
        <f>AK80*Input!$C$31</f>
        <v>-0.86055729048814888</v>
      </c>
      <c r="AL146" s="1">
        <f>AL80*Input!$C$31</f>
        <v>-0.46084690392709637</v>
      </c>
      <c r="AM146" s="62">
        <f>AM80*Input!$C$31</f>
        <v>-97.213319733672918</v>
      </c>
      <c r="AN146" s="62">
        <f>AN80*Input!$C$31</f>
        <v>-96.8199408502323</v>
      </c>
    </row>
    <row r="147" spans="1:40" ht="30" x14ac:dyDescent="0.25">
      <c r="A147" s="39" t="s">
        <v>201</v>
      </c>
      <c r="B147" s="39" t="s">
        <v>202</v>
      </c>
      <c r="C147" s="1">
        <f>C81*Input!$C$31</f>
        <v>6.5250511821577808E-7</v>
      </c>
      <c r="D147" s="1">
        <f>D81*Input!$C$31</f>
        <v>3.5915710964284839E-7</v>
      </c>
      <c r="E147" s="62">
        <f>E81*Input!$C$31</f>
        <v>1.0116622278586264E-6</v>
      </c>
      <c r="F147" s="1">
        <f>F81*Input!$C$31</f>
        <v>6.4435200000000008E-7</v>
      </c>
      <c r="G147" s="1">
        <f>G81*Input!$C$31</f>
        <v>1.3450521599999999E-8</v>
      </c>
      <c r="H147" s="62">
        <f>H81*Input!$C$31</f>
        <v>6.5780252160000014E-7</v>
      </c>
      <c r="I147" s="1">
        <f>I81*Input!$C$31</f>
        <v>3.626405362067026E-6</v>
      </c>
      <c r="J147" s="1">
        <f>J81*Input!$C$31</f>
        <v>2.3324330688E-8</v>
      </c>
      <c r="K147" s="62">
        <f>K81*Input!$C$31</f>
        <v>3.6497296927550254E-6</v>
      </c>
      <c r="L147" s="1">
        <f>L81*Input!$C$31</f>
        <v>6.824482057894966E-9</v>
      </c>
      <c r="M147" s="1">
        <f>M81*Input!$C$31</f>
        <v>9.5713843178559413E-7</v>
      </c>
      <c r="N147" s="62">
        <f>N81*Input!$C$31</f>
        <v>9.63962913843489E-7</v>
      </c>
      <c r="O147" s="1">
        <f>O81*Input!$C$31</f>
        <v>1.6360561200837414E-5</v>
      </c>
      <c r="P147" s="1">
        <f>P81*Input!$C$31</f>
        <v>1.6593216000000003E-7</v>
      </c>
      <c r="Q147" s="62">
        <f>Q81*Input!$C$31</f>
        <v>1.6526493360837414E-5</v>
      </c>
      <c r="R147" s="1">
        <f>R81*Input!$C$31</f>
        <v>4.9623838769781577E-4</v>
      </c>
      <c r="S147" s="1">
        <f>S81*Input!$C$31</f>
        <v>3.6400827598772809E-8</v>
      </c>
      <c r="T147" s="62">
        <f>T81*Input!$C$31</f>
        <v>4.9627478852541456E-4</v>
      </c>
      <c r="U147" s="62">
        <f>U81*Input!$C$31</f>
        <v>1.9169746810626963E-5</v>
      </c>
      <c r="V147" s="62">
        <f>V81*Input!$C$31</f>
        <v>1.4482757760000004E-6</v>
      </c>
      <c r="W147" s="1">
        <f>W81*Input!$C$31</f>
        <v>2.4415601694302769E-8</v>
      </c>
      <c r="X147" s="1">
        <f>X81*Input!$C$31</f>
        <v>0</v>
      </c>
      <c r="Y147" s="1">
        <f>Y81*Input!$C$31</f>
        <v>5.9916914013925727E-9</v>
      </c>
      <c r="Z147" s="250">
        <f>Z81*Input!$C$31</f>
        <v>3.0407293095695347E-8</v>
      </c>
      <c r="AA147" s="250">
        <f>AA81*Input!$C$31</f>
        <v>0</v>
      </c>
      <c r="AB147" s="89">
        <f>AB81*Input!$C$31</f>
        <v>3.9743381759999998E-7</v>
      </c>
      <c r="AC147" s="1">
        <f>AC81*Input!$C$31</f>
        <v>1.9186565618662451E-8</v>
      </c>
      <c r="AD147" s="62">
        <f>AD81*Input!$C$31</f>
        <v>4.166203832186624E-7</v>
      </c>
      <c r="AE147" s="1">
        <f>AE81*Input!$C$31</f>
        <v>-3.8559877631999996E-7</v>
      </c>
      <c r="AF147" s="1">
        <f>AF81*Input!$C$31</f>
        <v>-1.2639389427230587E-5</v>
      </c>
      <c r="AG147" s="1">
        <f>AG81*Input!$C$31</f>
        <v>-4.0372179916449357E-7</v>
      </c>
      <c r="AH147" s="1">
        <f>AH81*Input!$C$31</f>
        <v>-1.188563100577952E-7</v>
      </c>
      <c r="AI147" s="1">
        <f>AI81*Input!$C$31</f>
        <v>-1.32631613609472E-8</v>
      </c>
      <c r="AJ147" s="1">
        <f>AJ81*Input!$C$31</f>
        <v>-2.4315795828403197E-8</v>
      </c>
      <c r="AK147" s="1">
        <f>AK81*Input!$C$31</f>
        <v>-1.1055938637909197E-6</v>
      </c>
      <c r="AL147" s="1">
        <f>AL81*Input!$C$31</f>
        <v>-5.9206924949740798E-7</v>
      </c>
      <c r="AM147" s="62">
        <f>AM81*Input!$C$31</f>
        <v>-1.5282808383250554E-5</v>
      </c>
      <c r="AN147" s="62">
        <f>AN81*Input!$C$31</f>
        <v>-1.4866188000031891E-5</v>
      </c>
    </row>
    <row r="148" spans="1:40" x14ac:dyDescent="0.25">
      <c r="A148" s="39" t="s">
        <v>203</v>
      </c>
      <c r="B148" s="39" t="s">
        <v>204</v>
      </c>
      <c r="C148" s="1">
        <f>C82*Input!$C$31</f>
        <v>4.3681799483195239E-9</v>
      </c>
      <c r="D148" s="1">
        <f>D82*Input!$C$31</f>
        <v>5.2214693613655857E-9</v>
      </c>
      <c r="E148" s="62">
        <f>E82*Input!$C$31</f>
        <v>9.5896493096851096E-9</v>
      </c>
      <c r="F148" s="1">
        <f>F82*Input!$C$31</f>
        <v>8.651473920000001E-10</v>
      </c>
      <c r="G148" s="1">
        <f>G82*Input!$C$31</f>
        <v>2.7109017600000004E-10</v>
      </c>
      <c r="H148" s="62">
        <f>H82*Input!$C$31</f>
        <v>1.1362375680000002E-9</v>
      </c>
      <c r="I148" s="1">
        <f>I82*Input!$C$31</f>
        <v>5.5093009043732442E-9</v>
      </c>
      <c r="J148" s="1">
        <f>J82*Input!$C$31</f>
        <v>4.6328088575999999E-10</v>
      </c>
      <c r="K148" s="62">
        <f>K82*Input!$C$31</f>
        <v>5.9725817901332439E-9</v>
      </c>
      <c r="L148" s="1">
        <f>L82*Input!$C$31</f>
        <v>9.8624522074816541E-10</v>
      </c>
      <c r="M148" s="1">
        <f>M82*Input!$C$31</f>
        <v>1.1477434493693026E-9</v>
      </c>
      <c r="N148" s="62">
        <f>N82*Input!$C$31</f>
        <v>2.133988670117468E-9</v>
      </c>
      <c r="O148" s="1">
        <f>O82*Input!$C$31</f>
        <v>2.437089746617581E-8</v>
      </c>
      <c r="P148" s="1">
        <f>P82*Input!$C$31</f>
        <v>2.5781445120000003E-9</v>
      </c>
      <c r="Q148" s="62">
        <f>Q82*Input!$C$31</f>
        <v>2.6949041978175808E-8</v>
      </c>
      <c r="R148" s="1">
        <f>R82*Input!$C$31</f>
        <v>4.9385313810642651E-8</v>
      </c>
      <c r="S148" s="1">
        <f>S82*Input!$C$31</f>
        <v>6.9242273650849253E-10</v>
      </c>
      <c r="T148" s="62">
        <f>T82*Input!$C$31</f>
        <v>5.0077736547151138E-8</v>
      </c>
      <c r="U148" s="62">
        <f>U82*Input!$C$31</f>
        <v>4.2593733546865998E-7</v>
      </c>
      <c r="V148" s="62">
        <f>V82*Input!$C$31</f>
        <v>2.9720444160000007E-8</v>
      </c>
      <c r="W148" s="1">
        <f>W82*Input!$C$31</f>
        <v>3.5284392688585078E-9</v>
      </c>
      <c r="X148" s="1">
        <f>X82*Input!$C$31</f>
        <v>0</v>
      </c>
      <c r="Y148" s="1">
        <f>Y82*Input!$C$31</f>
        <v>8.6589384493803483E-10</v>
      </c>
      <c r="Z148" s="250">
        <f>Z82*Input!$C$31</f>
        <v>4.3943331137965428E-9</v>
      </c>
      <c r="AA148" s="250">
        <f>AA82*Input!$C$31</f>
        <v>0</v>
      </c>
      <c r="AB148" s="89">
        <f>AB82*Input!$C$31</f>
        <v>8.155842815999999E-9</v>
      </c>
      <c r="AC148" s="1">
        <f>AC82*Input!$C$31</f>
        <v>2.7727611390063009E-9</v>
      </c>
      <c r="AD148" s="62">
        <f>AD82*Input!$C$31</f>
        <v>1.0928603955006301E-8</v>
      </c>
      <c r="AE148" s="1">
        <f>AE82*Input!$C$31</f>
        <v>-1.25508621312E-12</v>
      </c>
      <c r="AF148" s="1">
        <f>AF82*Input!$C$31</f>
        <v>-1.7924591658125484E-8</v>
      </c>
      <c r="AG148" s="1">
        <f>AG82*Input!$C$31</f>
        <v>-2.2960053443796522E-9</v>
      </c>
      <c r="AH148" s="1">
        <f>AH82*Input!$C$31</f>
        <v>-2.7031231225260854E-9</v>
      </c>
      <c r="AI148" s="1">
        <f>AI82*Input!$C$31</f>
        <v>-2.7217678645555197E-10</v>
      </c>
      <c r="AJ148" s="1">
        <f>AJ82*Input!$C$31</f>
        <v>-4.9899077516851198E-10</v>
      </c>
      <c r="AK148" s="1">
        <f>AK82*Input!$C$31</f>
        <v>-2.2688179445484751E-8</v>
      </c>
      <c r="AL148" s="1">
        <f>AL82*Input!$C$31</f>
        <v>-1.2150007174145281E-8</v>
      </c>
      <c r="AM148" s="62">
        <f>AM82*Input!$C$31</f>
        <v>-5.853432939249844E-8</v>
      </c>
      <c r="AN148" s="62">
        <f>AN82*Input!$C$31</f>
        <v>-4.7605725437492138E-8</v>
      </c>
    </row>
    <row r="149" spans="1:40" x14ac:dyDescent="0.25">
      <c r="A149" s="39" t="s">
        <v>205</v>
      </c>
      <c r="B149" s="39" t="s">
        <v>206</v>
      </c>
      <c r="C149" s="1">
        <f>C83*Input!$C$31</f>
        <v>8.0976433715449508E-8</v>
      </c>
      <c r="D149" s="1">
        <f>D83*Input!$C$31</f>
        <v>1.7957971455459901E-8</v>
      </c>
      <c r="E149" s="62">
        <f>E83*Input!$C$31</f>
        <v>9.8934405170909402E-8</v>
      </c>
      <c r="F149" s="1">
        <f>F83*Input!$C$31</f>
        <v>9.4456320000000018E-8</v>
      </c>
      <c r="G149" s="1">
        <f>G83*Input!$C$31</f>
        <v>7.5567897599999995E-10</v>
      </c>
      <c r="H149" s="62">
        <f>H83*Input!$C$31</f>
        <v>9.5211998976000025E-8</v>
      </c>
      <c r="I149" s="1">
        <f>I83*Input!$C$31</f>
        <v>2.7182995297383042E-8</v>
      </c>
      <c r="J149" s="1">
        <f>J83*Input!$C$31</f>
        <v>1.3896896639999999E-9</v>
      </c>
      <c r="K149" s="62">
        <f>K83*Input!$C$31</f>
        <v>2.8572684961383039E-8</v>
      </c>
      <c r="L149" s="1">
        <f>L83*Input!$C$31</f>
        <v>4.3106059118121329E-10</v>
      </c>
      <c r="M149" s="1">
        <f>M83*Input!$C$31</f>
        <v>2.5289336201031344E-9</v>
      </c>
      <c r="N149" s="62">
        <f>N83*Input!$C$31</f>
        <v>2.9599942112843482E-9</v>
      </c>
      <c r="O149" s="1">
        <f>O83*Input!$C$31</f>
        <v>3.9284349386238699E-7</v>
      </c>
      <c r="P149" s="1">
        <f>P83*Input!$C$31</f>
        <v>9.3321369600000001E-9</v>
      </c>
      <c r="Q149" s="62">
        <f>Q83*Input!$C$31</f>
        <v>4.0217563082238704E-7</v>
      </c>
      <c r="R149" s="1">
        <f>R83*Input!$C$31</f>
        <v>3.5514982647155791E-7</v>
      </c>
      <c r="S149" s="1">
        <f>S83*Input!$C$31</f>
        <v>1.7943282090152512E-9</v>
      </c>
      <c r="T149" s="62">
        <f>T83*Input!$C$31</f>
        <v>3.5694415468057313E-7</v>
      </c>
      <c r="U149" s="62">
        <f>U83*Input!$C$31</f>
        <v>2.8142986505579105E-8</v>
      </c>
      <c r="V149" s="62">
        <f>V83*Input!$C$31</f>
        <v>9.034540800000003E-8</v>
      </c>
      <c r="W149" s="1">
        <f>W83*Input!$C$31</f>
        <v>1.5421835109399548E-9</v>
      </c>
      <c r="X149" s="1">
        <f>X83*Input!$C$31</f>
        <v>0</v>
      </c>
      <c r="Y149" s="1">
        <f>Y83*Input!$C$31</f>
        <v>3.7845832339345952E-10</v>
      </c>
      <c r="Z149" s="250">
        <f>Z83*Input!$C$31</f>
        <v>1.9206418343334141E-9</v>
      </c>
      <c r="AA149" s="250">
        <f>AA83*Input!$C$31</f>
        <v>0</v>
      </c>
      <c r="AB149" s="89">
        <f>AB83*Input!$C$31</f>
        <v>2.4792460800000003E-8</v>
      </c>
      <c r="AC149" s="1">
        <f>AC83*Input!$C$31</f>
        <v>1.2118974375132088E-9</v>
      </c>
      <c r="AD149" s="62">
        <f>AD83*Input!$C$31</f>
        <v>2.6004358237513207E-8</v>
      </c>
      <c r="AE149" s="1">
        <f>AE83*Input!$C$31</f>
        <v>-1.01314188288E-7</v>
      </c>
      <c r="AF149" s="1">
        <f>AF83*Input!$C$31</f>
        <v>-8.5714721241824866E-8</v>
      </c>
      <c r="AG149" s="1">
        <f>AG83*Input!$C$31</f>
        <v>-4.3410539167366331E-8</v>
      </c>
      <c r="AH149" s="1">
        <f>AH83*Input!$C$31</f>
        <v>-4.6134398148880204E-8</v>
      </c>
      <c r="AI149" s="1">
        <f>AI83*Input!$C$31</f>
        <v>-8.2737400181760009E-10</v>
      </c>
      <c r="AJ149" s="1">
        <f>AJ83*Input!$C$31</f>
        <v>-1.5168523366655999E-9</v>
      </c>
      <c r="AK149" s="1">
        <f>AK83*Input!$C$31</f>
        <v>-6.8968445348413449E-8</v>
      </c>
      <c r="AL149" s="1">
        <f>AL83*Input!$C$31</f>
        <v>-3.6934083132864008E-8</v>
      </c>
      <c r="AM149" s="62">
        <f>AM83*Input!$C$31</f>
        <v>-3.8482060166583204E-7</v>
      </c>
      <c r="AN149" s="62">
        <f>AN83*Input!$C$31</f>
        <v>-3.5881624342831884E-7</v>
      </c>
    </row>
    <row r="150" spans="1:40" ht="30" x14ac:dyDescent="0.25">
      <c r="A150" s="39" t="s">
        <v>207</v>
      </c>
      <c r="B150" s="39" t="s">
        <v>208</v>
      </c>
      <c r="C150" s="1">
        <f>C84*Input!$C$31</f>
        <v>5.4087584546509467E-3</v>
      </c>
      <c r="D150" s="1">
        <f>D84*Input!$C$31</f>
        <v>2.624677744665618E-3</v>
      </c>
      <c r="E150" s="62">
        <f>E84*Input!$C$31</f>
        <v>8.0334361993165647E-3</v>
      </c>
      <c r="F150" s="1">
        <f>F84*Input!$C$31</f>
        <v>7.0990080000000004E-3</v>
      </c>
      <c r="G150" s="1">
        <f>G84*Input!$C$31</f>
        <v>3.1696588799999997E-5</v>
      </c>
      <c r="H150" s="62">
        <f>H84*Input!$C$31</f>
        <v>7.1307045887999999E-3</v>
      </c>
      <c r="I150" s="1">
        <f>I84*Input!$C$31</f>
        <v>2.5226120812130975E-3</v>
      </c>
      <c r="J150" s="1">
        <f>J84*Input!$C$31</f>
        <v>7.8146199167999998E-5</v>
      </c>
      <c r="K150" s="62">
        <f>K84*Input!$C$31</f>
        <v>2.6007582803810971E-3</v>
      </c>
      <c r="L150" s="1">
        <f>L84*Input!$C$31</f>
        <v>1.0780110617722931E-4</v>
      </c>
      <c r="M150" s="1">
        <f>M84*Input!$C$31</f>
        <v>8.1720303478752853E-5</v>
      </c>
      <c r="N150" s="62">
        <f>N84*Input!$C$31</f>
        <v>1.8952140965598218E-4</v>
      </c>
      <c r="O150" s="1">
        <f>O84*Input!$C$31</f>
        <v>1.0105240133014455E-2</v>
      </c>
      <c r="P150" s="1">
        <f>P84*Input!$C$31</f>
        <v>5.6032984320000009E-4</v>
      </c>
      <c r="Q150" s="62">
        <f>Q84*Input!$C$31</f>
        <v>1.0665569976214455E-2</v>
      </c>
      <c r="R150" s="1">
        <f>R84*Input!$C$31</f>
        <v>2.2347888398860861E-2</v>
      </c>
      <c r="S150" s="1">
        <f>S84*Input!$C$31</f>
        <v>1.2547761392609212E-4</v>
      </c>
      <c r="T150" s="62">
        <f>T84*Input!$C$31</f>
        <v>2.2473366012786954E-2</v>
      </c>
      <c r="U150" s="62">
        <f>U84*Input!$C$31</f>
        <v>4.1399592116967872E-3</v>
      </c>
      <c r="V150" s="62">
        <f>V84*Input!$C$31</f>
        <v>5.7548860800000021E-3</v>
      </c>
      <c r="W150" s="1">
        <f>W84*Input!$C$31</f>
        <v>3.8567452420562609E-4</v>
      </c>
      <c r="X150" s="1">
        <f>X84*Input!$C$31</f>
        <v>0</v>
      </c>
      <c r="Y150" s="1">
        <f>Y84*Input!$C$31</f>
        <v>9.464615123362873E-5</v>
      </c>
      <c r="Z150" s="250">
        <f>Z84*Input!$C$31</f>
        <v>4.8032067543925483E-4</v>
      </c>
      <c r="AA150" s="250">
        <f>AA84*Input!$C$31</f>
        <v>0</v>
      </c>
      <c r="AB150" s="89">
        <f>AB84*Input!$C$31</f>
        <v>1.5792478080000002E-3</v>
      </c>
      <c r="AC150" s="1">
        <f>AC84*Input!$C$31</f>
        <v>3.0307545391536903E-4</v>
      </c>
      <c r="AD150" s="62">
        <f>AD84*Input!$C$31</f>
        <v>1.8823232619153691E-3</v>
      </c>
      <c r="AE150" s="1">
        <f>AE84*Input!$C$31</f>
        <v>-7.6741717248E-3</v>
      </c>
      <c r="AF150" s="1">
        <f>AF84*Input!$C$31</f>
        <v>-8.2743610742207138E-3</v>
      </c>
      <c r="AG150" s="1">
        <f>AG84*Input!$C$31</f>
        <v>-3.0328873802348976E-3</v>
      </c>
      <c r="AH150" s="1">
        <f>AH84*Input!$C$31</f>
        <v>-2.4562640019318142E-3</v>
      </c>
      <c r="AI150" s="1">
        <f>AI84*Input!$C$31</f>
        <v>-5.2702657848575999E-5</v>
      </c>
      <c r="AJ150" s="1">
        <f>AJ84*Input!$C$31</f>
        <v>-9.6621539389055998E-5</v>
      </c>
      <c r="AK150" s="1">
        <f>AK84*Input!$C$31</f>
        <v>-4.3932011032018952E-3</v>
      </c>
      <c r="AL150" s="1">
        <f>AL84*Input!$C$31</f>
        <v>-2.3526535061846403E-3</v>
      </c>
      <c r="AM150" s="62">
        <f>AM84*Input!$C$31</f>
        <v>-2.833286298781159E-2</v>
      </c>
      <c r="AN150" s="62">
        <f>AN84*Input!$C$31</f>
        <v>-2.645053972589622E-2</v>
      </c>
    </row>
    <row r="151" spans="1:40" ht="30" x14ac:dyDescent="0.25">
      <c r="A151" s="39" t="s">
        <v>209</v>
      </c>
      <c r="B151" s="39" t="s">
        <v>210</v>
      </c>
      <c r="C151" s="1">
        <f>C85*Input!$C$31</f>
        <v>0.37829596239135838</v>
      </c>
      <c r="D151" s="1">
        <f>D85*Input!$C$31</f>
        <v>1.3428375977069001E-2</v>
      </c>
      <c r="E151" s="62">
        <f>E85*Input!$C$31</f>
        <v>0.3917243383684274</v>
      </c>
      <c r="F151" s="1">
        <f>F85*Input!$C$31</f>
        <v>4.4578560000000003E-2</v>
      </c>
      <c r="G151" s="1">
        <f>G85*Input!$C$31</f>
        <v>3.7372331520000001E-4</v>
      </c>
      <c r="H151" s="62">
        <f>H85*Input!$C$31</f>
        <v>4.4952283315200001E-2</v>
      </c>
      <c r="I151" s="1">
        <f>I85*Input!$C$31</f>
        <v>0.19605288119459749</v>
      </c>
      <c r="J151" s="1">
        <f>J85*Input!$C$31</f>
        <v>8.7597644640000007E-4</v>
      </c>
      <c r="K151" s="62">
        <f>K85*Input!$C$31</f>
        <v>0.19692885764099752</v>
      </c>
      <c r="L151" s="1">
        <f>L85*Input!$C$31</f>
        <v>7.8678156039872175E-4</v>
      </c>
      <c r="M151" s="1">
        <f>M85*Input!$C$31</f>
        <v>2.1232898806545209E-2</v>
      </c>
      <c r="N151" s="62">
        <f>N85*Input!$C$31</f>
        <v>2.201968036694393E-2</v>
      </c>
      <c r="O151" s="1">
        <f>O85*Input!$C$31</f>
        <v>0.65289330062542228</v>
      </c>
      <c r="P151" s="1">
        <f>P85*Input!$C$31</f>
        <v>1.9624079961600007E-2</v>
      </c>
      <c r="Q151" s="62">
        <f>Q85*Input!$C$31</f>
        <v>0.67251738058702226</v>
      </c>
      <c r="R151" s="1">
        <f>R85*Input!$C$31</f>
        <v>1.1828780331280362</v>
      </c>
      <c r="S151" s="1">
        <f>S85*Input!$C$31</f>
        <v>1.26330002775008E-3</v>
      </c>
      <c r="T151" s="62">
        <f>T85*Input!$C$31</f>
        <v>1.1841413331557864</v>
      </c>
      <c r="U151" s="62">
        <f>U85*Input!$C$31</f>
        <v>0.45057269334505101</v>
      </c>
      <c r="V151" s="62">
        <f>V85*Input!$C$31</f>
        <v>4.0547213952000012E-2</v>
      </c>
      <c r="W151" s="1">
        <f>W85*Input!$C$31</f>
        <v>2.8148282955618937E-3</v>
      </c>
      <c r="X151" s="1">
        <f>X85*Input!$C$31</f>
        <v>0</v>
      </c>
      <c r="Y151" s="1">
        <f>Y85*Input!$C$31</f>
        <v>6.9077070907698295E-4</v>
      </c>
      <c r="Z151" s="250">
        <f>Z85*Input!$C$31</f>
        <v>3.5055990046388768E-3</v>
      </c>
      <c r="AA151" s="250">
        <f>AA85*Input!$C$31</f>
        <v>0</v>
      </c>
      <c r="AB151" s="89">
        <f>AB85*Input!$C$31</f>
        <v>1.1126909875199998E-2</v>
      </c>
      <c r="AC151" s="1">
        <f>AC85*Input!$C$31</f>
        <v>2.2119826688796382E-3</v>
      </c>
      <c r="AD151" s="62">
        <f>AD85*Input!$C$31</f>
        <v>1.3338892544079637E-2</v>
      </c>
      <c r="AE151" s="1">
        <f>AE85*Input!$C$31</f>
        <v>-2.72565409536E-2</v>
      </c>
      <c r="AF151" s="1">
        <f>AF85*Input!$C$31</f>
        <v>-0.38772094090641046</v>
      </c>
      <c r="AG151" s="1">
        <f>AG85*Input!$C$31</f>
        <v>-0.19821550078514347</v>
      </c>
      <c r="AH151" s="1">
        <f>AH85*Input!$C$31</f>
        <v>-0.23702725277848513</v>
      </c>
      <c r="AI151" s="1">
        <f>AI85*Input!$C$31</f>
        <v>-3.7132723635517438E-4</v>
      </c>
      <c r="AJ151" s="1">
        <f>AJ85*Input!$C$31</f>
        <v>-6.8076659998448632E-4</v>
      </c>
      <c r="AK151" s="1">
        <f>AK85*Input!$C$31</f>
        <v>-3.0953187011773072E-2</v>
      </c>
      <c r="AL151" s="1">
        <f>AL85*Input!$C$31</f>
        <v>-1.6576096163174018E-2</v>
      </c>
      <c r="AM151" s="62">
        <f>AM85*Input!$C$31</f>
        <v>-0.89880161243492573</v>
      </c>
      <c r="AN151" s="62">
        <f>AN85*Input!$C$31</f>
        <v>-0.88546271989084624</v>
      </c>
    </row>
    <row r="152" spans="1:40" x14ac:dyDescent="0.25">
      <c r="A152" s="148" t="s">
        <v>62</v>
      </c>
      <c r="B152" s="338">
        <f>+SUM(E133:E151,H133:H151,K133:K151,N133:N151,Q133:Q151,T133:T151,U133:V151,Z133:Z151,AA133:AA151,AD133:AD151,AM133:AM151)-SUM(C4:K22)*Input!$C$31</f>
        <v>0</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2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25">
      <c r="B154" s="28"/>
    </row>
    <row r="155" spans="1:40" ht="21" x14ac:dyDescent="0.35">
      <c r="A155" s="76" t="s">
        <v>296</v>
      </c>
    </row>
    <row r="156" spans="1:40" ht="14.45" customHeight="1" x14ac:dyDescent="0.25">
      <c r="A156" s="11" t="s">
        <v>297</v>
      </c>
      <c r="O156" s="15" t="s">
        <v>229</v>
      </c>
      <c r="P156" s="15" t="s">
        <v>279</v>
      </c>
      <c r="Q156" s="15" t="s">
        <v>280</v>
      </c>
      <c r="R156" s="15" t="s">
        <v>281</v>
      </c>
    </row>
    <row r="157" spans="1:40" ht="14.45" customHeight="1" x14ac:dyDescent="0.25">
      <c r="A157" s="376" t="s">
        <v>230</v>
      </c>
      <c r="B157" s="376" t="s">
        <v>231</v>
      </c>
      <c r="C157" s="373" t="s">
        <v>283</v>
      </c>
      <c r="D157" s="374"/>
      <c r="E157" s="373" t="s">
        <v>63</v>
      </c>
      <c r="F157" s="374"/>
      <c r="G157" s="373" t="s">
        <v>233</v>
      </c>
      <c r="H157" s="374"/>
      <c r="I157" s="375" t="s">
        <v>234</v>
      </c>
      <c r="J157" s="374"/>
      <c r="K157" s="370" t="s">
        <v>235</v>
      </c>
      <c r="L157" s="371"/>
      <c r="M157" s="373" t="s">
        <v>236</v>
      </c>
      <c r="N157" s="374"/>
      <c r="O157" s="103" t="s">
        <v>237</v>
      </c>
      <c r="P157" s="103" t="s">
        <v>237</v>
      </c>
      <c r="Q157" s="103" t="s">
        <v>237</v>
      </c>
      <c r="R157" s="103" t="s">
        <v>237</v>
      </c>
      <c r="S157" s="373" t="s">
        <v>252</v>
      </c>
      <c r="T157" s="374"/>
      <c r="U157" s="376" t="s">
        <v>254</v>
      </c>
      <c r="V157" s="376"/>
      <c r="W157" s="376"/>
      <c r="X157" s="376"/>
      <c r="Y157" s="376"/>
      <c r="Z157" s="376"/>
      <c r="AA157" s="376"/>
      <c r="AB157" s="376"/>
    </row>
    <row r="158" spans="1:40" ht="45" x14ac:dyDescent="0.25">
      <c r="A158" s="376"/>
      <c r="B158" s="376"/>
      <c r="C158" s="103" t="s">
        <v>215</v>
      </c>
      <c r="D158" s="103" t="s">
        <v>217</v>
      </c>
      <c r="E158" s="103" t="s">
        <v>215</v>
      </c>
      <c r="F158" s="103" t="s">
        <v>217</v>
      </c>
      <c r="G158" s="103" t="s">
        <v>215</v>
      </c>
      <c r="H158" s="103" t="s">
        <v>217</v>
      </c>
      <c r="I158" s="103" t="s">
        <v>216</v>
      </c>
      <c r="J158" s="103" t="s">
        <v>218</v>
      </c>
      <c r="K158" s="103" t="s">
        <v>216</v>
      </c>
      <c r="L158" s="103" t="s">
        <v>218</v>
      </c>
      <c r="M158" s="103" t="s">
        <v>215</v>
      </c>
      <c r="N158" s="103" t="s">
        <v>217</v>
      </c>
      <c r="O158" s="103" t="s">
        <v>240</v>
      </c>
      <c r="P158" s="103" t="s">
        <v>284</v>
      </c>
      <c r="Q158" s="103" t="s">
        <v>285</v>
      </c>
      <c r="R158" s="108" t="s">
        <v>173</v>
      </c>
      <c r="S158" s="103" t="s">
        <v>167</v>
      </c>
      <c r="T158" s="103" t="s">
        <v>286</v>
      </c>
      <c r="U158" s="103" t="s">
        <v>287</v>
      </c>
      <c r="V158" s="103" t="s">
        <v>233</v>
      </c>
      <c r="W158" s="103" t="s">
        <v>232</v>
      </c>
      <c r="X158" s="103" t="s">
        <v>288</v>
      </c>
      <c r="Y158" s="103" t="s">
        <v>289</v>
      </c>
      <c r="Z158" s="103" t="s">
        <v>290</v>
      </c>
      <c r="AA158" s="103" t="s">
        <v>291</v>
      </c>
      <c r="AB158" s="103" t="s">
        <v>292</v>
      </c>
    </row>
    <row r="159" spans="1:40" ht="30" x14ac:dyDescent="0.25">
      <c r="A159" s="1" t="s">
        <v>179</v>
      </c>
      <c r="B159" s="53" t="s">
        <v>298</v>
      </c>
      <c r="C159" s="1">
        <f>+C125/Input!$C$31</f>
        <v>1.4161670193024245</v>
      </c>
      <c r="D159" s="1">
        <f>+D125/Input!$C$31</f>
        <v>1.3904853329188149</v>
      </c>
      <c r="E159" s="1">
        <f>+E125/Input!$C$31</f>
        <v>3.68</v>
      </c>
      <c r="F159" s="1">
        <f>+F125/Input!$C$31</f>
        <v>6.3497943599999995E-2</v>
      </c>
      <c r="G159" s="1">
        <f>+G125/Input!$C$31</f>
        <v>5.6480748251686368</v>
      </c>
      <c r="H159" s="1">
        <f>+H125/Input!$C$31</f>
        <v>0.10710127324599998</v>
      </c>
      <c r="I159" s="1">
        <f>+I125/Input!$C$31</f>
        <v>0.2279467952034375</v>
      </c>
      <c r="J159" s="1">
        <f>+J125/Input!$C$31</f>
        <v>0.19145182729953297</v>
      </c>
      <c r="K159" s="1">
        <f>+K125/Input!$C$31</f>
        <v>15.943578575545564</v>
      </c>
      <c r="L159" s="1">
        <f>+L125/Input!$C$31</f>
        <v>0.51111216100000001</v>
      </c>
      <c r="M159" s="1">
        <f>+M125/Input!$C$31</f>
        <v>21.410262623571857</v>
      </c>
      <c r="N159" s="1">
        <f>+N125/Input!$C$31</f>
        <v>0.16607053698961105</v>
      </c>
      <c r="O159" s="1">
        <f>+O125/Input!$C$31</f>
        <v>18.758062939072442</v>
      </c>
      <c r="P159" s="1">
        <f>+P125/Input!$C$31</f>
        <v>6.958945807000001</v>
      </c>
      <c r="Q159" s="1">
        <f>+Q125/Input!$C$31</f>
        <v>1.0156441108899819</v>
      </c>
      <c r="R159" s="1">
        <f>+R125/Input!$C$31</f>
        <v>0</v>
      </c>
      <c r="S159" s="1">
        <f>+S125/Input!$C$31</f>
        <v>0.64085686014442989</v>
      </c>
      <c r="T159" s="1">
        <f>+T125/Input!$C$31</f>
        <v>1.9096641982</v>
      </c>
      <c r="U159" s="1">
        <f>+U125/Input!$C$31</f>
        <v>-10.435424399999999</v>
      </c>
      <c r="V159" s="1">
        <f>+V125/Input!$C$31</f>
        <v>-19.58956751944017</v>
      </c>
      <c r="W159" s="1">
        <f>+W125/Input!$C$31</f>
        <v>-0.72547501694082206</v>
      </c>
      <c r="X159" s="1">
        <f>+X125/Input!$C$31</f>
        <v>-0.96495648777860554</v>
      </c>
      <c r="Y159" s="1">
        <f>+Y125/Input!$C$31</f>
        <v>-6.3729313622330391E-2</v>
      </c>
      <c r="Z159" s="1">
        <f>+Z125/Input!$C$31</f>
        <v>-0.1168370749742724</v>
      </c>
      <c r="AA159" s="1">
        <f>+AA125/Input!$C$31</f>
        <v>-5.3123637846945178</v>
      </c>
      <c r="AB159" s="1">
        <f>+AB125/Input!$C$31</f>
        <v>-2.8448848551642318</v>
      </c>
    </row>
    <row r="160" spans="1:40" x14ac:dyDescent="0.25">
      <c r="A160" s="148" t="s">
        <v>62</v>
      </c>
      <c r="B160" s="338">
        <f>+SUM(C125:R125)-(SUM(C159:R159)*Input!C31)</f>
        <v>0</v>
      </c>
    </row>
    <row r="166" spans="2:2" x14ac:dyDescent="0.25">
      <c r="B166"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5" x14ac:dyDescent="0.25"/>
  <cols>
    <col min="1" max="1" width="100.7109375" customWidth="1"/>
    <col min="2" max="2" width="47" customWidth="1"/>
    <col min="3" max="3" width="25.28515625" customWidth="1"/>
    <col min="4" max="4" width="26.7109375" customWidth="1"/>
    <col min="5" max="5" width="19.140625" customWidth="1"/>
    <col min="6" max="6" width="18.85546875" customWidth="1"/>
    <col min="7" max="7" width="21.140625" customWidth="1"/>
    <col min="8" max="8" width="17" customWidth="1"/>
    <col min="9" max="9" width="15" customWidth="1"/>
    <col min="10" max="10" width="19.5703125" customWidth="1"/>
    <col min="11" max="11" width="14.85546875" customWidth="1"/>
    <col min="12" max="12" width="15.42578125" customWidth="1"/>
    <col min="13" max="13" width="16.7109375" customWidth="1"/>
    <col min="14" max="14" width="17.42578125" customWidth="1"/>
    <col min="15" max="15" width="18.140625" customWidth="1"/>
    <col min="16" max="16" width="17.85546875" customWidth="1"/>
    <col min="17" max="17" width="19" customWidth="1"/>
    <col min="18" max="18" width="15.42578125" customWidth="1"/>
    <col min="19" max="19" width="19" customWidth="1"/>
    <col min="20" max="20" width="17.7109375" customWidth="1"/>
    <col min="21" max="21" width="18.140625" customWidth="1"/>
    <col min="22" max="22" width="19.7109375" customWidth="1"/>
    <col min="23" max="23" width="17.42578125" customWidth="1"/>
    <col min="24" max="24" width="14.7109375" customWidth="1"/>
    <col min="25" max="25" width="14.5703125" customWidth="1"/>
    <col min="26" max="26" width="13.7109375" customWidth="1"/>
  </cols>
  <sheetData>
    <row r="2" spans="1:23" ht="24" x14ac:dyDescent="0.4">
      <c r="A2" s="100" t="s">
        <v>299</v>
      </c>
    </row>
    <row r="3" spans="1:23" s="15" customFormat="1" ht="100.9" customHeight="1" x14ac:dyDescent="0.25">
      <c r="A3" s="104" t="s">
        <v>300</v>
      </c>
      <c r="B3" s="104" t="s">
        <v>301</v>
      </c>
      <c r="C3" s="103" t="s">
        <v>302</v>
      </c>
      <c r="D3" s="103" t="s">
        <v>61</v>
      </c>
      <c r="E3" s="103" t="s">
        <v>303</v>
      </c>
      <c r="F3" s="103" t="s">
        <v>304</v>
      </c>
      <c r="G3" s="103" t="s">
        <v>305</v>
      </c>
      <c r="H3" s="103" t="s">
        <v>306</v>
      </c>
      <c r="I3" s="103" t="s">
        <v>307</v>
      </c>
      <c r="J3" s="103" t="s">
        <v>308</v>
      </c>
      <c r="K3" s="103" t="s">
        <v>309</v>
      </c>
      <c r="L3" s="103" t="s">
        <v>310</v>
      </c>
      <c r="M3" s="103" t="s">
        <v>311</v>
      </c>
      <c r="N3" s="103" t="s">
        <v>312</v>
      </c>
      <c r="O3" s="103" t="s">
        <v>313</v>
      </c>
      <c r="P3" s="103" t="s">
        <v>314</v>
      </c>
      <c r="Q3" s="103" t="s">
        <v>315</v>
      </c>
      <c r="R3" s="103" t="s">
        <v>316</v>
      </c>
      <c r="S3" s="103" t="s">
        <v>317</v>
      </c>
      <c r="T3" s="103" t="s">
        <v>318</v>
      </c>
      <c r="U3" s="103" t="s">
        <v>319</v>
      </c>
      <c r="V3" s="103" t="s">
        <v>320</v>
      </c>
      <c r="W3" s="103" t="s">
        <v>321</v>
      </c>
    </row>
    <row r="4" spans="1:23" x14ac:dyDescent="0.25">
      <c r="A4" s="6" t="s">
        <v>287</v>
      </c>
      <c r="B4" s="158" t="str">
        <f>Input!A39</f>
        <v>Virgin binder</v>
      </c>
      <c r="C4" s="154">
        <f>+Input!B39*(1-Input!E39)</f>
        <v>1.8000000000000002E-2</v>
      </c>
      <c r="D4" s="158" t="str">
        <f>Input!$C$39</f>
        <v>Conventional_Bitumen</v>
      </c>
      <c r="E4" s="158" cm="1">
        <f t="array" ref="E4">INDEX(LCI!H$2:H$137,MATCH('A1 - Raw Material Supply'!$B4&amp;'A1 - Raw Material Supply'!$D4,LCI!$B2:$B137&amp;LCI!$D2:$D137,0))*$C4</f>
        <v>3.0960000000000005E-2</v>
      </c>
      <c r="F4" s="158" cm="1">
        <f t="array" ref="F4">INDEX(LCI!I$2:I$137,MATCH('A1 - Raw Material Supply'!$B4&amp;'A1 - Raw Material Supply'!$D4,LCI!$B2:$B137&amp;LCI!$D2:$D137,0))*$C4</f>
        <v>9.5400000000000009</v>
      </c>
      <c r="G4" s="158" cm="1">
        <f t="array" ref="G4">INDEX(LCI!J$2:J$137,MATCH('A1 - Raw Material Supply'!$B4&amp;'A1 - Raw Material Supply'!$D4,LCI!$B2:$B137&amp;LCI!$D2:$D137,0))*$C4</f>
        <v>3.7800000000000007E-2</v>
      </c>
      <c r="H4" s="158" cm="1">
        <f t="array" ref="H4">INDEX(LCI!K$2:K$137,MATCH('A1 - Raw Material Supply'!$B4&amp;'A1 - Raw Material Supply'!$D4,LCI!$B2:$B137&amp;LCI!$D2:$D137,0))*$C4</f>
        <v>9.5040000000000013</v>
      </c>
      <c r="I4" s="158" cm="1">
        <f t="array" ref="I4">INDEX(LCI!L$2:L$137,MATCH('A1 - Raw Material Supply'!$B4&amp;'A1 - Raw Material Supply'!$D4,LCI!$B2:$B137&amp;LCI!$D2:$D137,0))*$C4</f>
        <v>4.7700000000000008E-3</v>
      </c>
      <c r="J4" s="158" cm="1">
        <f t="array" ref="J4">INDEX(LCI!M$2:M$137,MATCH('A1 - Raw Material Supply'!$B4&amp;'A1 - Raw Material Supply'!$D4,LCI!$B2:$B137&amp;LCI!$D2:$D137,0))*$C4</f>
        <v>513.00000000000011</v>
      </c>
      <c r="K4" s="158" cm="1">
        <f t="array" ref="K4">INDEX(LCI!N$2:N$137,MATCH('A1 - Raw Material Supply'!$B4&amp;'A1 - Raw Material Supply'!$D4,LCI!$B2:$B137&amp;LCI!$D2:$D137,0))*$C4</f>
        <v>824.40000000000009</v>
      </c>
      <c r="L4" s="158" cm="1">
        <f t="array" ref="L4">INDEX(LCI!O$2:O$137,MATCH('A1 - Raw Material Supply'!$B4&amp;'A1 - Raw Material Supply'!$D4,LCI!$B2:$B137&amp;LCI!$D2:$D137,0))*$C4</f>
        <v>8.0100000000000012E-6</v>
      </c>
      <c r="M4" s="158" cm="1">
        <f t="array" ref="M4">INDEX(LCI!P$2:P$137,MATCH('A1 - Raw Material Supply'!$B4&amp;'A1 - Raw Material Supply'!$D4,LCI!$B2:$B137&amp;LCI!$D2:$D137,0))*$C4</f>
        <v>7.9920000000000008E-3</v>
      </c>
      <c r="N4" s="158" cm="1">
        <f t="array" ref="N4">INDEX(LCI!Q$2:Q$137,MATCH('A1 - Raw Material Supply'!$B4&amp;'A1 - Raw Material Supply'!$D4,LCI!$B2:$B137&amp;LCI!$D2:$D137,0))*$C4</f>
        <v>8.7480000000000016E-2</v>
      </c>
      <c r="O4" s="158" cm="1">
        <f t="array" ref="O4">INDEX(LCI!R$2:R$137,MATCH('A1 - Raw Material Supply'!$B4&amp;'A1 - Raw Material Supply'!$D4,LCI!$B2:$B137&amp;LCI!$D2:$D137,0))*$C4</f>
        <v>8.9280000000000006E-9</v>
      </c>
      <c r="P4" s="158" cm="1">
        <f t="array" ref="P4">INDEX(LCI!S$2:S$137,MATCH('A1 - Raw Material Supply'!$B4&amp;'A1 - Raw Material Supply'!$D4,LCI!$B2:$B137&amp;LCI!$D2:$D137,0))*$C4</f>
        <v>2.5740000000000002E-7</v>
      </c>
      <c r="Q4" s="158" cm="1">
        <f t="array" ref="Q4">INDEX(LCI!T$2:T$137,MATCH('A1 - Raw Material Supply'!$B4&amp;'A1 - Raw Material Supply'!$D4,LCI!$B2:$B137&amp;LCI!$D2:$D137,0))*$C4</f>
        <v>0.13590000000000002</v>
      </c>
      <c r="R4" s="158" cm="1">
        <f t="array" ref="R4">INDEX(LCI!U$2:U$137,MATCH('A1 - Raw Material Supply'!$B4&amp;'A1 - Raw Material Supply'!$D4,LCI!$B2:$B137&amp;LCI!$D2:$D137,0))*$C4</f>
        <v>4.7340000000000009</v>
      </c>
      <c r="S4" s="158" cm="1">
        <f t="array" ref="S4">INDEX(LCI!V$2:V$137,MATCH('A1 - Raw Material Supply'!$B4&amp;'A1 - Raw Material Supply'!$D4,LCI!$B2:$B137&amp;LCI!$D2:$D137,0))*$C4</f>
        <v>1.8360000000000003E-6</v>
      </c>
      <c r="T4" s="158" cm="1">
        <f t="array" ref="T4">INDEX(LCI!W$2:W$137,MATCH('A1 - Raw Material Supply'!$B4&amp;'A1 - Raw Material Supply'!$D4,LCI!$B2:$B137&amp;LCI!$D2:$D137,0))*$C4</f>
        <v>5.9760000000000004E-12</v>
      </c>
      <c r="U4" s="158" cm="1">
        <f t="array" ref="U4">INDEX(LCI!X$2:X$137,MATCH('A1 - Raw Material Supply'!$B4&amp;'A1 - Raw Material Supply'!$D4,LCI!$B2:$B137&amp;LCI!$D2:$D137,0))*$C4</f>
        <v>4.8240000000000003E-7</v>
      </c>
      <c r="V4" s="158" cm="1">
        <f t="array" ref="V4">INDEX(LCI!Y$2:Y$137,MATCH('A1 - Raw Material Supply'!$B4&amp;'A1 - Raw Material Supply'!$D4,LCI!$B2:$B137&amp;LCI!$D2:$D137,0))*$C4</f>
        <v>3.6540000000000003E-2</v>
      </c>
      <c r="W4" s="158" cm="1">
        <f t="array" ref="W4">INDEX(LCI!Z$2:Z$137,MATCH('A1 - Raw Material Supply'!$B4&amp;'A1 - Raw Material Supply'!$D4,LCI!$B2:$B137&amp;LCI!$D2:$D137,0))*$C4</f>
        <v>0.12978000000000001</v>
      </c>
    </row>
    <row r="5" spans="1:23" x14ac:dyDescent="0.25">
      <c r="A5" s="384" t="s">
        <v>232</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25">
      <c r="A6" s="385"/>
      <c r="B6" s="158" t="str">
        <f>Input!A41</f>
        <v>Virgin crushed coarse aggregate 2 (&gt;2 mm)</v>
      </c>
      <c r="C6" s="154">
        <f>+Input!B41*(1-Input!E41)</f>
        <v>0.2</v>
      </c>
      <c r="D6" s="158"/>
      <c r="E6" s="158">
        <f>INDEX(LCI!H$2:H$130,MATCH('A1 - Raw Material Supply'!$B6,LCI!$D$2:$D$130,0))*$C6</f>
        <v>1.0887407060324601E-2</v>
      </c>
      <c r="F6" s="158">
        <f>INDEX(LCI!I$2:I$130,MATCH('A1 - Raw Material Supply'!$B6,LCI!$D$2:$D$130,0))*$C6</f>
        <v>0.56578264038039838</v>
      </c>
      <c r="G6" s="158">
        <f>INDEX(LCI!J$2:J$130,MATCH('A1 - Raw Material Supply'!$B6,LCI!$D$2:$D$130,0))*$C6</f>
        <v>1.7439429263985135E-3</v>
      </c>
      <c r="H6" s="158">
        <f>INDEX(LCI!K$2:K$130,MATCH('A1 - Raw Material Supply'!$B6,LCI!$D$2:$D$130,0))*$C6</f>
        <v>0.56385270855203884</v>
      </c>
      <c r="I6" s="158">
        <f>INDEX(LCI!L$2:L$130,MATCH('A1 - Raw Material Supply'!$B6,LCI!$D$2:$D$130,0))*$C6</f>
        <v>1.8598890196100807E-4</v>
      </c>
      <c r="J6" s="158">
        <f>INDEX(LCI!M$2:M$130,MATCH('A1 - Raw Material Supply'!$B6,LCI!$D$2:$D$130,0))*$C6</f>
        <v>5.5905856853537701</v>
      </c>
      <c r="K6" s="158">
        <f>INDEX(LCI!N$2:N$130,MATCH('A1 - Raw Material Supply'!$B6,LCI!$D$2:$D$130,0))*$C6</f>
        <v>8.016995630990257</v>
      </c>
      <c r="L6" s="158">
        <f>INDEX(LCI!O$2:O$130,MATCH('A1 - Raw Material Supply'!$B6,LCI!$D$2:$D$130,0))*$C6</f>
        <v>4.1805745930978603E-5</v>
      </c>
      <c r="M6" s="158">
        <f>INDEX(LCI!P$2:P$130,MATCH('A1 - Raw Material Supply'!$B6,LCI!$D$2:$D$130,0))*$C6</f>
        <v>3.9108232774926963E-3</v>
      </c>
      <c r="N6" s="158">
        <f>INDEX(LCI!Q$2:Q$130,MATCH('A1 - Raw Material Supply'!$B6,LCI!$D$2:$D$130,0))*$C6</f>
        <v>5.4547396822738285E-2</v>
      </c>
      <c r="O6" s="158">
        <f>INDEX(LCI!R$2:R$130,MATCH('A1 - Raw Material Supply'!$B6,LCI!$D$2:$D$130,0))*$C6</f>
        <v>1.0196306387079595E-10</v>
      </c>
      <c r="P6" s="158">
        <f>INDEX(LCI!S$2:S$130,MATCH('A1 - Raw Material Supply'!$B6,LCI!$D$2:$D$130,0))*$C6</f>
        <v>2.7066965722608819E-9</v>
      </c>
      <c r="Q6" s="158">
        <f>INDEX(LCI!T$2:T$130,MATCH('A1 - Raw Material Supply'!$B6,LCI!$D$2:$D$130,0))*$C6</f>
        <v>2.1388658975982619E-2</v>
      </c>
      <c r="R6" s="158">
        <f>INDEX(LCI!U$2:U$130,MATCH('A1 - Raw Material Supply'!$B6,LCI!$D$2:$D$130,0))*$C6</f>
        <v>6.5938462047127961</v>
      </c>
      <c r="S6" s="158">
        <f>INDEX(LCI!V$2:V$130,MATCH('A1 - Raw Material Supply'!$B6,LCI!$D$2:$D$130,0))*$C6</f>
        <v>1.6398651183744898E-6</v>
      </c>
      <c r="T6" s="158">
        <f>INDEX(LCI!W$2:W$130,MATCH('A1 - Raw Material Supply'!$B6,LCI!$D$2:$D$130,0))*$C6</f>
        <v>9.3260732604521099E-9</v>
      </c>
      <c r="U6" s="158">
        <f>INDEX(LCI!X$2:X$130,MATCH('A1 - Raw Material Supply'!$B6,LCI!$D$2:$D$130,0))*$C6</f>
        <v>1.7632792952403548E-7</v>
      </c>
      <c r="V6" s="158">
        <f>INDEX(LCI!Y$2:Y$130,MATCH('A1 - Raw Material Supply'!$B6,LCI!$D$2:$D$130,0))*$C6</f>
        <v>1.2319191663908565E-2</v>
      </c>
      <c r="W6" s="158">
        <f>INDEX(LCI!Z$2:Z$130,MATCH('A1 - Raw Material Supply'!$B6,LCI!$D$2:$D$130,0))*$C6</f>
        <v>0.80512542629943595</v>
      </c>
    </row>
    <row r="7" spans="1:23" x14ac:dyDescent="0.25">
      <c r="A7" s="385"/>
      <c r="B7" s="158" t="str">
        <f>Input!A42</f>
        <v>Virgin crushed coarse aggregate 3 (&gt;2 mm)</v>
      </c>
      <c r="C7" s="154">
        <f>+Input!B42*(1-Input!E42)</f>
        <v>0.1</v>
      </c>
      <c r="D7" s="158"/>
      <c r="E7" s="158">
        <f>INDEX(LCI!H$2:H$130,MATCH('A1 - Raw Material Supply'!$B7,LCI!$D$2:$D$130,0))*$C7</f>
        <v>5.4437035301623006E-3</v>
      </c>
      <c r="F7" s="158">
        <f>INDEX(LCI!I$2:I$130,MATCH('A1 - Raw Material Supply'!$B7,LCI!$D$2:$D$130,0))*$C7</f>
        <v>0.28289132019019919</v>
      </c>
      <c r="G7" s="158">
        <f>INDEX(LCI!J$2:J$130,MATCH('A1 - Raw Material Supply'!$B7,LCI!$D$2:$D$130,0))*$C7</f>
        <v>8.7197146319925676E-4</v>
      </c>
      <c r="H7" s="158">
        <f>INDEX(LCI!K$2:K$130,MATCH('A1 - Raw Material Supply'!$B7,LCI!$D$2:$D$130,0))*$C7</f>
        <v>0.28192635427601942</v>
      </c>
      <c r="I7" s="158">
        <f>INDEX(LCI!L$2:L$130,MATCH('A1 - Raw Material Supply'!$B7,LCI!$D$2:$D$130,0))*$C7</f>
        <v>9.2994450980504037E-5</v>
      </c>
      <c r="J7" s="158">
        <f>INDEX(LCI!M$2:M$130,MATCH('A1 - Raw Material Supply'!$B7,LCI!$D$2:$D$130,0))*$C7</f>
        <v>2.795292842676885</v>
      </c>
      <c r="K7" s="158">
        <f>INDEX(LCI!N$2:N$130,MATCH('A1 - Raw Material Supply'!$B7,LCI!$D$2:$D$130,0))*$C7</f>
        <v>4.0084978154951285</v>
      </c>
      <c r="L7" s="158">
        <f>INDEX(LCI!O$2:O$130,MATCH('A1 - Raw Material Supply'!$B7,LCI!$D$2:$D$130,0))*$C7</f>
        <v>2.0902872965489302E-5</v>
      </c>
      <c r="M7" s="158">
        <f>INDEX(LCI!P$2:P$130,MATCH('A1 - Raw Material Supply'!$B7,LCI!$D$2:$D$130,0))*$C7</f>
        <v>1.9554116387463481E-3</v>
      </c>
      <c r="N7" s="158">
        <f>INDEX(LCI!Q$2:Q$130,MATCH('A1 - Raw Material Supply'!$B7,LCI!$D$2:$D$130,0))*$C7</f>
        <v>2.7273698411369143E-2</v>
      </c>
      <c r="O7" s="158">
        <f>INDEX(LCI!R$2:R$130,MATCH('A1 - Raw Material Supply'!$B7,LCI!$D$2:$D$130,0))*$C7</f>
        <v>5.0981531935397976E-11</v>
      </c>
      <c r="P7" s="158">
        <f>INDEX(LCI!S$2:S$130,MATCH('A1 - Raw Material Supply'!$B7,LCI!$D$2:$D$130,0))*$C7</f>
        <v>1.3533482861304409E-9</v>
      </c>
      <c r="Q7" s="158">
        <f>INDEX(LCI!T$2:T$130,MATCH('A1 - Raw Material Supply'!$B7,LCI!$D$2:$D$130,0))*$C7</f>
        <v>1.069432948799131E-2</v>
      </c>
      <c r="R7" s="158">
        <f>INDEX(LCI!U$2:U$130,MATCH('A1 - Raw Material Supply'!$B7,LCI!$D$2:$D$130,0))*$C7</f>
        <v>3.2969231023563981</v>
      </c>
      <c r="S7" s="158">
        <f>INDEX(LCI!V$2:V$130,MATCH('A1 - Raw Material Supply'!$B7,LCI!$D$2:$D$130,0))*$C7</f>
        <v>8.1993255918724492E-7</v>
      </c>
      <c r="T7" s="158">
        <f>INDEX(LCI!W$2:W$130,MATCH('A1 - Raw Material Supply'!$B7,LCI!$D$2:$D$130,0))*$C7</f>
        <v>4.663036630226055E-9</v>
      </c>
      <c r="U7" s="158">
        <f>INDEX(LCI!X$2:X$130,MATCH('A1 - Raw Material Supply'!$B7,LCI!$D$2:$D$130,0))*$C7</f>
        <v>8.8163964762017742E-8</v>
      </c>
      <c r="V7" s="158">
        <f>INDEX(LCI!Y$2:Y$130,MATCH('A1 - Raw Material Supply'!$B7,LCI!$D$2:$D$130,0))*$C7</f>
        <v>6.1595958319542827E-3</v>
      </c>
      <c r="W7" s="158">
        <f>INDEX(LCI!Z$2:Z$130,MATCH('A1 - Raw Material Supply'!$B7,LCI!$D$2:$D$130,0))*$C7</f>
        <v>0.40256271314971798</v>
      </c>
    </row>
    <row r="8" spans="1:23" x14ac:dyDescent="0.25">
      <c r="A8" s="385"/>
      <c r="B8" s="158" t="str">
        <f>Input!A43</f>
        <v>Virgin crushed fine aggregate 1 (≤2 mm)</v>
      </c>
      <c r="C8" s="154">
        <f>+Input!B43*(1-Input!E43)</f>
        <v>0.06</v>
      </c>
      <c r="D8" s="158"/>
      <c r="E8" s="158">
        <f>INDEX(LCI!H$2:H$130,MATCH('A1 - Raw Material Supply'!$B8,LCI!$D$2:$D$130,0))*$C8</f>
        <v>3.26622211809738E-3</v>
      </c>
      <c r="F8" s="158">
        <f>INDEX(LCI!I$2:I$130,MATCH('A1 - Raw Material Supply'!$B8,LCI!$D$2:$D$130,0))*$C8</f>
        <v>0.16973479211411951</v>
      </c>
      <c r="G8" s="158">
        <f>INDEX(LCI!J$2:J$130,MATCH('A1 - Raw Material Supply'!$B8,LCI!$D$2:$D$130,0))*$C8</f>
        <v>5.2318287791955408E-4</v>
      </c>
      <c r="H8" s="158">
        <f>INDEX(LCI!K$2:K$130,MATCH('A1 - Raw Material Supply'!$B8,LCI!$D$2:$D$130,0))*$C8</f>
        <v>0.16915581256561163</v>
      </c>
      <c r="I8" s="158">
        <f>INDEX(LCI!L$2:L$130,MATCH('A1 - Raw Material Supply'!$B8,LCI!$D$2:$D$130,0))*$C8</f>
        <v>5.5796670588302416E-5</v>
      </c>
      <c r="J8" s="158">
        <f>INDEX(LCI!M$2:M$130,MATCH('A1 - Raw Material Supply'!$B8,LCI!$D$2:$D$130,0))*$C8</f>
        <v>1.6771757056061309</v>
      </c>
      <c r="K8" s="158">
        <f>INDEX(LCI!N$2:N$130,MATCH('A1 - Raw Material Supply'!$B8,LCI!$D$2:$D$130,0))*$C8</f>
        <v>2.4050986892970769</v>
      </c>
      <c r="L8" s="158">
        <f>INDEX(LCI!O$2:O$130,MATCH('A1 - Raw Material Supply'!$B8,LCI!$D$2:$D$130,0))*$C8</f>
        <v>1.254172377929358E-5</v>
      </c>
      <c r="M8" s="158">
        <f>INDEX(LCI!P$2:P$130,MATCH('A1 - Raw Material Supply'!$B8,LCI!$D$2:$D$130,0))*$C8</f>
        <v>1.1732469832478089E-3</v>
      </c>
      <c r="N8" s="158">
        <f>INDEX(LCI!Q$2:Q$130,MATCH('A1 - Raw Material Supply'!$B8,LCI!$D$2:$D$130,0))*$C8</f>
        <v>1.6364219046821483E-2</v>
      </c>
      <c r="O8" s="158">
        <f>INDEX(LCI!R$2:R$130,MATCH('A1 - Raw Material Supply'!$B8,LCI!$D$2:$D$130,0))*$C8</f>
        <v>3.0588919161238786E-11</v>
      </c>
      <c r="P8" s="158">
        <f>INDEX(LCI!S$2:S$130,MATCH('A1 - Raw Material Supply'!$B8,LCI!$D$2:$D$130,0))*$C8</f>
        <v>8.120089716782645E-10</v>
      </c>
      <c r="Q8" s="158">
        <f>INDEX(LCI!T$2:T$130,MATCH('A1 - Raw Material Supply'!$B8,LCI!$D$2:$D$130,0))*$C8</f>
        <v>6.4165976927947855E-3</v>
      </c>
      <c r="R8" s="158">
        <f>INDEX(LCI!U$2:U$130,MATCH('A1 - Raw Material Supply'!$B8,LCI!$D$2:$D$130,0))*$C8</f>
        <v>1.9781538614138385</v>
      </c>
      <c r="S8" s="158">
        <f>INDEX(LCI!V$2:V$130,MATCH('A1 - Raw Material Supply'!$B8,LCI!$D$2:$D$130,0))*$C8</f>
        <v>4.9195953551234691E-7</v>
      </c>
      <c r="T8" s="158">
        <f>INDEX(LCI!W$2:W$130,MATCH('A1 - Raw Material Supply'!$B8,LCI!$D$2:$D$130,0))*$C8</f>
        <v>2.7978219781356324E-9</v>
      </c>
      <c r="U8" s="158">
        <f>INDEX(LCI!X$2:X$130,MATCH('A1 - Raw Material Supply'!$B8,LCI!$D$2:$D$130,0))*$C8</f>
        <v>5.289837885721064E-8</v>
      </c>
      <c r="V8" s="158">
        <f>INDEX(LCI!Y$2:Y$130,MATCH('A1 - Raw Material Supply'!$B8,LCI!$D$2:$D$130,0))*$C8</f>
        <v>3.6957574991725692E-3</v>
      </c>
      <c r="W8" s="158">
        <f>INDEX(LCI!Z$2:Z$130,MATCH('A1 - Raw Material Supply'!$B8,LCI!$D$2:$D$130,0))*$C8</f>
        <v>0.24153762788983077</v>
      </c>
    </row>
    <row r="9" spans="1:23" x14ac:dyDescent="0.25">
      <c r="A9" s="385"/>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25">
      <c r="A10" s="385"/>
      <c r="B10" s="158" t="str">
        <f>Input!A45</f>
        <v>Virgin crushed fine aggregate 3 (≤2 mm)</v>
      </c>
      <c r="C10" s="154">
        <f>+Input!B45*(1-Input!E45)</f>
        <v>0.03</v>
      </c>
      <c r="D10" s="158"/>
      <c r="E10" s="158">
        <f>INDEX(LCI!H$2:H$130,MATCH('A1 - Raw Material Supply'!$B10,LCI!$D$2:$D$130,0))*$C10</f>
        <v>1.63311105904869E-3</v>
      </c>
      <c r="F10" s="158">
        <f>INDEX(LCI!I$2:I$130,MATCH('A1 - Raw Material Supply'!$B10,LCI!$D$2:$D$130,0))*$C10</f>
        <v>8.4867396057059757E-2</v>
      </c>
      <c r="G10" s="158">
        <f>INDEX(LCI!J$2:J$130,MATCH('A1 - Raw Material Supply'!$B10,LCI!$D$2:$D$130,0))*$C10</f>
        <v>2.6159143895977704E-4</v>
      </c>
      <c r="H10" s="158">
        <f>INDEX(LCI!K$2:K$130,MATCH('A1 - Raw Material Supply'!$B10,LCI!$D$2:$D$130,0))*$C10</f>
        <v>8.4577906282805815E-2</v>
      </c>
      <c r="I10" s="158">
        <f>INDEX(LCI!L$2:L$130,MATCH('A1 - Raw Material Supply'!$B10,LCI!$D$2:$D$130,0))*$C10</f>
        <v>2.7898335294151208E-5</v>
      </c>
      <c r="J10" s="158">
        <f>INDEX(LCI!M$2:M$130,MATCH('A1 - Raw Material Supply'!$B10,LCI!$D$2:$D$130,0))*$C10</f>
        <v>0.83858785280306547</v>
      </c>
      <c r="K10" s="158">
        <f>INDEX(LCI!N$2:N$130,MATCH('A1 - Raw Material Supply'!$B10,LCI!$D$2:$D$130,0))*$C10</f>
        <v>1.2025493446485385</v>
      </c>
      <c r="L10" s="158">
        <f>INDEX(LCI!O$2:O$130,MATCH('A1 - Raw Material Supply'!$B10,LCI!$D$2:$D$130,0))*$C10</f>
        <v>6.2708618896467898E-6</v>
      </c>
      <c r="M10" s="158">
        <f>INDEX(LCI!P$2:P$130,MATCH('A1 - Raw Material Supply'!$B10,LCI!$D$2:$D$130,0))*$C10</f>
        <v>5.8662349162390444E-4</v>
      </c>
      <c r="N10" s="158">
        <f>INDEX(LCI!Q$2:Q$130,MATCH('A1 - Raw Material Supply'!$B10,LCI!$D$2:$D$130,0))*$C10</f>
        <v>8.1821095234107417E-3</v>
      </c>
      <c r="O10" s="158">
        <f>INDEX(LCI!R$2:R$130,MATCH('A1 - Raw Material Supply'!$B10,LCI!$D$2:$D$130,0))*$C10</f>
        <v>1.5294459580619393E-11</v>
      </c>
      <c r="P10" s="158">
        <f>INDEX(LCI!S$2:S$130,MATCH('A1 - Raw Material Supply'!$B10,LCI!$D$2:$D$130,0))*$C10</f>
        <v>4.0600448583913225E-10</v>
      </c>
      <c r="Q10" s="158">
        <f>INDEX(LCI!T$2:T$130,MATCH('A1 - Raw Material Supply'!$B10,LCI!$D$2:$D$130,0))*$C10</f>
        <v>3.2082988463973928E-3</v>
      </c>
      <c r="R10" s="158">
        <f>INDEX(LCI!U$2:U$130,MATCH('A1 - Raw Material Supply'!$B10,LCI!$D$2:$D$130,0))*$C10</f>
        <v>0.98907693070691927</v>
      </c>
      <c r="S10" s="158">
        <f>INDEX(LCI!V$2:V$130,MATCH('A1 - Raw Material Supply'!$B10,LCI!$D$2:$D$130,0))*$C10</f>
        <v>2.4597976775617345E-7</v>
      </c>
      <c r="T10" s="158">
        <f>INDEX(LCI!W$2:W$130,MATCH('A1 - Raw Material Supply'!$B10,LCI!$D$2:$D$130,0))*$C10</f>
        <v>1.3989109890678162E-9</v>
      </c>
      <c r="U10" s="158">
        <f>INDEX(LCI!X$2:X$130,MATCH('A1 - Raw Material Supply'!$B10,LCI!$D$2:$D$130,0))*$C10</f>
        <v>2.644918942860532E-8</v>
      </c>
      <c r="V10" s="158">
        <f>INDEX(LCI!Y$2:Y$130,MATCH('A1 - Raw Material Supply'!$B10,LCI!$D$2:$D$130,0))*$C10</f>
        <v>1.8478787495862846E-3</v>
      </c>
      <c r="W10" s="158">
        <f>INDEX(LCI!Z$2:Z$130,MATCH('A1 - Raw Material Supply'!$B10,LCI!$D$2:$D$130,0))*$C10</f>
        <v>0.12076881394491538</v>
      </c>
    </row>
    <row r="11" spans="1:23" x14ac:dyDescent="0.25">
      <c r="A11" s="385"/>
      <c r="B11" s="158" t="str">
        <f>Input!A46</f>
        <v>Virgin natural fine aggregate 1 (≤2 mm)</v>
      </c>
      <c r="C11" s="154">
        <f>+Input!B46*(1-Input!E46)</f>
        <v>0.02</v>
      </c>
      <c r="D11" s="158"/>
      <c r="E11" s="158">
        <f>INDEX(LCI!H$2:H$130,MATCH('A1 - Raw Material Supply'!$B11,LCI!$D$2:$D$130,0))*$C11</f>
        <v>9.1951717832092846E-4</v>
      </c>
      <c r="F11" s="158">
        <f>INDEX(LCI!I$2:I$130,MATCH('A1 - Raw Material Supply'!$B11,LCI!$D$2:$D$130,0))*$C11</f>
        <v>0.10429695685354917</v>
      </c>
      <c r="G11" s="158">
        <f>INDEX(LCI!J$2:J$130,MATCH('A1 - Raw Material Supply'!$B11,LCI!$D$2:$D$130,0))*$C11</f>
        <v>-2.5091977324742739E-5</v>
      </c>
      <c r="H11" s="158">
        <f>INDEX(LCI!K$2:K$130,MATCH('A1 - Raw Material Supply'!$B11,LCI!$D$2:$D$130,0))*$C11</f>
        <v>0.10430769614106578</v>
      </c>
      <c r="I11" s="158">
        <f>INDEX(LCI!L$2:L$130,MATCH('A1 - Raw Material Supply'!$B11,LCI!$D$2:$D$130,0))*$C11</f>
        <v>1.4352689808176839E-5</v>
      </c>
      <c r="J11" s="158">
        <f>INDEX(LCI!M$2:M$130,MATCH('A1 - Raw Material Supply'!$B11,LCI!$D$2:$D$130,0))*$C11</f>
        <v>8.9073775018459783E-2</v>
      </c>
      <c r="K11" s="158">
        <f>INDEX(LCI!N$2:N$130,MATCH('A1 - Raw Material Supply'!$B11,LCI!$D$2:$D$130,0))*$C11</f>
        <v>1.3556790744497129</v>
      </c>
      <c r="L11" s="158">
        <f>INDEX(LCI!O$2:O$130,MATCH('A1 - Raw Material Supply'!$B11,LCI!$D$2:$D$130,0))*$C11</f>
        <v>4.7041221501855498E-6</v>
      </c>
      <c r="M11" s="158">
        <f>INDEX(LCI!P$2:P$130,MATCH('A1 - Raw Material Supply'!$B11,LCI!$D$2:$D$130,0))*$C11</f>
        <v>4.2198391729194858E-4</v>
      </c>
      <c r="N11" s="158">
        <f>INDEX(LCI!Q$2:Q$130,MATCH('A1 - Raw Material Supply'!$B11,LCI!$D$2:$D$130,0))*$C11</f>
        <v>4.6346425612983737E-3</v>
      </c>
      <c r="O11" s="158">
        <f>INDEX(LCI!R$2:R$130,MATCH('A1 - Raw Material Supply'!$B11,LCI!$D$2:$D$130,0))*$C11</f>
        <v>1.2269377014022887E-11</v>
      </c>
      <c r="P11" s="158">
        <f>INDEX(LCI!S$2:S$130,MATCH('A1 - Raw Material Supply'!$B11,LCI!$D$2:$D$130,0))*$C11</f>
        <v>1.97766227147753E-10</v>
      </c>
      <c r="Q11" s="158">
        <f>INDEX(LCI!T$2:T$130,MATCH('A1 - Raw Material Supply'!$B11,LCI!$D$2:$D$130,0))*$C11</f>
        <v>8.9113495711474371E-4</v>
      </c>
      <c r="R11" s="158">
        <f>INDEX(LCI!U$2:U$130,MATCH('A1 - Raw Material Supply'!$B11,LCI!$D$2:$D$130,0))*$C11</f>
        <v>48.913704461387027</v>
      </c>
      <c r="S11" s="158">
        <f>INDEX(LCI!V$2:V$130,MATCH('A1 - Raw Material Supply'!$B11,LCI!$D$2:$D$130,0))*$C11</f>
        <v>6.6909058847862966E-8</v>
      </c>
      <c r="T11" s="158">
        <f>INDEX(LCI!W$2:W$130,MATCH('A1 - Raw Material Supply'!$B11,LCI!$D$2:$D$130,0))*$C11</f>
        <v>1.5216981243164126E-9</v>
      </c>
      <c r="U11" s="158">
        <f>INDEX(LCI!X$2:X$130,MATCH('A1 - Raw Material Supply'!$B11,LCI!$D$2:$D$130,0))*$C11</f>
        <v>2.5970932120921222E-8</v>
      </c>
      <c r="V11" s="158">
        <f>INDEX(LCI!Y$2:Y$130,MATCH('A1 - Raw Material Supply'!$B11,LCI!$D$2:$D$130,0))*$C11</f>
        <v>1.3827310688951048E-3</v>
      </c>
      <c r="W11" s="158">
        <f>INDEX(LCI!Z$2:Z$130,MATCH('A1 - Raw Material Supply'!$B11,LCI!$D$2:$D$130,0))*$C11</f>
        <v>0.13343229650147481</v>
      </c>
    </row>
    <row r="12" spans="1:23" x14ac:dyDescent="0.25">
      <c r="A12" s="385"/>
      <c r="B12" s="158" t="str">
        <f>Input!A47</f>
        <v>Virgin natural fine aggregate 2 (≤2 mm)</v>
      </c>
      <c r="C12" s="154">
        <f>+Input!B47*(1-Input!E47)</f>
        <v>0.02</v>
      </c>
      <c r="D12" s="158"/>
      <c r="E12" s="158">
        <f>INDEX(LCI!H$2:H$130,MATCH('A1 - Raw Material Supply'!$B12,LCI!$D$2:$D$130,0))*$C12</f>
        <v>9.1951717832092846E-4</v>
      </c>
      <c r="F12" s="158">
        <f>INDEX(LCI!I$2:I$130,MATCH('A1 - Raw Material Supply'!$B12,LCI!$D$2:$D$130,0))*$C12</f>
        <v>0.10429695685354917</v>
      </c>
      <c r="G12" s="158">
        <f>INDEX(LCI!J$2:J$130,MATCH('A1 - Raw Material Supply'!$B12,LCI!$D$2:$D$130,0))*$C12</f>
        <v>-2.5091977324742739E-5</v>
      </c>
      <c r="H12" s="158">
        <f>INDEX(LCI!K$2:K$130,MATCH('A1 - Raw Material Supply'!$B12,LCI!$D$2:$D$130,0))*$C12</f>
        <v>0.10430769614106578</v>
      </c>
      <c r="I12" s="158">
        <f>INDEX(LCI!L$2:L$130,MATCH('A1 - Raw Material Supply'!$B12,LCI!$D$2:$D$130,0))*$C12</f>
        <v>1.4352689808176839E-5</v>
      </c>
      <c r="J12" s="158">
        <f>INDEX(LCI!M$2:M$130,MATCH('A1 - Raw Material Supply'!$B12,LCI!$D$2:$D$130,0))*$C12</f>
        <v>8.9073775018459783E-2</v>
      </c>
      <c r="K12" s="158">
        <f>INDEX(LCI!N$2:N$130,MATCH('A1 - Raw Material Supply'!$B12,LCI!$D$2:$D$130,0))*$C12</f>
        <v>1.3556790744497129</v>
      </c>
      <c r="L12" s="158">
        <f>INDEX(LCI!O$2:O$130,MATCH('A1 - Raw Material Supply'!$B12,LCI!$D$2:$D$130,0))*$C12</f>
        <v>4.7041221501855498E-6</v>
      </c>
      <c r="M12" s="158">
        <f>INDEX(LCI!P$2:P$130,MATCH('A1 - Raw Material Supply'!$B12,LCI!$D$2:$D$130,0))*$C12</f>
        <v>4.2198391729194858E-4</v>
      </c>
      <c r="N12" s="158">
        <f>INDEX(LCI!Q$2:Q$130,MATCH('A1 - Raw Material Supply'!$B12,LCI!$D$2:$D$130,0))*$C12</f>
        <v>4.6346425612983737E-3</v>
      </c>
      <c r="O12" s="158">
        <f>INDEX(LCI!R$2:R$130,MATCH('A1 - Raw Material Supply'!$B12,LCI!$D$2:$D$130,0))*$C12</f>
        <v>1.2269377014022887E-11</v>
      </c>
      <c r="P12" s="158">
        <f>INDEX(LCI!S$2:S$130,MATCH('A1 - Raw Material Supply'!$B12,LCI!$D$2:$D$130,0))*$C12</f>
        <v>1.97766227147753E-10</v>
      </c>
      <c r="Q12" s="158">
        <f>INDEX(LCI!T$2:T$130,MATCH('A1 - Raw Material Supply'!$B12,LCI!$D$2:$D$130,0))*$C12</f>
        <v>8.9113495711474371E-4</v>
      </c>
      <c r="R12" s="158">
        <f>INDEX(LCI!U$2:U$130,MATCH('A1 - Raw Material Supply'!$B12,LCI!$D$2:$D$130,0))*$C12</f>
        <v>48.913704461387027</v>
      </c>
      <c r="S12" s="158">
        <f>INDEX(LCI!V$2:V$130,MATCH('A1 - Raw Material Supply'!$B12,LCI!$D$2:$D$130,0))*$C12</f>
        <v>6.6909058847862966E-8</v>
      </c>
      <c r="T12" s="158">
        <f>INDEX(LCI!W$2:W$130,MATCH('A1 - Raw Material Supply'!$B12,LCI!$D$2:$D$130,0))*$C12</f>
        <v>1.5216981243164126E-9</v>
      </c>
      <c r="U12" s="158">
        <f>INDEX(LCI!X$2:X$130,MATCH('A1 - Raw Material Supply'!$B12,LCI!$D$2:$D$130,0))*$C12</f>
        <v>2.5970932120921222E-8</v>
      </c>
      <c r="V12" s="158">
        <f>INDEX(LCI!Y$2:Y$130,MATCH('A1 - Raw Material Supply'!$B12,LCI!$D$2:$D$130,0))*$C12</f>
        <v>1.3827310688951048E-3</v>
      </c>
      <c r="W12" s="158">
        <f>INDEX(LCI!Z$2:Z$130,MATCH('A1 - Raw Material Supply'!$B12,LCI!$D$2:$D$130,0))*$C12</f>
        <v>0.13343229650147481</v>
      </c>
    </row>
    <row r="13" spans="1:23" x14ac:dyDescent="0.25">
      <c r="A13" s="386"/>
      <c r="B13" s="158" t="str">
        <f>Input!A48</f>
        <v>Virgin natural fine aggregate 3 (≤2 mm)</v>
      </c>
      <c r="C13" s="154">
        <f>+Input!B48*(1-Input!E48)</f>
        <v>0.02</v>
      </c>
      <c r="D13" s="158"/>
      <c r="E13" s="158">
        <f>INDEX(LCI!H$2:H$130,MATCH('A1 - Raw Material Supply'!$B13,LCI!$D$2:$D$130,0))*$C13</f>
        <v>9.1951717832092846E-4</v>
      </c>
      <c r="F13" s="158">
        <f>INDEX(LCI!I$2:I$130,MATCH('A1 - Raw Material Supply'!$B13,LCI!$D$2:$D$130,0))*$C13</f>
        <v>0.10429695685354917</v>
      </c>
      <c r="G13" s="158">
        <f>INDEX(LCI!J$2:J$130,MATCH('A1 - Raw Material Supply'!$B13,LCI!$D$2:$D$130,0))*$C13</f>
        <v>-2.5091977324742739E-5</v>
      </c>
      <c r="H13" s="158">
        <f>INDEX(LCI!K$2:K$130,MATCH('A1 - Raw Material Supply'!$B13,LCI!$D$2:$D$130,0))*$C13</f>
        <v>0.10430769614106578</v>
      </c>
      <c r="I13" s="158">
        <f>INDEX(LCI!L$2:L$130,MATCH('A1 - Raw Material Supply'!$B13,LCI!$D$2:$D$130,0))*$C13</f>
        <v>1.4352689808176839E-5</v>
      </c>
      <c r="J13" s="158">
        <f>INDEX(LCI!M$2:M$130,MATCH('A1 - Raw Material Supply'!$B13,LCI!$D$2:$D$130,0))*$C13</f>
        <v>8.9073775018459783E-2</v>
      </c>
      <c r="K13" s="158">
        <f>INDEX(LCI!N$2:N$130,MATCH('A1 - Raw Material Supply'!$B13,LCI!$D$2:$D$130,0))*$C13</f>
        <v>1.3556790744497129</v>
      </c>
      <c r="L13" s="158">
        <f>INDEX(LCI!O$2:O$130,MATCH('A1 - Raw Material Supply'!$B13,LCI!$D$2:$D$130,0))*$C13</f>
        <v>4.7041221501855498E-6</v>
      </c>
      <c r="M13" s="158">
        <f>INDEX(LCI!P$2:P$130,MATCH('A1 - Raw Material Supply'!$B13,LCI!$D$2:$D$130,0))*$C13</f>
        <v>4.2198391729194858E-4</v>
      </c>
      <c r="N13" s="158">
        <f>INDEX(LCI!Q$2:Q$130,MATCH('A1 - Raw Material Supply'!$B13,LCI!$D$2:$D$130,0))*$C13</f>
        <v>4.6346425612983737E-3</v>
      </c>
      <c r="O13" s="158">
        <f>INDEX(LCI!R$2:R$130,MATCH('A1 - Raw Material Supply'!$B13,LCI!$D$2:$D$130,0))*$C13</f>
        <v>1.2269377014022887E-11</v>
      </c>
      <c r="P13" s="158">
        <f>INDEX(LCI!S$2:S$130,MATCH('A1 - Raw Material Supply'!$B13,LCI!$D$2:$D$130,0))*$C13</f>
        <v>1.97766227147753E-10</v>
      </c>
      <c r="Q13" s="158">
        <f>INDEX(LCI!T$2:T$130,MATCH('A1 - Raw Material Supply'!$B13,LCI!$D$2:$D$130,0))*$C13</f>
        <v>8.9113495711474371E-4</v>
      </c>
      <c r="R13" s="158">
        <f>INDEX(LCI!U$2:U$130,MATCH('A1 - Raw Material Supply'!$B13,LCI!$D$2:$D$130,0))*$C13</f>
        <v>48.913704461387027</v>
      </c>
      <c r="S13" s="158">
        <f>INDEX(LCI!V$2:V$130,MATCH('A1 - Raw Material Supply'!$B13,LCI!$D$2:$D$130,0))*$C13</f>
        <v>6.6909058847862966E-8</v>
      </c>
      <c r="T13" s="158">
        <f>INDEX(LCI!W$2:W$130,MATCH('A1 - Raw Material Supply'!$B13,LCI!$D$2:$D$130,0))*$C13</f>
        <v>1.5216981243164126E-9</v>
      </c>
      <c r="U13" s="158">
        <f>INDEX(LCI!X$2:X$130,MATCH('A1 - Raw Material Supply'!$B13,LCI!$D$2:$D$130,0))*$C13</f>
        <v>2.5970932120921222E-8</v>
      </c>
      <c r="V13" s="158">
        <f>INDEX(LCI!Y$2:Y$130,MATCH('A1 - Raw Material Supply'!$B13,LCI!$D$2:$D$130,0))*$C13</f>
        <v>1.3827310688951048E-3</v>
      </c>
      <c r="W13" s="158">
        <f>INDEX(LCI!Z$2:Z$130,MATCH('A1 - Raw Material Supply'!$B13,LCI!$D$2:$D$130,0))*$C13</f>
        <v>0.13343229650147481</v>
      </c>
    </row>
    <row r="14" spans="1:23" ht="13.9" customHeight="1" x14ac:dyDescent="0.25">
      <c r="A14" s="387" t="s">
        <v>233</v>
      </c>
      <c r="B14" s="158" t="str">
        <f>Input!A49</f>
        <v>Filler 1</v>
      </c>
      <c r="C14" s="154">
        <f>+Input!B49*(1-Input!E49)</f>
        <v>0.01</v>
      </c>
      <c r="D14" s="158" t="str">
        <f>Input!$C$49</f>
        <v>Cement</v>
      </c>
      <c r="E14" s="158" cm="1">
        <f t="array" ref="E14">INDEX(LCI!H$2:H$130,MATCH('A1 - Raw Material Supply'!$B$14&amp;'A1 - Raw Material Supply'!$D$14,LCI!$B$2:$B$130&amp;LCI!$D$2:$D$130,0))*$C14</f>
        <v>1.5571299954632861E-2</v>
      </c>
      <c r="F14" s="158" cm="1">
        <f t="array" ref="F14">INDEX(LCI!I$2:I$130,MATCH('A1 - Raw Material Supply'!$B$14&amp;'A1 - Raw Material Supply'!$D$14,LCI!$B$2:$B$130&amp;LCI!$D$2:$D$130,0))*$C14</f>
        <v>5.4268668583260533</v>
      </c>
      <c r="G14" s="158" cm="1">
        <f t="array" ref="G14">INDEX(LCI!J$2:J$130,MATCH('A1 - Raw Material Supply'!$B$14&amp;'A1 - Raw Material Supply'!$D$14,LCI!$B$2:$B$130&amp;LCI!$D$2:$D$130,0))*$C14</f>
        <v>8.2324044508229305E-2</v>
      </c>
      <c r="H14" s="158" cm="1">
        <f t="array" ref="H14">INDEX(LCI!K$2:K$130,MATCH('A1 - Raw Material Supply'!$B$14&amp;'A1 - Raw Material Supply'!$D$14,LCI!$B$2:$B$130&amp;LCI!$D$2:$D$130,0))*$C14</f>
        <v>5.342164640346299</v>
      </c>
      <c r="I14" s="158" cm="1">
        <f t="array" ref="I14">INDEX(LCI!L$2:L$130,MATCH('A1 - Raw Material Supply'!$B$14&amp;'A1 - Raw Material Supply'!$D$14,LCI!$B$2:$B$130&amp;LCI!$D$2:$D$130,0))*$C14</f>
        <v>2.3781734715254852E-3</v>
      </c>
      <c r="J14" s="158" cm="1">
        <f t="array" ref="J14">INDEX(LCI!M$2:M$130,MATCH('A1 - Raw Material Supply'!$B$14&amp;'A1 - Raw Material Supply'!$D$14,LCI!$B$2:$B$130&amp;LCI!$D$2:$D$130,0))*$C14</f>
        <v>14.7795432666636</v>
      </c>
      <c r="K14" s="158" cm="1">
        <f t="array" ref="K14">INDEX(LCI!N$2:N$130,MATCH('A1 - Raw Material Supply'!$B$14&amp;'A1 - Raw Material Supply'!$D$14,LCI!$B$2:$B$130&amp;LCI!$D$2:$D$130,0))*$C14</f>
        <v>28.636689879787202</v>
      </c>
      <c r="L14" s="158" cm="1">
        <f t="array" ref="L14">INDEX(LCI!O$2:O$130,MATCH('A1 - Raw Material Supply'!$B$14&amp;'A1 - Raw Material Supply'!$D$14,LCI!$B$2:$B$130&amp;LCI!$D$2:$D$130,0))*$C14</f>
        <v>7.6548598240225828E-4</v>
      </c>
      <c r="M14" s="158" cm="1">
        <f t="array" ref="M14">INDEX(LCI!P$2:P$130,MATCH('A1 - Raw Material Supply'!$B$14&amp;'A1 - Raw Material Supply'!$D$14,LCI!$B$2:$B$130&amp;LCI!$D$2:$D$130,0))*$C14</f>
        <v>3.6833250350479141E-3</v>
      </c>
      <c r="N14" s="158" cm="1">
        <f t="array" ref="N14">INDEX(LCI!Q$2:Q$130,MATCH('A1 - Raw Material Supply'!$B$14&amp;'A1 - Raw Material Supply'!$D$14,LCI!$B$2:$B$130&amp;LCI!$D$2:$D$130,0))*$C14</f>
        <v>4.0980067842294347E-2</v>
      </c>
      <c r="O14" s="158" cm="1">
        <f t="array" ref="O14">INDEX(LCI!R$2:R$130,MATCH('A1 - Raw Material Supply'!$B$14&amp;'A1 - Raw Material Supply'!$D$14,LCI!$B$2:$B$130&amp;LCI!$D$2:$D$130,0))*$C14</f>
        <v>6.581714164058433E-10</v>
      </c>
      <c r="P14" s="158" cm="1">
        <f t="array" ref="P14">INDEX(LCI!S$2:S$130,MATCH('A1 - Raw Material Supply'!$B$14&amp;'A1 - Raw Material Supply'!$D$14,LCI!$B$2:$B$130&amp;LCI!$D$2:$D$130,0))*$C14</f>
        <v>3.5583161342702526E-8</v>
      </c>
      <c r="Q14" s="158" cm="1">
        <f t="array" ref="Q14">INDEX(LCI!T$2:T$130,MATCH('A1 - Raw Material Supply'!$B$14&amp;'A1 - Raw Material Supply'!$D$14,LCI!$B$2:$B$130&amp;LCI!$D$2:$D$130,0))*$C14</f>
        <v>0.2340397828553592</v>
      </c>
      <c r="R14" s="158" cm="1">
        <f t="array" ref="R14">INDEX(LCI!U$2:U$130,MATCH('A1 - Raw Material Supply'!$B$14&amp;'A1 - Raw Material Supply'!$D$14,LCI!$B$2:$B$130&amp;LCI!$D$2:$D$130,0))*$C14</f>
        <v>9.1700110375675692</v>
      </c>
      <c r="S14" s="158" cm="1">
        <f t="array" ref="S14">INDEX(LCI!V$2:V$130,MATCH('A1 - Raw Material Supply'!$B$14&amp;'A1 - Raw Material Supply'!$D$14,LCI!$B$2:$B$130&amp;LCI!$D$2:$D$130,0))*$C14</f>
        <v>1.8236823078801278E-5</v>
      </c>
      <c r="T14" s="158" cm="1">
        <f t="array" ref="T14">INDEX(LCI!W$2:W$130,MATCH('A1 - Raw Material Supply'!$B$14&amp;'A1 - Raw Material Supply'!$D$14,LCI!$B$2:$B$130&amp;LCI!$D$2:$D$130,0))*$C14</f>
        <v>2.5862610588193264E-8</v>
      </c>
      <c r="U14" s="158" cm="1">
        <f t="array" ref="U14">INDEX(LCI!X$2:X$130,MATCH('A1 - Raw Material Supply'!$B$14&amp;'A1 - Raw Material Supply'!$D$14,LCI!$B$2:$B$130&amp;LCI!$D$2:$D$130,0))*$C14</f>
        <v>1.2367402836470991E-7</v>
      </c>
      <c r="V14" s="158" cm="1">
        <f t="array" ref="V14">INDEX(LCI!Y$2:Y$130,MATCH('A1 - Raw Material Supply'!$B$14&amp;'A1 - Raw Material Supply'!$D$14,LCI!$B$2:$B$130&amp;LCI!$D$2:$D$130,0))*$C14</f>
        <v>1.1938714276465369E-2</v>
      </c>
      <c r="W14" s="158" cm="1">
        <f t="array" ref="W14">INDEX(LCI!Z$2:Z$130,MATCH('A1 - Raw Material Supply'!$B$14&amp;'A1 - Raw Material Supply'!$D$14,LCI!$B$2:$B$130&amp;LCI!$D$2:$D$130,0))*$C14</f>
        <v>0.55942561497654997</v>
      </c>
    </row>
    <row r="15" spans="1:23" s="24" customFormat="1" ht="13.9" customHeight="1" x14ac:dyDescent="0.25">
      <c r="A15" s="388"/>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45" customHeight="1" x14ac:dyDescent="0.25">
      <c r="A16" s="389" t="s">
        <v>322</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25">
      <c r="A17" s="389"/>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25">
      <c r="A18" s="390" t="s">
        <v>323</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25">
      <c r="A19" s="390"/>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25">
      <c r="A20" s="390" t="s">
        <v>324</v>
      </c>
      <c r="B20" s="158" t="str">
        <f>Input!A55</f>
        <v>Additive 1</v>
      </c>
      <c r="C20" s="154">
        <f>+Input!B55*(1-Input!E55)</f>
        <v>0.02</v>
      </c>
      <c r="D20" s="158" t="str">
        <f>Input!$C$55</f>
        <v>Cellulose_fibres</v>
      </c>
      <c r="E20" s="158" cm="1">
        <f t="array" ref="E20">INDEX(LCI!H$2:H$130,MATCH('A1 - Raw Material Supply'!$B$20&amp;'A1 - Raw Material Supply'!$D$20,LCI!$B$2:$B$130&amp;LCI!$D$2:$D$130,0))*$C$20</f>
        <v>3.1617303944124264E-2</v>
      </c>
      <c r="F20" s="158" cm="1">
        <f t="array" ref="F20">INDEX(LCI!I$2:I$130,MATCH('A1 - Raw Material Supply'!$B$20&amp;'A1 - Raw Material Supply'!$D$20,LCI!$B$2:$B$130&amp;LCI!$D$2:$D$130,0))*$C$20</f>
        <v>3.9650621956855163</v>
      </c>
      <c r="G20" s="158" cm="1">
        <f t="array" ref="G20">INDEX(LCI!J$2:J$130,MATCH('A1 - Raw Material Supply'!$B$20&amp;'A1 - Raw Material Supply'!$D$20,LCI!$B$2:$B$130&amp;LCI!$D$2:$D$130,0))*$C$20</f>
        <v>0.64768551795028251</v>
      </c>
      <c r="H20" s="158" cm="1">
        <f t="array" ref="H20">INDEX(LCI!K$2:K$130,MATCH('A1 - Raw Material Supply'!$B$20&amp;'A1 - Raw Material Supply'!$D$20,LCI!$B$2:$B$130&amp;LCI!$D$2:$D$130,0))*$C$20</f>
        <v>3.314643767220224</v>
      </c>
      <c r="I20" s="158" cm="1">
        <f t="array" ref="I20">INDEX(LCI!L$2:L$130,MATCH('A1 - Raw Material Supply'!$B$20&amp;'A1 - Raw Material Supply'!$D$20,LCI!$B$2:$B$130&amp;LCI!$D$2:$D$130,0))*$C$20</f>
        <v>2.732910515008596E-3</v>
      </c>
      <c r="J20" s="158" cm="1">
        <f t="array" ref="J20">INDEX(LCI!M$2:M$130,MATCH('A1 - Raw Material Supply'!$B$20&amp;'A1 - Raw Material Supply'!$D$20,LCI!$B$2:$B$130&amp;LCI!$D$2:$D$130,0))*$C$20</f>
        <v>16.559907158953788</v>
      </c>
      <c r="K20" s="158" cm="1">
        <f t="array" ref="K20">INDEX(LCI!N$2:N$130,MATCH('A1 - Raw Material Supply'!$B$20&amp;'A1 - Raw Material Supply'!$D$20,LCI!$B$2:$B$130&amp;LCI!$D$2:$D$130,0))*$C$20</f>
        <v>45.769593135824742</v>
      </c>
      <c r="L20" s="158" cm="1">
        <f t="array" ref="L20">INDEX(LCI!O$2:O$130,MATCH('A1 - Raw Material Supply'!$B$20&amp;'A1 - Raw Material Supply'!$D$20,LCI!$B$2:$B$130&amp;LCI!$D$2:$D$130,0))*$C$20</f>
        <v>1.0455421592807453E-3</v>
      </c>
      <c r="M20" s="158" cm="1">
        <f t="array" ref="M20">INDEX(LCI!P$2:P$130,MATCH('A1 - Raw Material Supply'!$B$20&amp;'A1 - Raw Material Supply'!$D$20,LCI!$B$2:$B$130&amp;LCI!$D$2:$D$130,0))*$C$20</f>
        <v>6.2470787853480961E-3</v>
      </c>
      <c r="N20" s="158" cm="1">
        <f t="array" ref="N20">INDEX(LCI!Q$2:Q$130,MATCH('A1 - Raw Material Supply'!$B$20&amp;'A1 - Raw Material Supply'!$D$20,LCI!$B$2:$B$130&amp;LCI!$D$2:$D$130,0))*$C$20</f>
        <v>6.4116555286665267E-2</v>
      </c>
      <c r="O20" s="158" cm="1">
        <f t="array" ref="O20">INDEX(LCI!R$2:R$130,MATCH('A1 - Raw Material Supply'!$B$20&amp;'A1 - Raw Material Supply'!$D$20,LCI!$B$2:$B$130&amp;LCI!$D$2:$D$130,0))*$C$20</f>
        <v>2.0801707930135739E-9</v>
      </c>
      <c r="P20" s="158" cm="1">
        <f t="array" ref="P20">INDEX(LCI!S$2:S$130,MATCH('A1 - Raw Material Supply'!$B$20&amp;'A1 - Raw Material Supply'!$D$20,LCI!$B$2:$B$130&amp;LCI!$D$2:$D$130,0))*$C$20</f>
        <v>9.2094708994056841E-8</v>
      </c>
      <c r="Q20" s="158" cm="1">
        <f t="array" ref="Q20">INDEX(LCI!T$2:T$130,MATCH('A1 - Raw Material Supply'!$B$20&amp;'A1 - Raw Material Supply'!$D$20,LCI!$B$2:$B$130&amp;LCI!$D$2:$D$130,0))*$C$20</f>
        <v>0.6450499652922852</v>
      </c>
      <c r="R20" s="158" cm="1">
        <f t="array" ref="R20">INDEX(LCI!U$2:U$130,MATCH('A1 - Raw Material Supply'!$B$20&amp;'A1 - Raw Material Supply'!$D$20,LCI!$B$2:$B$130&amp;LCI!$D$2:$D$130,0))*$C$20</f>
        <v>17.720097836370336</v>
      </c>
      <c r="S20" s="158" cm="1">
        <f t="array" ref="S20">INDEX(LCI!V$2:V$130,MATCH('A1 - Raw Material Supply'!$B$20&amp;'A1 - Raw Material Supply'!$D$20,LCI!$B$2:$B$130&amp;LCI!$D$2:$D$130,0))*$C$20</f>
        <v>1.2122921902345968E-3</v>
      </c>
      <c r="T20" s="158" cm="1">
        <f t="array" ref="T20">INDEX(LCI!W$2:W$130,MATCH('A1 - Raw Material Supply'!$B$20&amp;'A1 - Raw Material Supply'!$D$20,LCI!$B$2:$B$130&amp;LCI!$D$2:$D$130,0))*$C$20</f>
        <v>4.052565007125072E-8</v>
      </c>
      <c r="U20" s="158" cm="1">
        <f t="array" ref="U20">INDEX(LCI!X$2:X$130,MATCH('A1 - Raw Material Supply'!$B$20&amp;'A1 - Raw Material Supply'!$D$20,LCI!$B$2:$B$130&amp;LCI!$D$2:$D$130,0))*$C$20</f>
        <v>4.2382403795367336E-7</v>
      </c>
      <c r="V20" s="158" cm="1">
        <f t="array" ref="V20">INDEX(LCI!Y$2:Y$130,MATCH('A1 - Raw Material Supply'!$B$20&amp;'A1 - Raw Material Supply'!$D$20,LCI!$B$2:$B$130&amp;LCI!$D$2:$D$130,0))*$C$20</f>
        <v>2.1167156369696079E-2</v>
      </c>
      <c r="W20" s="158" cm="1">
        <f t="array" ref="W20">INDEX(LCI!Z$2:Z$130,MATCH('A1 - Raw Material Supply'!$B$20&amp;'A1 - Raw Material Supply'!$D$20,LCI!$B$2:$B$130&amp;LCI!$D$2:$D$130,0))*$C$20</f>
        <v>2.0012990288499521</v>
      </c>
    </row>
    <row r="21" spans="1:23" x14ac:dyDescent="0.25">
      <c r="A21" s="390"/>
      <c r="B21" s="158" t="str">
        <f>Input!A56</f>
        <v>Additive 2</v>
      </c>
      <c r="C21" s="154">
        <f>+Input!B56*(1-Input!E56)</f>
        <v>0.02</v>
      </c>
      <c r="D21" s="158" t="str">
        <f>Input!$C$56</f>
        <v>Rejuvenator_waxy</v>
      </c>
      <c r="E21" s="158" cm="1">
        <f t="array" ref="E21">INDEX(LCI!H$2:H$130,MATCH('A1 - Raw Material Supply'!$B$21&amp;'A1 - Raw Material Supply'!$D$21,LCI!$B$2:$B$130&amp;LCI!$D$2:$D$130,0))*$C$21</f>
        <v>0.106426764631944</v>
      </c>
      <c r="F21" s="158" cm="1">
        <f t="array" ref="F21">INDEX(LCI!I$2:I$130,MATCH('A1 - Raw Material Supply'!$B$21&amp;'A1 - Raw Material Supply'!$D$21,LCI!$B$2:$B$130&amp;LCI!$D$2:$D$130,0))*$C$21</f>
        <v>13.480138232200826</v>
      </c>
      <c r="G21" s="158" cm="1">
        <f t="array" ref="G21">INDEX(LCI!J$2:J$130,MATCH('A1 - Raw Material Supply'!$B$21&amp;'A1 - Raw Material Supply'!$D$21,LCI!$B$2:$B$130&amp;LCI!$D$2:$D$130,0))*$C$21</f>
        <v>3.890654199595172E-2</v>
      </c>
      <c r="H21" s="158" cm="1">
        <f t="array" ref="H21">INDEX(LCI!K$2:K$130,MATCH('A1 - Raw Material Supply'!$B$21&amp;'A1 - Raw Material Supply'!$D$21,LCI!$B$2:$B$130&amp;LCI!$D$2:$D$130,0))*$C$21</f>
        <v>13.438138453254478</v>
      </c>
      <c r="I21" s="158" cm="1">
        <f t="array" ref="I21">INDEX(LCI!L$2:L$130,MATCH('A1 - Raw Material Supply'!$B$21&amp;'A1 - Raw Material Supply'!$D$21,LCI!$B$2:$B$130&amp;LCI!$D$2:$D$130,0))*$C$21</f>
        <v>3.0932369503940339E-3</v>
      </c>
      <c r="J21" s="158" cm="1">
        <f t="array" ref="J21">INDEX(LCI!M$2:M$130,MATCH('A1 - Raw Material Supply'!$B$21&amp;'A1 - Raw Material Supply'!$D$21,LCI!$B$2:$B$130&amp;LCI!$D$2:$D$130,0))*$C$21</f>
        <v>24.366204366544938</v>
      </c>
      <c r="K21" s="158" cm="1">
        <f t="array" ref="K21">INDEX(LCI!N$2:N$130,MATCH('A1 - Raw Material Supply'!$B$21&amp;'A1 - Raw Material Supply'!$D$21,LCI!$B$2:$B$130&amp;LCI!$D$2:$D$130,0))*$C$21</f>
        <v>1033.5055325212193</v>
      </c>
      <c r="L21" s="158" cm="1">
        <f t="array" ref="L21">INDEX(LCI!O$2:O$130,MATCH('A1 - Raw Material Supply'!$B$21&amp;'A1 - Raw Material Supply'!$D$21,LCI!$B$2:$B$130&amp;LCI!$D$2:$D$130,0))*$C$21</f>
        <v>2.6501851448979602E-3</v>
      </c>
      <c r="M21" s="158" cm="1">
        <f t="array" ref="M21">INDEX(LCI!P$2:P$130,MATCH('A1 - Raw Material Supply'!$B$21&amp;'A1 - Raw Material Supply'!$D$21,LCI!$B$2:$B$130&amp;LCI!$D$2:$D$130,0))*$C$21</f>
        <v>1.9065472746327292E-2</v>
      </c>
      <c r="N21" s="158" cm="1">
        <f t="array" ref="N21">INDEX(LCI!Q$2:Q$130,MATCH('A1 - Raw Material Supply'!$B$21&amp;'A1 - Raw Material Supply'!$D$21,LCI!$B$2:$B$130&amp;LCI!$D$2:$D$130,0))*$C$21</f>
        <v>0.20682312607040881</v>
      </c>
      <c r="O21" s="158" cm="1">
        <f t="array" ref="O21">INDEX(LCI!R$2:R$130,MATCH('A1 - Raw Material Supply'!$B$21&amp;'A1 - Raw Material Supply'!$D$21,LCI!$B$2:$B$130&amp;LCI!$D$2:$D$130,0))*$C$21</f>
        <v>2.5058147796725021E-9</v>
      </c>
      <c r="P21" s="158" cm="1">
        <f t="array" ref="P21">INDEX(LCI!S$2:S$130,MATCH('A1 - Raw Material Supply'!$B$21&amp;'A1 - Raw Material Supply'!$D$21,LCI!$B$2:$B$130&amp;LCI!$D$2:$D$130,0))*$C$21</f>
        <v>1.2185767034309445E-7</v>
      </c>
      <c r="Q21" s="158" cm="1">
        <f t="array" ref="Q21">INDEX(LCI!T$2:T$130,MATCH('A1 - Raw Material Supply'!$B$21&amp;'A1 - Raw Material Supply'!$D$21,LCI!$B$2:$B$130&amp;LCI!$D$2:$D$130,0))*$C$21</f>
        <v>0.33805568657853541</v>
      </c>
      <c r="R21" s="158" cm="1">
        <f t="array" ref="R21">INDEX(LCI!U$2:U$130,MATCH('A1 - Raw Material Supply'!$B$21&amp;'A1 - Raw Material Supply'!$D$21,LCI!$B$2:$B$130&amp;LCI!$D$2:$D$130,0))*$C$21</f>
        <v>36.236117236585464</v>
      </c>
      <c r="S21" s="158" cm="1">
        <f t="array" ref="S21">INDEX(LCI!V$2:V$130,MATCH('A1 - Raw Material Supply'!$B$21&amp;'A1 - Raw Material Supply'!$D$21,LCI!$B$2:$B$130&amp;LCI!$D$2:$D$130,0))*$C$21</f>
        <v>1.5999055545693047E-4</v>
      </c>
      <c r="T21" s="158" cm="1">
        <f t="array" ref="T21">INDEX(LCI!W$2:W$130,MATCH('A1 - Raw Material Supply'!$B$21&amp;'A1 - Raw Material Supply'!$D$21,LCI!$B$2:$B$130&amp;LCI!$D$2:$D$130,0))*$C$21</f>
        <v>1.7616387595459569E-7</v>
      </c>
      <c r="U21" s="158" cm="1">
        <f t="array" ref="U21">INDEX(LCI!X$2:X$130,MATCH('A1 - Raw Material Supply'!$B$21&amp;'A1 - Raw Material Supply'!$D$21,LCI!$B$2:$B$130&amp;LCI!$D$2:$D$130,0))*$C$21</f>
        <v>1.0020906036320172E-6</v>
      </c>
      <c r="V21" s="158" cm="1">
        <f t="array" ref="V21">INDEX(LCI!Y$2:Y$130,MATCH('A1 - Raw Material Supply'!$B$21&amp;'A1 - Raw Material Supply'!$D$21,LCI!$B$2:$B$130&amp;LCI!$D$2:$D$130,0))*$C$21</f>
        <v>7.4060939338008155E-2</v>
      </c>
      <c r="W21" s="158" cm="1">
        <f t="array" ref="W21">INDEX(LCI!Z$2:Z$130,MATCH('A1 - Raw Material Supply'!$B$21&amp;'A1 - Raw Material Supply'!$D$21,LCI!$B$2:$B$130&amp;LCI!$D$2:$D$130,0))*$C$21</f>
        <v>2.1582250315086178</v>
      </c>
    </row>
    <row r="22" spans="1:23" x14ac:dyDescent="0.25">
      <c r="A22" s="390"/>
      <c r="B22" s="158" t="str">
        <f>Input!A57</f>
        <v>Additive 3</v>
      </c>
      <c r="C22" s="154">
        <f>+Input!B57*(1-Input!E57)</f>
        <v>0.02</v>
      </c>
      <c r="D22" s="158" t="str">
        <f>Input!$C$57</f>
        <v>Cellulose_fibres</v>
      </c>
      <c r="E22" s="158" cm="1">
        <f t="array" ref="E22">INDEX(LCI!H$2:H$130,MATCH('A1 - Raw Material Supply'!$B$22&amp;'A1 - Raw Material Supply'!$D$22,LCI!$B$2:$B$130&amp;LCI!$D$2:$D$130,0))*$C$22</f>
        <v>3.1617303944124264E-2</v>
      </c>
      <c r="F22" s="158" cm="1">
        <f t="array" ref="F22">INDEX(LCI!I$2:I$130,MATCH('A1 - Raw Material Supply'!$B$22&amp;'A1 - Raw Material Supply'!$D$22,LCI!$B$2:$B$130&amp;LCI!$D$2:$D$130,0))*$C$22</f>
        <v>3.9650621956855163</v>
      </c>
      <c r="G22" s="158" cm="1">
        <f t="array" ref="G22">INDEX(LCI!J$2:J$130,MATCH('A1 - Raw Material Supply'!$B$22&amp;'A1 - Raw Material Supply'!$D$22,LCI!$B$2:$B$130&amp;LCI!$D$2:$D$130,0))*$C$22</f>
        <v>0.64768551795028251</v>
      </c>
      <c r="H22" s="158" cm="1">
        <f t="array" ref="H22">INDEX(LCI!K$2:K$130,MATCH('A1 - Raw Material Supply'!$B$22&amp;'A1 - Raw Material Supply'!$D$22,LCI!$B$2:$B$130&amp;LCI!$D$2:$D$130,0))*$C$22</f>
        <v>3.314643767220224</v>
      </c>
      <c r="I22" s="158" cm="1">
        <f t="array" ref="I22">INDEX(LCI!L$2:L$130,MATCH('A1 - Raw Material Supply'!$B$22&amp;'A1 - Raw Material Supply'!$D$22,LCI!$B$2:$B$130&amp;LCI!$D$2:$D$130,0))*$C$22</f>
        <v>2.732910515008596E-3</v>
      </c>
      <c r="J22" s="158" cm="1">
        <f t="array" ref="J22">INDEX(LCI!M$2:M$130,MATCH('A1 - Raw Material Supply'!$B$22&amp;'A1 - Raw Material Supply'!$D$22,LCI!$B$2:$B$130&amp;LCI!$D$2:$D$130,0))*$C$22</f>
        <v>16.559907158953788</v>
      </c>
      <c r="K22" s="158" cm="1">
        <f t="array" ref="K22">INDEX(LCI!N$2:N$130,MATCH('A1 - Raw Material Supply'!$B$22&amp;'A1 - Raw Material Supply'!$D$22,LCI!$B$2:$B$130&amp;LCI!$D$2:$D$130,0))*$C$22</f>
        <v>45.769593135824742</v>
      </c>
      <c r="L22" s="158" cm="1">
        <f t="array" ref="L22">INDEX(LCI!O$2:O$130,MATCH('A1 - Raw Material Supply'!$B$22&amp;'A1 - Raw Material Supply'!$D$22,LCI!$B$2:$B$130&amp;LCI!$D$2:$D$130,0))*$C$22</f>
        <v>1.0455421592807453E-3</v>
      </c>
      <c r="M22" s="158" cm="1">
        <f t="array" ref="M22">INDEX(LCI!P$2:P$130,MATCH('A1 - Raw Material Supply'!$B$22&amp;'A1 - Raw Material Supply'!$D$22,LCI!$B$2:$B$130&amp;LCI!$D$2:$D$130,0))*$C$22</f>
        <v>6.2470787853480961E-3</v>
      </c>
      <c r="N22" s="158" cm="1">
        <f t="array" ref="N22">INDEX(LCI!Q$2:Q$130,MATCH('A1 - Raw Material Supply'!$B$22&amp;'A1 - Raw Material Supply'!$D$22,LCI!$B$2:$B$130&amp;LCI!$D$2:$D$130,0))*$C$22</f>
        <v>6.4116555286665267E-2</v>
      </c>
      <c r="O22" s="158" cm="1">
        <f t="array" ref="O22">INDEX(LCI!R$2:R$130,MATCH('A1 - Raw Material Supply'!$B$22&amp;'A1 - Raw Material Supply'!$D$22,LCI!$B$2:$B$130&amp;LCI!$D$2:$D$130,0))*$C$22</f>
        <v>2.0801707930135739E-9</v>
      </c>
      <c r="P22" s="158" cm="1">
        <f t="array" ref="P22">INDEX(LCI!S$2:S$130,MATCH('A1 - Raw Material Supply'!$B$22&amp;'A1 - Raw Material Supply'!$D$22,LCI!$B$2:$B$130&amp;LCI!$D$2:$D$130,0))*$C$22</f>
        <v>9.2094708994056841E-8</v>
      </c>
      <c r="Q22" s="158" cm="1">
        <f t="array" ref="Q22">INDEX(LCI!T$2:T$130,MATCH('A1 - Raw Material Supply'!$B$22&amp;'A1 - Raw Material Supply'!$D$22,LCI!$B$2:$B$130&amp;LCI!$D$2:$D$130,0))*$C$22</f>
        <v>0.6450499652922852</v>
      </c>
      <c r="R22" s="158" cm="1">
        <f t="array" ref="R22">INDEX(LCI!U$2:U$130,MATCH('A1 - Raw Material Supply'!$B$22&amp;'A1 - Raw Material Supply'!$D$22,LCI!$B$2:$B$130&amp;LCI!$D$2:$D$130,0))*$C$22</f>
        <v>17.720097836370336</v>
      </c>
      <c r="S22" s="158" cm="1">
        <f t="array" ref="S22">INDEX(LCI!V$2:V$130,MATCH('A1 - Raw Material Supply'!$B$22&amp;'A1 - Raw Material Supply'!$D$22,LCI!$B$2:$B$130&amp;LCI!$D$2:$D$130,0))*$C$22</f>
        <v>1.2122921902345968E-3</v>
      </c>
      <c r="T22" s="158" cm="1">
        <f t="array" ref="T22">INDEX(LCI!W$2:W$130,MATCH('A1 - Raw Material Supply'!$B$22&amp;'A1 - Raw Material Supply'!$D$22,LCI!$B$2:$B$130&amp;LCI!$D$2:$D$130,0))*$C$22</f>
        <v>4.052565007125072E-8</v>
      </c>
      <c r="U22" s="158" cm="1">
        <f t="array" ref="U22">INDEX(LCI!X$2:X$130,MATCH('A1 - Raw Material Supply'!$B$22&amp;'A1 - Raw Material Supply'!$D$22,LCI!$B$2:$B$130&amp;LCI!$D$2:$D$130,0))*$C$22</f>
        <v>4.2382403795367336E-7</v>
      </c>
      <c r="V22" s="158" cm="1">
        <f t="array" ref="V22">INDEX(LCI!Y$2:Y$130,MATCH('A1 - Raw Material Supply'!$B$22&amp;'A1 - Raw Material Supply'!$D$22,LCI!$B$2:$B$130&amp;LCI!$D$2:$D$130,0))*$C$22</f>
        <v>2.1167156369696079E-2</v>
      </c>
      <c r="W22" s="158" cm="1">
        <f t="array" ref="W22">INDEX(LCI!Z$2:Z$130,MATCH('A1 - Raw Material Supply'!$B$22&amp;'A1 - Raw Material Supply'!$D$22,LCI!$B$2:$B$130&amp;LCI!$D$2:$D$130,0))*$C$22</f>
        <v>2.0012990288499521</v>
      </c>
    </row>
    <row r="23" spans="1:23" x14ac:dyDescent="0.25">
      <c r="A23" s="1" t="s">
        <v>220</v>
      </c>
      <c r="B23" s="158"/>
      <c r="C23" s="158">
        <f>SUM(C4:C22)</f>
        <v>0.54800000000000015</v>
      </c>
      <c r="D23" s="158"/>
      <c r="E23" s="158">
        <f>SUM(E4:E22)</f>
        <v>0.24187406226851998</v>
      </c>
      <c r="F23" s="158">
        <f t="shared" ref="F23:W23" si="0">SUM(F4:F22)</f>
        <v>38.014504468042922</v>
      </c>
      <c r="G23" s="158">
        <f t="shared" si="0"/>
        <v>1.4611768486235639</v>
      </c>
      <c r="H23" s="158">
        <f t="shared" si="0"/>
        <v>36.543410796944997</v>
      </c>
      <c r="I23" s="158">
        <f t="shared" si="0"/>
        <v>1.6486822474357746E-2</v>
      </c>
      <c r="J23" s="158">
        <f t="shared" si="0"/>
        <v>597.12492624816196</v>
      </c>
      <c r="K23" s="158">
        <f t="shared" si="0"/>
        <v>2001.4858275654594</v>
      </c>
      <c r="L23" s="158">
        <f t="shared" si="0"/>
        <v>5.7433188623574605E-3</v>
      </c>
      <c r="M23" s="158">
        <f t="shared" si="0"/>
        <v>5.2510289960571666E-2</v>
      </c>
      <c r="N23" s="158">
        <f t="shared" si="0"/>
        <v>0.5883305606319339</v>
      </c>
      <c r="O23" s="158">
        <f t="shared" si="0"/>
        <v>1.6533547605092685E-8</v>
      </c>
      <c r="P23" s="158">
        <f t="shared" si="0"/>
        <v>6.0663361595430777E-7</v>
      </c>
      <c r="Q23" s="158">
        <f t="shared" si="0"/>
        <v>2.1135857931273501</v>
      </c>
      <c r="R23" s="158">
        <f t="shared" si="0"/>
        <v>246.32171010600609</v>
      </c>
      <c r="S23" s="158">
        <f t="shared" si="0"/>
        <v>2.60869692801093E-3</v>
      </c>
      <c r="T23" s="158">
        <f t="shared" si="0"/>
        <v>3.0866636487153863E-7</v>
      </c>
      <c r="U23" s="158">
        <f t="shared" si="0"/>
        <v>2.8954690389812006E-6</v>
      </c>
      <c r="V23" s="158">
        <f t="shared" si="0"/>
        <v>0.19424447361835889</v>
      </c>
      <c r="W23" s="158">
        <f t="shared" si="0"/>
        <v>9.2820033162187094</v>
      </c>
    </row>
    <row r="26" spans="1:23" ht="24" x14ac:dyDescent="0.4">
      <c r="A26" s="100" t="s">
        <v>325</v>
      </c>
    </row>
    <row r="27" spans="1:23" ht="135" x14ac:dyDescent="0.25">
      <c r="A27" s="104" t="s">
        <v>300</v>
      </c>
      <c r="B27" s="104" t="s">
        <v>301</v>
      </c>
      <c r="C27" s="103" t="s">
        <v>302</v>
      </c>
      <c r="D27" s="103" t="s">
        <v>61</v>
      </c>
      <c r="E27" s="103" t="s">
        <v>303</v>
      </c>
      <c r="F27" s="103" t="s">
        <v>304</v>
      </c>
      <c r="G27" s="103" t="s">
        <v>305</v>
      </c>
      <c r="H27" s="103" t="s">
        <v>306</v>
      </c>
      <c r="I27" s="103" t="s">
        <v>307</v>
      </c>
      <c r="J27" s="103" t="s">
        <v>308</v>
      </c>
      <c r="K27" s="103" t="s">
        <v>309</v>
      </c>
      <c r="L27" s="103" t="s">
        <v>310</v>
      </c>
      <c r="M27" s="103" t="s">
        <v>311</v>
      </c>
      <c r="N27" s="103" t="s">
        <v>312</v>
      </c>
      <c r="O27" s="103" t="s">
        <v>313</v>
      </c>
      <c r="P27" s="103" t="s">
        <v>314</v>
      </c>
      <c r="Q27" s="103" t="s">
        <v>315</v>
      </c>
      <c r="R27" s="103" t="s">
        <v>316</v>
      </c>
      <c r="S27" s="103" t="s">
        <v>317</v>
      </c>
      <c r="T27" s="103" t="s">
        <v>318</v>
      </c>
      <c r="U27" s="103" t="s">
        <v>319</v>
      </c>
      <c r="V27" s="103" t="s">
        <v>320</v>
      </c>
      <c r="W27" s="103" t="s">
        <v>321</v>
      </c>
    </row>
    <row r="28" spans="1:23" ht="13.9" customHeight="1" x14ac:dyDescent="0.25">
      <c r="A28" s="6" t="s">
        <v>287</v>
      </c>
      <c r="B28" s="158" t="s">
        <v>326</v>
      </c>
      <c r="C28" s="154">
        <f>Input!B39*Input!E39</f>
        <v>2E-3</v>
      </c>
      <c r="D28" s="154" t="str">
        <f>Input!$D39</f>
        <v>Binder_bio</v>
      </c>
      <c r="E28" s="154" cm="1">
        <f t="array" ref="E28">_xlfn.IFNA(INDEX(LCI!H$2:H$137,MATCH('A1 - Raw Material Supply'!$B$28&amp;'A1 - Raw Material Supply'!$D$28,LCI!$B$2:$B$137&amp;LCI!$D$2:$D$137,0))*$C28,0)</f>
        <v>1.142E-3</v>
      </c>
      <c r="F28" s="154" cm="1">
        <f t="array" ref="F28">_xlfn.IFNA(INDEX(LCI!I$2:I$137,MATCH('A1 - Raw Material Supply'!$B$28&amp;'A1 - Raw Material Supply'!$D$28,LCI!$B$2:$B$137&amp;LCI!$D$2:$D$137,0))*$C28,0)</f>
        <v>-5.86</v>
      </c>
      <c r="G28" s="154" cm="1">
        <f t="array" ref="G28">_xlfn.IFNA(INDEX(LCI!J$2:J$137,MATCH('A1 - Raw Material Supply'!$B$28&amp;'A1 - Raw Material Supply'!$D$28,LCI!$B$2:$B$137&amp;LCI!$D$2:$D$137,0))*$C28,0)</f>
        <v>-6</v>
      </c>
      <c r="H28" s="154" cm="1">
        <f t="array" ref="H28">_xlfn.IFNA(INDEX(LCI!K$2:K$137,MATCH('A1 - Raw Material Supply'!$B$28&amp;'A1 - Raw Material Supply'!$D$28,LCI!$B$2:$B$137&amp;LCI!$D$2:$D$137,0))*$C28,0)</f>
        <v>0.13800000000000001</v>
      </c>
      <c r="I28" s="154" cm="1">
        <f t="array" ref="I28">_xlfn.IFNA(INDEX(LCI!L$2:L$137,MATCH('A1 - Raw Material Supply'!$B$28&amp;'A1 - Raw Material Supply'!$D$28,LCI!$B$2:$B$137&amp;LCI!$D$2:$D$137,0))*$C28,0)</f>
        <v>4.8000000000000001E-4</v>
      </c>
      <c r="J28" s="154" cm="1">
        <f t="array" ref="J28">_xlfn.IFNA(INDEX(LCI!M$2:M$137,MATCH('A1 - Raw Material Supply'!$B$28&amp;'A1 - Raw Material Supply'!$D$28,LCI!$B$2:$B$137&amp;LCI!$D$2:$D$137,0))*$C28,0)</f>
        <v>11.24</v>
      </c>
      <c r="K28" s="154" cm="1">
        <f t="array" ref="K28">_xlfn.IFNA(INDEX(LCI!N$2:N$137,MATCH('A1 - Raw Material Supply'!$B$28&amp;'A1 - Raw Material Supply'!$D$28,LCI!$B$2:$B$137&amp;LCI!$D$2:$D$137,0))*$C28,0)</f>
        <v>1.23</v>
      </c>
      <c r="L28" s="154" cm="1">
        <f t="array" ref="L28">_xlfn.IFNA(INDEX(LCI!O$2:O$137,MATCH('A1 - Raw Material Supply'!$B$28&amp;'A1 - Raw Material Supply'!$D$28,LCI!$B$2:$B$137&amp;LCI!$D$2:$D$137,0))*$C28,0)</f>
        <v>9.2E-6</v>
      </c>
      <c r="M28" s="154" cm="1">
        <f t="array" ref="M28">_xlfn.IFNA(INDEX(LCI!P$2:P$137,MATCH('A1 - Raw Material Supply'!$B$28&amp;'A1 - Raw Material Supply'!$D$28,LCI!$B$2:$B$137&amp;LCI!$D$2:$D$137,0))*$C28,0)</f>
        <v>2.42E-4</v>
      </c>
      <c r="N28" s="154" cm="1">
        <f t="array" ref="N28">_xlfn.IFNA(INDEX(LCI!Q$2:Q$137,MATCH('A1 - Raw Material Supply'!$B$28&amp;'A1 - Raw Material Supply'!$D$28,LCI!$B$2:$B$137&amp;LCI!$D$2:$D$137,0))*$C28,0)</f>
        <v>2.0600000000000002E-3</v>
      </c>
      <c r="O28" s="154" cm="1">
        <f t="array" ref="O28">_xlfn.IFNA(INDEX(LCI!R$2:R$137,MATCH('A1 - Raw Material Supply'!$B$28&amp;'A1 - Raw Material Supply'!$D$28,LCI!$B$2:$B$137&amp;LCI!$D$2:$D$137,0))*$C28,0)</f>
        <v>9.2599999999999996E-11</v>
      </c>
      <c r="P28" s="154" cm="1">
        <f t="array" ref="P28">_xlfn.IFNA(INDEX(LCI!S$2:S$137,MATCH('A1 - Raw Material Supply'!$B$28&amp;'A1 - Raw Material Supply'!$D$28,LCI!$B$2:$B$137&amp;LCI!$D$2:$D$137,0))*$C28,0)</f>
        <v>5.1599999999999996E-9</v>
      </c>
      <c r="Q28" s="154" cm="1">
        <f t="array" ref="Q28">_xlfn.IFNA(INDEX(LCI!T$2:T$137,MATCH('A1 - Raw Material Supply'!$B$28&amp;'A1 - Raw Material Supply'!$D$28,LCI!$B$2:$B$137&amp;LCI!$D$2:$D$137,0))*$C28,0)</f>
        <v>1.41E-3</v>
      </c>
      <c r="R28" s="154" cm="1">
        <f t="array" ref="R28">_xlfn.IFNA(INDEX(LCI!U$2:U$137,MATCH('A1 - Raw Material Supply'!$B$28&amp;'A1 - Raw Material Supply'!$D$28,LCI!$B$2:$B$137&amp;LCI!$D$2:$D$137,0))*$C28,0)</f>
        <v>0.81800000000000006</v>
      </c>
      <c r="S28" s="154" cm="1">
        <f t="array" ref="S28">_xlfn.IFNA(INDEX(LCI!V$2:V$137,MATCH('A1 - Raw Material Supply'!$B$28&amp;'A1 - Raw Material Supply'!$D$28,LCI!$B$2:$B$137&amp;LCI!$D$2:$D$137,0))*$C28,0)</f>
        <v>1.5200000000000001E-6</v>
      </c>
      <c r="T28" s="154" cm="1">
        <f t="array" ref="T28">_xlfn.IFNA(INDEX(LCI!W$2:W$137,MATCH('A1 - Raw Material Supply'!$B$28&amp;'A1 - Raw Material Supply'!$D$28,LCI!$B$2:$B$137&amp;LCI!$D$2:$D$137,0))*$C28,0)</f>
        <v>4.5000000000000006E-9</v>
      </c>
      <c r="U28" s="154" cm="1">
        <f t="array" ref="U28">_xlfn.IFNA(INDEX(LCI!X$2:X$137,MATCH('A1 - Raw Material Supply'!$B$28&amp;'A1 - Raw Material Supply'!$D$28,LCI!$B$2:$B$137&amp;LCI!$D$2:$D$137,0))*$C28,0)</f>
        <v>9.5600000000000009E-9</v>
      </c>
      <c r="V28" s="154" cm="1">
        <f t="array" ref="V28">_xlfn.IFNA(INDEX(LCI!Y$2:Y$137,MATCH('A1 - Raw Material Supply'!$B$28&amp;'A1 - Raw Material Supply'!$D$28,LCI!$B$2:$B$137&amp;LCI!$D$2:$D$137,0))*$C28,0)</f>
        <v>4.3400000000000003E-4</v>
      </c>
      <c r="W28" s="154" cm="1">
        <f t="array" ref="W28">_xlfn.IFNA(INDEX(LCI!Z$2:Z$137,MATCH('A1 - Raw Material Supply'!$B$28&amp;'A1 - Raw Material Supply'!$D$28,LCI!$B$2:$B$137&amp;LCI!$D$2:$D$137,0))*$C28,0)</f>
        <v>0.1024</v>
      </c>
    </row>
    <row r="29" spans="1:23" x14ac:dyDescent="0.25">
      <c r="A29" s="384" t="s">
        <v>232</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25">
      <c r="A30" s="385"/>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25">
      <c r="A31" s="385"/>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25">
      <c r="A32" s="385"/>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25">
      <c r="A33" s="385"/>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25">
      <c r="A34" s="385"/>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25">
      <c r="A35" s="385"/>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25">
      <c r="A36" s="385"/>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25">
      <c r="A37" s="386"/>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3.9" customHeight="1" x14ac:dyDescent="0.25">
      <c r="A38" s="387" t="s">
        <v>233</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15" customHeight="1" x14ac:dyDescent="0.25">
      <c r="A39" s="388"/>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25">
      <c r="A40" s="389" t="s">
        <v>322</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25">
      <c r="A41" s="389"/>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45" customHeight="1" x14ac:dyDescent="0.25">
      <c r="A42" s="390" t="s">
        <v>323</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25">
      <c r="A43" s="390"/>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25">
      <c r="A44" s="390" t="s">
        <v>324</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25">
      <c r="A45" s="390"/>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25">
      <c r="A46" s="390"/>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25">
      <c r="A47" s="1" t="s">
        <v>220</v>
      </c>
      <c r="B47" s="154"/>
      <c r="C47" s="154">
        <f>SUM(C28:C46)</f>
        <v>2E-3</v>
      </c>
      <c r="D47" s="154"/>
      <c r="E47" s="154">
        <f t="shared" ref="E47:W47" si="1">SUM(E28:E46)</f>
        <v>1.142E-3</v>
      </c>
      <c r="F47" s="154">
        <f t="shared" si="1"/>
        <v>-5.86</v>
      </c>
      <c r="G47" s="154">
        <f t="shared" si="1"/>
        <v>-6</v>
      </c>
      <c r="H47" s="154">
        <f t="shared" si="1"/>
        <v>0.13800000000000001</v>
      </c>
      <c r="I47" s="154">
        <f t="shared" si="1"/>
        <v>4.8000000000000001E-4</v>
      </c>
      <c r="J47" s="154">
        <f t="shared" si="1"/>
        <v>11.24</v>
      </c>
      <c r="K47" s="154">
        <f t="shared" si="1"/>
        <v>1.23</v>
      </c>
      <c r="L47" s="154">
        <f t="shared" si="1"/>
        <v>9.2E-6</v>
      </c>
      <c r="M47" s="154">
        <f t="shared" si="1"/>
        <v>2.42E-4</v>
      </c>
      <c r="N47" s="154">
        <f t="shared" si="1"/>
        <v>2.0600000000000002E-3</v>
      </c>
      <c r="O47" s="154">
        <f t="shared" si="1"/>
        <v>9.2599999999999996E-11</v>
      </c>
      <c r="P47" s="154">
        <f t="shared" si="1"/>
        <v>5.1599999999999996E-9</v>
      </c>
      <c r="Q47" s="154">
        <f t="shared" si="1"/>
        <v>1.41E-3</v>
      </c>
      <c r="R47" s="154">
        <f t="shared" si="1"/>
        <v>0.81800000000000006</v>
      </c>
      <c r="S47" s="154">
        <f t="shared" si="1"/>
        <v>1.5200000000000001E-6</v>
      </c>
      <c r="T47" s="154">
        <f t="shared" si="1"/>
        <v>4.5000000000000006E-9</v>
      </c>
      <c r="U47" s="154">
        <f t="shared" si="1"/>
        <v>9.5600000000000009E-9</v>
      </c>
      <c r="V47" s="154">
        <f t="shared" si="1"/>
        <v>4.3400000000000003E-4</v>
      </c>
      <c r="W47" s="154">
        <f t="shared" si="1"/>
        <v>0.1024</v>
      </c>
    </row>
    <row r="50" spans="1:25" ht="24" x14ac:dyDescent="0.4">
      <c r="A50" s="100" t="s">
        <v>327</v>
      </c>
    </row>
    <row r="51" spans="1:25" x14ac:dyDescent="0.25">
      <c r="A51" t="s">
        <v>328</v>
      </c>
    </row>
    <row r="53" spans="1:25" ht="86.45" customHeight="1" x14ac:dyDescent="0.25">
      <c r="A53" s="376" t="s">
        <v>329</v>
      </c>
      <c r="B53" s="376"/>
      <c r="C53" s="376"/>
      <c r="D53" s="376"/>
      <c r="E53" s="294" t="s">
        <v>303</v>
      </c>
      <c r="F53" s="294" t="s">
        <v>304</v>
      </c>
      <c r="G53" s="294" t="s">
        <v>305</v>
      </c>
      <c r="H53" s="294" t="s">
        <v>306</v>
      </c>
      <c r="I53" s="294" t="s">
        <v>307</v>
      </c>
      <c r="J53" s="294" t="s">
        <v>308</v>
      </c>
      <c r="K53" s="294" t="s">
        <v>309</v>
      </c>
      <c r="L53" s="294" t="s">
        <v>310</v>
      </c>
      <c r="M53" s="294" t="s">
        <v>311</v>
      </c>
      <c r="N53" s="294" t="s">
        <v>312</v>
      </c>
      <c r="O53" s="294" t="s">
        <v>313</v>
      </c>
      <c r="P53" s="294" t="s">
        <v>314</v>
      </c>
      <c r="Q53" s="294" t="s">
        <v>315</v>
      </c>
      <c r="R53" s="294" t="s">
        <v>316</v>
      </c>
      <c r="S53" s="294" t="s">
        <v>317</v>
      </c>
      <c r="T53" s="294" t="s">
        <v>318</v>
      </c>
      <c r="U53" s="294" t="s">
        <v>319</v>
      </c>
      <c r="V53" s="294" t="s">
        <v>320</v>
      </c>
      <c r="W53" s="294" t="s">
        <v>321</v>
      </c>
    </row>
    <row r="54" spans="1:25" x14ac:dyDescent="0.25">
      <c r="A54" s="392" t="s">
        <v>330</v>
      </c>
      <c r="B54" s="392"/>
      <c r="C54" s="392"/>
      <c r="D54" s="392"/>
      <c r="E54" s="154">
        <f>E23+E47</f>
        <v>0.24301606226851999</v>
      </c>
      <c r="F54" s="154">
        <f t="shared" ref="F54:W54" si="2">F23+F47</f>
        <v>32.154504468042923</v>
      </c>
      <c r="G54" s="154">
        <f t="shared" si="2"/>
        <v>-4.5388231513764357</v>
      </c>
      <c r="H54" s="154">
        <f t="shared" si="2"/>
        <v>36.681410796944995</v>
      </c>
      <c r="I54" s="154">
        <f t="shared" si="2"/>
        <v>1.6966822474357747E-2</v>
      </c>
      <c r="J54" s="154">
        <f t="shared" si="2"/>
        <v>608.36492624816196</v>
      </c>
      <c r="K54" s="154">
        <f t="shared" si="2"/>
        <v>2002.7158275654594</v>
      </c>
      <c r="L54" s="154">
        <f t="shared" si="2"/>
        <v>5.7525188623574605E-3</v>
      </c>
      <c r="M54" s="154">
        <f t="shared" si="2"/>
        <v>5.2752289960571665E-2</v>
      </c>
      <c r="N54" s="154">
        <f t="shared" si="2"/>
        <v>0.59039056063193385</v>
      </c>
      <c r="O54" s="154">
        <f t="shared" si="2"/>
        <v>1.6626147605092687E-8</v>
      </c>
      <c r="P54" s="154">
        <f t="shared" si="2"/>
        <v>6.117936159543078E-7</v>
      </c>
      <c r="Q54" s="154">
        <f t="shared" si="2"/>
        <v>2.11499579312735</v>
      </c>
      <c r="R54" s="154">
        <f t="shared" si="2"/>
        <v>247.13971010600611</v>
      </c>
      <c r="S54" s="154">
        <f t="shared" si="2"/>
        <v>2.6102169280109301E-3</v>
      </c>
      <c r="T54" s="154">
        <f t="shared" si="2"/>
        <v>3.1316636487153865E-7</v>
      </c>
      <c r="U54" s="154">
        <f t="shared" si="2"/>
        <v>2.9050290389812007E-6</v>
      </c>
      <c r="V54" s="154">
        <f t="shared" si="2"/>
        <v>0.19467847361835888</v>
      </c>
      <c r="W54" s="154">
        <f t="shared" si="2"/>
        <v>9.3844033162187088</v>
      </c>
    </row>
    <row r="57" spans="1:25" x14ac:dyDescent="0.25">
      <c r="A57" t="s">
        <v>331</v>
      </c>
    </row>
    <row r="59" spans="1:25" x14ac:dyDescent="0.25">
      <c r="E59" s="68"/>
    </row>
    <row r="61" spans="1:25" ht="24" x14ac:dyDescent="0.4">
      <c r="A61" s="100" t="s">
        <v>332</v>
      </c>
    </row>
    <row r="63" spans="1:25" x14ac:dyDescent="0.25">
      <c r="B63" s="370" t="s">
        <v>243</v>
      </c>
      <c r="C63" s="379"/>
      <c r="D63" s="379"/>
      <c r="E63" s="379"/>
      <c r="F63" s="379"/>
      <c r="G63" s="379"/>
      <c r="H63" s="379"/>
      <c r="I63" s="379"/>
      <c r="J63" s="379"/>
      <c r="K63" s="379"/>
      <c r="L63" s="379" t="s">
        <v>333</v>
      </c>
      <c r="M63" s="379"/>
      <c r="N63" s="371"/>
      <c r="O63" s="104" t="s">
        <v>287</v>
      </c>
      <c r="P63" s="370" t="s">
        <v>234</v>
      </c>
      <c r="Q63" s="379"/>
      <c r="R63" s="371"/>
      <c r="S63" s="370" t="s">
        <v>334</v>
      </c>
      <c r="T63" s="379"/>
      <c r="U63" s="371"/>
      <c r="V63" s="372" t="s">
        <v>244</v>
      </c>
      <c r="W63" s="372"/>
      <c r="X63" s="372"/>
      <c r="Y63" s="372"/>
    </row>
    <row r="64" spans="1:25" ht="45" x14ac:dyDescent="0.25">
      <c r="B64" s="103" t="s">
        <v>69</v>
      </c>
      <c r="C64" s="103" t="s">
        <v>71</v>
      </c>
      <c r="D64" s="103" t="s">
        <v>74</v>
      </c>
      <c r="E64" s="103" t="s">
        <v>75</v>
      </c>
      <c r="F64" s="103" t="s">
        <v>78</v>
      </c>
      <c r="G64" s="103" t="s">
        <v>79</v>
      </c>
      <c r="H64" s="103" t="s">
        <v>80</v>
      </c>
      <c r="I64" s="103" t="s">
        <v>84</v>
      </c>
      <c r="J64" s="103" t="s">
        <v>85</v>
      </c>
      <c r="K64" s="103" t="s">
        <v>335</v>
      </c>
      <c r="L64" s="104" t="s">
        <v>336</v>
      </c>
      <c r="M64" s="104" t="s">
        <v>337</v>
      </c>
      <c r="N64" s="104" t="s">
        <v>338</v>
      </c>
      <c r="O64" s="104" t="s">
        <v>220</v>
      </c>
      <c r="P64" s="249" t="s">
        <v>92</v>
      </c>
      <c r="Q64" s="249" t="s">
        <v>93</v>
      </c>
      <c r="R64" s="249" t="s">
        <v>339</v>
      </c>
      <c r="S64" s="104" t="s">
        <v>340</v>
      </c>
      <c r="T64" s="104" t="s">
        <v>341</v>
      </c>
      <c r="U64" s="104" t="s">
        <v>342</v>
      </c>
      <c r="V64" s="104" t="s">
        <v>100</v>
      </c>
      <c r="W64" s="104" t="s">
        <v>104</v>
      </c>
      <c r="X64" s="104" t="s">
        <v>106</v>
      </c>
      <c r="Y64" s="104" t="s">
        <v>343</v>
      </c>
    </row>
    <row r="65" spans="1:25" x14ac:dyDescent="0.25">
      <c r="A65" s="1" t="s">
        <v>344</v>
      </c>
      <c r="B65" s="158">
        <f>INDEX(LCI!H$2:H$130,MATCH('A1 - Raw Material Supply'!$B5,LCI!$D$2:$D$130,0))*$C5</f>
        <v>0</v>
      </c>
      <c r="C65" s="158">
        <f>INDEX(LCI!H$2:H$130,MATCH('A1 - Raw Material Supply'!$B6,LCI!$D$2:$D$130,0))*$C6</f>
        <v>1.0887407060324601E-2</v>
      </c>
      <c r="D65" s="158">
        <f>INDEX(LCI!H$2:H$130,MATCH('A1 - Raw Material Supply'!$B7,LCI!$D$2:$D$130,0))*$C7</f>
        <v>5.4437035301623006E-3</v>
      </c>
      <c r="E65" s="158">
        <f>INDEX(LCI!H$2:H$130,MATCH('A1 - Raw Material Supply'!$B8,LCI!$D$2:$D$130,0))*$C8</f>
        <v>3.26622211809738E-3</v>
      </c>
      <c r="F65" s="158">
        <f>INDEX(LCI!H$2:H$130,MATCH('A1 - Raw Material Supply'!$B9,LCI!$D$2:$D$130,0))*$C9</f>
        <v>0</v>
      </c>
      <c r="G65" s="158">
        <f>INDEX(LCI!H$2:H$130,MATCH('A1 - Raw Material Supply'!$B10,LCI!$D$2:$D$130,0))*$C10</f>
        <v>1.63311105904869E-3</v>
      </c>
      <c r="H65" s="158">
        <f>INDEX(LCI!H$2:H$130,MATCH('A1 - Raw Material Supply'!$B11,LCI!$D$2:$D$130,0))*$C11</f>
        <v>9.1951717832092846E-4</v>
      </c>
      <c r="I65" s="158">
        <f>INDEX(LCI!H$2:H$130,MATCH('A1 - Raw Material Supply'!$B12,LCI!$D$2:$D$130,0))*$C12</f>
        <v>9.1951717832092846E-4</v>
      </c>
      <c r="J65" s="158">
        <f>INDEX(LCI!H$2:H$130,MATCH('A1 - Raw Material Supply'!$B13,LCI!$D$2:$D$130,0))*$C13</f>
        <v>9.1951717832092846E-4</v>
      </c>
      <c r="K65" s="154">
        <f>SUM(B65:J65)</f>
        <v>2.398899530259576E-2</v>
      </c>
      <c r="L65" s="158" cm="1">
        <f t="array" ref="L65">INDEX(LCI!H$2:H$130,MATCH('A1 - Raw Material Supply'!$B$14&amp;'A1 - Raw Material Supply'!$D$14,LCI!$B$2:$B$130&amp;LCI!$D$2:$D$130,0))*$C14</f>
        <v>1.5571299954632861E-2</v>
      </c>
      <c r="M65" s="158" cm="1">
        <f t="array" ref="M65">INDEX(LCI!H$2:H$130,MATCH('A1 - Raw Material Supply'!$B$15&amp;'A1 - Raw Material Supply'!$D$15,LCI!$B$2:$B$130&amp;LCI!$D$2:$D$130,0))*$C15</f>
        <v>1.6923944910988309E-3</v>
      </c>
      <c r="N65" s="154">
        <f>L65+M65</f>
        <v>1.7263694445731691E-2</v>
      </c>
      <c r="O65" s="158" cm="1">
        <f t="array" ref="O65">INDEX(LCI!H$2:H$137,MATCH('A1 - Raw Material Supply'!$B4&amp;'A1 - Raw Material Supply'!$D4,LCI!$B2:$B137&amp;LCI!$D2:$D137,0))*$C4</f>
        <v>3.0960000000000005E-2</v>
      </c>
      <c r="P65" s="159"/>
      <c r="Q65" s="159"/>
      <c r="R65" s="154"/>
      <c r="S65" s="158"/>
      <c r="T65" s="158"/>
      <c r="U65" s="154"/>
      <c r="V65" s="158" cm="1">
        <f t="array" ref="V65">INDEX(LCI!H$2:H$130,MATCH('A1 - Raw Material Supply'!$B$20&amp;'A1 - Raw Material Supply'!$D$20,LCI!$B$2:$B$130&amp;LCI!$D$2:$D$130,0))*$C$20</f>
        <v>3.1617303944124264E-2</v>
      </c>
      <c r="W65" s="158" cm="1">
        <f t="array" ref="W65">INDEX(LCI!H$2:H$130,MATCH('A1 - Raw Material Supply'!$B$21&amp;'A1 - Raw Material Supply'!$D$21,LCI!$B$2:$B$130&amp;LCI!$D$2:$D$130,0))*$C$21</f>
        <v>0.106426764631944</v>
      </c>
      <c r="X65" s="158" cm="1">
        <f t="array" ref="X65">INDEX(LCI!H$2:H$130,MATCH('A1 - Raw Material Supply'!$B$22&amp;'A1 - Raw Material Supply'!$D$22,LCI!$B$2:$B$130&amp;LCI!$D$2:$D$130,0))*$C$22</f>
        <v>3.1617303944124264E-2</v>
      </c>
      <c r="Y65" s="154">
        <f>V65+W65+X65</f>
        <v>0.16966137252019253</v>
      </c>
    </row>
    <row r="66" spans="1:25" x14ac:dyDescent="0.25">
      <c r="A66" s="1" t="s">
        <v>304</v>
      </c>
      <c r="B66" s="158">
        <f>INDEX(LCI!I$2:I$130,MATCH('A1 - Raw Material Supply'!$B5,LCI!$D$2:$D$130,0))*$C5</f>
        <v>0</v>
      </c>
      <c r="C66" s="158">
        <f>INDEX(LCI!I$2:I$130,MATCH('A1 - Raw Material Supply'!$B6,LCI!$D$2:$D$130,0))*$C6</f>
        <v>0.56578264038039838</v>
      </c>
      <c r="D66" s="158">
        <f>INDEX(LCI!I$2:I$130,MATCH('A1 - Raw Material Supply'!$B7,LCI!$D$2:$D$130,0))*$C7</f>
        <v>0.28289132019019919</v>
      </c>
      <c r="E66" s="158">
        <f>INDEX(LCI!I$2:I$130,MATCH('A1 - Raw Material Supply'!$B8,LCI!$D$2:$D$130,0))*$C8</f>
        <v>0.16973479211411951</v>
      </c>
      <c r="F66" s="158">
        <f>INDEX(LCI!I$2:I$130,MATCH('A1 - Raw Material Supply'!$B9,LCI!$D$2:$D$130,0))*$C9</f>
        <v>0</v>
      </c>
      <c r="G66" s="158">
        <f>INDEX(LCI!I$2:I$130,MATCH('A1 - Raw Material Supply'!$B10,LCI!$D$2:$D$130,0))*$C10</f>
        <v>8.4867396057059757E-2</v>
      </c>
      <c r="H66" s="158">
        <f>INDEX(LCI!I$2:I$130,MATCH('A1 - Raw Material Supply'!$B11,LCI!$D$2:$D$130,0))*$C11</f>
        <v>0.10429695685354917</v>
      </c>
      <c r="I66" s="158">
        <f>INDEX(LCI!I$2:I$130,MATCH('A1 - Raw Material Supply'!$B12,LCI!$D$2:$D$130,0))*$C12</f>
        <v>0.10429695685354917</v>
      </c>
      <c r="J66" s="158">
        <f>INDEX(LCI!I$2:I$130,MATCH('A1 - Raw Material Supply'!$B13,LCI!$D$2:$D$130,0))*$C13</f>
        <v>0.10429695685354917</v>
      </c>
      <c r="K66" s="154">
        <f t="shared" ref="K66:K83" si="3">SUM(B66:J66)</f>
        <v>1.4161670193024245</v>
      </c>
      <c r="L66" s="158" cm="1">
        <f t="array" ref="L66">INDEX(LCI!I$2:I$130,MATCH('A1 - Raw Material Supply'!$B$14&amp;'A1 - Raw Material Supply'!$D$14,LCI!$B$2:$B$130&amp;LCI!$D$2:$D$130,0))*$C14</f>
        <v>5.4268668583260533</v>
      </c>
      <c r="M66" s="158" cm="1">
        <f t="array" ref="M66">INDEX(LCI!I$2:I$130,MATCH('A1 - Raw Material Supply'!$B$15&amp;'A1 - Raw Material Supply'!$D$15,LCI!$B$2:$B$130&amp;LCI!$D$2:$D$130,0))*$C15</f>
        <v>0.22120796684258343</v>
      </c>
      <c r="N66" s="154">
        <f t="shared" ref="N66:N83" si="4">L66+M66</f>
        <v>5.6480748251686368</v>
      </c>
      <c r="O66" s="158" cm="1">
        <f t="array" ref="O66">INDEX(LCI!I$2:I$137,MATCH('A1 - Raw Material Supply'!$B4&amp;'A1 - Raw Material Supply'!$D4,LCI!$B2:$B137&amp;LCI!$D2:$D137,0))*$C4</f>
        <v>9.5400000000000009</v>
      </c>
      <c r="P66" s="159"/>
      <c r="Q66" s="159"/>
      <c r="R66" s="154"/>
      <c r="S66" s="158"/>
      <c r="T66" s="158"/>
      <c r="U66" s="154"/>
      <c r="V66" s="158" cm="1">
        <f t="array" ref="V66">INDEX(LCI!I$2:I$130,MATCH('A1 - Raw Material Supply'!$B$20&amp;'A1 - Raw Material Supply'!$D$20,LCI!$B$2:$B$130&amp;LCI!$D$2:$D$130,0))*$C$20</f>
        <v>3.9650621956855163</v>
      </c>
      <c r="W66" s="158" cm="1">
        <f t="array" ref="W66">INDEX(LCI!I$2:I$130,MATCH('A1 - Raw Material Supply'!$B$21&amp;'A1 - Raw Material Supply'!$D$21,LCI!$B$2:$B$130&amp;LCI!$D$2:$D$130,0))*$C$21</f>
        <v>13.480138232200826</v>
      </c>
      <c r="X66" s="158" cm="1">
        <f t="array" ref="X66">INDEX(LCI!I$2:I$130,MATCH('A1 - Raw Material Supply'!$B$22&amp;'A1 - Raw Material Supply'!$D$22,LCI!$B$2:$B$130&amp;LCI!$D$2:$D$130,0))*$C$22</f>
        <v>3.9650621956855163</v>
      </c>
      <c r="Y66" s="154">
        <f t="shared" ref="Y66:Y83" si="5">V66+W66+X66</f>
        <v>21.410262623571857</v>
      </c>
    </row>
    <row r="67" spans="1:25" x14ac:dyDescent="0.25">
      <c r="A67" s="1" t="s">
        <v>305</v>
      </c>
      <c r="B67" s="158">
        <f>INDEX(LCI!J$2:J$130,MATCH('A1 - Raw Material Supply'!$B5,LCI!$D$2:$D$130,0))*$C5</f>
        <v>0</v>
      </c>
      <c r="C67" s="158">
        <f>INDEX(LCI!J$2:J$130,MATCH('A1 - Raw Material Supply'!$B6,LCI!$D$2:$D$130,0))*$C6</f>
        <v>1.7439429263985135E-3</v>
      </c>
      <c r="D67" s="158">
        <f>INDEX(LCI!J$2:J$130,MATCH('A1 - Raw Material Supply'!$B7,LCI!$D$2:$D$130,0))*$C7</f>
        <v>8.7197146319925676E-4</v>
      </c>
      <c r="E67" s="158">
        <f>INDEX(LCI!J$2:J$130,MATCH('A1 - Raw Material Supply'!$B8,LCI!$D$2:$D$130,0))*$C8</f>
        <v>5.2318287791955408E-4</v>
      </c>
      <c r="F67" s="158">
        <f>INDEX(LCI!J$2:J$130,MATCH('A1 - Raw Material Supply'!$B9,LCI!$D$2:$D$130,0))*$C9</f>
        <v>0</v>
      </c>
      <c r="G67" s="158">
        <f>INDEX(LCI!J$2:J$130,MATCH('A1 - Raw Material Supply'!$B10,LCI!$D$2:$D$130,0))*$C10</f>
        <v>2.6159143895977704E-4</v>
      </c>
      <c r="H67" s="158">
        <f>INDEX(LCI!J$2:J$130,MATCH('A1 - Raw Material Supply'!$B11,LCI!$D$2:$D$130,0))*$C11</f>
        <v>-2.5091977324742739E-5</v>
      </c>
      <c r="I67" s="158">
        <f>INDEX(LCI!J$2:J$130,MATCH('A1 - Raw Material Supply'!$B12,LCI!$D$2:$D$130,0))*$C12</f>
        <v>-2.5091977324742739E-5</v>
      </c>
      <c r="J67" s="158">
        <f>INDEX(LCI!J$2:J$130,MATCH('A1 - Raw Material Supply'!$B13,LCI!$D$2:$D$130,0))*$C13</f>
        <v>-2.5091977324742739E-5</v>
      </c>
      <c r="K67" s="154">
        <f t="shared" si="3"/>
        <v>3.3254127745028727E-3</v>
      </c>
      <c r="L67" s="158" cm="1">
        <f t="array" ref="L67">INDEX(LCI!J$2:J$130,MATCH('A1 - Raw Material Supply'!$B$14&amp;'A1 - Raw Material Supply'!$D$14,LCI!$B$2:$B$130&amp;LCI!$D$2:$D$130,0))*$C14</f>
        <v>8.2324044508229305E-2</v>
      </c>
      <c r="M67" s="158" cm="1">
        <f t="array" ref="M67">INDEX(LCI!J$2:J$130,MATCH('A1 - Raw Material Supply'!$B$15&amp;'A1 - Raw Material Supply'!$D$15,LCI!$B$2:$B$130&amp;LCI!$D$2:$D$130,0))*$C15</f>
        <v>3.4498134443150508E-3</v>
      </c>
      <c r="N67" s="154">
        <f t="shared" si="4"/>
        <v>8.5773857952544358E-2</v>
      </c>
      <c r="O67" s="158" cm="1">
        <f t="array" ref="O67">INDEX(LCI!J$2:J$137,MATCH('A1 - Raw Material Supply'!$B4&amp;'A1 - Raw Material Supply'!$D4,LCI!$B2:$B137&amp;LCI!$D2:$D137,0))*$C4</f>
        <v>3.7800000000000007E-2</v>
      </c>
      <c r="P67" s="159"/>
      <c r="Q67" s="159"/>
      <c r="R67" s="154"/>
      <c r="S67" s="158"/>
      <c r="T67" s="158"/>
      <c r="U67" s="154"/>
      <c r="V67" s="158" cm="1">
        <f t="array" ref="V67">INDEX(LCI!J$2:J$130,MATCH('A1 - Raw Material Supply'!$B$20&amp;'A1 - Raw Material Supply'!$D$20,LCI!$B$2:$B$130&amp;LCI!$D$2:$D$130,0))*$C$20</f>
        <v>0.64768551795028251</v>
      </c>
      <c r="W67" s="158" cm="1">
        <f t="array" ref="W67">INDEX(LCI!J$2:J$130,MATCH('A1 - Raw Material Supply'!$B$21&amp;'A1 - Raw Material Supply'!$D$21,LCI!$B$2:$B$130&amp;LCI!$D$2:$D$130,0))*$C$21</f>
        <v>3.890654199595172E-2</v>
      </c>
      <c r="X67" s="158" cm="1">
        <f t="array" ref="X67">INDEX(LCI!J$2:J$130,MATCH('A1 - Raw Material Supply'!$B$22&amp;'A1 - Raw Material Supply'!$D$22,LCI!$B$2:$B$130&amp;LCI!$D$2:$D$130,0))*$C$22</f>
        <v>0.64768551795028251</v>
      </c>
      <c r="Y67" s="154">
        <f t="shared" si="5"/>
        <v>1.3342775778965166</v>
      </c>
    </row>
    <row r="68" spans="1:25" x14ac:dyDescent="0.25">
      <c r="A68" s="1" t="s">
        <v>306</v>
      </c>
      <c r="B68" s="158">
        <f>INDEX(LCI!K$2:K$130,MATCH('A1 - Raw Material Supply'!$B5,LCI!$D$2:$D$130,0))*$C5</f>
        <v>0</v>
      </c>
      <c r="C68" s="158">
        <f>INDEX(LCI!K$2:K$130,MATCH('A1 - Raw Material Supply'!$B6,LCI!$D$2:$D$130,0))*$C6</f>
        <v>0.56385270855203884</v>
      </c>
      <c r="D68" s="158">
        <f>INDEX(LCI!K$2:K$130,MATCH('A1 - Raw Material Supply'!$B7,LCI!$D$2:$D$130,0))*$C7</f>
        <v>0.28192635427601942</v>
      </c>
      <c r="E68" s="158">
        <f>INDEX(LCI!K$2:K$130,MATCH('A1 - Raw Material Supply'!$B8,LCI!$D$2:$D$130,0))*$C8</f>
        <v>0.16915581256561163</v>
      </c>
      <c r="F68" s="158">
        <f>INDEX(LCI!K$2:K$130,MATCH('A1 - Raw Material Supply'!$B9,LCI!$D$2:$D$130,0))*$C9</f>
        <v>0</v>
      </c>
      <c r="G68" s="158">
        <f>INDEX(LCI!K$2:K$130,MATCH('A1 - Raw Material Supply'!$B10,LCI!$D$2:$D$130,0))*$C10</f>
        <v>8.4577906282805815E-2</v>
      </c>
      <c r="H68" s="158">
        <f>INDEX(LCI!K$2:K$130,MATCH('A1 - Raw Material Supply'!$B11,LCI!$D$2:$D$130,0))*$C11</f>
        <v>0.10430769614106578</v>
      </c>
      <c r="I68" s="158">
        <f>INDEX(LCI!K$2:K$130,MATCH('A1 - Raw Material Supply'!$B12,LCI!$D$2:$D$130,0))*$C12</f>
        <v>0.10430769614106578</v>
      </c>
      <c r="J68" s="158">
        <f>INDEX(LCI!K$2:K$130,MATCH('A1 - Raw Material Supply'!$B13,LCI!$D$2:$D$130,0))*$C13</f>
        <v>0.10430769614106578</v>
      </c>
      <c r="K68" s="154">
        <f t="shared" si="3"/>
        <v>1.4124358700996731</v>
      </c>
      <c r="L68" s="158" cm="1">
        <f t="array" ref="L68">INDEX(LCI!K$2:K$130,MATCH('A1 - Raw Material Supply'!$B$14&amp;'A1 - Raw Material Supply'!$D$14,LCI!$B$2:$B$130&amp;LCI!$D$2:$D$130,0))*$C14</f>
        <v>5.342164640346299</v>
      </c>
      <c r="M68" s="158" cm="1">
        <f t="array" ref="M68">INDEX(LCI!K$2:K$130,MATCH('A1 - Raw Material Supply'!$B$15&amp;'A1 - Raw Material Supply'!$D$15,LCI!$B$2:$B$130&amp;LCI!$D$2:$D$130,0))*$C15</f>
        <v>0.21738429880409579</v>
      </c>
      <c r="N68" s="154">
        <f t="shared" si="4"/>
        <v>5.5595489391503952</v>
      </c>
      <c r="O68" s="158" cm="1">
        <f t="array" ref="O68">INDEX(LCI!K$2:K$137,MATCH('A1 - Raw Material Supply'!$B4&amp;'A1 - Raw Material Supply'!$D4,LCI!$B2:$B137&amp;LCI!$D2:$D137,0))*$C4</f>
        <v>9.5040000000000013</v>
      </c>
      <c r="P68" s="159"/>
      <c r="Q68" s="159"/>
      <c r="R68" s="154"/>
      <c r="S68" s="158"/>
      <c r="T68" s="158"/>
      <c r="U68" s="154"/>
      <c r="V68" s="158" cm="1">
        <f t="array" ref="V68">INDEX(LCI!K$2:K$130,MATCH('A1 - Raw Material Supply'!$B$20&amp;'A1 - Raw Material Supply'!$D$20,LCI!$B$2:$B$130&amp;LCI!$D$2:$D$130,0))*$C$20</f>
        <v>3.314643767220224</v>
      </c>
      <c r="W68" s="158" cm="1">
        <f t="array" ref="W68">INDEX(LCI!K$2:K$130,MATCH('A1 - Raw Material Supply'!$B$21&amp;'A1 - Raw Material Supply'!$D$21,LCI!$B$2:$B$130&amp;LCI!$D$2:$D$130,0))*$C$21</f>
        <v>13.438138453254478</v>
      </c>
      <c r="X68" s="158" cm="1">
        <f t="array" ref="X68">INDEX(LCI!K$2:K$130,MATCH('A1 - Raw Material Supply'!$B$22&amp;'A1 - Raw Material Supply'!$D$22,LCI!$B$2:$B$130&amp;LCI!$D$2:$D$130,0))*$C$22</f>
        <v>3.314643767220224</v>
      </c>
      <c r="Y68" s="154">
        <f t="shared" si="5"/>
        <v>20.067425987694929</v>
      </c>
    </row>
    <row r="69" spans="1:25" x14ac:dyDescent="0.25">
      <c r="A69" s="1" t="s">
        <v>307</v>
      </c>
      <c r="B69" s="158">
        <f>INDEX(LCI!L$2:L$130,MATCH('A1 - Raw Material Supply'!$B5,LCI!$D$2:$D$130,0))*$C5</f>
        <v>0</v>
      </c>
      <c r="C69" s="158">
        <f>INDEX(LCI!L$2:L$130,MATCH('A1 - Raw Material Supply'!$B6,LCI!$D$2:$D$130,0))*$C6</f>
        <v>1.8598890196100807E-4</v>
      </c>
      <c r="D69" s="158">
        <f>INDEX(LCI!L$2:L$130,MATCH('A1 - Raw Material Supply'!$B7,LCI!$D$2:$D$130,0))*$C7</f>
        <v>9.2994450980504037E-5</v>
      </c>
      <c r="E69" s="158">
        <f>INDEX(LCI!L$2:L$130,MATCH('A1 - Raw Material Supply'!$B8,LCI!$D$2:$D$130,0))*$C8</f>
        <v>5.5796670588302416E-5</v>
      </c>
      <c r="F69" s="158">
        <f>INDEX(LCI!L$2:L$130,MATCH('A1 - Raw Material Supply'!$B9,LCI!$D$2:$D$130,0))*$C9</f>
        <v>0</v>
      </c>
      <c r="G69" s="158">
        <f>INDEX(LCI!L$2:L$130,MATCH('A1 - Raw Material Supply'!$B10,LCI!$D$2:$D$130,0))*$C10</f>
        <v>2.7898335294151208E-5</v>
      </c>
      <c r="H69" s="158">
        <f>INDEX(LCI!L$2:L$130,MATCH('A1 - Raw Material Supply'!$B11,LCI!$D$2:$D$130,0))*$C11</f>
        <v>1.4352689808176839E-5</v>
      </c>
      <c r="I69" s="158">
        <f>INDEX(LCI!L$2:L$130,MATCH('A1 - Raw Material Supply'!$B12,LCI!$D$2:$D$130,0))*$C12</f>
        <v>1.4352689808176839E-5</v>
      </c>
      <c r="J69" s="158">
        <f>INDEX(LCI!L$2:L$130,MATCH('A1 - Raw Material Supply'!$B13,LCI!$D$2:$D$130,0))*$C13</f>
        <v>1.4352689808176839E-5</v>
      </c>
      <c r="K69" s="154">
        <f t="shared" si="3"/>
        <v>4.0573642824849636E-4</v>
      </c>
      <c r="L69" s="158" cm="1">
        <f t="array" ref="L69">INDEX(LCI!L$2:L$130,MATCH('A1 - Raw Material Supply'!$B$14&amp;'A1 - Raw Material Supply'!$D$14,LCI!$B$2:$B$130&amp;LCI!$D$2:$D$130,0))*$C14</f>
        <v>2.3781734715254852E-3</v>
      </c>
      <c r="M69" s="158" cm="1">
        <f t="array" ref="M69">INDEX(LCI!L$2:L$130,MATCH('A1 - Raw Material Supply'!$B$15&amp;'A1 - Raw Material Supply'!$D$15,LCI!$B$2:$B$130&amp;LCI!$D$2:$D$130,0))*$C15</f>
        <v>3.7385459417253698E-4</v>
      </c>
      <c r="N69" s="154">
        <f t="shared" si="4"/>
        <v>2.7520280656980222E-3</v>
      </c>
      <c r="O69" s="158" cm="1">
        <f t="array" ref="O69">INDEX(LCI!L$2:L$137,MATCH('A1 - Raw Material Supply'!$B4&amp;'A1 - Raw Material Supply'!$D4,LCI!$B2:$B137&amp;LCI!$D2:$D137,0))*$C4</f>
        <v>4.7700000000000008E-3</v>
      </c>
      <c r="P69" s="159"/>
      <c r="Q69" s="159"/>
      <c r="R69" s="154"/>
      <c r="S69" s="158"/>
      <c r="T69" s="158"/>
      <c r="U69" s="154"/>
      <c r="V69" s="158" cm="1">
        <f t="array" ref="V69">INDEX(LCI!L$2:L$130,MATCH('A1 - Raw Material Supply'!$B$20&amp;'A1 - Raw Material Supply'!$D$20,LCI!$B$2:$B$130&amp;LCI!$D$2:$D$130,0))*$C$20</f>
        <v>2.732910515008596E-3</v>
      </c>
      <c r="W69" s="158" cm="1">
        <f t="array" ref="W69">INDEX(LCI!L$2:L$130,MATCH('A1 - Raw Material Supply'!$B$21&amp;'A1 - Raw Material Supply'!$D$21,LCI!$B$2:$B$130&amp;LCI!$D$2:$D$130,0))*$C$21</f>
        <v>3.0932369503940339E-3</v>
      </c>
      <c r="X69" s="158" cm="1">
        <f t="array" ref="X69">INDEX(LCI!L$2:L$130,MATCH('A1 - Raw Material Supply'!$B$22&amp;'A1 - Raw Material Supply'!$D$22,LCI!$B$2:$B$130&amp;LCI!$D$2:$D$130,0))*$C$22</f>
        <v>2.732910515008596E-3</v>
      </c>
      <c r="Y69" s="154">
        <f t="shared" si="5"/>
        <v>8.5590579804112263E-3</v>
      </c>
    </row>
    <row r="70" spans="1:25" x14ac:dyDescent="0.25">
      <c r="A70" s="1" t="s">
        <v>308</v>
      </c>
      <c r="B70" s="158">
        <f>INDEX(LCI!M$2:M$130,MATCH('A1 - Raw Material Supply'!$B5,LCI!$D$2:$D$130,0))*$C5</f>
        <v>0</v>
      </c>
      <c r="C70" s="158">
        <f>INDEX(LCI!M$2:M$130,MATCH('A1 - Raw Material Supply'!$B6,LCI!$D$2:$D$130,0))*$C6</f>
        <v>5.5905856853537701</v>
      </c>
      <c r="D70" s="158">
        <f>INDEX(LCI!M$2:M$130,MATCH('A1 - Raw Material Supply'!$B7,LCI!$D$2:$D$130,0))*$C7</f>
        <v>2.795292842676885</v>
      </c>
      <c r="E70" s="158">
        <f>INDEX(LCI!M$2:M$130,MATCH('A1 - Raw Material Supply'!$B8,LCI!$D$2:$D$130,0))*$C8</f>
        <v>1.6771757056061309</v>
      </c>
      <c r="F70" s="158">
        <f>INDEX(LCI!M$2:M$130,MATCH('A1 - Raw Material Supply'!$B9,LCI!$D$2:$D$130,0))*$C9</f>
        <v>0</v>
      </c>
      <c r="G70" s="158">
        <f>INDEX(LCI!M$2:M$130,MATCH('A1 - Raw Material Supply'!$B10,LCI!$D$2:$D$130,0))*$C10</f>
        <v>0.83858785280306547</v>
      </c>
      <c r="H70" s="158">
        <f>INDEX(LCI!M$2:M$130,MATCH('A1 - Raw Material Supply'!$B11,LCI!$D$2:$D$130,0))*$C11</f>
        <v>8.9073775018459783E-2</v>
      </c>
      <c r="I70" s="158">
        <f>INDEX(LCI!M$2:M$130,MATCH('A1 - Raw Material Supply'!$B12,LCI!$D$2:$D$130,0))*$C12</f>
        <v>8.9073775018459783E-2</v>
      </c>
      <c r="J70" s="158">
        <f>INDEX(LCI!M$2:M$130,MATCH('A1 - Raw Material Supply'!$B13,LCI!$D$2:$D$130,0))*$C13</f>
        <v>8.9073775018459783E-2</v>
      </c>
      <c r="K70" s="154">
        <f t="shared" si="3"/>
        <v>11.168863411495231</v>
      </c>
      <c r="L70" s="158" cm="1">
        <f t="array" ref="L70">INDEX(LCI!M$2:M$130,MATCH('A1 - Raw Material Supply'!$B$14&amp;'A1 - Raw Material Supply'!$D$14,LCI!$B$2:$B$130&amp;LCI!$D$2:$D$130,0))*$C14</f>
        <v>14.7795432666636</v>
      </c>
      <c r="M70" s="158" cm="1">
        <f t="array" ref="M70">INDEX(LCI!M$2:M$130,MATCH('A1 - Raw Material Supply'!$B$15&amp;'A1 - Raw Material Supply'!$D$15,LCI!$B$2:$B$130&amp;LCI!$D$2:$D$130,0))*$C15</f>
        <v>0.69050088555034905</v>
      </c>
      <c r="N70" s="154">
        <f t="shared" si="4"/>
        <v>15.47004415221395</v>
      </c>
      <c r="O70" s="158" cm="1">
        <f t="array" ref="O70">INDEX(LCI!M$2:M$137,MATCH('A1 - Raw Material Supply'!$B4&amp;'A1 - Raw Material Supply'!$D4,LCI!$B2:$B137&amp;LCI!$D2:$D137,0))*$C4</f>
        <v>513.00000000000011</v>
      </c>
      <c r="P70" s="159"/>
      <c r="Q70" s="159"/>
      <c r="R70" s="154"/>
      <c r="S70" s="158"/>
      <c r="T70" s="158"/>
      <c r="U70" s="154"/>
      <c r="V70" s="158" cm="1">
        <f t="array" ref="V70">INDEX(LCI!M$2:M$130,MATCH('A1 - Raw Material Supply'!$B$20&amp;'A1 - Raw Material Supply'!$D$20,LCI!$B$2:$B$130&amp;LCI!$D$2:$D$130,0))*$C$20</f>
        <v>16.559907158953788</v>
      </c>
      <c r="W70" s="158" cm="1">
        <f t="array" ref="W70">INDEX(LCI!M$2:M$130,MATCH('A1 - Raw Material Supply'!$B$21&amp;'A1 - Raw Material Supply'!$D$21,LCI!$B$2:$B$130&amp;LCI!$D$2:$D$130,0))*$C$21</f>
        <v>24.366204366544938</v>
      </c>
      <c r="X70" s="158" cm="1">
        <f t="array" ref="X70">INDEX(LCI!M$2:M$130,MATCH('A1 - Raw Material Supply'!$B$22&amp;'A1 - Raw Material Supply'!$D$22,LCI!$B$2:$B$130&amp;LCI!$D$2:$D$130,0))*$C$22</f>
        <v>16.559907158953788</v>
      </c>
      <c r="Y70" s="154">
        <f t="shared" si="5"/>
        <v>57.486018684452517</v>
      </c>
    </row>
    <row r="71" spans="1:25" x14ac:dyDescent="0.25">
      <c r="A71" s="1" t="s">
        <v>309</v>
      </c>
      <c r="B71" s="158">
        <f>INDEX(LCI!N$2:N$130,MATCH('A1 - Raw Material Supply'!$B5,LCI!$D$2:$D$130,0))*$C5</f>
        <v>0</v>
      </c>
      <c r="C71" s="158">
        <f>INDEX(LCI!N$2:N$130,MATCH('A1 - Raw Material Supply'!$B6,LCI!$D$2:$D$130,0))*$C6</f>
        <v>8.016995630990257</v>
      </c>
      <c r="D71" s="158">
        <f>INDEX(LCI!N$2:N$130,MATCH('A1 - Raw Material Supply'!$B7,LCI!$D$2:$D$130,0))*$C7</f>
        <v>4.0084978154951285</v>
      </c>
      <c r="E71" s="158">
        <f>INDEX(LCI!N$2:N$130,MATCH('A1 - Raw Material Supply'!$B8,LCI!$D$2:$D$130,0))*$C8</f>
        <v>2.4050986892970769</v>
      </c>
      <c r="F71" s="158">
        <f>INDEX(LCI!N$2:N$130,MATCH('A1 - Raw Material Supply'!$B9,LCI!$D$2:$D$130,0))*$C9</f>
        <v>0</v>
      </c>
      <c r="G71" s="158">
        <f>INDEX(LCI!N$2:N$130,MATCH('A1 - Raw Material Supply'!$B10,LCI!$D$2:$D$130,0))*$C10</f>
        <v>1.2025493446485385</v>
      </c>
      <c r="H71" s="158">
        <f>INDEX(LCI!N$2:N$130,MATCH('A1 - Raw Material Supply'!$B11,LCI!$D$2:$D$130,0))*$C11</f>
        <v>1.3556790744497129</v>
      </c>
      <c r="I71" s="158">
        <f>INDEX(LCI!N$2:N$130,MATCH('A1 - Raw Material Supply'!$B12,LCI!$D$2:$D$130,0))*$C12</f>
        <v>1.3556790744497129</v>
      </c>
      <c r="J71" s="158">
        <f>INDEX(LCI!N$2:N$130,MATCH('A1 - Raw Material Supply'!$B13,LCI!$D$2:$D$130,0))*$C13</f>
        <v>1.3556790744497129</v>
      </c>
      <c r="K71" s="154">
        <f t="shared" si="3"/>
        <v>19.700178703780143</v>
      </c>
      <c r="L71" s="158" cm="1">
        <f t="array" ref="L71">INDEX(LCI!N$2:N$130,MATCH('A1 - Raw Material Supply'!$B$14&amp;'A1 - Raw Material Supply'!$D$14,LCI!$B$2:$B$130&amp;LCI!$D$2:$D$130,0))*$C14</f>
        <v>28.636689879787202</v>
      </c>
      <c r="M71" s="158" cm="1">
        <f t="array" ref="M71">INDEX(LCI!N$2:N$130,MATCH('A1 - Raw Material Supply'!$B$15&amp;'A1 - Raw Material Supply'!$D$15,LCI!$B$2:$B$130&amp;LCI!$D$2:$D$130,0))*$C15</f>
        <v>3.7042401890228884</v>
      </c>
      <c r="N71" s="154">
        <f t="shared" si="4"/>
        <v>32.340930068810088</v>
      </c>
      <c r="O71" s="158" cm="1">
        <f t="array" ref="O71">INDEX(LCI!N$2:N$137,MATCH('A1 - Raw Material Supply'!$B4&amp;'A1 - Raw Material Supply'!$D4,LCI!$B2:$B137&amp;LCI!$D2:$D137,0))*$C4</f>
        <v>824.40000000000009</v>
      </c>
      <c r="P71" s="159"/>
      <c r="Q71" s="159"/>
      <c r="R71" s="154"/>
      <c r="S71" s="158"/>
      <c r="T71" s="158"/>
      <c r="U71" s="154"/>
      <c r="V71" s="158" cm="1">
        <f t="array" ref="V71">INDEX(LCI!N$2:N$130,MATCH('A1 - Raw Material Supply'!$B$20&amp;'A1 - Raw Material Supply'!$D$20,LCI!$B$2:$B$130&amp;LCI!$D$2:$D$130,0))*$C$20</f>
        <v>45.769593135824742</v>
      </c>
      <c r="W71" s="158" cm="1">
        <f t="array" ref="W71">INDEX(LCI!N$2:N$130,MATCH('A1 - Raw Material Supply'!$B$21&amp;'A1 - Raw Material Supply'!$D$21,LCI!$B$2:$B$130&amp;LCI!$D$2:$D$130,0))*$C$21</f>
        <v>1033.5055325212193</v>
      </c>
      <c r="X71" s="158" cm="1">
        <f t="array" ref="X71">INDEX(LCI!N$2:N$130,MATCH('A1 - Raw Material Supply'!$B$22&amp;'A1 - Raw Material Supply'!$D$22,LCI!$B$2:$B$130&amp;LCI!$D$2:$D$130,0))*$C$22</f>
        <v>45.769593135824742</v>
      </c>
      <c r="Y71" s="154">
        <f t="shared" si="5"/>
        <v>1125.0447187928689</v>
      </c>
    </row>
    <row r="72" spans="1:25" x14ac:dyDescent="0.25">
      <c r="A72" s="1" t="s">
        <v>310</v>
      </c>
      <c r="B72" s="158">
        <f>INDEX(LCI!O$2:O$130,MATCH('A1 - Raw Material Supply'!$B5,LCI!$D$2:$D$130,0))*$C5</f>
        <v>0</v>
      </c>
      <c r="C72" s="158">
        <f>INDEX(LCI!O$2:O$130,MATCH('A1 - Raw Material Supply'!$B6,LCI!$D$2:$D$130,0))*$C6</f>
        <v>4.1805745930978603E-5</v>
      </c>
      <c r="D72" s="158">
        <f>INDEX(LCI!O$2:O$130,MATCH('A1 - Raw Material Supply'!$B7,LCI!$D$2:$D$130,0))*$C7</f>
        <v>2.0902872965489302E-5</v>
      </c>
      <c r="E72" s="158">
        <f>INDEX(LCI!O$2:O$130,MATCH('A1 - Raw Material Supply'!$B8,LCI!$D$2:$D$130,0))*$C8</f>
        <v>1.254172377929358E-5</v>
      </c>
      <c r="F72" s="158">
        <f>INDEX(LCI!O$2:O$130,MATCH('A1 - Raw Material Supply'!$B9,LCI!$D$2:$D$130,0))*$C9</f>
        <v>0</v>
      </c>
      <c r="G72" s="158">
        <f>INDEX(LCI!O$2:O$130,MATCH('A1 - Raw Material Supply'!$B10,LCI!$D$2:$D$130,0))*$C10</f>
        <v>6.2708618896467898E-6</v>
      </c>
      <c r="H72" s="158">
        <f>INDEX(LCI!O$2:O$130,MATCH('A1 - Raw Material Supply'!$B11,LCI!$D$2:$D$130,0))*$C11</f>
        <v>4.7041221501855498E-6</v>
      </c>
      <c r="I72" s="158">
        <f>INDEX(LCI!O$2:O$130,MATCH('A1 - Raw Material Supply'!$B12,LCI!$D$2:$D$130,0))*$C12</f>
        <v>4.7041221501855498E-6</v>
      </c>
      <c r="J72" s="158">
        <f>INDEX(LCI!O$2:O$130,MATCH('A1 - Raw Material Supply'!$B13,LCI!$D$2:$D$130,0))*$C13</f>
        <v>4.7041221501855498E-6</v>
      </c>
      <c r="K72" s="154">
        <f t="shared" si="3"/>
        <v>9.5633571015964897E-5</v>
      </c>
      <c r="L72" s="158" cm="1">
        <f t="array" ref="L72">INDEX(LCI!O$2:O$130,MATCH('A1 - Raw Material Supply'!$B$14&amp;'A1 - Raw Material Supply'!$D$14,LCI!$B$2:$B$130&amp;LCI!$D$2:$D$130,0))*$C14</f>
        <v>7.6548598240225828E-4</v>
      </c>
      <c r="M72" s="158" cm="1">
        <f t="array" ref="M72">INDEX(LCI!O$2:O$130,MATCH('A1 - Raw Material Supply'!$B$15&amp;'A1 - Raw Material Supply'!$D$15,LCI!$B$2:$B$130&amp;LCI!$D$2:$D$130,0))*$C15</f>
        <v>1.3291984547978599E-4</v>
      </c>
      <c r="N72" s="154">
        <f t="shared" si="4"/>
        <v>8.9840582788204429E-4</v>
      </c>
      <c r="O72" s="158" cm="1">
        <f t="array" ref="O72">INDEX(LCI!O$2:O$137,MATCH('A1 - Raw Material Supply'!$B4&amp;'A1 - Raw Material Supply'!$D4,LCI!$B2:$B137&amp;LCI!$D2:$D137,0))*$C4</f>
        <v>8.0100000000000012E-6</v>
      </c>
      <c r="P72" s="159"/>
      <c r="Q72" s="159"/>
      <c r="R72" s="154"/>
      <c r="S72" s="158"/>
      <c r="T72" s="158"/>
      <c r="U72" s="154"/>
      <c r="V72" s="158" cm="1">
        <f t="array" ref="V72">INDEX(LCI!O$2:O$130,MATCH('A1 - Raw Material Supply'!$B$20&amp;'A1 - Raw Material Supply'!$D$20,LCI!$B$2:$B$130&amp;LCI!$D$2:$D$130,0))*$C$20</f>
        <v>1.0455421592807453E-3</v>
      </c>
      <c r="W72" s="158" cm="1">
        <f t="array" ref="W72">INDEX(LCI!O$2:O$130,MATCH('A1 - Raw Material Supply'!$B$21&amp;'A1 - Raw Material Supply'!$D$21,LCI!$B$2:$B$130&amp;LCI!$D$2:$D$130,0))*$C$21</f>
        <v>2.6501851448979602E-3</v>
      </c>
      <c r="X72" s="158" cm="1">
        <f t="array" ref="X72">INDEX(LCI!O$2:O$130,MATCH('A1 - Raw Material Supply'!$B$22&amp;'A1 - Raw Material Supply'!$D$22,LCI!$B$2:$B$130&amp;LCI!$D$2:$D$130,0))*$C$22</f>
        <v>1.0455421592807453E-3</v>
      </c>
      <c r="Y72" s="154">
        <f t="shared" si="5"/>
        <v>4.7412694634594507E-3</v>
      </c>
    </row>
    <row r="73" spans="1:25" x14ac:dyDescent="0.25">
      <c r="A73" s="1" t="s">
        <v>311</v>
      </c>
      <c r="B73" s="158">
        <f>INDEX(LCI!P$2:P$130,MATCH('A1 - Raw Material Supply'!$B5,LCI!$D$2:$D$130,0))*$C5</f>
        <v>0</v>
      </c>
      <c r="C73" s="158">
        <f>INDEX(LCI!P$2:P$130,MATCH('A1 - Raw Material Supply'!$B6,LCI!$D$2:$D$130,0))*$C6</f>
        <v>3.9108232774926963E-3</v>
      </c>
      <c r="D73" s="158">
        <f>INDEX(LCI!P$2:P$130,MATCH('A1 - Raw Material Supply'!$B7,LCI!$D$2:$D$130,0))*$C7</f>
        <v>1.9554116387463481E-3</v>
      </c>
      <c r="E73" s="158">
        <f>INDEX(LCI!P$2:P$130,MATCH('A1 - Raw Material Supply'!$B8,LCI!$D$2:$D$130,0))*$C8</f>
        <v>1.1732469832478089E-3</v>
      </c>
      <c r="F73" s="158">
        <f>INDEX(LCI!P$2:P$130,MATCH('A1 - Raw Material Supply'!$B9,LCI!$D$2:$D$130,0))*$C9</f>
        <v>0</v>
      </c>
      <c r="G73" s="158">
        <f>INDEX(LCI!P$2:P$130,MATCH('A1 - Raw Material Supply'!$B10,LCI!$D$2:$D$130,0))*$C10</f>
        <v>5.8662349162390444E-4</v>
      </c>
      <c r="H73" s="158">
        <f>INDEX(LCI!P$2:P$130,MATCH('A1 - Raw Material Supply'!$B11,LCI!$D$2:$D$130,0))*$C11</f>
        <v>4.2198391729194858E-4</v>
      </c>
      <c r="I73" s="158">
        <f>INDEX(LCI!P$2:P$130,MATCH('A1 - Raw Material Supply'!$B12,LCI!$D$2:$D$130,0))*$C12</f>
        <v>4.2198391729194858E-4</v>
      </c>
      <c r="J73" s="158">
        <f>INDEX(LCI!P$2:P$130,MATCH('A1 - Raw Material Supply'!$B13,LCI!$D$2:$D$130,0))*$C13</f>
        <v>4.2198391729194858E-4</v>
      </c>
      <c r="K73" s="154">
        <f t="shared" si="3"/>
        <v>8.8920571429866018E-3</v>
      </c>
      <c r="L73" s="158" cm="1">
        <f t="array" ref="L73">INDEX(LCI!P$2:P$130,MATCH('A1 - Raw Material Supply'!$B$14&amp;'A1 - Raw Material Supply'!$D$14,LCI!$B$2:$B$130&amp;LCI!$D$2:$D$130,0))*$C14</f>
        <v>3.6833250350479141E-3</v>
      </c>
      <c r="M73" s="158" cm="1">
        <f t="array" ref="M73">INDEX(LCI!P$2:P$130,MATCH('A1 - Raw Material Supply'!$B$15&amp;'A1 - Raw Material Supply'!$D$15,LCI!$B$2:$B$130&amp;LCI!$D$2:$D$130,0))*$C15</f>
        <v>3.8327746551366642E-4</v>
      </c>
      <c r="N73" s="154">
        <f t="shared" si="4"/>
        <v>4.0666025005615808E-3</v>
      </c>
      <c r="O73" s="158" cm="1">
        <f t="array" ref="O73">INDEX(LCI!P$2:P$137,MATCH('A1 - Raw Material Supply'!$B4&amp;'A1 - Raw Material Supply'!$D4,LCI!$B2:$B137&amp;LCI!$D2:$D137,0))*$C4</f>
        <v>7.9920000000000008E-3</v>
      </c>
      <c r="P73" s="159"/>
      <c r="Q73" s="159"/>
      <c r="R73" s="154"/>
      <c r="S73" s="158"/>
      <c r="T73" s="158"/>
      <c r="U73" s="154"/>
      <c r="V73" s="158" cm="1">
        <f t="array" ref="V73">INDEX(LCI!P$2:P$130,MATCH('A1 - Raw Material Supply'!$B$20&amp;'A1 - Raw Material Supply'!$D$20,LCI!$B$2:$B$130&amp;LCI!$D$2:$D$130,0))*$C$20</f>
        <v>6.2470787853480961E-3</v>
      </c>
      <c r="W73" s="158" cm="1">
        <f t="array" ref="W73">INDEX(LCI!P$2:P$130,MATCH('A1 - Raw Material Supply'!$B$21&amp;'A1 - Raw Material Supply'!$D$21,LCI!$B$2:$B$130&amp;LCI!$D$2:$D$130,0))*$C$21</f>
        <v>1.9065472746327292E-2</v>
      </c>
      <c r="X73" s="158" cm="1">
        <f t="array" ref="X73">INDEX(LCI!P$2:P$130,MATCH('A1 - Raw Material Supply'!$B$22&amp;'A1 - Raw Material Supply'!$D$22,LCI!$B$2:$B$130&amp;LCI!$D$2:$D$130,0))*$C$22</f>
        <v>6.2470787853480961E-3</v>
      </c>
      <c r="Y73" s="154">
        <f t="shared" si="5"/>
        <v>3.1559630317023482E-2</v>
      </c>
    </row>
    <row r="74" spans="1:25" x14ac:dyDescent="0.25">
      <c r="A74" s="1" t="s">
        <v>312</v>
      </c>
      <c r="B74" s="158">
        <f>INDEX(LCI!Q$2:Q$130,MATCH('A1 - Raw Material Supply'!$B5,LCI!$D$2:$D$130,0))*$C5</f>
        <v>0</v>
      </c>
      <c r="C74" s="158">
        <f>INDEX(LCI!Q$2:Q$130,MATCH('A1 - Raw Material Supply'!$B6,LCI!$D$2:$D$130,0))*$C6</f>
        <v>5.4547396822738285E-2</v>
      </c>
      <c r="D74" s="158">
        <f>INDEX(LCI!Q$2:Q$130,MATCH('A1 - Raw Material Supply'!$B7,LCI!$D$2:$D$130,0))*$C7</f>
        <v>2.7273698411369143E-2</v>
      </c>
      <c r="E74" s="158">
        <f>INDEX(LCI!Q$2:Q$130,MATCH('A1 - Raw Material Supply'!$B8,LCI!$D$2:$D$130,0))*$C8</f>
        <v>1.6364219046821483E-2</v>
      </c>
      <c r="F74" s="158">
        <f>INDEX(LCI!Q$2:Q$130,MATCH('A1 - Raw Material Supply'!$B9,LCI!$D$2:$D$130,0))*$C9</f>
        <v>0</v>
      </c>
      <c r="G74" s="158">
        <f>INDEX(LCI!Q$2:Q$130,MATCH('A1 - Raw Material Supply'!$B10,LCI!$D$2:$D$130,0))*$C10</f>
        <v>8.1821095234107417E-3</v>
      </c>
      <c r="H74" s="158">
        <f>INDEX(LCI!Q$2:Q$130,MATCH('A1 - Raw Material Supply'!$B11,LCI!$D$2:$D$130,0))*$C11</f>
        <v>4.6346425612983737E-3</v>
      </c>
      <c r="I74" s="158">
        <f>INDEX(LCI!Q$2:Q$130,MATCH('A1 - Raw Material Supply'!$B12,LCI!$D$2:$D$130,0))*$C12</f>
        <v>4.6346425612983737E-3</v>
      </c>
      <c r="J74" s="158">
        <f>INDEX(LCI!Q$2:Q$130,MATCH('A1 - Raw Material Supply'!$B13,LCI!$D$2:$D$130,0))*$C13</f>
        <v>4.6346425612983737E-3</v>
      </c>
      <c r="K74" s="154">
        <f t="shared" si="3"/>
        <v>0.12027135148823478</v>
      </c>
      <c r="L74" s="158" cm="1">
        <f t="array" ref="L74">INDEX(LCI!Q$2:Q$130,MATCH('A1 - Raw Material Supply'!$B$14&amp;'A1 - Raw Material Supply'!$D$14,LCI!$B$2:$B$130&amp;LCI!$D$2:$D$130,0))*$C14</f>
        <v>4.0980067842294347E-2</v>
      </c>
      <c r="M74" s="158" cm="1">
        <f t="array" ref="M74">INDEX(LCI!Q$2:Q$130,MATCH('A1 - Raw Material Supply'!$B$15&amp;'A1 - Raw Material Supply'!$D$15,LCI!$B$2:$B$130&amp;LCI!$D$2:$D$130,0))*$C15</f>
        <v>4.5429046576655092E-3</v>
      </c>
      <c r="N74" s="154">
        <f t="shared" si="4"/>
        <v>4.552297249995986E-2</v>
      </c>
      <c r="O74" s="158" cm="1">
        <f t="array" ref="O74">INDEX(LCI!Q$2:Q$137,MATCH('A1 - Raw Material Supply'!$B4&amp;'A1 - Raw Material Supply'!$D4,LCI!$B2:$B137&amp;LCI!$D2:$D137,0))*$C4</f>
        <v>8.7480000000000016E-2</v>
      </c>
      <c r="P74" s="159"/>
      <c r="Q74" s="159"/>
      <c r="R74" s="154"/>
      <c r="S74" s="158"/>
      <c r="T74" s="158"/>
      <c r="U74" s="154"/>
      <c r="V74" s="158" cm="1">
        <f t="array" ref="V74">INDEX(LCI!Q$2:Q$130,MATCH('A1 - Raw Material Supply'!$B$20&amp;'A1 - Raw Material Supply'!$D$20,LCI!$B$2:$B$130&amp;LCI!$D$2:$D$130,0))*$C$20</f>
        <v>6.4116555286665267E-2</v>
      </c>
      <c r="W74" s="158" cm="1">
        <f t="array" ref="W74">INDEX(LCI!Q$2:Q$130,MATCH('A1 - Raw Material Supply'!$B$21&amp;'A1 - Raw Material Supply'!$D$21,LCI!$B$2:$B$130&amp;LCI!$D$2:$D$130,0))*$C$21</f>
        <v>0.20682312607040881</v>
      </c>
      <c r="X74" s="158" cm="1">
        <f t="array" ref="X74">INDEX(LCI!Q$2:Q$130,MATCH('A1 - Raw Material Supply'!$B$22&amp;'A1 - Raw Material Supply'!$D$22,LCI!$B$2:$B$130&amp;LCI!$D$2:$D$130,0))*$C$22</f>
        <v>6.4116555286665267E-2</v>
      </c>
      <c r="Y74" s="154">
        <f t="shared" si="5"/>
        <v>0.33505623664373935</v>
      </c>
    </row>
    <row r="75" spans="1:25" x14ac:dyDescent="0.25">
      <c r="A75" s="1" t="s">
        <v>313</v>
      </c>
      <c r="B75" s="158">
        <f>INDEX(LCI!R$2:R$130,MATCH('A1 - Raw Material Supply'!$B5,LCI!$D$2:$D$130,0))*$C5</f>
        <v>0</v>
      </c>
      <c r="C75" s="158">
        <f>INDEX(LCI!R$2:R$130,MATCH('A1 - Raw Material Supply'!$B6,LCI!$D$2:$D$130,0))*$C6</f>
        <v>1.0196306387079595E-10</v>
      </c>
      <c r="D75" s="158">
        <f>INDEX(LCI!R$2:R$130,MATCH('A1 - Raw Material Supply'!$B7,LCI!$D$2:$D$130,0))*$C7</f>
        <v>5.0981531935397976E-11</v>
      </c>
      <c r="E75" s="158">
        <f>INDEX(LCI!R$2:R$130,MATCH('A1 - Raw Material Supply'!$B8,LCI!$D$2:$D$130,0))*$C8</f>
        <v>3.0588919161238786E-11</v>
      </c>
      <c r="F75" s="158">
        <f>INDEX(LCI!R$2:R$130,MATCH('A1 - Raw Material Supply'!$B9,LCI!$D$2:$D$130,0))*$C9</f>
        <v>0</v>
      </c>
      <c r="G75" s="158">
        <f>INDEX(LCI!R$2:R$130,MATCH('A1 - Raw Material Supply'!$B10,LCI!$D$2:$D$130,0))*$C10</f>
        <v>1.5294459580619393E-11</v>
      </c>
      <c r="H75" s="158">
        <f>INDEX(LCI!R$2:R$130,MATCH('A1 - Raw Material Supply'!$B11,LCI!$D$2:$D$130,0))*$C11</f>
        <v>1.2269377014022887E-11</v>
      </c>
      <c r="I75" s="158">
        <f>INDEX(LCI!R$2:R$130,MATCH('A1 - Raw Material Supply'!$B12,LCI!$D$2:$D$130,0))*$C12</f>
        <v>1.2269377014022887E-11</v>
      </c>
      <c r="J75" s="158">
        <f>INDEX(LCI!R$2:R$130,MATCH('A1 - Raw Material Supply'!$B13,LCI!$D$2:$D$130,0))*$C13</f>
        <v>1.2269377014022887E-11</v>
      </c>
      <c r="K75" s="154">
        <f t="shared" si="3"/>
        <v>2.3563610559012078E-10</v>
      </c>
      <c r="L75" s="158" cm="1">
        <f t="array" ref="L75">INDEX(LCI!R$2:R$130,MATCH('A1 - Raw Material Supply'!$B$14&amp;'A1 - Raw Material Supply'!$D$14,LCI!$B$2:$B$130&amp;LCI!$D$2:$D$130,0))*$C14</f>
        <v>6.581714164058433E-10</v>
      </c>
      <c r="M75" s="158" cm="1">
        <f t="array" ref="M75">INDEX(LCI!R$2:R$130,MATCH('A1 - Raw Material Supply'!$B$15&amp;'A1 - Raw Material Supply'!$D$15,LCI!$B$2:$B$130&amp;LCI!$D$2:$D$130,0))*$C15</f>
        <v>4.5583717397070746E-11</v>
      </c>
      <c r="N75" s="154">
        <f t="shared" si="4"/>
        <v>7.0375513380291404E-10</v>
      </c>
      <c r="O75" s="158" cm="1">
        <f t="array" ref="O75">INDEX(LCI!R$2:R$137,MATCH('A1 - Raw Material Supply'!$B4&amp;'A1 - Raw Material Supply'!$D4,LCI!$B2:$B137&amp;LCI!$D2:$D137,0))*$C4</f>
        <v>8.9280000000000006E-9</v>
      </c>
      <c r="P75" s="159"/>
      <c r="Q75" s="159"/>
      <c r="R75" s="154"/>
      <c r="S75" s="158"/>
      <c r="T75" s="158"/>
      <c r="U75" s="154"/>
      <c r="V75" s="158" cm="1">
        <f t="array" ref="V75">INDEX(LCI!R$2:R$130,MATCH('A1 - Raw Material Supply'!$B$20&amp;'A1 - Raw Material Supply'!$D$20,LCI!$B$2:$B$130&amp;LCI!$D$2:$D$130,0))*$C$20</f>
        <v>2.0801707930135739E-9</v>
      </c>
      <c r="W75" s="158" cm="1">
        <f t="array" ref="W75">INDEX(LCI!R$2:R$130,MATCH('A1 - Raw Material Supply'!$B$21&amp;'A1 - Raw Material Supply'!$D$21,LCI!$B$2:$B$130&amp;LCI!$D$2:$D$130,0))*$C$21</f>
        <v>2.5058147796725021E-9</v>
      </c>
      <c r="X75" s="158" cm="1">
        <f t="array" ref="X75">INDEX(LCI!R$2:R$130,MATCH('A1 - Raw Material Supply'!$B$22&amp;'A1 - Raw Material Supply'!$D$22,LCI!$B$2:$B$130&amp;LCI!$D$2:$D$130,0))*$C$22</f>
        <v>2.0801707930135739E-9</v>
      </c>
      <c r="Y75" s="154">
        <f t="shared" si="5"/>
        <v>6.6661563656996499E-9</v>
      </c>
    </row>
    <row r="76" spans="1:25" x14ac:dyDescent="0.25">
      <c r="A76" s="1" t="s">
        <v>345</v>
      </c>
      <c r="B76" s="158">
        <f>INDEX(LCI!S$2:S$130,MATCH('A1 - Raw Material Supply'!$B5,LCI!$D$2:$D$130,0))*$C5</f>
        <v>0</v>
      </c>
      <c r="C76" s="158">
        <f>INDEX(LCI!S$2:S$130,MATCH('A1 - Raw Material Supply'!$B6,LCI!$D$2:$D$130,0))*$C6</f>
        <v>2.7066965722608819E-9</v>
      </c>
      <c r="D76" s="158">
        <f>INDEX(LCI!S$2:S$130,MATCH('A1 - Raw Material Supply'!$B7,LCI!$D$2:$D$130,0))*$C7</f>
        <v>1.3533482861304409E-9</v>
      </c>
      <c r="E76" s="158">
        <f>INDEX(LCI!S$2:S$130,MATCH('A1 - Raw Material Supply'!$B8,LCI!$D$2:$D$130,0))*$C8</f>
        <v>8.120089716782645E-10</v>
      </c>
      <c r="F76" s="158">
        <f>INDEX(LCI!S$2:S$130,MATCH('A1 - Raw Material Supply'!$B9,LCI!$D$2:$D$130,0))*$C9</f>
        <v>0</v>
      </c>
      <c r="G76" s="158">
        <f>INDEX(LCI!S$2:S$130,MATCH('A1 - Raw Material Supply'!$B10,LCI!$D$2:$D$130,0))*$C10</f>
        <v>4.0600448583913225E-10</v>
      </c>
      <c r="H76" s="158">
        <f>INDEX(LCI!S$2:S$130,MATCH('A1 - Raw Material Supply'!$B11,LCI!$D$2:$D$130,0))*$C11</f>
        <v>1.97766227147753E-10</v>
      </c>
      <c r="I76" s="158">
        <f>INDEX(LCI!S$2:S$130,MATCH('A1 - Raw Material Supply'!$B12,LCI!$D$2:$D$130,0))*$C12</f>
        <v>1.97766227147753E-10</v>
      </c>
      <c r="J76" s="158">
        <f>INDEX(LCI!S$2:S$130,MATCH('A1 - Raw Material Supply'!$B13,LCI!$D$2:$D$130,0))*$C13</f>
        <v>1.97766227147753E-10</v>
      </c>
      <c r="K76" s="154">
        <f t="shared" si="3"/>
        <v>5.8713569973519779E-9</v>
      </c>
      <c r="L76" s="158" cm="1">
        <f t="array" ref="L76">INDEX(LCI!S$2:S$130,MATCH('A1 - Raw Material Supply'!$B$14&amp;'A1 - Raw Material Supply'!$D$14,LCI!$B$2:$B$130&amp;LCI!$D$2:$D$130,0))*$C14</f>
        <v>3.5583161342702526E-8</v>
      </c>
      <c r="M76" s="158" cm="1">
        <f t="array" ref="M76">INDEX(LCI!S$2:S$130,MATCH('A1 - Raw Material Supply'!$B$15&amp;'A1 - Raw Material Supply'!$D$15,LCI!$B$2:$B$130&amp;LCI!$D$2:$D$130,0))*$C15</f>
        <v>1.732009283045003E-9</v>
      </c>
      <c r="N76" s="154">
        <f t="shared" si="4"/>
        <v>3.731517062574753E-8</v>
      </c>
      <c r="O76" s="158" cm="1">
        <f t="array" ref="O76">INDEX(LCI!S$2:S$137,MATCH('A1 - Raw Material Supply'!$B4&amp;'A1 - Raw Material Supply'!$D4,LCI!$B2:$B137&amp;LCI!$D2:$D137,0))*$C4</f>
        <v>2.5740000000000002E-7</v>
      </c>
      <c r="P76" s="159"/>
      <c r="Q76" s="159"/>
      <c r="R76" s="154"/>
      <c r="S76" s="158"/>
      <c r="T76" s="158"/>
      <c r="U76" s="154"/>
      <c r="V76" s="158" cm="1">
        <f t="array" ref="V76">INDEX(LCI!S$2:S$130,MATCH('A1 - Raw Material Supply'!$B$20&amp;'A1 - Raw Material Supply'!$D$20,LCI!$B$2:$B$130&amp;LCI!$D$2:$D$130,0))*$C$20</f>
        <v>9.2094708994056841E-8</v>
      </c>
      <c r="W76" s="158" cm="1">
        <f t="array" ref="W76">INDEX(LCI!S$2:S$130,MATCH('A1 - Raw Material Supply'!$B$21&amp;'A1 - Raw Material Supply'!$D$21,LCI!$B$2:$B$130&amp;LCI!$D$2:$D$130,0))*$C$21</f>
        <v>1.2185767034309445E-7</v>
      </c>
      <c r="X76" s="158" cm="1">
        <f t="array" ref="X76">INDEX(LCI!S$2:S$130,MATCH('A1 - Raw Material Supply'!$B$22&amp;'A1 - Raw Material Supply'!$D$22,LCI!$B$2:$B$130&amp;LCI!$D$2:$D$130,0))*$C$22</f>
        <v>9.2094708994056841E-8</v>
      </c>
      <c r="Y76" s="154">
        <f t="shared" si="5"/>
        <v>3.0604708833120814E-7</v>
      </c>
    </row>
    <row r="77" spans="1:25" x14ac:dyDescent="0.25">
      <c r="A77" s="1" t="s">
        <v>315</v>
      </c>
      <c r="B77" s="158">
        <f>INDEX(LCI!T$2:T$130,MATCH('A1 - Raw Material Supply'!$B5,LCI!$D$2:$D$130,0))*$C5</f>
        <v>0</v>
      </c>
      <c r="C77" s="158">
        <f>INDEX(LCI!T$2:T$130,MATCH('A1 - Raw Material Supply'!$B6,LCI!$D$2:$D$130,0))*$C6</f>
        <v>2.1388658975982619E-2</v>
      </c>
      <c r="D77" s="158">
        <f>INDEX(LCI!T$2:T$130,MATCH('A1 - Raw Material Supply'!$B7,LCI!$D$2:$D$130,0))*$C7</f>
        <v>1.069432948799131E-2</v>
      </c>
      <c r="E77" s="158">
        <f>INDEX(LCI!T$2:T$130,MATCH('A1 - Raw Material Supply'!$B8,LCI!$D$2:$D$130,0))*$C8</f>
        <v>6.4165976927947855E-3</v>
      </c>
      <c r="F77" s="158">
        <f>INDEX(LCI!T$2:T$130,MATCH('A1 - Raw Material Supply'!$B9,LCI!$D$2:$D$130,0))*$C9</f>
        <v>0</v>
      </c>
      <c r="G77" s="158">
        <f>INDEX(LCI!T$2:T$130,MATCH('A1 - Raw Material Supply'!$B10,LCI!$D$2:$D$130,0))*$C10</f>
        <v>3.2082988463973928E-3</v>
      </c>
      <c r="H77" s="158">
        <f>INDEX(LCI!T$2:T$130,MATCH('A1 - Raw Material Supply'!$B11,LCI!$D$2:$D$130,0))*$C11</f>
        <v>8.9113495711474371E-4</v>
      </c>
      <c r="I77" s="158">
        <f>INDEX(LCI!T$2:T$130,MATCH('A1 - Raw Material Supply'!$B12,LCI!$D$2:$D$130,0))*$C12</f>
        <v>8.9113495711474371E-4</v>
      </c>
      <c r="J77" s="158">
        <f>INDEX(LCI!T$2:T$130,MATCH('A1 - Raw Material Supply'!$B13,LCI!$D$2:$D$130,0))*$C13</f>
        <v>8.9113495711474371E-4</v>
      </c>
      <c r="K77" s="154">
        <f t="shared" si="3"/>
        <v>4.4381289874510337E-2</v>
      </c>
      <c r="L77" s="158" cm="1">
        <f t="array" ref="L77">INDEX(LCI!T$2:T$130,MATCH('A1 - Raw Material Supply'!$B$14&amp;'A1 - Raw Material Supply'!$D$14,LCI!$B$2:$B$130&amp;LCI!$D$2:$D$130,0))*$C14</f>
        <v>0.2340397828553592</v>
      </c>
      <c r="M77" s="158" cm="1">
        <f t="array" ref="M77">INDEX(LCI!T$2:T$130,MATCH('A1 - Raw Material Supply'!$B$15&amp;'A1 - Raw Material Supply'!$D$15,LCI!$B$2:$B$130&amp;LCI!$D$2:$D$130,0))*$C15</f>
        <v>7.1109103234374582E-2</v>
      </c>
      <c r="N77" s="154">
        <f t="shared" si="4"/>
        <v>0.30514888608973378</v>
      </c>
      <c r="O77" s="158" cm="1">
        <f t="array" ref="O77">INDEX(LCI!T$2:T$137,MATCH('A1 - Raw Material Supply'!$B4&amp;'A1 - Raw Material Supply'!$D4,LCI!$B2:$B137&amp;LCI!$D2:$D137,0))*$C4</f>
        <v>0.13590000000000002</v>
      </c>
      <c r="P77" s="159"/>
      <c r="Q77" s="159"/>
      <c r="R77" s="154"/>
      <c r="S77" s="158"/>
      <c r="T77" s="158"/>
      <c r="U77" s="154"/>
      <c r="V77" s="158" cm="1">
        <f t="array" ref="V77">INDEX(LCI!T$2:T$130,MATCH('A1 - Raw Material Supply'!$B$20&amp;'A1 - Raw Material Supply'!$D$20,LCI!$B$2:$B$130&amp;LCI!$D$2:$D$130,0))*$C$20</f>
        <v>0.6450499652922852</v>
      </c>
      <c r="W77" s="158" cm="1">
        <f t="array" ref="W77">INDEX(LCI!T$2:T$130,MATCH('A1 - Raw Material Supply'!$B$21&amp;'A1 - Raw Material Supply'!$D$21,LCI!$B$2:$B$130&amp;LCI!$D$2:$D$130,0))*$C$21</f>
        <v>0.33805568657853541</v>
      </c>
      <c r="X77" s="158" cm="1">
        <f t="array" ref="X77">INDEX(LCI!T$2:T$130,MATCH('A1 - Raw Material Supply'!$B$22&amp;'A1 - Raw Material Supply'!$D$22,LCI!$B$2:$B$130&amp;LCI!$D$2:$D$130,0))*$C$22</f>
        <v>0.6450499652922852</v>
      </c>
      <c r="Y77" s="154">
        <f t="shared" si="5"/>
        <v>1.6281556171631058</v>
      </c>
    </row>
    <row r="78" spans="1:25" x14ac:dyDescent="0.25">
      <c r="A78" s="1" t="s">
        <v>316</v>
      </c>
      <c r="B78" s="158">
        <f>INDEX(LCI!U$2:U$130,MATCH('A1 - Raw Material Supply'!$B5,LCI!$D$2:$D$130,0))*$C5</f>
        <v>0</v>
      </c>
      <c r="C78" s="158">
        <f>INDEX(LCI!U$2:U$130,MATCH('A1 - Raw Material Supply'!$B6,LCI!$D$2:$D$130,0))*$C6</f>
        <v>6.5938462047127961</v>
      </c>
      <c r="D78" s="158">
        <f>INDEX(LCI!U$2:U$130,MATCH('A1 - Raw Material Supply'!$B7,LCI!$D$2:$D$130,0))*$C7</f>
        <v>3.2969231023563981</v>
      </c>
      <c r="E78" s="158">
        <f>INDEX(LCI!U$2:U$130,MATCH('A1 - Raw Material Supply'!$B8,LCI!$D$2:$D$130,0))*$C8</f>
        <v>1.9781538614138385</v>
      </c>
      <c r="F78" s="158">
        <f>INDEX(LCI!U$2:U$130,MATCH('A1 - Raw Material Supply'!$B9,LCI!$D$2:$D$130,0))*$C9</f>
        <v>0</v>
      </c>
      <c r="G78" s="158">
        <f>INDEX(LCI!U$2:U$130,MATCH('A1 - Raw Material Supply'!$B10,LCI!$D$2:$D$130,0))*$C10</f>
        <v>0.98907693070691927</v>
      </c>
      <c r="H78" s="158">
        <f>INDEX(LCI!U$2:U$130,MATCH('A1 - Raw Material Supply'!$B11,LCI!$D$2:$D$130,0))*$C11</f>
        <v>48.913704461387027</v>
      </c>
      <c r="I78" s="158">
        <f>INDEX(LCI!U$2:U$130,MATCH('A1 - Raw Material Supply'!$B12,LCI!$D$2:$D$130,0))*$C12</f>
        <v>48.913704461387027</v>
      </c>
      <c r="J78" s="158">
        <f>INDEX(LCI!U$2:U$130,MATCH('A1 - Raw Material Supply'!$B13,LCI!$D$2:$D$130,0))*$C13</f>
        <v>48.913704461387027</v>
      </c>
      <c r="K78" s="154">
        <f t="shared" si="3"/>
        <v>159.59911348335103</v>
      </c>
      <c r="L78" s="158" cm="1">
        <f t="array" ref="L78">INDEX(LCI!U$2:U$130,MATCH('A1 - Raw Material Supply'!$B$14&amp;'A1 - Raw Material Supply'!$D$14,LCI!$B$2:$B$130&amp;LCI!$D$2:$D$130,0))*$C14</f>
        <v>9.1700110375675692</v>
      </c>
      <c r="M78" s="158" cm="1">
        <f t="array" ref="M78">INDEX(LCI!U$2:U$130,MATCH('A1 - Raw Material Supply'!$B$15&amp;'A1 - Raw Material Supply'!$D$15,LCI!$B$2:$B$130&amp;LCI!$D$2:$D$130,0))*$C15</f>
        <v>1.1422726757613131</v>
      </c>
      <c r="N78" s="154">
        <f t="shared" si="4"/>
        <v>10.312283713328883</v>
      </c>
      <c r="O78" s="158" cm="1">
        <f t="array" ref="O78">INDEX(LCI!U$2:U$137,MATCH('A1 - Raw Material Supply'!$B4&amp;'A1 - Raw Material Supply'!$D4,LCI!$B2:$B137&amp;LCI!$D2:$D137,0))*$C4</f>
        <v>4.7340000000000009</v>
      </c>
      <c r="P78" s="159"/>
      <c r="Q78" s="159"/>
      <c r="R78" s="154"/>
      <c r="S78" s="158"/>
      <c r="T78" s="158"/>
      <c r="U78" s="154"/>
      <c r="V78" s="158" cm="1">
        <f t="array" ref="V78">INDEX(LCI!U$2:U$130,MATCH('A1 - Raw Material Supply'!$B$20&amp;'A1 - Raw Material Supply'!$D$20,LCI!$B$2:$B$130&amp;LCI!$D$2:$D$130,0))*$C$20</f>
        <v>17.720097836370336</v>
      </c>
      <c r="W78" s="158" cm="1">
        <f t="array" ref="W78">INDEX(LCI!U$2:U$130,MATCH('A1 - Raw Material Supply'!$B$21&amp;'A1 - Raw Material Supply'!$D$21,LCI!$B$2:$B$130&amp;LCI!$D$2:$D$130,0))*$C$21</f>
        <v>36.236117236585464</v>
      </c>
      <c r="X78" s="158" cm="1">
        <f t="array" ref="X78">INDEX(LCI!U$2:U$130,MATCH('A1 - Raw Material Supply'!$B$22&amp;'A1 - Raw Material Supply'!$D$22,LCI!$B$2:$B$130&amp;LCI!$D$2:$D$130,0))*$C$22</f>
        <v>17.720097836370336</v>
      </c>
      <c r="Y78" s="154">
        <f t="shared" si="5"/>
        <v>71.676312909326128</v>
      </c>
    </row>
    <row r="79" spans="1:25" x14ac:dyDescent="0.25">
      <c r="A79" s="1" t="s">
        <v>317</v>
      </c>
      <c r="B79" s="158">
        <f>INDEX(LCI!V$2:V$130,MATCH('A1 - Raw Material Supply'!$B5,LCI!$D$2:$D$130,0))*$C5</f>
        <v>0</v>
      </c>
      <c r="C79" s="158">
        <f>INDEX(LCI!V$2:V$130,MATCH('A1 - Raw Material Supply'!$B6,LCI!$D$2:$D$130,0))*$C6</f>
        <v>1.6398651183744898E-6</v>
      </c>
      <c r="D79" s="158">
        <f>INDEX(LCI!V$2:V$130,MATCH('A1 - Raw Material Supply'!$B7,LCI!$D$2:$D$130,0))*$C7</f>
        <v>8.1993255918724492E-7</v>
      </c>
      <c r="E79" s="158">
        <f>INDEX(LCI!V$2:V$130,MATCH('A1 - Raw Material Supply'!$B8,LCI!$D$2:$D$130,0))*$C8</f>
        <v>4.9195953551234691E-7</v>
      </c>
      <c r="F79" s="158">
        <f>INDEX(LCI!V$2:V$130,MATCH('A1 - Raw Material Supply'!$B9,LCI!$D$2:$D$130,0))*$C9</f>
        <v>0</v>
      </c>
      <c r="G79" s="158">
        <f>INDEX(LCI!V$2:V$130,MATCH('A1 - Raw Material Supply'!$B10,LCI!$D$2:$D$130,0))*$C10</f>
        <v>2.4597976775617345E-7</v>
      </c>
      <c r="H79" s="158">
        <f>INDEX(LCI!V$2:V$130,MATCH('A1 - Raw Material Supply'!$B11,LCI!$D$2:$D$130,0))*$C11</f>
        <v>6.6909058847862966E-8</v>
      </c>
      <c r="I79" s="158">
        <f>INDEX(LCI!V$2:V$130,MATCH('A1 - Raw Material Supply'!$B12,LCI!$D$2:$D$130,0))*$C12</f>
        <v>6.6909058847862966E-8</v>
      </c>
      <c r="J79" s="158">
        <f>INDEX(LCI!V$2:V$130,MATCH('A1 - Raw Material Supply'!$B13,LCI!$D$2:$D$130,0))*$C13</f>
        <v>6.6909058847862966E-8</v>
      </c>
      <c r="K79" s="154">
        <f t="shared" si="3"/>
        <v>3.398464157373844E-6</v>
      </c>
      <c r="L79" s="158" cm="1">
        <f t="array" ref="L79">INDEX(LCI!V$2:V$130,MATCH('A1 - Raw Material Supply'!$B$14&amp;'A1 - Raw Material Supply'!$D$14,LCI!$B$2:$B$130&amp;LCI!$D$2:$D$130,0))*$C14</f>
        <v>1.8236823078801278E-5</v>
      </c>
      <c r="M79" s="158" cm="1">
        <f t="array" ref="M79">INDEX(LCI!V$2:V$130,MATCH('A1 - Raw Material Supply'!$B$15&amp;'A1 - Raw Material Supply'!$D$15,LCI!$B$2:$B$130&amp;LCI!$D$2:$D$130,0))*$C15</f>
        <v>6.5070484863114593E-7</v>
      </c>
      <c r="N79" s="154">
        <f t="shared" si="4"/>
        <v>1.8887527927432426E-5</v>
      </c>
      <c r="O79" s="158" cm="1">
        <f t="array" ref="O79">INDEX(LCI!V$2:V$137,MATCH('A1 - Raw Material Supply'!$B4&amp;'A1 - Raw Material Supply'!$D4,LCI!$B2:$B137&amp;LCI!$D2:$D137,0))*$C4</f>
        <v>1.8360000000000003E-6</v>
      </c>
      <c r="P79" s="159"/>
      <c r="Q79" s="159"/>
      <c r="R79" s="154"/>
      <c r="S79" s="158"/>
      <c r="T79" s="158"/>
      <c r="U79" s="154"/>
      <c r="V79" s="158" cm="1">
        <f t="array" ref="V79">INDEX(LCI!V$2:V$130,MATCH('A1 - Raw Material Supply'!$B$20&amp;'A1 - Raw Material Supply'!$D$20,LCI!$B$2:$B$130&amp;LCI!$D$2:$D$130,0))*$C$20</f>
        <v>1.2122921902345968E-3</v>
      </c>
      <c r="W79" s="158" cm="1">
        <f t="array" ref="W79">INDEX(LCI!V$2:V$130,MATCH('A1 - Raw Material Supply'!$B$21&amp;'A1 - Raw Material Supply'!$D$21,LCI!$B$2:$B$130&amp;LCI!$D$2:$D$130,0))*$C$21</f>
        <v>1.5999055545693047E-4</v>
      </c>
      <c r="X79" s="158" cm="1">
        <f t="array" ref="X79">INDEX(LCI!V$2:V$130,MATCH('A1 - Raw Material Supply'!$B$22&amp;'A1 - Raw Material Supply'!$D$22,LCI!$B$2:$B$130&amp;LCI!$D$2:$D$130,0))*$C$22</f>
        <v>1.2122921902345968E-3</v>
      </c>
      <c r="Y79" s="154">
        <f t="shared" si="5"/>
        <v>2.584574935926124E-3</v>
      </c>
    </row>
    <row r="80" spans="1:25" x14ac:dyDescent="0.25">
      <c r="A80" s="1" t="s">
        <v>318</v>
      </c>
      <c r="B80" s="158">
        <f>INDEX(LCI!W$2:W$130,MATCH('A1 - Raw Material Supply'!$B5,LCI!$D$2:$D$130,0))*$C5</f>
        <v>0</v>
      </c>
      <c r="C80" s="158">
        <f>INDEX(LCI!W$2:W$130,MATCH('A1 - Raw Material Supply'!$B6,LCI!$D$2:$D$130,0))*$C6</f>
        <v>9.3260732604521099E-9</v>
      </c>
      <c r="D80" s="158">
        <f>INDEX(LCI!W$2:W$130,MATCH('A1 - Raw Material Supply'!$B7,LCI!$D$2:$D$130,0))*$C7</f>
        <v>4.663036630226055E-9</v>
      </c>
      <c r="E80" s="158">
        <f>INDEX(LCI!W$2:W$130,MATCH('A1 - Raw Material Supply'!$B8,LCI!$D$2:$D$130,0))*$C8</f>
        <v>2.7978219781356324E-9</v>
      </c>
      <c r="F80" s="158">
        <f>INDEX(LCI!W$2:W$130,MATCH('A1 - Raw Material Supply'!$B9,LCI!$D$2:$D$130,0))*$C9</f>
        <v>0</v>
      </c>
      <c r="G80" s="158">
        <f>INDEX(LCI!W$2:W$130,MATCH('A1 - Raw Material Supply'!$B10,LCI!$D$2:$D$130,0))*$C10</f>
        <v>1.3989109890678162E-9</v>
      </c>
      <c r="H80" s="158">
        <f>INDEX(LCI!W$2:W$130,MATCH('A1 - Raw Material Supply'!$B11,LCI!$D$2:$D$130,0))*$C11</f>
        <v>1.5216981243164126E-9</v>
      </c>
      <c r="I80" s="158">
        <f>INDEX(LCI!W$2:W$130,MATCH('A1 - Raw Material Supply'!$B12,LCI!$D$2:$D$130,0))*$C12</f>
        <v>1.5216981243164126E-9</v>
      </c>
      <c r="J80" s="158">
        <f>INDEX(LCI!W$2:W$130,MATCH('A1 - Raw Material Supply'!$B13,LCI!$D$2:$D$130,0))*$C13</f>
        <v>1.5216981243164126E-9</v>
      </c>
      <c r="K80" s="154">
        <f t="shared" si="3"/>
        <v>2.2750937230830854E-8</v>
      </c>
      <c r="L80" s="158" cm="1">
        <f t="array" ref="L80">INDEX(LCI!W$2:W$130,MATCH('A1 - Raw Material Supply'!$B$14&amp;'A1 - Raw Material Supply'!$D$14,LCI!$B$2:$B$130&amp;LCI!$D$2:$D$130,0))*$C14</f>
        <v>2.5862610588193264E-8</v>
      </c>
      <c r="M80" s="158" cm="1">
        <f t="array" ref="M80">INDEX(LCI!W$2:W$130,MATCH('A1 - Raw Material Supply'!$B$15&amp;'A1 - Raw Material Supply'!$D$15,LCI!$B$2:$B$130&amp;LCI!$D$2:$D$130,0))*$C15</f>
        <v>2.831664955417385E-9</v>
      </c>
      <c r="N80" s="154">
        <f t="shared" si="4"/>
        <v>2.8694275543610648E-8</v>
      </c>
      <c r="O80" s="158" cm="1">
        <f t="array" ref="O80">INDEX(LCI!W$2:W$137,MATCH('A1 - Raw Material Supply'!$B4&amp;'A1 - Raw Material Supply'!$D4,LCI!$B2:$B137&amp;LCI!$D2:$D137,0))*$C4</f>
        <v>5.9760000000000004E-12</v>
      </c>
      <c r="P80" s="159"/>
      <c r="Q80" s="159"/>
      <c r="R80" s="154"/>
      <c r="S80" s="158"/>
      <c r="T80" s="158"/>
      <c r="U80" s="154"/>
      <c r="V80" s="158" cm="1">
        <f t="array" ref="V80">INDEX(LCI!W$2:W$130,MATCH('A1 - Raw Material Supply'!$B$20&amp;'A1 - Raw Material Supply'!$D$20,LCI!$B$2:$B$130&amp;LCI!$D$2:$D$130,0))*$C$20</f>
        <v>4.052565007125072E-8</v>
      </c>
      <c r="W80" s="158" cm="1">
        <f t="array" ref="W80">INDEX(LCI!W$2:W$130,MATCH('A1 - Raw Material Supply'!$B$21&amp;'A1 - Raw Material Supply'!$D$21,LCI!$B$2:$B$130&amp;LCI!$D$2:$D$130,0))*$C$21</f>
        <v>1.7616387595459569E-7</v>
      </c>
      <c r="X80" s="158" cm="1">
        <f t="array" ref="X80">INDEX(LCI!W$2:W$130,MATCH('A1 - Raw Material Supply'!$B$22&amp;'A1 - Raw Material Supply'!$D$22,LCI!$B$2:$B$130&amp;LCI!$D$2:$D$130,0))*$C$22</f>
        <v>4.052565007125072E-8</v>
      </c>
      <c r="Y80" s="154">
        <f t="shared" si="5"/>
        <v>2.5721517609709713E-7</v>
      </c>
    </row>
    <row r="81" spans="1:25" x14ac:dyDescent="0.25">
      <c r="A81" s="1" t="s">
        <v>319</v>
      </c>
      <c r="B81" s="158">
        <f>INDEX(LCI!X$2:X$130,MATCH('A1 - Raw Material Supply'!$B5,LCI!$D$2:$D$130,0))*$C5</f>
        <v>0</v>
      </c>
      <c r="C81" s="158">
        <f>INDEX(LCI!X$2:X$130,MATCH('A1 - Raw Material Supply'!$B6,LCI!$D$2:$D$130,0))*$C6</f>
        <v>1.7632792952403548E-7</v>
      </c>
      <c r="D81" s="158">
        <f>INDEX(LCI!X$2:X$130,MATCH('A1 - Raw Material Supply'!$B7,LCI!$D$2:$D$130,0))*$C7</f>
        <v>8.8163964762017742E-8</v>
      </c>
      <c r="E81" s="158">
        <f>INDEX(LCI!X$2:X$130,MATCH('A1 - Raw Material Supply'!$B8,LCI!$D$2:$D$130,0))*$C8</f>
        <v>5.289837885721064E-8</v>
      </c>
      <c r="F81" s="158">
        <f>INDEX(LCI!X$2:X$130,MATCH('A1 - Raw Material Supply'!$B9,LCI!$D$2:$D$130,0))*$C9</f>
        <v>0</v>
      </c>
      <c r="G81" s="158">
        <f>INDEX(LCI!X$2:X$130,MATCH('A1 - Raw Material Supply'!$B10,LCI!$D$2:$D$130,0))*$C10</f>
        <v>2.644918942860532E-8</v>
      </c>
      <c r="H81" s="158">
        <f>INDEX(LCI!X$2:X$130,MATCH('A1 - Raw Material Supply'!$B11,LCI!$D$2:$D$130,0))*$C11</f>
        <v>2.5970932120921222E-8</v>
      </c>
      <c r="I81" s="158">
        <f>INDEX(LCI!X$2:X$130,MATCH('A1 - Raw Material Supply'!$B12,LCI!$D$2:$D$130,0))*$C12</f>
        <v>2.5970932120921222E-8</v>
      </c>
      <c r="J81" s="158">
        <f>INDEX(LCI!X$2:X$130,MATCH('A1 - Raw Material Supply'!$B13,LCI!$D$2:$D$130,0))*$C13</f>
        <v>2.5970932120921222E-8</v>
      </c>
      <c r="K81" s="154">
        <f t="shared" si="3"/>
        <v>4.2175225893463284E-7</v>
      </c>
      <c r="L81" s="158" cm="1">
        <f t="array" ref="L81">INDEX(LCI!X$2:X$130,MATCH('A1 - Raw Material Supply'!$B$14&amp;'A1 - Raw Material Supply'!$D$14,LCI!$B$2:$B$130&amp;LCI!$D$2:$D$130,0))*$C14</f>
        <v>1.2367402836470991E-7</v>
      </c>
      <c r="M81" s="158" cm="1">
        <f t="array" ref="M81">INDEX(LCI!X$2:X$130,MATCH('A1 - Raw Material Supply'!$B$15&amp;'A1 - Raw Material Supply'!$D$15,LCI!$B$2:$B$130&amp;LCI!$D$2:$D$130,0))*$C15</f>
        <v>1.790407214249345E-8</v>
      </c>
      <c r="N81" s="154">
        <f t="shared" si="4"/>
        <v>1.4157810050720335E-7</v>
      </c>
      <c r="O81" s="158" cm="1">
        <f t="array" ref="O81">INDEX(LCI!X$2:X$137,MATCH('A1 - Raw Material Supply'!$B4&amp;'A1 - Raw Material Supply'!$D4,LCI!$B2:$B137&amp;LCI!$D2:$D137,0))*$C4</f>
        <v>4.8240000000000003E-7</v>
      </c>
      <c r="P81" s="159"/>
      <c r="Q81" s="159"/>
      <c r="R81" s="154"/>
      <c r="S81" s="158"/>
      <c r="T81" s="158"/>
      <c r="U81" s="154"/>
      <c r="V81" s="158" cm="1">
        <f t="array" ref="V81">INDEX(LCI!X$2:X$130,MATCH('A1 - Raw Material Supply'!$B$20&amp;'A1 - Raw Material Supply'!$D$20,LCI!$B$2:$B$130&amp;LCI!$D$2:$D$130,0))*$C$20</f>
        <v>4.2382403795367336E-7</v>
      </c>
      <c r="W81" s="158" cm="1">
        <f t="array" ref="W81">INDEX(LCI!X$2:X$130,MATCH('A1 - Raw Material Supply'!$B$21&amp;'A1 - Raw Material Supply'!$D$21,LCI!$B$2:$B$130&amp;LCI!$D$2:$D$130,0))*$C$21</f>
        <v>1.0020906036320172E-6</v>
      </c>
      <c r="X81" s="158" cm="1">
        <f t="array" ref="X81">INDEX(LCI!X$2:X$130,MATCH('A1 - Raw Material Supply'!$B$22&amp;'A1 - Raw Material Supply'!$D$22,LCI!$B$2:$B$130&amp;LCI!$D$2:$D$130,0))*$C$22</f>
        <v>4.2382403795367336E-7</v>
      </c>
      <c r="Y81" s="154">
        <f t="shared" si="5"/>
        <v>1.849738679539364E-6</v>
      </c>
    </row>
    <row r="82" spans="1:25" x14ac:dyDescent="0.25">
      <c r="A82" s="1" t="s">
        <v>320</v>
      </c>
      <c r="B82" s="158">
        <f>INDEX(LCI!Y$2:Y$130,MATCH('A1 - Raw Material Supply'!$B5,LCI!$D$2:$D$130,0))*$C5</f>
        <v>0</v>
      </c>
      <c r="C82" s="158">
        <f>INDEX(LCI!Y$2:Y$130,MATCH('A1 - Raw Material Supply'!$B6,LCI!$D$2:$D$130,0))*$C6</f>
        <v>1.2319191663908565E-2</v>
      </c>
      <c r="D82" s="158">
        <f>INDEX(LCI!Y$2:Y$130,MATCH('A1 - Raw Material Supply'!$B7,LCI!$D$2:$D$130,0))*$C7</f>
        <v>6.1595958319542827E-3</v>
      </c>
      <c r="E82" s="158">
        <f>INDEX(LCI!Y$2:Y$130,MATCH('A1 - Raw Material Supply'!$B8,LCI!$D$2:$D$130,0))*$C8</f>
        <v>3.6957574991725692E-3</v>
      </c>
      <c r="F82" s="158">
        <f>INDEX(LCI!Y$2:Y$130,MATCH('A1 - Raw Material Supply'!$B9,LCI!$D$2:$D$130,0))*$C9</f>
        <v>0</v>
      </c>
      <c r="G82" s="158">
        <f>INDEX(LCI!Y$2:Y$130,MATCH('A1 - Raw Material Supply'!$B10,LCI!$D$2:$D$130,0))*$C10</f>
        <v>1.8478787495862846E-3</v>
      </c>
      <c r="H82" s="158">
        <f>INDEX(LCI!Y$2:Y$130,MATCH('A1 - Raw Material Supply'!$B11,LCI!$D$2:$D$130,0))*$C11</f>
        <v>1.3827310688951048E-3</v>
      </c>
      <c r="I82" s="158">
        <f>INDEX(LCI!Y$2:Y$130,MATCH('A1 - Raw Material Supply'!$B12,LCI!$D$2:$D$130,0))*$C12</f>
        <v>1.3827310688951048E-3</v>
      </c>
      <c r="J82" s="158">
        <f>INDEX(LCI!Y$2:Y$130,MATCH('A1 - Raw Material Supply'!$B13,LCI!$D$2:$D$130,0))*$C13</f>
        <v>1.3827310688951048E-3</v>
      </c>
      <c r="K82" s="154">
        <f t="shared" si="3"/>
        <v>2.8170616951307015E-2</v>
      </c>
      <c r="L82" s="158" cm="1">
        <f t="array" ref="L82">INDEX(LCI!Y$2:Y$130,MATCH('A1 - Raw Material Supply'!$B$14&amp;'A1 - Raw Material Supply'!$D$14,LCI!$B$2:$B$130&amp;LCI!$D$2:$D$130,0))*$C14</f>
        <v>1.1938714276465369E-2</v>
      </c>
      <c r="M82" s="158" cm="1">
        <f t="array" ref="M82">INDEX(LCI!Y$2:Y$130,MATCH('A1 - Raw Material Supply'!$B$15&amp;'A1 - Raw Material Supply'!$D$15,LCI!$B$2:$B$130&amp;LCI!$D$2:$D$130,0))*$C15</f>
        <v>1.1998903131861781E-3</v>
      </c>
      <c r="N82" s="154">
        <f t="shared" si="4"/>
        <v>1.3138604589651548E-2</v>
      </c>
      <c r="O82" s="158" cm="1">
        <f t="array" ref="O82">INDEX(LCI!Y$2:Y$137,MATCH('A1 - Raw Material Supply'!$B4&amp;'A1 - Raw Material Supply'!$D4,LCI!$B2:$B137&amp;LCI!$D2:$D137,0))*$C4</f>
        <v>3.6540000000000003E-2</v>
      </c>
      <c r="P82" s="159"/>
      <c r="Q82" s="159"/>
      <c r="R82" s="154"/>
      <c r="S82" s="158"/>
      <c r="T82" s="158"/>
      <c r="U82" s="154"/>
      <c r="V82" s="158" cm="1">
        <f t="array" ref="V82">INDEX(LCI!Y$2:Y$130,MATCH('A1 - Raw Material Supply'!$B$20&amp;'A1 - Raw Material Supply'!$D$20,LCI!$B$2:$B$130&amp;LCI!$D$2:$D$130,0))*$C$20</f>
        <v>2.1167156369696079E-2</v>
      </c>
      <c r="W82" s="158" cm="1">
        <f t="array" ref="W82">INDEX(LCI!Y$2:Y$130,MATCH('A1 - Raw Material Supply'!$B$21&amp;'A1 - Raw Material Supply'!$D$21,LCI!$B$2:$B$130&amp;LCI!$D$2:$D$130,0))*$C$21</f>
        <v>7.4060939338008155E-2</v>
      </c>
      <c r="X82" s="158" cm="1">
        <f t="array" ref="X82">INDEX(LCI!Y$2:Y$130,MATCH('A1 - Raw Material Supply'!$B$22&amp;'A1 - Raw Material Supply'!$D$22,LCI!$B$2:$B$130&amp;LCI!$D$2:$D$130,0))*$C$22</f>
        <v>2.1167156369696079E-2</v>
      </c>
      <c r="Y82" s="154">
        <f t="shared" si="5"/>
        <v>0.11639525207740031</v>
      </c>
    </row>
    <row r="83" spans="1:25" x14ac:dyDescent="0.25">
      <c r="A83" s="1" t="s">
        <v>321</v>
      </c>
      <c r="B83" s="158">
        <f>INDEX(LCI!Z$2:Z$130,MATCH('A1 - Raw Material Supply'!$B5,LCI!$D$2:$D$130,0))*$C5</f>
        <v>0</v>
      </c>
      <c r="C83" s="158">
        <f>INDEX(LCI!Z$2:Z$130,MATCH('A1 - Raw Material Supply'!$B6,LCI!$D$2:$D$130,0))*$C6</f>
        <v>0.80512542629943595</v>
      </c>
      <c r="D83" s="158">
        <f>INDEX(LCI!Z$2:Z$130,MATCH('A1 - Raw Material Supply'!$B7,LCI!$D$2:$D$130,0))*$C7</f>
        <v>0.40256271314971798</v>
      </c>
      <c r="E83" s="158">
        <f>INDEX(LCI!Z$2:Z$130,MATCH('A1 - Raw Material Supply'!$B8,LCI!$D$2:$D$130,0))*$C8</f>
        <v>0.24153762788983077</v>
      </c>
      <c r="F83" s="158">
        <f>INDEX(LCI!Z$2:Z$130,MATCH('A1 - Raw Material Supply'!$B9,LCI!$D$2:$D$130,0))*$C9</f>
        <v>0</v>
      </c>
      <c r="G83" s="158">
        <f>INDEX(LCI!Z$2:Z$130,MATCH('A1 - Raw Material Supply'!$B10,LCI!$D$2:$D$130,0))*$C10</f>
        <v>0.12076881394491538</v>
      </c>
      <c r="H83" s="158">
        <f>INDEX(LCI!Z$2:Z$130,MATCH('A1 - Raw Material Supply'!$B11,LCI!$D$2:$D$130,0))*$C11</f>
        <v>0.13343229650147481</v>
      </c>
      <c r="I83" s="158">
        <f>INDEX(LCI!Z$2:Z$130,MATCH('A1 - Raw Material Supply'!$B12,LCI!$D$2:$D$130,0))*$C12</f>
        <v>0.13343229650147481</v>
      </c>
      <c r="J83" s="158">
        <f>INDEX(LCI!Z$2:Z$130,MATCH('A1 - Raw Material Supply'!$B13,LCI!$D$2:$D$130,0))*$C13</f>
        <v>0.13343229650147481</v>
      </c>
      <c r="K83" s="154">
        <f t="shared" si="3"/>
        <v>1.9702914707883248</v>
      </c>
      <c r="L83" s="158" cm="1">
        <f t="array" ref="L83">INDEX(LCI!Z$2:Z$130,MATCH('A1 - Raw Material Supply'!$B$14&amp;'A1 - Raw Material Supply'!$D$14,LCI!$B$2:$B$130&amp;LCI!$D$2:$D$130,0))*$C14</f>
        <v>0.55942561497654997</v>
      </c>
      <c r="M83" s="158" cm="1">
        <f t="array" ref="M83">INDEX(LCI!Z$2:Z$130,MATCH('A1 - Raw Material Supply'!$B$15&amp;'A1 - Raw Material Supply'!$D$15,LCI!$B$2:$B$130&amp;LCI!$D$2:$D$130,0))*$C15</f>
        <v>0.46168314124531201</v>
      </c>
      <c r="N83" s="154">
        <f t="shared" si="4"/>
        <v>1.0211087562218619</v>
      </c>
      <c r="O83" s="158" cm="1">
        <f t="array" ref="O83">INDEX(LCI!Z$2:Z$137,MATCH('A1 - Raw Material Supply'!$B4&amp;'A1 - Raw Material Supply'!$D4,LCI!$B2:$B137&amp;LCI!$D2:$D137,0))*$C4</f>
        <v>0.12978000000000001</v>
      </c>
      <c r="P83" s="159"/>
      <c r="Q83" s="159"/>
      <c r="R83" s="154"/>
      <c r="S83" s="158"/>
      <c r="T83" s="158"/>
      <c r="U83" s="154"/>
      <c r="V83" s="158" cm="1">
        <f t="array" ref="V83">INDEX(LCI!Z$2:Z$130,MATCH('A1 - Raw Material Supply'!$B$20&amp;'A1 - Raw Material Supply'!$D$20,LCI!$B$2:$B$130&amp;LCI!$D$2:$D$130,0))*$C$20</f>
        <v>2.0012990288499521</v>
      </c>
      <c r="W83" s="158" cm="1">
        <f t="array" ref="W83">INDEX(LCI!Z$2:Z$130,MATCH('A1 - Raw Material Supply'!$B$21&amp;'A1 - Raw Material Supply'!$D$21,LCI!$B$2:$B$130&amp;LCI!$D$2:$D$130,0))*$C$21</f>
        <v>2.1582250315086178</v>
      </c>
      <c r="X83" s="158" cm="1">
        <f t="array" ref="X83">INDEX(LCI!Z$2:Z$130,MATCH('A1 - Raw Material Supply'!$B$22&amp;'A1 - Raw Material Supply'!$D$22,LCI!$B$2:$B$130&amp;LCI!$D$2:$D$130,0))*$C$22</f>
        <v>2.0012990288499521</v>
      </c>
      <c r="Y83" s="154">
        <f t="shared" si="5"/>
        <v>6.1608230892085221</v>
      </c>
    </row>
    <row r="84" spans="1:25" x14ac:dyDescent="0.25">
      <c r="K84">
        <f>+SUM(K65:K83)</f>
        <v>195.49658490142454</v>
      </c>
      <c r="N84">
        <f>+SUM(N65:N83)</f>
        <v>70.826574602684815</v>
      </c>
      <c r="O84">
        <f>+SUM(O65:O83)</f>
        <v>1361.649232594734</v>
      </c>
      <c r="R84">
        <f>+SUM(R65:R83)</f>
        <v>0</v>
      </c>
      <c r="U84">
        <f>+SUM(U65:U83)</f>
        <v>0</v>
      </c>
      <c r="Y84">
        <f>+SUM(Y65:Y83)</f>
        <v>1305.4765550957879</v>
      </c>
    </row>
    <row r="85" spans="1:25" ht="24" x14ac:dyDescent="0.4">
      <c r="A85" s="100" t="s">
        <v>346</v>
      </c>
    </row>
    <row r="87" spans="1:25" x14ac:dyDescent="0.25">
      <c r="B87" s="370" t="s">
        <v>243</v>
      </c>
      <c r="C87" s="379"/>
      <c r="D87" s="379"/>
      <c r="E87" s="379"/>
      <c r="F87" s="379"/>
      <c r="G87" s="379"/>
      <c r="H87" s="379"/>
      <c r="I87" s="379"/>
      <c r="J87" s="379"/>
      <c r="K87" s="379"/>
      <c r="L87" s="379" t="s">
        <v>333</v>
      </c>
      <c r="M87" s="379"/>
      <c r="N87" s="371"/>
      <c r="O87" s="104" t="s">
        <v>287</v>
      </c>
      <c r="P87" s="370" t="s">
        <v>234</v>
      </c>
      <c r="Q87" s="379"/>
      <c r="R87" s="371"/>
      <c r="S87" s="370" t="s">
        <v>334</v>
      </c>
      <c r="T87" s="379"/>
      <c r="U87" s="371"/>
      <c r="V87" s="372" t="s">
        <v>244</v>
      </c>
      <c r="W87" s="372"/>
      <c r="X87" s="372"/>
      <c r="Y87" s="372"/>
    </row>
    <row r="88" spans="1:25" ht="45" x14ac:dyDescent="0.25">
      <c r="B88" s="103" t="s">
        <v>69</v>
      </c>
      <c r="C88" s="103" t="s">
        <v>71</v>
      </c>
      <c r="D88" s="103" t="s">
        <v>74</v>
      </c>
      <c r="E88" s="103" t="s">
        <v>75</v>
      </c>
      <c r="F88" s="103" t="s">
        <v>78</v>
      </c>
      <c r="G88" s="103" t="s">
        <v>79</v>
      </c>
      <c r="H88" s="103" t="s">
        <v>80</v>
      </c>
      <c r="I88" s="103" t="s">
        <v>84</v>
      </c>
      <c r="J88" s="103" t="s">
        <v>85</v>
      </c>
      <c r="K88" s="103" t="s">
        <v>335</v>
      </c>
      <c r="L88" s="104" t="s">
        <v>336</v>
      </c>
      <c r="M88" s="104" t="s">
        <v>337</v>
      </c>
      <c r="N88" s="104" t="s">
        <v>338</v>
      </c>
      <c r="O88" s="104" t="s">
        <v>220</v>
      </c>
      <c r="P88" s="249" t="s">
        <v>92</v>
      </c>
      <c r="Q88" s="249" t="s">
        <v>93</v>
      </c>
      <c r="R88" s="249" t="s">
        <v>339</v>
      </c>
      <c r="S88" s="104" t="s">
        <v>340</v>
      </c>
      <c r="T88" s="104" t="s">
        <v>341</v>
      </c>
      <c r="U88" s="104" t="s">
        <v>342</v>
      </c>
      <c r="V88" s="104" t="s">
        <v>100</v>
      </c>
      <c r="W88" s="104" t="s">
        <v>104</v>
      </c>
      <c r="X88" s="104" t="s">
        <v>106</v>
      </c>
      <c r="Y88" s="104" t="s">
        <v>343</v>
      </c>
    </row>
    <row r="89" spans="1:25" x14ac:dyDescent="0.25">
      <c r="A89" s="1" t="s">
        <v>344</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1.142E-3</v>
      </c>
      <c r="P89" s="154"/>
      <c r="Q89" s="154"/>
      <c r="R89" s="154"/>
      <c r="S89" s="154"/>
      <c r="T89" s="154"/>
      <c r="U89" s="154"/>
      <c r="V89" s="154"/>
      <c r="W89" s="154"/>
      <c r="X89" s="154"/>
      <c r="Y89" s="154"/>
    </row>
    <row r="90" spans="1:25" x14ac:dyDescent="0.25">
      <c r="A90" s="1" t="s">
        <v>304</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-5.86</v>
      </c>
      <c r="P90" s="154"/>
      <c r="Q90" s="154"/>
      <c r="R90" s="154"/>
      <c r="S90" s="154"/>
      <c r="T90" s="154"/>
      <c r="U90" s="154"/>
      <c r="V90" s="154"/>
      <c r="W90" s="154"/>
      <c r="X90" s="154"/>
      <c r="Y90" s="154"/>
    </row>
    <row r="91" spans="1:25" x14ac:dyDescent="0.25">
      <c r="A91" s="1" t="s">
        <v>305</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-6</v>
      </c>
      <c r="P91" s="154"/>
      <c r="Q91" s="154"/>
      <c r="R91" s="154"/>
      <c r="S91" s="154"/>
      <c r="T91" s="154"/>
      <c r="U91" s="154"/>
      <c r="V91" s="154"/>
      <c r="W91" s="154"/>
      <c r="X91" s="154"/>
      <c r="Y91" s="154"/>
    </row>
    <row r="92" spans="1:25" x14ac:dyDescent="0.25">
      <c r="A92" s="1" t="s">
        <v>306</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0.13800000000000001</v>
      </c>
      <c r="P92" s="154"/>
      <c r="Q92" s="154"/>
      <c r="R92" s="154"/>
      <c r="S92" s="154"/>
      <c r="T92" s="154"/>
      <c r="U92" s="154"/>
      <c r="V92" s="154"/>
      <c r="W92" s="154"/>
      <c r="X92" s="154"/>
      <c r="Y92" s="154"/>
    </row>
    <row r="93" spans="1:25" x14ac:dyDescent="0.25">
      <c r="A93" s="1" t="s">
        <v>307</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4.8000000000000001E-4</v>
      </c>
      <c r="P93" s="154"/>
      <c r="Q93" s="154"/>
      <c r="R93" s="154"/>
      <c r="S93" s="154"/>
      <c r="T93" s="154"/>
      <c r="U93" s="154"/>
      <c r="V93" s="154"/>
      <c r="W93" s="154"/>
      <c r="X93" s="154"/>
      <c r="Y93" s="154"/>
    </row>
    <row r="94" spans="1:25" x14ac:dyDescent="0.25">
      <c r="A94" s="1" t="s">
        <v>308</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11.24</v>
      </c>
      <c r="P94" s="154"/>
      <c r="Q94" s="154"/>
      <c r="R94" s="154"/>
      <c r="S94" s="154"/>
      <c r="T94" s="154"/>
      <c r="U94" s="154"/>
      <c r="V94" s="154"/>
      <c r="W94" s="154"/>
      <c r="X94" s="154"/>
      <c r="Y94" s="154"/>
    </row>
    <row r="95" spans="1:25" x14ac:dyDescent="0.25">
      <c r="A95" s="1" t="s">
        <v>309</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1.23</v>
      </c>
      <c r="P95" s="154"/>
      <c r="Q95" s="154"/>
      <c r="R95" s="154"/>
      <c r="S95" s="154"/>
      <c r="T95" s="154"/>
      <c r="U95" s="154"/>
      <c r="V95" s="154"/>
      <c r="W95" s="154"/>
      <c r="X95" s="154"/>
      <c r="Y95" s="154"/>
    </row>
    <row r="96" spans="1:25" x14ac:dyDescent="0.25">
      <c r="A96" s="1" t="s">
        <v>310</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9.2E-6</v>
      </c>
      <c r="P96" s="154"/>
      <c r="Q96" s="154"/>
      <c r="R96" s="154"/>
      <c r="S96" s="154"/>
      <c r="T96" s="154"/>
      <c r="U96" s="154"/>
      <c r="V96" s="154"/>
      <c r="W96" s="154"/>
      <c r="X96" s="154"/>
      <c r="Y96" s="154"/>
    </row>
    <row r="97" spans="1:26" x14ac:dyDescent="0.25">
      <c r="A97" s="1" t="s">
        <v>311</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2.42E-4</v>
      </c>
      <c r="P97" s="154"/>
      <c r="Q97" s="154"/>
      <c r="R97" s="154"/>
      <c r="S97" s="154"/>
      <c r="T97" s="154"/>
      <c r="U97" s="154"/>
      <c r="V97" s="154"/>
      <c r="W97" s="154"/>
      <c r="X97" s="154"/>
      <c r="Y97" s="154"/>
    </row>
    <row r="98" spans="1:26" x14ac:dyDescent="0.25">
      <c r="A98" s="1" t="s">
        <v>312</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2.0600000000000002E-3</v>
      </c>
      <c r="P98" s="154"/>
      <c r="Q98" s="154"/>
      <c r="R98" s="154"/>
      <c r="S98" s="154"/>
      <c r="T98" s="154"/>
      <c r="U98" s="154"/>
      <c r="V98" s="154"/>
      <c r="W98" s="154"/>
      <c r="X98" s="154"/>
      <c r="Y98" s="154"/>
    </row>
    <row r="99" spans="1:26" x14ac:dyDescent="0.25">
      <c r="A99" s="1" t="s">
        <v>313</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9.2599999999999996E-11</v>
      </c>
      <c r="P99" s="154"/>
      <c r="Q99" s="154"/>
      <c r="R99" s="154"/>
      <c r="S99" s="154"/>
      <c r="T99" s="154"/>
      <c r="U99" s="154"/>
      <c r="V99" s="154"/>
      <c r="W99" s="154"/>
      <c r="X99" s="154"/>
      <c r="Y99" s="154"/>
    </row>
    <row r="100" spans="1:26" x14ac:dyDescent="0.25">
      <c r="A100" s="1" t="s">
        <v>345</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5.1599999999999996E-9</v>
      </c>
      <c r="P100" s="154"/>
      <c r="Q100" s="154"/>
      <c r="R100" s="154"/>
      <c r="S100" s="154"/>
      <c r="T100" s="154"/>
      <c r="U100" s="154"/>
      <c r="V100" s="154"/>
      <c r="W100" s="154"/>
      <c r="X100" s="154"/>
      <c r="Y100" s="154"/>
    </row>
    <row r="101" spans="1:26" x14ac:dyDescent="0.25">
      <c r="A101" s="1" t="s">
        <v>315</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1.41E-3</v>
      </c>
      <c r="P101" s="154"/>
      <c r="Q101" s="154"/>
      <c r="R101" s="154"/>
      <c r="S101" s="154"/>
      <c r="T101" s="154"/>
      <c r="U101" s="154"/>
      <c r="V101" s="154"/>
      <c r="W101" s="154"/>
      <c r="X101" s="154"/>
      <c r="Y101" s="154"/>
    </row>
    <row r="102" spans="1:26" x14ac:dyDescent="0.25">
      <c r="A102" s="1" t="s">
        <v>316</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0.81800000000000006</v>
      </c>
      <c r="P102" s="154"/>
      <c r="Q102" s="154"/>
      <c r="R102" s="154"/>
      <c r="S102" s="154"/>
      <c r="T102" s="154"/>
      <c r="U102" s="154"/>
      <c r="V102" s="154"/>
      <c r="W102" s="154"/>
      <c r="X102" s="154"/>
      <c r="Y102" s="154"/>
    </row>
    <row r="103" spans="1:26" x14ac:dyDescent="0.25">
      <c r="A103" s="1" t="s">
        <v>317</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1.5200000000000001E-6</v>
      </c>
      <c r="P103" s="154"/>
      <c r="Q103" s="154"/>
      <c r="R103" s="154"/>
      <c r="S103" s="154"/>
      <c r="T103" s="154"/>
      <c r="U103" s="154"/>
      <c r="V103" s="154"/>
      <c r="W103" s="154"/>
      <c r="X103" s="154"/>
      <c r="Y103" s="154"/>
    </row>
    <row r="104" spans="1:26" x14ac:dyDescent="0.25">
      <c r="A104" s="1" t="s">
        <v>318</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4.5000000000000006E-9</v>
      </c>
      <c r="P104" s="154"/>
      <c r="Q104" s="154"/>
      <c r="R104" s="154"/>
      <c r="S104" s="154"/>
      <c r="T104" s="154"/>
      <c r="U104" s="154"/>
      <c r="V104" s="154"/>
      <c r="W104" s="154"/>
      <c r="X104" s="154"/>
      <c r="Y104" s="154"/>
    </row>
    <row r="105" spans="1:26" x14ac:dyDescent="0.25">
      <c r="A105" s="1" t="s">
        <v>319</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9.5600000000000009E-9</v>
      </c>
      <c r="P105" s="154"/>
      <c r="Q105" s="154"/>
      <c r="R105" s="154"/>
      <c r="S105" s="154"/>
      <c r="T105" s="154"/>
      <c r="U105" s="154"/>
      <c r="V105" s="154"/>
      <c r="W105" s="154"/>
      <c r="X105" s="154"/>
      <c r="Y105" s="154"/>
    </row>
    <row r="106" spans="1:26" x14ac:dyDescent="0.25">
      <c r="A106" s="1" t="s">
        <v>320</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4.3400000000000003E-4</v>
      </c>
      <c r="P106" s="154"/>
      <c r="Q106" s="154"/>
      <c r="R106" s="154"/>
      <c r="S106" s="154"/>
      <c r="T106" s="154"/>
      <c r="U106" s="154"/>
      <c r="V106" s="154"/>
      <c r="W106" s="154"/>
      <c r="X106" s="154"/>
      <c r="Y106" s="154"/>
    </row>
    <row r="107" spans="1:26" x14ac:dyDescent="0.25">
      <c r="A107" s="1" t="s">
        <v>321</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0.1024</v>
      </c>
      <c r="P107" s="154"/>
      <c r="Q107" s="154"/>
      <c r="R107" s="154"/>
      <c r="S107" s="154"/>
      <c r="T107" s="154"/>
      <c r="U107" s="154"/>
      <c r="V107" s="154"/>
      <c r="W107" s="154"/>
      <c r="X107" s="154"/>
      <c r="Y107" s="154"/>
    </row>
    <row r="110" spans="1:26" ht="24" x14ac:dyDescent="0.4">
      <c r="A110" s="100" t="s">
        <v>347</v>
      </c>
    </row>
    <row r="112" spans="1:26" x14ac:dyDescent="0.25">
      <c r="B112" s="370" t="s">
        <v>243</v>
      </c>
      <c r="C112" s="379"/>
      <c r="D112" s="379"/>
      <c r="E112" s="379"/>
      <c r="F112" s="379"/>
      <c r="G112" s="379"/>
      <c r="H112" s="379"/>
      <c r="I112" s="379"/>
      <c r="J112" s="379"/>
      <c r="K112" s="379"/>
      <c r="L112" s="379" t="s">
        <v>333</v>
      </c>
      <c r="M112" s="379"/>
      <c r="N112" s="371"/>
      <c r="O112" s="104" t="s">
        <v>287</v>
      </c>
      <c r="P112" s="370" t="s">
        <v>234</v>
      </c>
      <c r="Q112" s="379"/>
      <c r="R112" s="371"/>
      <c r="S112" s="370" t="s">
        <v>334</v>
      </c>
      <c r="T112" s="379"/>
      <c r="U112" s="371"/>
      <c r="V112" s="372" t="s">
        <v>244</v>
      </c>
      <c r="W112" s="372"/>
      <c r="X112" s="372"/>
      <c r="Y112" s="372"/>
      <c r="Z112" s="391" t="s">
        <v>348</v>
      </c>
    </row>
    <row r="113" spans="1:26" ht="45" x14ac:dyDescent="0.25">
      <c r="B113" s="103" t="s">
        <v>69</v>
      </c>
      <c r="C113" s="103" t="s">
        <v>71</v>
      </c>
      <c r="D113" s="103" t="s">
        <v>74</v>
      </c>
      <c r="E113" s="103" t="s">
        <v>75</v>
      </c>
      <c r="F113" s="103" t="s">
        <v>78</v>
      </c>
      <c r="G113" s="103" t="s">
        <v>79</v>
      </c>
      <c r="H113" s="103" t="s">
        <v>80</v>
      </c>
      <c r="I113" s="103" t="s">
        <v>84</v>
      </c>
      <c r="J113" s="103" t="s">
        <v>85</v>
      </c>
      <c r="K113" s="103" t="s">
        <v>335</v>
      </c>
      <c r="L113" s="104" t="s">
        <v>336</v>
      </c>
      <c r="M113" s="104" t="s">
        <v>337</v>
      </c>
      <c r="N113" s="104" t="s">
        <v>338</v>
      </c>
      <c r="O113" s="104" t="s">
        <v>220</v>
      </c>
      <c r="P113" s="249" t="s">
        <v>92</v>
      </c>
      <c r="Q113" s="249" t="s">
        <v>93</v>
      </c>
      <c r="R113" s="249" t="s">
        <v>339</v>
      </c>
      <c r="S113" s="104" t="s">
        <v>340</v>
      </c>
      <c r="T113" s="104" t="s">
        <v>341</v>
      </c>
      <c r="U113" s="104" t="s">
        <v>342</v>
      </c>
      <c r="V113" s="104" t="s">
        <v>100</v>
      </c>
      <c r="W113" s="104" t="s">
        <v>104</v>
      </c>
      <c r="X113" s="104" t="s">
        <v>106</v>
      </c>
      <c r="Y113" s="104" t="s">
        <v>343</v>
      </c>
      <c r="Z113" s="391"/>
    </row>
    <row r="114" spans="1:26" x14ac:dyDescent="0.25">
      <c r="A114" s="1" t="s">
        <v>344</v>
      </c>
      <c r="B114" s="154">
        <f>B65+B89</f>
        <v>0</v>
      </c>
      <c r="C114" s="154">
        <f t="shared" ref="C114:L114" si="6">C65+C89</f>
        <v>1.0887407060324601E-2</v>
      </c>
      <c r="D114" s="154">
        <f t="shared" si="6"/>
        <v>5.4437035301623006E-3</v>
      </c>
      <c r="E114" s="154">
        <f t="shared" si="6"/>
        <v>3.26622211809738E-3</v>
      </c>
      <c r="F114" s="154">
        <f t="shared" si="6"/>
        <v>0</v>
      </c>
      <c r="G114" s="154">
        <f t="shared" si="6"/>
        <v>1.63311105904869E-3</v>
      </c>
      <c r="H114" s="154">
        <f t="shared" si="6"/>
        <v>9.1951717832092846E-4</v>
      </c>
      <c r="I114" s="154">
        <f t="shared" si="6"/>
        <v>9.1951717832092846E-4</v>
      </c>
      <c r="J114" s="154">
        <f t="shared" si="6"/>
        <v>9.1951717832092846E-4</v>
      </c>
      <c r="K114" s="251">
        <f t="shared" si="6"/>
        <v>2.398899530259576E-2</v>
      </c>
      <c r="L114" s="154">
        <f t="shared" si="6"/>
        <v>1.5571299954632861E-2</v>
      </c>
      <c r="M114" s="154">
        <f t="shared" ref="M114:Y114" si="7">M65+M89</f>
        <v>1.6923944910988309E-3</v>
      </c>
      <c r="N114" s="251">
        <f t="shared" si="7"/>
        <v>1.7263694445731691E-2</v>
      </c>
      <c r="O114" s="251">
        <f t="shared" si="7"/>
        <v>3.2102000000000006E-2</v>
      </c>
      <c r="P114" s="154"/>
      <c r="Q114" s="154"/>
      <c r="R114" s="251"/>
      <c r="S114" s="154"/>
      <c r="T114" s="154"/>
      <c r="U114" s="251"/>
      <c r="V114" s="154">
        <f t="shared" si="7"/>
        <v>3.1617303944124264E-2</v>
      </c>
      <c r="W114" s="154">
        <f t="shared" si="7"/>
        <v>0.106426764631944</v>
      </c>
      <c r="X114" s="154">
        <f t="shared" si="7"/>
        <v>3.1617303944124264E-2</v>
      </c>
      <c r="Y114" s="251">
        <f t="shared" si="7"/>
        <v>0.16966137252019253</v>
      </c>
      <c r="Z114" s="251">
        <f>K114+N114+O114+Y114</f>
        <v>0.24301606226851999</v>
      </c>
    </row>
    <row r="115" spans="1:26" x14ac:dyDescent="0.25">
      <c r="A115" s="1" t="s">
        <v>304</v>
      </c>
      <c r="B115" s="154">
        <f t="shared" ref="B115:K132" si="8">B66+B90</f>
        <v>0</v>
      </c>
      <c r="C115" s="154">
        <f t="shared" si="8"/>
        <v>0.56578264038039838</v>
      </c>
      <c r="D115" s="154">
        <f t="shared" si="8"/>
        <v>0.28289132019019919</v>
      </c>
      <c r="E115" s="154">
        <f t="shared" si="8"/>
        <v>0.16973479211411951</v>
      </c>
      <c r="F115" s="154">
        <f t="shared" si="8"/>
        <v>0</v>
      </c>
      <c r="G115" s="154">
        <f t="shared" si="8"/>
        <v>8.4867396057059757E-2</v>
      </c>
      <c r="H115" s="154">
        <f t="shared" si="8"/>
        <v>0.10429695685354917</v>
      </c>
      <c r="I115" s="154">
        <f t="shared" si="8"/>
        <v>0.10429695685354917</v>
      </c>
      <c r="J115" s="154">
        <f t="shared" si="8"/>
        <v>0.10429695685354917</v>
      </c>
      <c r="K115" s="251">
        <f t="shared" si="8"/>
        <v>1.4161670193024245</v>
      </c>
      <c r="L115" s="154">
        <f t="shared" ref="L115:Y115" si="9">L66+L90</f>
        <v>5.4268668583260533</v>
      </c>
      <c r="M115" s="154">
        <f t="shared" si="9"/>
        <v>0.22120796684258343</v>
      </c>
      <c r="N115" s="251">
        <f t="shared" si="9"/>
        <v>5.6480748251686368</v>
      </c>
      <c r="O115" s="251">
        <f t="shared" si="9"/>
        <v>3.6800000000000006</v>
      </c>
      <c r="P115" s="154"/>
      <c r="Q115" s="154"/>
      <c r="R115" s="251"/>
      <c r="S115" s="154"/>
      <c r="T115" s="154"/>
      <c r="U115" s="251"/>
      <c r="V115" s="154">
        <f t="shared" si="9"/>
        <v>3.9650621956855163</v>
      </c>
      <c r="W115" s="154">
        <f t="shared" si="9"/>
        <v>13.480138232200826</v>
      </c>
      <c r="X115" s="154">
        <f t="shared" si="9"/>
        <v>3.9650621956855163</v>
      </c>
      <c r="Y115" s="251">
        <f t="shared" si="9"/>
        <v>21.410262623571857</v>
      </c>
      <c r="Z115" s="251">
        <f t="shared" ref="Z115:Z132" si="10">K115+N115+O115+Y115</f>
        <v>32.154504468042916</v>
      </c>
    </row>
    <row r="116" spans="1:26" x14ac:dyDescent="0.25">
      <c r="A116" s="1" t="s">
        <v>305</v>
      </c>
      <c r="B116" s="154">
        <f t="shared" si="8"/>
        <v>0</v>
      </c>
      <c r="C116" s="154">
        <f t="shared" si="8"/>
        <v>1.7439429263985135E-3</v>
      </c>
      <c r="D116" s="154">
        <f t="shared" si="8"/>
        <v>8.7197146319925676E-4</v>
      </c>
      <c r="E116" s="154">
        <f t="shared" si="8"/>
        <v>5.2318287791955408E-4</v>
      </c>
      <c r="F116" s="154">
        <f t="shared" si="8"/>
        <v>0</v>
      </c>
      <c r="G116" s="154">
        <f t="shared" si="8"/>
        <v>2.6159143895977704E-4</v>
      </c>
      <c r="H116" s="154">
        <f t="shared" si="8"/>
        <v>-2.5091977324742739E-5</v>
      </c>
      <c r="I116" s="154">
        <f t="shared" si="8"/>
        <v>-2.5091977324742739E-5</v>
      </c>
      <c r="J116" s="154">
        <f t="shared" si="8"/>
        <v>-2.5091977324742739E-5</v>
      </c>
      <c r="K116" s="251">
        <f t="shared" si="8"/>
        <v>3.3254127745028727E-3</v>
      </c>
      <c r="L116" s="154">
        <f t="shared" ref="L116:Y116" si="11">L67+L91</f>
        <v>8.2324044508229305E-2</v>
      </c>
      <c r="M116" s="154">
        <f t="shared" si="11"/>
        <v>3.4498134443150508E-3</v>
      </c>
      <c r="N116" s="251">
        <f t="shared" si="11"/>
        <v>8.5773857952544358E-2</v>
      </c>
      <c r="O116" s="251">
        <f t="shared" si="11"/>
        <v>-5.9622000000000002</v>
      </c>
      <c r="P116" s="154"/>
      <c r="Q116" s="154"/>
      <c r="R116" s="251"/>
      <c r="S116" s="154"/>
      <c r="T116" s="154"/>
      <c r="U116" s="251"/>
      <c r="V116" s="154">
        <f t="shared" si="11"/>
        <v>0.64768551795028251</v>
      </c>
      <c r="W116" s="154">
        <f t="shared" si="11"/>
        <v>3.890654199595172E-2</v>
      </c>
      <c r="X116" s="154">
        <f t="shared" si="11"/>
        <v>0.64768551795028251</v>
      </c>
      <c r="Y116" s="251">
        <f t="shared" si="11"/>
        <v>1.3342775778965166</v>
      </c>
      <c r="Z116" s="251">
        <f t="shared" si="10"/>
        <v>-4.5388231513764365</v>
      </c>
    </row>
    <row r="117" spans="1:26" x14ac:dyDescent="0.25">
      <c r="A117" s="1" t="s">
        <v>306</v>
      </c>
      <c r="B117" s="154">
        <f t="shared" si="8"/>
        <v>0</v>
      </c>
      <c r="C117" s="154">
        <f t="shared" si="8"/>
        <v>0.56385270855203884</v>
      </c>
      <c r="D117" s="154">
        <f t="shared" si="8"/>
        <v>0.28192635427601942</v>
      </c>
      <c r="E117" s="154">
        <f t="shared" si="8"/>
        <v>0.16915581256561163</v>
      </c>
      <c r="F117" s="154">
        <f t="shared" si="8"/>
        <v>0</v>
      </c>
      <c r="G117" s="154">
        <f t="shared" si="8"/>
        <v>8.4577906282805815E-2</v>
      </c>
      <c r="H117" s="154">
        <f t="shared" si="8"/>
        <v>0.10430769614106578</v>
      </c>
      <c r="I117" s="154">
        <f t="shared" si="8"/>
        <v>0.10430769614106578</v>
      </c>
      <c r="J117" s="154">
        <f t="shared" si="8"/>
        <v>0.10430769614106578</v>
      </c>
      <c r="K117" s="251">
        <f t="shared" si="8"/>
        <v>1.4124358700996731</v>
      </c>
      <c r="L117" s="154">
        <f t="shared" ref="L117:Y117" si="12">L68+L92</f>
        <v>5.342164640346299</v>
      </c>
      <c r="M117" s="154">
        <f t="shared" si="12"/>
        <v>0.21738429880409579</v>
      </c>
      <c r="N117" s="251">
        <f t="shared" si="12"/>
        <v>5.5595489391503952</v>
      </c>
      <c r="O117" s="251">
        <f t="shared" si="12"/>
        <v>9.6420000000000012</v>
      </c>
      <c r="P117" s="154"/>
      <c r="Q117" s="154"/>
      <c r="R117" s="251"/>
      <c r="S117" s="154"/>
      <c r="T117" s="154"/>
      <c r="U117" s="251"/>
      <c r="V117" s="154">
        <f t="shared" si="12"/>
        <v>3.314643767220224</v>
      </c>
      <c r="W117" s="154">
        <f t="shared" si="12"/>
        <v>13.438138453254478</v>
      </c>
      <c r="X117" s="154">
        <f t="shared" si="12"/>
        <v>3.314643767220224</v>
      </c>
      <c r="Y117" s="251">
        <f t="shared" si="12"/>
        <v>20.067425987694929</v>
      </c>
      <c r="Z117" s="251">
        <f t="shared" si="10"/>
        <v>36.681410796945002</v>
      </c>
    </row>
    <row r="118" spans="1:26" x14ac:dyDescent="0.25">
      <c r="A118" s="1" t="s">
        <v>307</v>
      </c>
      <c r="B118" s="154">
        <f t="shared" si="8"/>
        <v>0</v>
      </c>
      <c r="C118" s="154">
        <f t="shared" si="8"/>
        <v>1.8598890196100807E-4</v>
      </c>
      <c r="D118" s="154">
        <f t="shared" si="8"/>
        <v>9.2994450980504037E-5</v>
      </c>
      <c r="E118" s="154">
        <f t="shared" si="8"/>
        <v>5.5796670588302416E-5</v>
      </c>
      <c r="F118" s="154">
        <f t="shared" si="8"/>
        <v>0</v>
      </c>
      <c r="G118" s="154">
        <f t="shared" si="8"/>
        <v>2.7898335294151208E-5</v>
      </c>
      <c r="H118" s="154">
        <f t="shared" si="8"/>
        <v>1.4352689808176839E-5</v>
      </c>
      <c r="I118" s="154">
        <f t="shared" si="8"/>
        <v>1.4352689808176839E-5</v>
      </c>
      <c r="J118" s="154">
        <f t="shared" si="8"/>
        <v>1.4352689808176839E-5</v>
      </c>
      <c r="K118" s="251">
        <f t="shared" si="8"/>
        <v>4.0573642824849636E-4</v>
      </c>
      <c r="L118" s="154">
        <f t="shared" ref="L118:Y118" si="13">L69+L93</f>
        <v>2.3781734715254852E-3</v>
      </c>
      <c r="M118" s="154">
        <f t="shared" si="13"/>
        <v>3.7385459417253698E-4</v>
      </c>
      <c r="N118" s="251">
        <f t="shared" si="13"/>
        <v>2.7520280656980222E-3</v>
      </c>
      <c r="O118" s="251">
        <f t="shared" si="13"/>
        <v>5.2500000000000012E-3</v>
      </c>
      <c r="P118" s="154"/>
      <c r="Q118" s="154"/>
      <c r="R118" s="251"/>
      <c r="S118" s="154"/>
      <c r="T118" s="154"/>
      <c r="U118" s="251"/>
      <c r="V118" s="154">
        <f t="shared" si="13"/>
        <v>2.732910515008596E-3</v>
      </c>
      <c r="W118" s="154">
        <f t="shared" si="13"/>
        <v>3.0932369503940339E-3</v>
      </c>
      <c r="X118" s="154">
        <f t="shared" si="13"/>
        <v>2.732910515008596E-3</v>
      </c>
      <c r="Y118" s="251">
        <f t="shared" si="13"/>
        <v>8.5590579804112263E-3</v>
      </c>
      <c r="Z118" s="251">
        <f t="shared" si="10"/>
        <v>1.6966822474357747E-2</v>
      </c>
    </row>
    <row r="119" spans="1:26" x14ac:dyDescent="0.25">
      <c r="A119" s="1" t="s">
        <v>308</v>
      </c>
      <c r="B119" s="154">
        <f t="shared" si="8"/>
        <v>0</v>
      </c>
      <c r="C119" s="154">
        <f t="shared" si="8"/>
        <v>5.5905856853537701</v>
      </c>
      <c r="D119" s="154">
        <f t="shared" si="8"/>
        <v>2.795292842676885</v>
      </c>
      <c r="E119" s="154">
        <f t="shared" si="8"/>
        <v>1.6771757056061309</v>
      </c>
      <c r="F119" s="154">
        <f t="shared" si="8"/>
        <v>0</v>
      </c>
      <c r="G119" s="154">
        <f t="shared" si="8"/>
        <v>0.83858785280306547</v>
      </c>
      <c r="H119" s="154">
        <f t="shared" si="8"/>
        <v>8.9073775018459783E-2</v>
      </c>
      <c r="I119" s="154">
        <f t="shared" si="8"/>
        <v>8.9073775018459783E-2</v>
      </c>
      <c r="J119" s="154">
        <f t="shared" si="8"/>
        <v>8.9073775018459783E-2</v>
      </c>
      <c r="K119" s="251">
        <f t="shared" si="8"/>
        <v>11.168863411495231</v>
      </c>
      <c r="L119" s="154">
        <f t="shared" ref="L119:Y119" si="14">L70+L94</f>
        <v>14.7795432666636</v>
      </c>
      <c r="M119" s="154">
        <f t="shared" si="14"/>
        <v>0.69050088555034905</v>
      </c>
      <c r="N119" s="251">
        <f t="shared" si="14"/>
        <v>15.47004415221395</v>
      </c>
      <c r="O119" s="251">
        <f t="shared" si="14"/>
        <v>524.24000000000012</v>
      </c>
      <c r="P119" s="154"/>
      <c r="Q119" s="154"/>
      <c r="R119" s="251"/>
      <c r="S119" s="154"/>
      <c r="T119" s="154"/>
      <c r="U119" s="251"/>
      <c r="V119" s="154">
        <f t="shared" si="14"/>
        <v>16.559907158953788</v>
      </c>
      <c r="W119" s="154">
        <f t="shared" si="14"/>
        <v>24.366204366544938</v>
      </c>
      <c r="X119" s="154">
        <f t="shared" si="14"/>
        <v>16.559907158953788</v>
      </c>
      <c r="Y119" s="251">
        <f t="shared" si="14"/>
        <v>57.486018684452517</v>
      </c>
      <c r="Z119" s="251">
        <f t="shared" si="10"/>
        <v>608.36492624816174</v>
      </c>
    </row>
    <row r="120" spans="1:26" x14ac:dyDescent="0.25">
      <c r="A120" s="1" t="s">
        <v>309</v>
      </c>
      <c r="B120" s="154">
        <f t="shared" si="8"/>
        <v>0</v>
      </c>
      <c r="C120" s="154">
        <f t="shared" si="8"/>
        <v>8.016995630990257</v>
      </c>
      <c r="D120" s="154">
        <f t="shared" si="8"/>
        <v>4.0084978154951285</v>
      </c>
      <c r="E120" s="154">
        <f t="shared" si="8"/>
        <v>2.4050986892970769</v>
      </c>
      <c r="F120" s="154">
        <f t="shared" si="8"/>
        <v>0</v>
      </c>
      <c r="G120" s="154">
        <f t="shared" si="8"/>
        <v>1.2025493446485385</v>
      </c>
      <c r="H120" s="154">
        <f t="shared" si="8"/>
        <v>1.3556790744497129</v>
      </c>
      <c r="I120" s="154">
        <f t="shared" si="8"/>
        <v>1.3556790744497129</v>
      </c>
      <c r="J120" s="154">
        <f t="shared" si="8"/>
        <v>1.3556790744497129</v>
      </c>
      <c r="K120" s="251">
        <f t="shared" si="8"/>
        <v>19.700178703780143</v>
      </c>
      <c r="L120" s="154">
        <f t="shared" ref="L120:Y120" si="15">L71+L95</f>
        <v>28.636689879787202</v>
      </c>
      <c r="M120" s="154">
        <f t="shared" si="15"/>
        <v>3.7042401890228884</v>
      </c>
      <c r="N120" s="251">
        <f t="shared" si="15"/>
        <v>32.340930068810088</v>
      </c>
      <c r="O120" s="251">
        <f t="shared" si="15"/>
        <v>825.63000000000011</v>
      </c>
      <c r="P120" s="154"/>
      <c r="Q120" s="154"/>
      <c r="R120" s="251"/>
      <c r="S120" s="154"/>
      <c r="T120" s="154"/>
      <c r="U120" s="251"/>
      <c r="V120" s="154">
        <f t="shared" si="15"/>
        <v>45.769593135824742</v>
      </c>
      <c r="W120" s="154">
        <f t="shared" si="15"/>
        <v>1033.5055325212193</v>
      </c>
      <c r="X120" s="154">
        <f t="shared" si="15"/>
        <v>45.769593135824742</v>
      </c>
      <c r="Y120" s="251">
        <f t="shared" si="15"/>
        <v>1125.0447187928689</v>
      </c>
      <c r="Z120" s="251">
        <f t="shared" si="10"/>
        <v>2002.7158275654592</v>
      </c>
    </row>
    <row r="121" spans="1:26" x14ac:dyDescent="0.25">
      <c r="A121" s="1" t="s">
        <v>310</v>
      </c>
      <c r="B121" s="154">
        <f t="shared" si="8"/>
        <v>0</v>
      </c>
      <c r="C121" s="154">
        <f t="shared" si="8"/>
        <v>4.1805745930978603E-5</v>
      </c>
      <c r="D121" s="154">
        <f t="shared" si="8"/>
        <v>2.0902872965489302E-5</v>
      </c>
      <c r="E121" s="154">
        <f t="shared" si="8"/>
        <v>1.254172377929358E-5</v>
      </c>
      <c r="F121" s="154">
        <f t="shared" si="8"/>
        <v>0</v>
      </c>
      <c r="G121" s="154">
        <f t="shared" si="8"/>
        <v>6.2708618896467898E-6</v>
      </c>
      <c r="H121" s="154">
        <f t="shared" si="8"/>
        <v>4.7041221501855498E-6</v>
      </c>
      <c r="I121" s="154">
        <f t="shared" si="8"/>
        <v>4.7041221501855498E-6</v>
      </c>
      <c r="J121" s="154">
        <f t="shared" si="8"/>
        <v>4.7041221501855498E-6</v>
      </c>
      <c r="K121" s="251">
        <f t="shared" si="8"/>
        <v>9.5633571015964897E-5</v>
      </c>
      <c r="L121" s="154">
        <f t="shared" ref="L121:Y121" si="16">L72+L96</f>
        <v>7.6548598240225828E-4</v>
      </c>
      <c r="M121" s="154">
        <f t="shared" si="16"/>
        <v>1.3291984547978599E-4</v>
      </c>
      <c r="N121" s="251">
        <f t="shared" si="16"/>
        <v>8.9840582788204429E-4</v>
      </c>
      <c r="O121" s="251">
        <f t="shared" si="16"/>
        <v>1.721E-5</v>
      </c>
      <c r="P121" s="154"/>
      <c r="Q121" s="154"/>
      <c r="R121" s="251"/>
      <c r="S121" s="154"/>
      <c r="T121" s="154"/>
      <c r="U121" s="251"/>
      <c r="V121" s="154">
        <f t="shared" si="16"/>
        <v>1.0455421592807453E-3</v>
      </c>
      <c r="W121" s="154">
        <f t="shared" si="16"/>
        <v>2.6501851448979602E-3</v>
      </c>
      <c r="X121" s="154">
        <f t="shared" si="16"/>
        <v>1.0455421592807453E-3</v>
      </c>
      <c r="Y121" s="251">
        <f t="shared" si="16"/>
        <v>4.7412694634594507E-3</v>
      </c>
      <c r="Z121" s="251">
        <f t="shared" si="10"/>
        <v>5.7525188623574596E-3</v>
      </c>
    </row>
    <row r="122" spans="1:26" x14ac:dyDescent="0.25">
      <c r="A122" s="1" t="s">
        <v>311</v>
      </c>
      <c r="B122" s="154">
        <f t="shared" si="8"/>
        <v>0</v>
      </c>
      <c r="C122" s="154">
        <f t="shared" si="8"/>
        <v>3.9108232774926963E-3</v>
      </c>
      <c r="D122" s="154">
        <f t="shared" si="8"/>
        <v>1.9554116387463481E-3</v>
      </c>
      <c r="E122" s="154">
        <f t="shared" si="8"/>
        <v>1.1732469832478089E-3</v>
      </c>
      <c r="F122" s="154">
        <f t="shared" si="8"/>
        <v>0</v>
      </c>
      <c r="G122" s="154">
        <f t="shared" si="8"/>
        <v>5.8662349162390444E-4</v>
      </c>
      <c r="H122" s="154">
        <f t="shared" si="8"/>
        <v>4.2198391729194858E-4</v>
      </c>
      <c r="I122" s="154">
        <f t="shared" si="8"/>
        <v>4.2198391729194858E-4</v>
      </c>
      <c r="J122" s="154">
        <f t="shared" si="8"/>
        <v>4.2198391729194858E-4</v>
      </c>
      <c r="K122" s="251">
        <f t="shared" si="8"/>
        <v>8.8920571429866018E-3</v>
      </c>
      <c r="L122" s="154">
        <f t="shared" ref="L122:Y122" si="17">L73+L97</f>
        <v>3.6833250350479141E-3</v>
      </c>
      <c r="M122" s="154">
        <f t="shared" si="17"/>
        <v>3.8327746551366642E-4</v>
      </c>
      <c r="N122" s="251">
        <f t="shared" si="17"/>
        <v>4.0666025005615808E-3</v>
      </c>
      <c r="O122" s="251">
        <f t="shared" si="17"/>
        <v>8.234E-3</v>
      </c>
      <c r="P122" s="154"/>
      <c r="Q122" s="154"/>
      <c r="R122" s="251"/>
      <c r="S122" s="154"/>
      <c r="T122" s="154"/>
      <c r="U122" s="251"/>
      <c r="V122" s="154">
        <f t="shared" si="17"/>
        <v>6.2470787853480961E-3</v>
      </c>
      <c r="W122" s="154">
        <f t="shared" si="17"/>
        <v>1.9065472746327292E-2</v>
      </c>
      <c r="X122" s="154">
        <f t="shared" si="17"/>
        <v>6.2470787853480961E-3</v>
      </c>
      <c r="Y122" s="251">
        <f t="shared" si="17"/>
        <v>3.1559630317023482E-2</v>
      </c>
      <c r="Z122" s="251">
        <f t="shared" si="10"/>
        <v>5.2752289960571665E-2</v>
      </c>
    </row>
    <row r="123" spans="1:26" x14ac:dyDescent="0.25">
      <c r="A123" s="1" t="s">
        <v>312</v>
      </c>
      <c r="B123" s="154">
        <f t="shared" si="8"/>
        <v>0</v>
      </c>
      <c r="C123" s="154">
        <f t="shared" si="8"/>
        <v>5.4547396822738285E-2</v>
      </c>
      <c r="D123" s="154">
        <f t="shared" si="8"/>
        <v>2.7273698411369143E-2</v>
      </c>
      <c r="E123" s="154">
        <f t="shared" si="8"/>
        <v>1.6364219046821483E-2</v>
      </c>
      <c r="F123" s="154">
        <f t="shared" si="8"/>
        <v>0</v>
      </c>
      <c r="G123" s="154">
        <f t="shared" si="8"/>
        <v>8.1821095234107417E-3</v>
      </c>
      <c r="H123" s="154">
        <f t="shared" si="8"/>
        <v>4.6346425612983737E-3</v>
      </c>
      <c r="I123" s="154">
        <f t="shared" si="8"/>
        <v>4.6346425612983737E-3</v>
      </c>
      <c r="J123" s="154">
        <f t="shared" si="8"/>
        <v>4.6346425612983737E-3</v>
      </c>
      <c r="K123" s="251">
        <f t="shared" si="8"/>
        <v>0.12027135148823478</v>
      </c>
      <c r="L123" s="154">
        <f t="shared" ref="L123:Y123" si="18">L74+L98</f>
        <v>4.0980067842294347E-2</v>
      </c>
      <c r="M123" s="154">
        <f t="shared" si="18"/>
        <v>4.5429046576655092E-3</v>
      </c>
      <c r="N123" s="251">
        <f t="shared" si="18"/>
        <v>4.552297249995986E-2</v>
      </c>
      <c r="O123" s="251">
        <f t="shared" si="18"/>
        <v>8.9540000000000022E-2</v>
      </c>
      <c r="P123" s="154"/>
      <c r="Q123" s="154"/>
      <c r="R123" s="251"/>
      <c r="S123" s="154"/>
      <c r="T123" s="154"/>
      <c r="U123" s="251"/>
      <c r="V123" s="154">
        <f t="shared" si="18"/>
        <v>6.4116555286665267E-2</v>
      </c>
      <c r="W123" s="154">
        <f t="shared" si="18"/>
        <v>0.20682312607040881</v>
      </c>
      <c r="X123" s="154">
        <f t="shared" si="18"/>
        <v>6.4116555286665267E-2</v>
      </c>
      <c r="Y123" s="251">
        <f t="shared" si="18"/>
        <v>0.33505623664373935</v>
      </c>
      <c r="Z123" s="251">
        <f t="shared" si="10"/>
        <v>0.59039056063193396</v>
      </c>
    </row>
    <row r="124" spans="1:26" x14ac:dyDescent="0.25">
      <c r="A124" s="1" t="s">
        <v>313</v>
      </c>
      <c r="B124" s="154">
        <f t="shared" si="8"/>
        <v>0</v>
      </c>
      <c r="C124" s="154">
        <f t="shared" si="8"/>
        <v>1.0196306387079595E-10</v>
      </c>
      <c r="D124" s="154">
        <f t="shared" si="8"/>
        <v>5.0981531935397976E-11</v>
      </c>
      <c r="E124" s="154">
        <f t="shared" si="8"/>
        <v>3.0588919161238786E-11</v>
      </c>
      <c r="F124" s="154">
        <f t="shared" si="8"/>
        <v>0</v>
      </c>
      <c r="G124" s="154">
        <f t="shared" si="8"/>
        <v>1.5294459580619393E-11</v>
      </c>
      <c r="H124" s="154">
        <f t="shared" si="8"/>
        <v>1.2269377014022887E-11</v>
      </c>
      <c r="I124" s="154">
        <f t="shared" si="8"/>
        <v>1.2269377014022887E-11</v>
      </c>
      <c r="J124" s="154">
        <f t="shared" si="8"/>
        <v>1.2269377014022887E-11</v>
      </c>
      <c r="K124" s="251">
        <f t="shared" si="8"/>
        <v>2.3563610559012078E-10</v>
      </c>
      <c r="L124" s="154">
        <f t="shared" ref="L124:Y124" si="19">L75+L99</f>
        <v>6.581714164058433E-10</v>
      </c>
      <c r="M124" s="154">
        <f t="shared" si="19"/>
        <v>4.5583717397070746E-11</v>
      </c>
      <c r="N124" s="251">
        <f t="shared" si="19"/>
        <v>7.0375513380291404E-10</v>
      </c>
      <c r="O124" s="251">
        <f t="shared" si="19"/>
        <v>9.0206000000000001E-9</v>
      </c>
      <c r="P124" s="154"/>
      <c r="Q124" s="154"/>
      <c r="R124" s="251"/>
      <c r="S124" s="154"/>
      <c r="T124" s="154"/>
      <c r="U124" s="251"/>
      <c r="V124" s="154">
        <f t="shared" si="19"/>
        <v>2.0801707930135739E-9</v>
      </c>
      <c r="W124" s="154">
        <f t="shared" si="19"/>
        <v>2.5058147796725021E-9</v>
      </c>
      <c r="X124" s="154">
        <f t="shared" si="19"/>
        <v>2.0801707930135739E-9</v>
      </c>
      <c r="Y124" s="251">
        <f t="shared" si="19"/>
        <v>6.6661563656996499E-9</v>
      </c>
      <c r="Z124" s="251">
        <f t="shared" si="10"/>
        <v>1.6626147605092687E-8</v>
      </c>
    </row>
    <row r="125" spans="1:26" x14ac:dyDescent="0.25">
      <c r="A125" s="1" t="s">
        <v>345</v>
      </c>
      <c r="B125" s="154">
        <f t="shared" si="8"/>
        <v>0</v>
      </c>
      <c r="C125" s="154">
        <f t="shared" si="8"/>
        <v>2.7066965722608819E-9</v>
      </c>
      <c r="D125" s="154">
        <f t="shared" si="8"/>
        <v>1.3533482861304409E-9</v>
      </c>
      <c r="E125" s="154">
        <f t="shared" si="8"/>
        <v>8.120089716782645E-10</v>
      </c>
      <c r="F125" s="154">
        <f t="shared" si="8"/>
        <v>0</v>
      </c>
      <c r="G125" s="154">
        <f t="shared" si="8"/>
        <v>4.0600448583913225E-10</v>
      </c>
      <c r="H125" s="154">
        <f t="shared" si="8"/>
        <v>1.97766227147753E-10</v>
      </c>
      <c r="I125" s="154">
        <f t="shared" si="8"/>
        <v>1.97766227147753E-10</v>
      </c>
      <c r="J125" s="154">
        <f t="shared" si="8"/>
        <v>1.97766227147753E-10</v>
      </c>
      <c r="K125" s="251">
        <f t="shared" si="8"/>
        <v>5.8713569973519779E-9</v>
      </c>
      <c r="L125" s="154">
        <f t="shared" ref="L125:Y125" si="20">L76+L100</f>
        <v>3.5583161342702526E-8</v>
      </c>
      <c r="M125" s="154">
        <f t="shared" si="20"/>
        <v>1.732009283045003E-9</v>
      </c>
      <c r="N125" s="251">
        <f t="shared" si="20"/>
        <v>3.731517062574753E-8</v>
      </c>
      <c r="O125" s="251">
        <f t="shared" si="20"/>
        <v>2.6255999999999999E-7</v>
      </c>
      <c r="P125" s="154"/>
      <c r="Q125" s="154"/>
      <c r="R125" s="251"/>
      <c r="S125" s="154"/>
      <c r="T125" s="154"/>
      <c r="U125" s="251"/>
      <c r="V125" s="154">
        <f t="shared" si="20"/>
        <v>9.2094708994056841E-8</v>
      </c>
      <c r="W125" s="154">
        <f t="shared" si="20"/>
        <v>1.2185767034309445E-7</v>
      </c>
      <c r="X125" s="154">
        <f t="shared" si="20"/>
        <v>9.2094708994056841E-8</v>
      </c>
      <c r="Y125" s="251">
        <f t="shared" si="20"/>
        <v>3.0604708833120814E-7</v>
      </c>
      <c r="Z125" s="251">
        <f t="shared" si="10"/>
        <v>6.1179361595430759E-7</v>
      </c>
    </row>
    <row r="126" spans="1:26" x14ac:dyDescent="0.25">
      <c r="A126" s="1" t="s">
        <v>315</v>
      </c>
      <c r="B126" s="154">
        <f t="shared" si="8"/>
        <v>0</v>
      </c>
      <c r="C126" s="154">
        <f t="shared" si="8"/>
        <v>2.1388658975982619E-2</v>
      </c>
      <c r="D126" s="154">
        <f t="shared" si="8"/>
        <v>1.069432948799131E-2</v>
      </c>
      <c r="E126" s="154">
        <f t="shared" si="8"/>
        <v>6.4165976927947855E-3</v>
      </c>
      <c r="F126" s="154">
        <f t="shared" si="8"/>
        <v>0</v>
      </c>
      <c r="G126" s="154">
        <f t="shared" si="8"/>
        <v>3.2082988463973928E-3</v>
      </c>
      <c r="H126" s="154">
        <f t="shared" si="8"/>
        <v>8.9113495711474371E-4</v>
      </c>
      <c r="I126" s="154">
        <f t="shared" si="8"/>
        <v>8.9113495711474371E-4</v>
      </c>
      <c r="J126" s="154">
        <f t="shared" si="8"/>
        <v>8.9113495711474371E-4</v>
      </c>
      <c r="K126" s="251">
        <f t="shared" si="8"/>
        <v>4.4381289874510337E-2</v>
      </c>
      <c r="L126" s="154">
        <f t="shared" ref="L126:Y126" si="21">L77+L101</f>
        <v>0.2340397828553592</v>
      </c>
      <c r="M126" s="154">
        <f t="shared" si="21"/>
        <v>7.1109103234374582E-2</v>
      </c>
      <c r="N126" s="251">
        <f t="shared" si="21"/>
        <v>0.30514888608973378</v>
      </c>
      <c r="O126" s="251">
        <f t="shared" si="21"/>
        <v>0.13731000000000002</v>
      </c>
      <c r="P126" s="154"/>
      <c r="Q126" s="154"/>
      <c r="R126" s="251"/>
      <c r="S126" s="154"/>
      <c r="T126" s="154"/>
      <c r="U126" s="251"/>
      <c r="V126" s="154">
        <f t="shared" si="21"/>
        <v>0.6450499652922852</v>
      </c>
      <c r="W126" s="154">
        <f t="shared" si="21"/>
        <v>0.33805568657853541</v>
      </c>
      <c r="X126" s="154">
        <f t="shared" si="21"/>
        <v>0.6450499652922852</v>
      </c>
      <c r="Y126" s="251">
        <f t="shared" si="21"/>
        <v>1.6281556171631058</v>
      </c>
      <c r="Z126" s="251">
        <f t="shared" si="10"/>
        <v>2.11499579312735</v>
      </c>
    </row>
    <row r="127" spans="1:26" x14ac:dyDescent="0.25">
      <c r="A127" s="1" t="s">
        <v>316</v>
      </c>
      <c r="B127" s="154">
        <f t="shared" si="8"/>
        <v>0</v>
      </c>
      <c r="C127" s="154">
        <f t="shared" si="8"/>
        <v>6.5938462047127961</v>
      </c>
      <c r="D127" s="154">
        <f t="shared" si="8"/>
        <v>3.2969231023563981</v>
      </c>
      <c r="E127" s="154">
        <f t="shared" si="8"/>
        <v>1.9781538614138385</v>
      </c>
      <c r="F127" s="154">
        <f t="shared" si="8"/>
        <v>0</v>
      </c>
      <c r="G127" s="154">
        <f t="shared" si="8"/>
        <v>0.98907693070691927</v>
      </c>
      <c r="H127" s="154">
        <f t="shared" si="8"/>
        <v>48.913704461387027</v>
      </c>
      <c r="I127" s="154">
        <f t="shared" si="8"/>
        <v>48.913704461387027</v>
      </c>
      <c r="J127" s="154">
        <f t="shared" si="8"/>
        <v>48.913704461387027</v>
      </c>
      <c r="K127" s="251">
        <f t="shared" si="8"/>
        <v>159.59911348335103</v>
      </c>
      <c r="L127" s="154">
        <f t="shared" ref="L127:Y127" si="22">L78+L102</f>
        <v>9.1700110375675692</v>
      </c>
      <c r="M127" s="154">
        <f t="shared" si="22"/>
        <v>1.1422726757613131</v>
      </c>
      <c r="N127" s="251">
        <f t="shared" si="22"/>
        <v>10.312283713328883</v>
      </c>
      <c r="O127" s="251">
        <f t="shared" si="22"/>
        <v>5.5520000000000014</v>
      </c>
      <c r="P127" s="154"/>
      <c r="Q127" s="154"/>
      <c r="R127" s="251"/>
      <c r="S127" s="154"/>
      <c r="T127" s="154"/>
      <c r="U127" s="251"/>
      <c r="V127" s="154">
        <f t="shared" si="22"/>
        <v>17.720097836370336</v>
      </c>
      <c r="W127" s="154">
        <f t="shared" si="22"/>
        <v>36.236117236585464</v>
      </c>
      <c r="X127" s="154">
        <f t="shared" si="22"/>
        <v>17.720097836370336</v>
      </c>
      <c r="Y127" s="251">
        <f t="shared" si="22"/>
        <v>71.676312909326128</v>
      </c>
      <c r="Z127" s="251">
        <f t="shared" si="10"/>
        <v>247.13971010600605</v>
      </c>
    </row>
    <row r="128" spans="1:26" x14ac:dyDescent="0.25">
      <c r="A128" s="1" t="s">
        <v>317</v>
      </c>
      <c r="B128" s="154">
        <f t="shared" si="8"/>
        <v>0</v>
      </c>
      <c r="C128" s="154">
        <f t="shared" si="8"/>
        <v>1.6398651183744898E-6</v>
      </c>
      <c r="D128" s="154">
        <f t="shared" si="8"/>
        <v>8.1993255918724492E-7</v>
      </c>
      <c r="E128" s="154">
        <f t="shared" si="8"/>
        <v>4.9195953551234691E-7</v>
      </c>
      <c r="F128" s="154">
        <f t="shared" si="8"/>
        <v>0</v>
      </c>
      <c r="G128" s="154">
        <f t="shared" si="8"/>
        <v>2.4597976775617345E-7</v>
      </c>
      <c r="H128" s="154">
        <f t="shared" si="8"/>
        <v>6.6909058847862966E-8</v>
      </c>
      <c r="I128" s="154">
        <f t="shared" si="8"/>
        <v>6.6909058847862966E-8</v>
      </c>
      <c r="J128" s="154">
        <f t="shared" si="8"/>
        <v>6.6909058847862966E-8</v>
      </c>
      <c r="K128" s="251">
        <f t="shared" si="8"/>
        <v>3.398464157373844E-6</v>
      </c>
      <c r="L128" s="154">
        <f t="shared" ref="L128:Y128" si="23">L79+L103</f>
        <v>1.8236823078801278E-5</v>
      </c>
      <c r="M128" s="154">
        <f t="shared" si="23"/>
        <v>6.5070484863114593E-7</v>
      </c>
      <c r="N128" s="251">
        <f t="shared" si="23"/>
        <v>1.8887527927432426E-5</v>
      </c>
      <c r="O128" s="251">
        <f t="shared" si="23"/>
        <v>3.3560000000000006E-6</v>
      </c>
      <c r="P128" s="154"/>
      <c r="Q128" s="154"/>
      <c r="R128" s="251"/>
      <c r="S128" s="154"/>
      <c r="T128" s="154"/>
      <c r="U128" s="251"/>
      <c r="V128" s="154">
        <f t="shared" si="23"/>
        <v>1.2122921902345968E-3</v>
      </c>
      <c r="W128" s="154">
        <f t="shared" si="23"/>
        <v>1.5999055545693047E-4</v>
      </c>
      <c r="X128" s="154">
        <f t="shared" si="23"/>
        <v>1.2122921902345968E-3</v>
      </c>
      <c r="Y128" s="251">
        <f t="shared" si="23"/>
        <v>2.584574935926124E-3</v>
      </c>
      <c r="Z128" s="251">
        <f t="shared" si="10"/>
        <v>2.6102169280109301E-3</v>
      </c>
    </row>
    <row r="129" spans="1:26" x14ac:dyDescent="0.25">
      <c r="A129" s="1" t="s">
        <v>318</v>
      </c>
      <c r="B129" s="154">
        <f t="shared" si="8"/>
        <v>0</v>
      </c>
      <c r="C129" s="154">
        <f t="shared" si="8"/>
        <v>9.3260732604521099E-9</v>
      </c>
      <c r="D129" s="154">
        <f t="shared" si="8"/>
        <v>4.663036630226055E-9</v>
      </c>
      <c r="E129" s="154">
        <f t="shared" si="8"/>
        <v>2.7978219781356324E-9</v>
      </c>
      <c r="F129" s="154">
        <f t="shared" si="8"/>
        <v>0</v>
      </c>
      <c r="G129" s="154">
        <f t="shared" si="8"/>
        <v>1.3989109890678162E-9</v>
      </c>
      <c r="H129" s="154">
        <f t="shared" si="8"/>
        <v>1.5216981243164126E-9</v>
      </c>
      <c r="I129" s="154">
        <f t="shared" si="8"/>
        <v>1.5216981243164126E-9</v>
      </c>
      <c r="J129" s="154">
        <f t="shared" si="8"/>
        <v>1.5216981243164126E-9</v>
      </c>
      <c r="K129" s="251">
        <f t="shared" si="8"/>
        <v>2.2750937230830854E-8</v>
      </c>
      <c r="L129" s="154">
        <f t="shared" ref="L129:Y129" si="24">L80+L104</f>
        <v>2.5862610588193264E-8</v>
      </c>
      <c r="M129" s="154">
        <f t="shared" si="24"/>
        <v>2.831664955417385E-9</v>
      </c>
      <c r="N129" s="251">
        <f t="shared" si="24"/>
        <v>2.8694275543610648E-8</v>
      </c>
      <c r="O129" s="251">
        <f t="shared" si="24"/>
        <v>4.5059760000000006E-9</v>
      </c>
      <c r="P129" s="154"/>
      <c r="Q129" s="154"/>
      <c r="R129" s="251"/>
      <c r="S129" s="154"/>
      <c r="T129" s="154"/>
      <c r="U129" s="251"/>
      <c r="V129" s="154">
        <f t="shared" si="24"/>
        <v>4.052565007125072E-8</v>
      </c>
      <c r="W129" s="154">
        <f t="shared" si="24"/>
        <v>1.7616387595459569E-7</v>
      </c>
      <c r="X129" s="154">
        <f t="shared" si="24"/>
        <v>4.052565007125072E-8</v>
      </c>
      <c r="Y129" s="251">
        <f t="shared" si="24"/>
        <v>2.5721517609709713E-7</v>
      </c>
      <c r="Z129" s="251">
        <f t="shared" si="10"/>
        <v>3.1316636487153865E-7</v>
      </c>
    </row>
    <row r="130" spans="1:26" x14ac:dyDescent="0.25">
      <c r="A130" s="1" t="s">
        <v>319</v>
      </c>
      <c r="B130" s="154">
        <f t="shared" si="8"/>
        <v>0</v>
      </c>
      <c r="C130" s="154">
        <f t="shared" si="8"/>
        <v>1.7632792952403548E-7</v>
      </c>
      <c r="D130" s="154">
        <f t="shared" si="8"/>
        <v>8.8163964762017742E-8</v>
      </c>
      <c r="E130" s="154">
        <f t="shared" si="8"/>
        <v>5.289837885721064E-8</v>
      </c>
      <c r="F130" s="154">
        <f t="shared" si="8"/>
        <v>0</v>
      </c>
      <c r="G130" s="154">
        <f t="shared" si="8"/>
        <v>2.644918942860532E-8</v>
      </c>
      <c r="H130" s="154">
        <f t="shared" si="8"/>
        <v>2.5970932120921222E-8</v>
      </c>
      <c r="I130" s="154">
        <f t="shared" si="8"/>
        <v>2.5970932120921222E-8</v>
      </c>
      <c r="J130" s="154">
        <f t="shared" si="8"/>
        <v>2.5970932120921222E-8</v>
      </c>
      <c r="K130" s="251">
        <f t="shared" si="8"/>
        <v>4.2175225893463284E-7</v>
      </c>
      <c r="L130" s="154">
        <f t="shared" ref="L130:Y130" si="25">L81+L105</f>
        <v>1.2367402836470991E-7</v>
      </c>
      <c r="M130" s="154">
        <f t="shared" si="25"/>
        <v>1.790407214249345E-8</v>
      </c>
      <c r="N130" s="251">
        <f t="shared" si="25"/>
        <v>1.4157810050720335E-7</v>
      </c>
      <c r="O130" s="251">
        <f t="shared" si="25"/>
        <v>4.9196000000000007E-7</v>
      </c>
      <c r="P130" s="154"/>
      <c r="Q130" s="154"/>
      <c r="R130" s="251"/>
      <c r="S130" s="154"/>
      <c r="T130" s="154"/>
      <c r="U130" s="251"/>
      <c r="V130" s="154">
        <f t="shared" si="25"/>
        <v>4.2382403795367336E-7</v>
      </c>
      <c r="W130" s="154">
        <f t="shared" si="25"/>
        <v>1.0020906036320172E-6</v>
      </c>
      <c r="X130" s="154">
        <f t="shared" si="25"/>
        <v>4.2382403795367336E-7</v>
      </c>
      <c r="Y130" s="251">
        <f t="shared" si="25"/>
        <v>1.849738679539364E-6</v>
      </c>
      <c r="Z130" s="251">
        <f t="shared" si="10"/>
        <v>2.9050290389812002E-6</v>
      </c>
    </row>
    <row r="131" spans="1:26" x14ac:dyDescent="0.25">
      <c r="A131" s="1" t="s">
        <v>320</v>
      </c>
      <c r="B131" s="154">
        <f t="shared" si="8"/>
        <v>0</v>
      </c>
      <c r="C131" s="154">
        <f t="shared" si="8"/>
        <v>1.2319191663908565E-2</v>
      </c>
      <c r="D131" s="154">
        <f t="shared" si="8"/>
        <v>6.1595958319542827E-3</v>
      </c>
      <c r="E131" s="154">
        <f t="shared" si="8"/>
        <v>3.6957574991725692E-3</v>
      </c>
      <c r="F131" s="154">
        <f t="shared" si="8"/>
        <v>0</v>
      </c>
      <c r="G131" s="154">
        <f t="shared" si="8"/>
        <v>1.8478787495862846E-3</v>
      </c>
      <c r="H131" s="154">
        <f t="shared" si="8"/>
        <v>1.3827310688951048E-3</v>
      </c>
      <c r="I131" s="154">
        <f t="shared" si="8"/>
        <v>1.3827310688951048E-3</v>
      </c>
      <c r="J131" s="154">
        <f t="shared" si="8"/>
        <v>1.3827310688951048E-3</v>
      </c>
      <c r="K131" s="251">
        <f t="shared" si="8"/>
        <v>2.8170616951307015E-2</v>
      </c>
      <c r="L131" s="154">
        <f t="shared" ref="L131:Y131" si="26">L82+L106</f>
        <v>1.1938714276465369E-2</v>
      </c>
      <c r="M131" s="154">
        <f t="shared" si="26"/>
        <v>1.1998903131861781E-3</v>
      </c>
      <c r="N131" s="251">
        <f t="shared" si="26"/>
        <v>1.3138604589651548E-2</v>
      </c>
      <c r="O131" s="251">
        <f t="shared" si="26"/>
        <v>3.6974E-2</v>
      </c>
      <c r="P131" s="154"/>
      <c r="Q131" s="154"/>
      <c r="R131" s="251"/>
      <c r="S131" s="154"/>
      <c r="T131" s="154"/>
      <c r="U131" s="251"/>
      <c r="V131" s="154">
        <f t="shared" si="26"/>
        <v>2.1167156369696079E-2</v>
      </c>
      <c r="W131" s="154">
        <f t="shared" si="26"/>
        <v>7.4060939338008155E-2</v>
      </c>
      <c r="X131" s="154">
        <f t="shared" si="26"/>
        <v>2.1167156369696079E-2</v>
      </c>
      <c r="Y131" s="251">
        <f t="shared" si="26"/>
        <v>0.11639525207740031</v>
      </c>
      <c r="Z131" s="251">
        <f t="shared" si="10"/>
        <v>0.19467847361835888</v>
      </c>
    </row>
    <row r="132" spans="1:26" x14ac:dyDescent="0.25">
      <c r="A132" s="1" t="s">
        <v>321</v>
      </c>
      <c r="B132" s="154">
        <f t="shared" si="8"/>
        <v>0</v>
      </c>
      <c r="C132" s="154">
        <f t="shared" si="8"/>
        <v>0.80512542629943595</v>
      </c>
      <c r="D132" s="154">
        <f t="shared" si="8"/>
        <v>0.40256271314971798</v>
      </c>
      <c r="E132" s="154">
        <f t="shared" si="8"/>
        <v>0.24153762788983077</v>
      </c>
      <c r="F132" s="154">
        <f t="shared" si="8"/>
        <v>0</v>
      </c>
      <c r="G132" s="154">
        <f t="shared" si="8"/>
        <v>0.12076881394491538</v>
      </c>
      <c r="H132" s="154">
        <f t="shared" si="8"/>
        <v>0.13343229650147481</v>
      </c>
      <c r="I132" s="154">
        <f t="shared" si="8"/>
        <v>0.13343229650147481</v>
      </c>
      <c r="J132" s="154">
        <f t="shared" si="8"/>
        <v>0.13343229650147481</v>
      </c>
      <c r="K132" s="251">
        <f t="shared" si="8"/>
        <v>1.9702914707883248</v>
      </c>
      <c r="L132" s="154">
        <f t="shared" ref="L132:Y132" si="27">L83+L107</f>
        <v>0.55942561497654997</v>
      </c>
      <c r="M132" s="154">
        <f t="shared" si="27"/>
        <v>0.46168314124531201</v>
      </c>
      <c r="N132" s="251">
        <f t="shared" si="27"/>
        <v>1.0211087562218619</v>
      </c>
      <c r="O132" s="251">
        <f t="shared" si="27"/>
        <v>0.23218</v>
      </c>
      <c r="P132" s="154"/>
      <c r="Q132" s="154"/>
      <c r="R132" s="251"/>
      <c r="S132" s="154"/>
      <c r="T132" s="154"/>
      <c r="U132" s="251"/>
      <c r="V132" s="154">
        <f t="shared" si="27"/>
        <v>2.0012990288499521</v>
      </c>
      <c r="W132" s="154">
        <f t="shared" si="27"/>
        <v>2.1582250315086178</v>
      </c>
      <c r="X132" s="154">
        <f t="shared" si="27"/>
        <v>2.0012990288499521</v>
      </c>
      <c r="Y132" s="251">
        <f t="shared" si="27"/>
        <v>6.1608230892085221</v>
      </c>
      <c r="Z132" s="251">
        <f t="shared" si="10"/>
        <v>9.3844033162187088</v>
      </c>
    </row>
    <row r="133" spans="1:26" x14ac:dyDescent="0.25">
      <c r="K133">
        <f>+SUM(K114:K132)</f>
        <v>195.49658490142454</v>
      </c>
      <c r="N133">
        <f>+SUM(N114:N132)</f>
        <v>70.826574602684815</v>
      </c>
      <c r="O133">
        <f>+SUM(O114:O132)</f>
        <v>1363.3234113340466</v>
      </c>
      <c r="R133">
        <f>+SUM(R114:R132)</f>
        <v>0</v>
      </c>
      <c r="U133">
        <f>+SUM(U114:U132)</f>
        <v>0</v>
      </c>
      <c r="Y133">
        <f>+SUM(Y114:Y132)</f>
        <v>1305.4765550957879</v>
      </c>
      <c r="Z133">
        <f>+SUM(Z114:Z132)</f>
        <v>2935.1231259339434</v>
      </c>
    </row>
    <row r="136" spans="1:26" x14ac:dyDescent="0.25">
      <c r="B136" s="205" t="s">
        <v>349</v>
      </c>
      <c r="C136" s="205" t="s">
        <v>350</v>
      </c>
      <c r="D136" s="205" t="s">
        <v>220</v>
      </c>
    </row>
    <row r="137" spans="1:26" x14ac:dyDescent="0.25">
      <c r="A137" s="95" t="s">
        <v>351</v>
      </c>
      <c r="B137" s="1">
        <f>+SUM(E4:W22)</f>
        <v>2933.4489471946304</v>
      </c>
      <c r="C137" s="1">
        <f>+SUM(E28:W46)</f>
        <v>1.6741787393125982</v>
      </c>
      <c r="D137" s="1">
        <f>+SUM(E54:W54)</f>
        <v>2935.1231259339438</v>
      </c>
    </row>
    <row r="138" spans="1:26" x14ac:dyDescent="0.25">
      <c r="A138" s="95" t="s">
        <v>352</v>
      </c>
      <c r="B138" s="1">
        <f>+SUM(B65:J83,L65:M83,O65:O83,P65:Q83,S65:T83,V65:X83)</f>
        <v>2933.4489471946313</v>
      </c>
      <c r="C138" s="1">
        <f>+SUM(B89:J107,L89:M107,O89:O107,P89:Q107,S89:T107,V89:X107)</f>
        <v>1.6741787393125982</v>
      </c>
      <c r="D138" s="1">
        <f>+SUM(B114:G132,H114:J132,L114:M132,O114:O132,P114:Q132,S114:T132,V114:X132)</f>
        <v>2935.1231259339438</v>
      </c>
    </row>
    <row r="139" spans="1:26" x14ac:dyDescent="0.25">
      <c r="A139" s="148" t="s">
        <v>62</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zoomScale="70" zoomScaleNormal="70" workbookViewId="0"/>
  </sheetViews>
  <sheetFormatPr defaultRowHeight="15" x14ac:dyDescent="0.25"/>
  <cols>
    <col min="1" max="1" width="96.7109375" customWidth="1"/>
    <col min="2" max="2" width="76.28515625" style="29" customWidth="1"/>
    <col min="3" max="3" width="78.28515625" customWidth="1"/>
    <col min="4" max="4" width="47" customWidth="1"/>
    <col min="5" max="5" width="25.5703125" customWidth="1"/>
    <col min="6" max="6" width="38" customWidth="1"/>
    <col min="7" max="8" width="27.140625" customWidth="1"/>
    <col min="9" max="9" width="28.85546875" customWidth="1"/>
    <col min="10" max="10" width="33.140625" customWidth="1"/>
    <col min="11" max="11" width="28" customWidth="1"/>
    <col min="12" max="12" width="22.85546875" customWidth="1"/>
    <col min="13" max="13" width="21.140625" customWidth="1"/>
    <col min="14" max="14" width="21.85546875" customWidth="1"/>
    <col min="15" max="15" width="24" customWidth="1"/>
    <col min="16" max="16" width="28.7109375" customWidth="1"/>
    <col min="17" max="17" width="27.85546875" customWidth="1"/>
    <col min="18" max="18" width="26.85546875" customWidth="1"/>
    <col min="19" max="19" width="23.140625" customWidth="1"/>
    <col min="20" max="20" width="25.42578125" customWidth="1"/>
    <col min="21" max="21" width="27" customWidth="1"/>
    <col min="22" max="22" width="23.85546875" customWidth="1"/>
    <col min="23" max="23" width="24.140625" customWidth="1"/>
    <col min="24" max="24" width="25.28515625" customWidth="1"/>
    <col min="25" max="25" width="29.85546875" customWidth="1"/>
    <col min="26" max="26" width="20.140625" customWidth="1"/>
  </cols>
  <sheetData>
    <row r="1" spans="1:3" ht="24" x14ac:dyDescent="0.4">
      <c r="A1" s="100" t="s">
        <v>353</v>
      </c>
    </row>
    <row r="2" spans="1:3" ht="38.450000000000003" customHeight="1" x14ac:dyDescent="0.25">
      <c r="A2" s="335" t="s">
        <v>354</v>
      </c>
    </row>
    <row r="3" spans="1:3" ht="17.45" customHeight="1" x14ac:dyDescent="0.4">
      <c r="A3" s="100"/>
    </row>
    <row r="4" spans="1:3" ht="17.45" customHeight="1" x14ac:dyDescent="0.4">
      <c r="A4" s="228" t="s">
        <v>355</v>
      </c>
      <c r="B4" s="110"/>
    </row>
    <row r="5" spans="1:3" ht="17.45" customHeight="1" x14ac:dyDescent="0.4">
      <c r="A5" s="228"/>
      <c r="B5" s="110"/>
    </row>
    <row r="6" spans="1:3" ht="17.45" customHeight="1" x14ac:dyDescent="0.25">
      <c r="A6" s="306" t="s">
        <v>356</v>
      </c>
      <c r="B6" s="306" t="s">
        <v>35</v>
      </c>
      <c r="C6" s="306" t="s">
        <v>36</v>
      </c>
    </row>
    <row r="7" spans="1:3" ht="17.45" customHeight="1" x14ac:dyDescent="0.25">
      <c r="A7" s="1" t="s">
        <v>357</v>
      </c>
      <c r="B7" s="96" t="s">
        <v>358</v>
      </c>
      <c r="C7" s="96" t="s">
        <v>39</v>
      </c>
    </row>
    <row r="8" spans="1:3" ht="17.45" customHeight="1" x14ac:dyDescent="0.25">
      <c r="A8" s="1" t="s">
        <v>359</v>
      </c>
      <c r="B8" s="96" t="s">
        <v>360</v>
      </c>
      <c r="C8" s="96" t="s">
        <v>39</v>
      </c>
    </row>
    <row r="9" spans="1:3" ht="17.45" customHeight="1" x14ac:dyDescent="0.25">
      <c r="A9" s="1" t="s">
        <v>361</v>
      </c>
      <c r="B9" s="96" t="s">
        <v>362</v>
      </c>
      <c r="C9" s="96" t="s">
        <v>39</v>
      </c>
    </row>
    <row r="10" spans="1:3" ht="17.45" customHeight="1" x14ac:dyDescent="0.25">
      <c r="A10" s="1" t="s">
        <v>363</v>
      </c>
      <c r="B10" s="96" t="s">
        <v>364</v>
      </c>
      <c r="C10" s="96" t="s">
        <v>39</v>
      </c>
    </row>
    <row r="11" spans="1:3" ht="17.45" customHeight="1" x14ac:dyDescent="0.25">
      <c r="B11"/>
    </row>
    <row r="12" spans="1:3" ht="17.45" customHeight="1" x14ac:dyDescent="0.25">
      <c r="A12" t="s">
        <v>237</v>
      </c>
      <c r="B12"/>
    </row>
    <row r="13" spans="1:3" ht="17.45" customHeight="1" x14ac:dyDescent="0.25">
      <c r="A13" s="62" t="s">
        <v>365</v>
      </c>
      <c r="B13" s="62" t="s">
        <v>35</v>
      </c>
      <c r="C13" s="62" t="s">
        <v>36</v>
      </c>
    </row>
    <row r="14" spans="1:3" ht="17.45" customHeight="1" x14ac:dyDescent="0.25">
      <c r="A14" s="1" t="s">
        <v>366</v>
      </c>
      <c r="B14" s="96" t="s">
        <v>367</v>
      </c>
      <c r="C14" s="96" t="s">
        <v>39</v>
      </c>
    </row>
    <row r="15" spans="1:3" ht="17.45" customHeight="1" x14ac:dyDescent="0.25">
      <c r="A15" s="1" t="s">
        <v>359</v>
      </c>
      <c r="B15" s="96" t="s">
        <v>368</v>
      </c>
      <c r="C15" s="96" t="s">
        <v>39</v>
      </c>
    </row>
    <row r="16" spans="1:3" ht="17.45" customHeight="1" x14ac:dyDescent="0.25">
      <c r="A16" s="1" t="s">
        <v>361</v>
      </c>
      <c r="B16" s="96" t="s">
        <v>369</v>
      </c>
      <c r="C16" s="96" t="s">
        <v>39</v>
      </c>
    </row>
    <row r="17" spans="1:4" ht="17.45" customHeight="1" x14ac:dyDescent="0.25">
      <c r="A17" s="1" t="s">
        <v>363</v>
      </c>
      <c r="B17" s="96" t="s">
        <v>370</v>
      </c>
      <c r="C17" s="96" t="s">
        <v>39</v>
      </c>
    </row>
    <row r="18" spans="1:4" ht="17.45" customHeight="1" x14ac:dyDescent="0.4">
      <c r="A18" s="100"/>
    </row>
    <row r="19" spans="1:4" ht="15" customHeight="1" x14ac:dyDescent="0.4">
      <c r="A19" s="100"/>
    </row>
    <row r="20" spans="1:4" ht="15" customHeight="1" x14ac:dyDescent="0.25">
      <c r="A20" s="1" t="s">
        <v>371</v>
      </c>
      <c r="B20" s="90">
        <v>0.51</v>
      </c>
      <c r="C20" s="2" t="s">
        <v>372</v>
      </c>
      <c r="D20" s="1"/>
    </row>
    <row r="21" spans="1:4" ht="15.6" customHeight="1" x14ac:dyDescent="0.4">
      <c r="A21" s="100"/>
    </row>
    <row r="22" spans="1:4" ht="24" x14ac:dyDescent="0.4">
      <c r="A22" s="100"/>
    </row>
    <row r="23" spans="1:4" ht="13.15" customHeight="1" x14ac:dyDescent="0.35">
      <c r="A23" s="76"/>
    </row>
    <row r="24" spans="1:4" ht="13.15" customHeight="1" x14ac:dyDescent="0.25">
      <c r="A24" s="47"/>
      <c r="B24" s="47"/>
      <c r="C24" s="11"/>
    </row>
    <row r="25" spans="1:4" ht="7.15" customHeight="1" x14ac:dyDescent="0.35">
      <c r="A25" s="76"/>
    </row>
    <row r="26" spans="1:4" ht="21.6" customHeight="1" x14ac:dyDescent="0.4">
      <c r="A26" s="100" t="s">
        <v>373</v>
      </c>
    </row>
    <row r="27" spans="1:4" ht="13.15" customHeight="1" x14ac:dyDescent="0.3">
      <c r="A27" s="74" t="s">
        <v>374</v>
      </c>
    </row>
    <row r="28" spans="1:4" ht="13.15" customHeight="1" x14ac:dyDescent="0.25">
      <c r="A28" s="81"/>
    </row>
    <row r="29" spans="1:4" ht="13.15" customHeight="1" x14ac:dyDescent="0.25">
      <c r="A29" s="62" t="s">
        <v>375</v>
      </c>
      <c r="B29" s="304" t="s">
        <v>376</v>
      </c>
      <c r="C29" s="295" t="s">
        <v>377</v>
      </c>
      <c r="D29" s="62" t="s">
        <v>378</v>
      </c>
    </row>
    <row r="30" spans="1:4" x14ac:dyDescent="0.25">
      <c r="A30" s="2" t="s">
        <v>379</v>
      </c>
      <c r="B30" s="90" t="s">
        <v>380</v>
      </c>
      <c r="C30" s="224" t="s">
        <v>381</v>
      </c>
      <c r="D30" s="30" t="s">
        <v>382</v>
      </c>
    </row>
    <row r="31" spans="1:4" x14ac:dyDescent="0.25">
      <c r="A31" s="2" t="s">
        <v>383</v>
      </c>
      <c r="B31" s="90">
        <v>1</v>
      </c>
      <c r="C31" s="33"/>
      <c r="D31" s="1"/>
    </row>
    <row r="32" spans="1:4" x14ac:dyDescent="0.25">
      <c r="A32" s="2" t="s">
        <v>384</v>
      </c>
      <c r="B32" s="90">
        <v>263.2</v>
      </c>
      <c r="C32" s="224" t="s">
        <v>381</v>
      </c>
      <c r="D32" s="30" t="s">
        <v>382</v>
      </c>
    </row>
    <row r="33" spans="1:4" ht="30" x14ac:dyDescent="0.25">
      <c r="A33" s="2" t="s">
        <v>385</v>
      </c>
      <c r="B33" s="90">
        <v>0.51</v>
      </c>
      <c r="C33" s="53" t="s">
        <v>386</v>
      </c>
      <c r="D33" s="1"/>
    </row>
    <row r="34" spans="1:4" ht="45" x14ac:dyDescent="0.25">
      <c r="A34" s="1" t="s">
        <v>387</v>
      </c>
      <c r="B34" s="90">
        <v>0.25</v>
      </c>
      <c r="C34" s="39" t="s">
        <v>388</v>
      </c>
      <c r="D34" s="214" t="s">
        <v>389</v>
      </c>
    </row>
    <row r="35" spans="1:4" x14ac:dyDescent="0.25">
      <c r="A35" s="2" t="s">
        <v>390</v>
      </c>
      <c r="B35" s="90">
        <v>2.2000000000000002</v>
      </c>
      <c r="C35" s="1" t="s">
        <v>391</v>
      </c>
      <c r="D35" s="30" t="s">
        <v>392</v>
      </c>
    </row>
    <row r="36" spans="1:4" x14ac:dyDescent="0.25">
      <c r="A36" s="2" t="s">
        <v>393</v>
      </c>
      <c r="B36" s="90">
        <v>0.45</v>
      </c>
      <c r="C36" s="1" t="s">
        <v>394</v>
      </c>
      <c r="D36" s="1"/>
    </row>
    <row r="37" spans="1:4" x14ac:dyDescent="0.25">
      <c r="A37" s="2" t="s">
        <v>395</v>
      </c>
      <c r="B37" s="152">
        <f>60/$B$36</f>
        <v>133.33333333333334</v>
      </c>
      <c r="C37" s="1"/>
      <c r="D37" s="1"/>
    </row>
    <row r="38" spans="1:4" x14ac:dyDescent="0.25">
      <c r="A38" s="2" t="s">
        <v>396</v>
      </c>
      <c r="B38" s="90">
        <v>5.4</v>
      </c>
      <c r="C38" s="224" t="s">
        <v>381</v>
      </c>
      <c r="D38" s="30" t="s">
        <v>382</v>
      </c>
    </row>
    <row r="39" spans="1:4" x14ac:dyDescent="0.25">
      <c r="A39" s="2" t="s">
        <v>397</v>
      </c>
      <c r="B39" s="152">
        <f>$B$35*$B$37*$B$38</f>
        <v>1584.0000000000002</v>
      </c>
      <c r="C39" s="8"/>
      <c r="D39" s="1"/>
    </row>
    <row r="40" spans="1:4" x14ac:dyDescent="0.25">
      <c r="A40" s="2" t="s">
        <v>398</v>
      </c>
      <c r="B40" s="152">
        <f>(Input!$B$51+Input!$B$52)/'C3'' - Secondary Raw Material '!$B$39</f>
        <v>2.5883838383838382E-4</v>
      </c>
      <c r="C40" s="13" t="s">
        <v>399</v>
      </c>
      <c r="D40" s="1"/>
    </row>
    <row r="41" spans="1:4" x14ac:dyDescent="0.25">
      <c r="A41" s="1" t="s">
        <v>400</v>
      </c>
      <c r="B41" s="152">
        <f>$B$32*$B$33*$B$34</f>
        <v>33.558</v>
      </c>
      <c r="C41" s="13" t="s">
        <v>401</v>
      </c>
      <c r="D41" s="1" t="s">
        <v>402</v>
      </c>
    </row>
    <row r="42" spans="1:4" ht="19.149999999999999" customHeight="1" x14ac:dyDescent="0.35">
      <c r="A42" s="76"/>
    </row>
    <row r="43" spans="1:4" ht="13.15" customHeight="1" x14ac:dyDescent="0.3">
      <c r="A43" s="116" t="s">
        <v>403</v>
      </c>
      <c r="B43" s="116"/>
      <c r="C43" s="116"/>
    </row>
    <row r="44" spans="1:4" ht="13.15" customHeight="1" x14ac:dyDescent="0.3">
      <c r="A44" s="75"/>
      <c r="B44" s="75"/>
      <c r="C44" s="75"/>
    </row>
    <row r="45" spans="1:4" ht="13.15" customHeight="1" x14ac:dyDescent="0.25">
      <c r="A45" s="62" t="s">
        <v>375</v>
      </c>
      <c r="B45" s="304" t="s">
        <v>376</v>
      </c>
      <c r="C45" s="295" t="s">
        <v>377</v>
      </c>
      <c r="D45" s="62" t="s">
        <v>378</v>
      </c>
    </row>
    <row r="46" spans="1:4" ht="13.15" customHeight="1" x14ac:dyDescent="0.25">
      <c r="A46" s="1" t="s">
        <v>385</v>
      </c>
      <c r="B46" s="90">
        <v>0.51</v>
      </c>
      <c r="C46" s="1" t="s">
        <v>386</v>
      </c>
      <c r="D46" s="1"/>
    </row>
    <row r="47" spans="1:4" ht="13.15" customHeight="1" x14ac:dyDescent="0.25">
      <c r="A47" s="1" t="s">
        <v>404</v>
      </c>
      <c r="B47" s="90" t="s">
        <v>405</v>
      </c>
      <c r="C47" s="46" t="s">
        <v>405</v>
      </c>
      <c r="D47" s="30" t="s">
        <v>406</v>
      </c>
    </row>
    <row r="48" spans="1:4" ht="13.15" customHeight="1" x14ac:dyDescent="0.25">
      <c r="A48" s="1" t="s">
        <v>407</v>
      </c>
      <c r="B48" s="90">
        <v>1</v>
      </c>
      <c r="C48" s="1"/>
      <c r="D48" s="1"/>
    </row>
    <row r="49" spans="1:4" ht="13.15" customHeight="1" x14ac:dyDescent="0.25">
      <c r="A49" s="1" t="s">
        <v>408</v>
      </c>
      <c r="B49" s="90">
        <v>400</v>
      </c>
      <c r="C49" s="1"/>
      <c r="D49" s="1"/>
    </row>
    <row r="50" spans="1:4" ht="13.15" customHeight="1" x14ac:dyDescent="0.25">
      <c r="A50" s="1" t="s">
        <v>384</v>
      </c>
      <c r="B50" s="90">
        <v>200</v>
      </c>
      <c r="C50" s="39" t="s">
        <v>388</v>
      </c>
      <c r="D50" s="214" t="s">
        <v>389</v>
      </c>
    </row>
    <row r="51" spans="1:4" ht="13.15" customHeight="1" x14ac:dyDescent="0.25">
      <c r="A51" s="1" t="s">
        <v>387</v>
      </c>
      <c r="B51" s="90">
        <v>0.25</v>
      </c>
      <c r="C51" s="221" t="s">
        <v>388</v>
      </c>
      <c r="D51" s="1"/>
    </row>
    <row r="52" spans="1:4" ht="13.15" customHeight="1" x14ac:dyDescent="0.25">
      <c r="A52" s="1" t="s">
        <v>409</v>
      </c>
      <c r="B52" s="152">
        <f>Input!$B$51+Input!$B$52</f>
        <v>0.41000000000000003</v>
      </c>
      <c r="C52" s="1"/>
      <c r="D52" s="1"/>
    </row>
    <row r="53" spans="1:4" ht="13.15" customHeight="1" x14ac:dyDescent="0.25">
      <c r="A53" s="1" t="s">
        <v>410</v>
      </c>
      <c r="B53" s="152">
        <f>$B$52/$B$49</f>
        <v>1.0250000000000001E-3</v>
      </c>
      <c r="C53" s="1" t="s">
        <v>411</v>
      </c>
      <c r="D53" s="1"/>
    </row>
    <row r="54" spans="1:4" ht="13.15" customHeight="1" x14ac:dyDescent="0.25">
      <c r="A54" s="2" t="s">
        <v>400</v>
      </c>
      <c r="B54" s="152">
        <f>$B$50*$B$51*$B$46</f>
        <v>25.5</v>
      </c>
      <c r="C54" s="1" t="s">
        <v>401</v>
      </c>
      <c r="D54" s="1" t="s">
        <v>402</v>
      </c>
    </row>
    <row r="55" spans="1:4" ht="13.15" customHeight="1" x14ac:dyDescent="0.25"/>
    <row r="56" spans="1:4" ht="13.15" customHeight="1" x14ac:dyDescent="0.3">
      <c r="A56" s="116" t="s">
        <v>412</v>
      </c>
      <c r="B56" s="116"/>
      <c r="C56" s="116"/>
    </row>
    <row r="57" spans="1:4" ht="18.75" x14ac:dyDescent="0.3">
      <c r="A57" s="74"/>
    </row>
    <row r="58" spans="1:4" ht="12.6" customHeight="1" x14ac:dyDescent="0.25">
      <c r="A58" s="62" t="s">
        <v>375</v>
      </c>
      <c r="B58" s="304" t="s">
        <v>376</v>
      </c>
      <c r="C58" s="305" t="s">
        <v>377</v>
      </c>
      <c r="D58" s="62" t="s">
        <v>378</v>
      </c>
    </row>
    <row r="59" spans="1:4" x14ac:dyDescent="0.25">
      <c r="A59" s="1" t="s">
        <v>385</v>
      </c>
      <c r="B59" s="90">
        <v>0.51</v>
      </c>
      <c r="C59" s="141" t="s">
        <v>386</v>
      </c>
      <c r="D59" s="1"/>
    </row>
    <row r="60" spans="1:4" x14ac:dyDescent="0.25">
      <c r="A60" s="1" t="s">
        <v>413</v>
      </c>
      <c r="B60" s="90" t="s">
        <v>414</v>
      </c>
      <c r="C60" s="199" t="s">
        <v>414</v>
      </c>
      <c r="D60" s="30" t="s">
        <v>415</v>
      </c>
    </row>
    <row r="61" spans="1:4" x14ac:dyDescent="0.25">
      <c r="A61" s="1" t="s">
        <v>416</v>
      </c>
      <c r="B61" s="90">
        <v>1</v>
      </c>
      <c r="C61" s="141"/>
      <c r="D61" s="1"/>
    </row>
    <row r="62" spans="1:4" ht="45" x14ac:dyDescent="0.25">
      <c r="A62" s="1" t="s">
        <v>387</v>
      </c>
      <c r="B62" s="90">
        <v>0.25</v>
      </c>
      <c r="C62" s="220" t="s">
        <v>388</v>
      </c>
      <c r="D62" s="214" t="s">
        <v>389</v>
      </c>
    </row>
    <row r="63" spans="1:4" x14ac:dyDescent="0.25">
      <c r="A63" s="1" t="s">
        <v>408</v>
      </c>
      <c r="B63" s="90">
        <v>500</v>
      </c>
      <c r="C63" s="141"/>
      <c r="D63" s="1"/>
    </row>
    <row r="64" spans="1:4" x14ac:dyDescent="0.25">
      <c r="A64" s="1" t="s">
        <v>384</v>
      </c>
      <c r="B64" s="113">
        <v>55</v>
      </c>
      <c r="C64" s="141"/>
      <c r="D64" s="1"/>
    </row>
    <row r="65" spans="1:4" x14ac:dyDescent="0.25">
      <c r="A65" s="1" t="s">
        <v>409</v>
      </c>
      <c r="B65" s="152">
        <f>Input!$B$51+Input!$B$52</f>
        <v>0.41000000000000003</v>
      </c>
      <c r="C65" s="141"/>
      <c r="D65" s="1"/>
    </row>
    <row r="66" spans="1:4" ht="30" x14ac:dyDescent="0.25">
      <c r="A66" s="6" t="s">
        <v>417</v>
      </c>
      <c r="B66" s="152">
        <f>$B$65/$B$49</f>
        <v>1.0250000000000001E-3</v>
      </c>
      <c r="C66" s="218" t="s">
        <v>418</v>
      </c>
      <c r="D66" s="1"/>
    </row>
    <row r="67" spans="1:4" x14ac:dyDescent="0.25">
      <c r="A67" s="6" t="s">
        <v>400</v>
      </c>
      <c r="B67" s="152">
        <f>$B$64*$B$62*$B$59</f>
        <v>7.0125000000000002</v>
      </c>
      <c r="C67" s="141" t="s">
        <v>401</v>
      </c>
      <c r="D67" s="1" t="s">
        <v>402</v>
      </c>
    </row>
    <row r="68" spans="1:4" x14ac:dyDescent="0.25">
      <c r="A68" s="55"/>
      <c r="C68" s="28"/>
    </row>
    <row r="69" spans="1:4" ht="18.75" x14ac:dyDescent="0.3">
      <c r="A69" s="116" t="s">
        <v>419</v>
      </c>
      <c r="B69" s="116"/>
      <c r="C69" s="116"/>
    </row>
    <row r="70" spans="1:4" ht="18.75" x14ac:dyDescent="0.3">
      <c r="A70" s="74"/>
    </row>
    <row r="71" spans="1:4" x14ac:dyDescent="0.25">
      <c r="A71" s="62" t="s">
        <v>375</v>
      </c>
      <c r="B71" s="304" t="s">
        <v>376</v>
      </c>
      <c r="C71" s="305" t="s">
        <v>377</v>
      </c>
      <c r="D71" s="62" t="s">
        <v>378</v>
      </c>
    </row>
    <row r="72" spans="1:4" x14ac:dyDescent="0.25">
      <c r="A72" s="1" t="s">
        <v>420</v>
      </c>
      <c r="B72" s="90" t="s">
        <v>421</v>
      </c>
      <c r="C72" s="141" t="s">
        <v>421</v>
      </c>
      <c r="D72" s="30" t="s">
        <v>422</v>
      </c>
    </row>
    <row r="73" spans="1:4" x14ac:dyDescent="0.25">
      <c r="A73" s="1" t="s">
        <v>423</v>
      </c>
      <c r="B73" s="90">
        <v>1</v>
      </c>
      <c r="C73" s="141"/>
      <c r="D73" s="1"/>
    </row>
    <row r="74" spans="1:4" x14ac:dyDescent="0.25">
      <c r="A74" s="1" t="s">
        <v>384</v>
      </c>
      <c r="B74" s="90">
        <v>99</v>
      </c>
      <c r="C74" s="141"/>
      <c r="D74" s="1"/>
    </row>
    <row r="75" spans="1:4" ht="30" x14ac:dyDescent="0.25">
      <c r="A75" s="2" t="s">
        <v>385</v>
      </c>
      <c r="B75" s="90">
        <v>0.51</v>
      </c>
      <c r="C75" s="218" t="s">
        <v>386</v>
      </c>
      <c r="D75" s="1"/>
    </row>
    <row r="76" spans="1:4" x14ac:dyDescent="0.25">
      <c r="A76" s="1" t="s">
        <v>408</v>
      </c>
      <c r="B76" s="90">
        <v>500</v>
      </c>
      <c r="C76" s="141"/>
      <c r="D76" s="1"/>
    </row>
    <row r="77" spans="1:4" ht="45" x14ac:dyDescent="0.25">
      <c r="A77" s="1" t="s">
        <v>387</v>
      </c>
      <c r="B77" s="90">
        <v>0.25</v>
      </c>
      <c r="C77" s="222" t="s">
        <v>388</v>
      </c>
      <c r="D77" s="1"/>
    </row>
    <row r="78" spans="1:4" x14ac:dyDescent="0.25">
      <c r="A78" s="1" t="s">
        <v>409</v>
      </c>
      <c r="B78" s="152">
        <f>Input!$B$51+Input!$B$52</f>
        <v>0.41000000000000003</v>
      </c>
      <c r="C78" s="141"/>
      <c r="D78" s="1"/>
    </row>
    <row r="79" spans="1:4" ht="30" x14ac:dyDescent="0.25">
      <c r="A79" s="2" t="s">
        <v>410</v>
      </c>
      <c r="B79" s="152">
        <f>$B$78/$B$49</f>
        <v>1.0250000000000001E-3</v>
      </c>
      <c r="C79" s="218" t="s">
        <v>418</v>
      </c>
      <c r="D79" s="1"/>
    </row>
    <row r="80" spans="1:4" x14ac:dyDescent="0.25">
      <c r="A80" s="2" t="s">
        <v>400</v>
      </c>
      <c r="B80" s="152">
        <f>$B$74*$B$77*$B$75</f>
        <v>12.6225</v>
      </c>
      <c r="C80" s="141" t="s">
        <v>401</v>
      </c>
      <c r="D80" s="1" t="s">
        <v>402</v>
      </c>
    </row>
    <row r="83" spans="1:4" ht="24" x14ac:dyDescent="0.4">
      <c r="A83" s="100" t="s">
        <v>424</v>
      </c>
    </row>
    <row r="84" spans="1:4" ht="18.75" x14ac:dyDescent="0.3">
      <c r="A84" s="334" t="s">
        <v>425</v>
      </c>
      <c r="B84" s="47"/>
      <c r="C84" s="11"/>
    </row>
    <row r="85" spans="1:4" x14ac:dyDescent="0.25">
      <c r="A85" s="62" t="s">
        <v>375</v>
      </c>
      <c r="B85" s="304" t="s">
        <v>376</v>
      </c>
      <c r="C85" s="295" t="s">
        <v>377</v>
      </c>
      <c r="D85" s="62" t="s">
        <v>378</v>
      </c>
    </row>
    <row r="86" spans="1:4" x14ac:dyDescent="0.25">
      <c r="A86" s="2" t="s">
        <v>379</v>
      </c>
      <c r="B86" s="90" t="s">
        <v>380</v>
      </c>
      <c r="C86" s="202" t="s">
        <v>381</v>
      </c>
      <c r="D86" s="30" t="s">
        <v>382</v>
      </c>
    </row>
    <row r="87" spans="1:4" x14ac:dyDescent="0.25">
      <c r="A87" s="2" t="s">
        <v>383</v>
      </c>
      <c r="B87" s="90">
        <v>1</v>
      </c>
      <c r="C87" s="33"/>
      <c r="D87" s="1"/>
    </row>
    <row r="88" spans="1:4" x14ac:dyDescent="0.25">
      <c r="A88" s="2" t="s">
        <v>384</v>
      </c>
      <c r="B88" s="90">
        <v>263.2</v>
      </c>
      <c r="C88" s="202" t="s">
        <v>381</v>
      </c>
      <c r="D88" s="30" t="s">
        <v>382</v>
      </c>
    </row>
    <row r="89" spans="1:4" x14ac:dyDescent="0.25">
      <c r="A89" s="2" t="s">
        <v>385</v>
      </c>
      <c r="B89" s="90">
        <v>0.51</v>
      </c>
      <c r="C89" s="141" t="s">
        <v>386</v>
      </c>
      <c r="D89" s="1"/>
    </row>
    <row r="90" spans="1:4" ht="45" x14ac:dyDescent="0.25">
      <c r="A90" s="1" t="s">
        <v>387</v>
      </c>
      <c r="B90" s="90">
        <v>0.25</v>
      </c>
      <c r="C90" s="39" t="s">
        <v>388</v>
      </c>
      <c r="D90" s="214" t="s">
        <v>389</v>
      </c>
    </row>
    <row r="91" spans="1:4" x14ac:dyDescent="0.25">
      <c r="A91" s="2" t="s">
        <v>426</v>
      </c>
      <c r="B91" s="90">
        <v>2.2999999999999998</v>
      </c>
      <c r="C91" t="s">
        <v>427</v>
      </c>
      <c r="D91" s="30" t="s">
        <v>428</v>
      </c>
    </row>
    <row r="92" spans="1:4" x14ac:dyDescent="0.25">
      <c r="A92" s="2" t="s">
        <v>393</v>
      </c>
      <c r="B92" s="90">
        <v>0.45</v>
      </c>
      <c r="C92" s="141" t="s">
        <v>394</v>
      </c>
      <c r="D92" s="1"/>
    </row>
    <row r="93" spans="1:4" x14ac:dyDescent="0.25">
      <c r="A93" s="2" t="s">
        <v>395</v>
      </c>
      <c r="B93" s="152">
        <f>60/$B$36</f>
        <v>133.33333333333334</v>
      </c>
      <c r="C93" s="1"/>
      <c r="D93" s="1"/>
    </row>
    <row r="94" spans="1:4" x14ac:dyDescent="0.25">
      <c r="A94" s="2" t="s">
        <v>396</v>
      </c>
      <c r="B94" s="90">
        <v>5.4</v>
      </c>
      <c r="C94" s="202" t="s">
        <v>381</v>
      </c>
      <c r="D94" s="30" t="s">
        <v>382</v>
      </c>
    </row>
    <row r="95" spans="1:4" x14ac:dyDescent="0.25">
      <c r="A95" s="2" t="s">
        <v>397</v>
      </c>
      <c r="B95" s="152">
        <f>$B$35*$B$37*$B$38</f>
        <v>1584.0000000000002</v>
      </c>
      <c r="C95" s="8"/>
      <c r="D95" s="1"/>
    </row>
    <row r="96" spans="1:4" x14ac:dyDescent="0.25">
      <c r="A96" s="2" t="s">
        <v>429</v>
      </c>
      <c r="B96" s="152">
        <f>IF(Input!$C$53="Recycled_concrete_aggregate",Input!$B$53,0)/B95</f>
        <v>0</v>
      </c>
      <c r="C96" s="13" t="s">
        <v>430</v>
      </c>
      <c r="D96" s="1"/>
    </row>
    <row r="97" spans="1:4" x14ac:dyDescent="0.25">
      <c r="A97" s="2" t="s">
        <v>431</v>
      </c>
      <c r="B97" s="152">
        <f>IF(Input!$C$54="Recycled_concrete_aggregate",Input!$B$54,0)/B95</f>
        <v>0</v>
      </c>
      <c r="C97" s="8"/>
      <c r="D97" s="1"/>
    </row>
    <row r="98" spans="1:4" x14ac:dyDescent="0.25">
      <c r="A98" s="2" t="s">
        <v>432</v>
      </c>
      <c r="B98" s="152">
        <f>$B$96+$B$97</f>
        <v>0</v>
      </c>
      <c r="C98" s="8"/>
      <c r="D98" s="1"/>
    </row>
    <row r="99" spans="1:4" x14ac:dyDescent="0.25">
      <c r="A99" s="2" t="s">
        <v>400</v>
      </c>
      <c r="B99" s="2">
        <f>$B$88*$B$89*$B$90</f>
        <v>33.558</v>
      </c>
      <c r="C99" s="1" t="s">
        <v>401</v>
      </c>
      <c r="D99" s="1" t="s">
        <v>402</v>
      </c>
    </row>
    <row r="101" spans="1:4" ht="18.75" x14ac:dyDescent="0.3">
      <c r="A101" s="116" t="s">
        <v>433</v>
      </c>
      <c r="B101" s="116"/>
      <c r="C101" s="116"/>
    </row>
    <row r="102" spans="1:4" x14ac:dyDescent="0.25">
      <c r="A102" s="27"/>
      <c r="B102" s="27"/>
      <c r="C102" s="27"/>
    </row>
    <row r="103" spans="1:4" x14ac:dyDescent="0.25">
      <c r="A103" s="62" t="s">
        <v>375</v>
      </c>
      <c r="B103" s="304" t="s">
        <v>376</v>
      </c>
      <c r="C103" s="295" t="s">
        <v>377</v>
      </c>
      <c r="D103" s="62" t="s">
        <v>378</v>
      </c>
    </row>
    <row r="104" spans="1:4" x14ac:dyDescent="0.25">
      <c r="A104" s="48" t="s">
        <v>434</v>
      </c>
      <c r="B104" s="48"/>
      <c r="C104" s="48"/>
      <c r="D104" s="1"/>
    </row>
    <row r="105" spans="1:4" ht="30" x14ac:dyDescent="0.25">
      <c r="A105" s="89" t="s">
        <v>385</v>
      </c>
      <c r="B105" s="90">
        <v>0.51</v>
      </c>
      <c r="C105" s="53" t="s">
        <v>386</v>
      </c>
      <c r="D105" s="1"/>
    </row>
    <row r="106" spans="1:4" ht="30" x14ac:dyDescent="0.25">
      <c r="A106" s="1" t="s">
        <v>404</v>
      </c>
      <c r="B106" s="90" t="s">
        <v>405</v>
      </c>
      <c r="C106" s="46" t="s">
        <v>405</v>
      </c>
      <c r="D106" s="123" t="s">
        <v>406</v>
      </c>
    </row>
    <row r="107" spans="1:4" x14ac:dyDescent="0.25">
      <c r="A107" s="1" t="s">
        <v>407</v>
      </c>
      <c r="B107" s="90">
        <v>1</v>
      </c>
      <c r="C107" s="1"/>
      <c r="D107" s="1"/>
    </row>
    <row r="108" spans="1:4" x14ac:dyDescent="0.25">
      <c r="A108" s="1" t="s">
        <v>408</v>
      </c>
      <c r="B108" s="90">
        <v>400</v>
      </c>
      <c r="C108" s="1"/>
      <c r="D108" s="1"/>
    </row>
    <row r="109" spans="1:4" x14ac:dyDescent="0.25">
      <c r="A109" s="1" t="s">
        <v>384</v>
      </c>
      <c r="B109" s="90">
        <v>200</v>
      </c>
      <c r="C109" s="1"/>
      <c r="D109" s="1"/>
    </row>
    <row r="110" spans="1:4" ht="45" x14ac:dyDescent="0.25">
      <c r="A110" s="1" t="s">
        <v>387</v>
      </c>
      <c r="B110" s="90">
        <v>0.25</v>
      </c>
      <c r="C110" s="39" t="s">
        <v>388</v>
      </c>
      <c r="D110" s="1"/>
    </row>
    <row r="111" spans="1:4" x14ac:dyDescent="0.25">
      <c r="A111" s="1" t="s">
        <v>435</v>
      </c>
      <c r="B111" s="152">
        <f>IF(Input!$C$53="Recycled_concrete_aggregate",Input!$B$53,0)</f>
        <v>0</v>
      </c>
      <c r="C111" s="1"/>
      <c r="D111" s="1"/>
    </row>
    <row r="112" spans="1:4" x14ac:dyDescent="0.25">
      <c r="A112" s="1" t="s">
        <v>436</v>
      </c>
      <c r="B112" s="152">
        <f>IF(Input!$C$54="Recycled_concrete_aggregate",Input!$B$54,0)</f>
        <v>0</v>
      </c>
      <c r="C112" s="1"/>
      <c r="D112" s="1"/>
    </row>
    <row r="113" spans="1:4" ht="30" x14ac:dyDescent="0.25">
      <c r="A113" s="1" t="s">
        <v>437</v>
      </c>
      <c r="B113" s="152">
        <f>IF(Input!$C$53="Recycled_concrete_aggregate",($B$111/$B$108),0)</f>
        <v>0</v>
      </c>
      <c r="C113" s="53" t="s">
        <v>438</v>
      </c>
      <c r="D113" s="1"/>
    </row>
    <row r="114" spans="1:4" x14ac:dyDescent="0.25">
      <c r="A114" s="9" t="s">
        <v>439</v>
      </c>
      <c r="B114" s="90">
        <f>IF(Input!$C$54="Recycled_concrete_aggregate",$B$112/$B$108,0)</f>
        <v>0</v>
      </c>
      <c r="C114" s="1"/>
      <c r="D114" s="1"/>
    </row>
    <row r="115" spans="1:4" x14ac:dyDescent="0.25">
      <c r="A115" s="1" t="s">
        <v>440</v>
      </c>
      <c r="B115" s="90">
        <f>B113+B114</f>
        <v>0</v>
      </c>
      <c r="C115" s="1"/>
      <c r="D115" s="1"/>
    </row>
    <row r="116" spans="1:4" x14ac:dyDescent="0.25">
      <c r="A116" s="2" t="s">
        <v>400</v>
      </c>
      <c r="B116" s="90">
        <f>$B$109*$B$105*$B$110</f>
        <v>25.5</v>
      </c>
      <c r="C116" s="1" t="s">
        <v>401</v>
      </c>
      <c r="D116" s="1" t="s">
        <v>402</v>
      </c>
    </row>
    <row r="118" spans="1:4" ht="18.75" x14ac:dyDescent="0.3">
      <c r="A118" s="116" t="s">
        <v>441</v>
      </c>
      <c r="B118" s="116"/>
      <c r="C118" s="116"/>
    </row>
    <row r="119" spans="1:4" x14ac:dyDescent="0.25">
      <c r="A119" s="32"/>
    </row>
    <row r="120" spans="1:4" x14ac:dyDescent="0.25">
      <c r="A120" s="62" t="s">
        <v>375</v>
      </c>
      <c r="B120" s="304" t="s">
        <v>376</v>
      </c>
      <c r="C120" s="295" t="s">
        <v>377</v>
      </c>
      <c r="D120" s="62" t="s">
        <v>378</v>
      </c>
    </row>
    <row r="121" spans="1:4" x14ac:dyDescent="0.25">
      <c r="A121" s="48" t="s">
        <v>442</v>
      </c>
      <c r="B121" s="48"/>
      <c r="C121" s="48"/>
      <c r="D121" s="1"/>
    </row>
    <row r="122" spans="1:4" ht="30" x14ac:dyDescent="0.25">
      <c r="A122" s="1" t="s">
        <v>385</v>
      </c>
      <c r="B122" s="90">
        <v>0.51</v>
      </c>
      <c r="C122" s="53" t="s">
        <v>386</v>
      </c>
      <c r="D122" s="1"/>
    </row>
    <row r="123" spans="1:4" ht="30" x14ac:dyDescent="0.25">
      <c r="A123" s="1" t="s">
        <v>413</v>
      </c>
      <c r="B123" s="90" t="s">
        <v>414</v>
      </c>
      <c r="C123" s="219" t="s">
        <v>414</v>
      </c>
      <c r="D123" s="123" t="s">
        <v>415</v>
      </c>
    </row>
    <row r="124" spans="1:4" x14ac:dyDescent="0.25">
      <c r="A124" s="1" t="s">
        <v>443</v>
      </c>
      <c r="B124" s="90">
        <v>1</v>
      </c>
      <c r="C124" s="1"/>
      <c r="D124" s="1"/>
    </row>
    <row r="125" spans="1:4" x14ac:dyDescent="0.25">
      <c r="A125" s="1" t="s">
        <v>408</v>
      </c>
      <c r="B125" s="90">
        <v>500</v>
      </c>
      <c r="C125" s="1"/>
      <c r="D125" s="1"/>
    </row>
    <row r="126" spans="1:4" x14ac:dyDescent="0.25">
      <c r="A126" s="1" t="s">
        <v>384</v>
      </c>
      <c r="B126" s="90">
        <v>55</v>
      </c>
      <c r="C126" s="1"/>
      <c r="D126" s="1"/>
    </row>
    <row r="127" spans="1:4" ht="45" x14ac:dyDescent="0.25">
      <c r="A127" s="1" t="s">
        <v>387</v>
      </c>
      <c r="B127" s="90">
        <v>0.25</v>
      </c>
      <c r="C127" s="53" t="s">
        <v>388</v>
      </c>
      <c r="D127" s="1"/>
    </row>
    <row r="128" spans="1:4" x14ac:dyDescent="0.25">
      <c r="A128" s="1" t="s">
        <v>435</v>
      </c>
      <c r="B128" s="152">
        <f>IF(Input!$C$53="Recycled_concrete_aggregate",Input!$B$53,0)</f>
        <v>0</v>
      </c>
      <c r="C128" s="1"/>
      <c r="D128" s="1"/>
    </row>
    <row r="129" spans="1:4" x14ac:dyDescent="0.25">
      <c r="A129" s="1" t="s">
        <v>436</v>
      </c>
      <c r="B129" s="152">
        <f>IF(Input!$C$54="Recycled_concrete_aggregate",Input!$B$54,0)</f>
        <v>0</v>
      </c>
      <c r="C129" s="1"/>
      <c r="D129" s="1"/>
    </row>
    <row r="130" spans="1:4" ht="30" x14ac:dyDescent="0.25">
      <c r="A130" s="6" t="s">
        <v>444</v>
      </c>
      <c r="B130" s="152">
        <f>($B$128)/$B$108</f>
        <v>0</v>
      </c>
      <c r="C130" s="53" t="s">
        <v>418</v>
      </c>
      <c r="D130" s="1"/>
    </row>
    <row r="131" spans="1:4" x14ac:dyDescent="0.25">
      <c r="A131" s="6" t="s">
        <v>445</v>
      </c>
      <c r="B131" s="152">
        <f>$B$129/$B$108</f>
        <v>0</v>
      </c>
      <c r="C131" s="53"/>
      <c r="D131" s="1"/>
    </row>
    <row r="132" spans="1:4" x14ac:dyDescent="0.25">
      <c r="A132" s="6" t="s">
        <v>440</v>
      </c>
      <c r="B132" s="152">
        <f>B130+B131</f>
        <v>0</v>
      </c>
      <c r="C132" s="53"/>
      <c r="D132" s="1"/>
    </row>
    <row r="133" spans="1:4" x14ac:dyDescent="0.25">
      <c r="A133" s="6" t="s">
        <v>400</v>
      </c>
      <c r="B133" s="152">
        <f>$B$126*$B$122*$B$127</f>
        <v>7.0125000000000002</v>
      </c>
      <c r="C133" s="1" t="s">
        <v>401</v>
      </c>
      <c r="D133" s="1" t="s">
        <v>446</v>
      </c>
    </row>
    <row r="134" spans="1:4" x14ac:dyDescent="0.25">
      <c r="A134" s="55"/>
      <c r="C134" s="28"/>
    </row>
    <row r="135" spans="1:4" ht="18.75" x14ac:dyDescent="0.3">
      <c r="A135" s="116" t="s">
        <v>447</v>
      </c>
      <c r="B135" s="116"/>
      <c r="C135" s="116"/>
    </row>
    <row r="137" spans="1:4" x14ac:dyDescent="0.25">
      <c r="A137" s="62" t="s">
        <v>375</v>
      </c>
      <c r="B137" s="304" t="s">
        <v>376</v>
      </c>
      <c r="C137" s="295" t="s">
        <v>377</v>
      </c>
      <c r="D137" s="62" t="s">
        <v>378</v>
      </c>
    </row>
    <row r="138" spans="1:4" x14ac:dyDescent="0.25">
      <c r="A138" s="1" t="s">
        <v>448</v>
      </c>
      <c r="B138" s="2"/>
      <c r="C138" s="1"/>
      <c r="D138" s="1"/>
    </row>
    <row r="139" spans="1:4" x14ac:dyDescent="0.25">
      <c r="A139" s="1" t="s">
        <v>420</v>
      </c>
      <c r="B139" s="90" t="s">
        <v>421</v>
      </c>
      <c r="C139" s="1" t="s">
        <v>421</v>
      </c>
      <c r="D139" s="30" t="s">
        <v>422</v>
      </c>
    </row>
    <row r="140" spans="1:4" x14ac:dyDescent="0.25">
      <c r="A140" s="1" t="s">
        <v>423</v>
      </c>
      <c r="B140" s="90">
        <v>1</v>
      </c>
      <c r="C140" s="1"/>
      <c r="D140" s="1"/>
    </row>
    <row r="141" spans="1:4" x14ac:dyDescent="0.25">
      <c r="A141" s="2" t="s">
        <v>384</v>
      </c>
      <c r="B141" s="90">
        <v>99</v>
      </c>
      <c r="C141" s="1"/>
      <c r="D141" s="1"/>
    </row>
    <row r="142" spans="1:4" ht="30" x14ac:dyDescent="0.25">
      <c r="A142" s="2" t="s">
        <v>385</v>
      </c>
      <c r="B142" s="90">
        <v>0.51</v>
      </c>
      <c r="C142" s="53" t="s">
        <v>386</v>
      </c>
      <c r="D142" s="1"/>
    </row>
    <row r="143" spans="1:4" ht="45" x14ac:dyDescent="0.25">
      <c r="A143" s="1" t="s">
        <v>387</v>
      </c>
      <c r="B143" s="90">
        <v>0.25</v>
      </c>
      <c r="C143" s="53" t="s">
        <v>388</v>
      </c>
      <c r="D143" s="1"/>
    </row>
    <row r="144" spans="1:4" x14ac:dyDescent="0.25">
      <c r="A144" s="1" t="s">
        <v>408</v>
      </c>
      <c r="B144" s="90">
        <v>500</v>
      </c>
      <c r="C144" s="1"/>
      <c r="D144" s="1"/>
    </row>
    <row r="145" spans="1:4" x14ac:dyDescent="0.25">
      <c r="A145" s="1" t="s">
        <v>435</v>
      </c>
      <c r="B145" s="152">
        <f>IF(Input!$C$53="Recycled_concrete_aggregate",Input!$B$53,0)</f>
        <v>0</v>
      </c>
      <c r="C145" s="1"/>
      <c r="D145" s="1"/>
    </row>
    <row r="146" spans="1:4" x14ac:dyDescent="0.25">
      <c r="A146" s="1" t="s">
        <v>436</v>
      </c>
      <c r="B146" s="152">
        <f>IF(Input!$C$54="Recycled_concrete_aggregate",Input!$B$54,0)</f>
        <v>0</v>
      </c>
      <c r="C146" s="1"/>
      <c r="D146" s="1"/>
    </row>
    <row r="147" spans="1:4" ht="30" x14ac:dyDescent="0.25">
      <c r="A147" s="6" t="s">
        <v>437</v>
      </c>
      <c r="B147" s="152">
        <f>($B$145)/$B$108</f>
        <v>0</v>
      </c>
      <c r="C147" s="53" t="s">
        <v>418</v>
      </c>
      <c r="D147" s="1"/>
    </row>
    <row r="148" spans="1:4" x14ac:dyDescent="0.25">
      <c r="A148" s="6" t="s">
        <v>439</v>
      </c>
      <c r="B148" s="152">
        <f>$B$146/$B$108</f>
        <v>0</v>
      </c>
      <c r="C148" s="1"/>
      <c r="D148" s="1"/>
    </row>
    <row r="149" spans="1:4" x14ac:dyDescent="0.25">
      <c r="A149" s="1" t="s">
        <v>449</v>
      </c>
      <c r="B149" s="152">
        <f>B147+B148</f>
        <v>0</v>
      </c>
      <c r="C149" s="1"/>
      <c r="D149" s="1"/>
    </row>
    <row r="150" spans="1:4" x14ac:dyDescent="0.25">
      <c r="A150" s="6" t="s">
        <v>400</v>
      </c>
      <c r="B150" s="152">
        <f>$B$141*$B$142*$B$143</f>
        <v>12.6225</v>
      </c>
      <c r="C150" s="1" t="s">
        <v>401</v>
      </c>
      <c r="D150" s="1" t="s">
        <v>402</v>
      </c>
    </row>
    <row r="153" spans="1:4" ht="21" x14ac:dyDescent="0.35">
      <c r="A153" s="99" t="s">
        <v>450</v>
      </c>
    </row>
    <row r="154" spans="1:4" ht="18.75" x14ac:dyDescent="0.3">
      <c r="A154" s="77"/>
    </row>
    <row r="155" spans="1:4" x14ac:dyDescent="0.25">
      <c r="A155" t="s">
        <v>451</v>
      </c>
    </row>
    <row r="157" spans="1:4" x14ac:dyDescent="0.25">
      <c r="A157" s="306" t="s">
        <v>452</v>
      </c>
      <c r="B157" s="302" t="s">
        <v>453</v>
      </c>
      <c r="C157" s="102" t="s">
        <v>454</v>
      </c>
      <c r="D157" s="62" t="s">
        <v>400</v>
      </c>
    </row>
    <row r="158" spans="1:4" x14ac:dyDescent="0.25">
      <c r="A158" s="1" t="s">
        <v>455</v>
      </c>
      <c r="B158" s="152">
        <v>0</v>
      </c>
      <c r="C158" s="152">
        <v>0</v>
      </c>
      <c r="D158" s="154">
        <v>0</v>
      </c>
    </row>
    <row r="159" spans="1:4" x14ac:dyDescent="0.25">
      <c r="A159" s="1" t="s">
        <v>358</v>
      </c>
      <c r="B159" s="152">
        <f>$B$53</f>
        <v>1.0250000000000001E-3</v>
      </c>
      <c r="C159" s="152">
        <f>$B$50</f>
        <v>200</v>
      </c>
      <c r="D159" s="154">
        <f>$B$54</f>
        <v>25.5</v>
      </c>
    </row>
    <row r="160" spans="1:4" x14ac:dyDescent="0.25">
      <c r="A160" s="1" t="s">
        <v>456</v>
      </c>
      <c r="B160" s="152">
        <v>0</v>
      </c>
      <c r="C160" s="152">
        <v>0</v>
      </c>
      <c r="D160" s="154">
        <v>0</v>
      </c>
    </row>
    <row r="161" spans="1:4" x14ac:dyDescent="0.25">
      <c r="A161" s="1" t="s">
        <v>367</v>
      </c>
      <c r="B161" s="152">
        <f>$B$115</f>
        <v>0</v>
      </c>
      <c r="C161" s="152">
        <f>$B$109</f>
        <v>200</v>
      </c>
      <c r="D161" s="154">
        <f>$B$116</f>
        <v>25.5</v>
      </c>
    </row>
    <row r="162" spans="1:4" x14ac:dyDescent="0.25">
      <c r="A162" s="1" t="s">
        <v>457</v>
      </c>
      <c r="B162" s="152">
        <v>0</v>
      </c>
      <c r="C162" s="152">
        <v>0</v>
      </c>
      <c r="D162" s="154">
        <v>0</v>
      </c>
    </row>
    <row r="163" spans="1:4" x14ac:dyDescent="0.25">
      <c r="A163" s="1" t="s">
        <v>362</v>
      </c>
      <c r="B163" s="152">
        <f>$B$66</f>
        <v>1.0250000000000001E-3</v>
      </c>
      <c r="C163" s="152">
        <f>$B$64</f>
        <v>55</v>
      </c>
      <c r="D163" s="154">
        <f>$B$67</f>
        <v>7.0125000000000002</v>
      </c>
    </row>
    <row r="164" spans="1:4" x14ac:dyDescent="0.25">
      <c r="A164" s="1" t="s">
        <v>458</v>
      </c>
      <c r="B164" s="152">
        <v>0</v>
      </c>
      <c r="C164" s="152">
        <v>0</v>
      </c>
      <c r="D164" s="154">
        <v>0</v>
      </c>
    </row>
    <row r="165" spans="1:4" x14ac:dyDescent="0.25">
      <c r="A165" s="1" t="s">
        <v>369</v>
      </c>
      <c r="B165" s="152">
        <f>$B$132</f>
        <v>0</v>
      </c>
      <c r="C165" s="152">
        <f>$B$126</f>
        <v>55</v>
      </c>
      <c r="D165" s="154">
        <f>$B$133</f>
        <v>7.0125000000000002</v>
      </c>
    </row>
    <row r="166" spans="1:4" x14ac:dyDescent="0.25">
      <c r="A166" s="1" t="s">
        <v>459</v>
      </c>
      <c r="B166" s="152">
        <v>0</v>
      </c>
      <c r="C166" s="152">
        <v>0</v>
      </c>
      <c r="D166" s="154">
        <v>0</v>
      </c>
    </row>
    <row r="167" spans="1:4" x14ac:dyDescent="0.25">
      <c r="A167" s="1" t="s">
        <v>364</v>
      </c>
      <c r="B167" s="152">
        <f>$B$79</f>
        <v>1.0250000000000001E-3</v>
      </c>
      <c r="C167" s="152">
        <f>$B$74</f>
        <v>99</v>
      </c>
      <c r="D167" s="154">
        <f>B80</f>
        <v>12.6225</v>
      </c>
    </row>
    <row r="168" spans="1:4" x14ac:dyDescent="0.25">
      <c r="A168" s="1" t="s">
        <v>460</v>
      </c>
      <c r="B168" s="152">
        <v>0</v>
      </c>
      <c r="C168" s="152">
        <v>0</v>
      </c>
      <c r="D168" s="154">
        <v>0</v>
      </c>
    </row>
    <row r="169" spans="1:4" x14ac:dyDescent="0.25">
      <c r="A169" s="1" t="s">
        <v>370</v>
      </c>
      <c r="B169" s="152">
        <f>$B$149</f>
        <v>0</v>
      </c>
      <c r="C169" s="152">
        <f>$B$141</f>
        <v>99</v>
      </c>
      <c r="D169" s="154">
        <f>B150</f>
        <v>12.6225</v>
      </c>
    </row>
    <row r="170" spans="1:4" x14ac:dyDescent="0.25">
      <c r="A170" s="1" t="s">
        <v>461</v>
      </c>
      <c r="B170" s="152">
        <v>0</v>
      </c>
      <c r="C170" s="152">
        <f>$B$32</f>
        <v>263.2</v>
      </c>
      <c r="D170" s="154">
        <v>0</v>
      </c>
    </row>
    <row r="171" spans="1:4" x14ac:dyDescent="0.25">
      <c r="A171" s="1" t="s">
        <v>360</v>
      </c>
      <c r="B171" s="152">
        <f>$B$40</f>
        <v>2.5883838383838382E-4</v>
      </c>
      <c r="C171" s="152">
        <f>$B$32</f>
        <v>263.2</v>
      </c>
      <c r="D171" s="154">
        <f>$B$41</f>
        <v>33.558</v>
      </c>
    </row>
    <row r="172" spans="1:4" x14ac:dyDescent="0.25">
      <c r="A172" s="1" t="s">
        <v>368</v>
      </c>
      <c r="B172" s="152">
        <f>$B$98</f>
        <v>0</v>
      </c>
      <c r="C172" s="152">
        <f>$B$88</f>
        <v>263.2</v>
      </c>
      <c r="D172" s="154">
        <f>$B$99</f>
        <v>33.558</v>
      </c>
    </row>
    <row r="175" spans="1:4" ht="24" x14ac:dyDescent="0.4">
      <c r="A175" s="100" t="s">
        <v>462</v>
      </c>
    </row>
    <row r="176" spans="1:4" ht="24" x14ac:dyDescent="0.4">
      <c r="A176" s="100"/>
    </row>
    <row r="177" spans="1:26" ht="72" customHeight="1" x14ac:dyDescent="0.25">
      <c r="A177" s="302" t="s">
        <v>463</v>
      </c>
      <c r="B177" s="300" t="s">
        <v>464</v>
      </c>
      <c r="C177" s="302" t="s">
        <v>465</v>
      </c>
      <c r="D177" s="302" t="s">
        <v>466</v>
      </c>
      <c r="E177" s="302" t="s">
        <v>453</v>
      </c>
      <c r="F177" s="103" t="s">
        <v>454</v>
      </c>
      <c r="G177" s="104" t="s">
        <v>400</v>
      </c>
      <c r="H177" s="103" t="s">
        <v>303</v>
      </c>
      <c r="I177" s="103" t="s">
        <v>304</v>
      </c>
      <c r="J177" s="103" t="s">
        <v>305</v>
      </c>
      <c r="K177" s="103" t="s">
        <v>306</v>
      </c>
      <c r="L177" s="103" t="s">
        <v>307</v>
      </c>
      <c r="M177" s="103" t="s">
        <v>308</v>
      </c>
      <c r="N177" s="103" t="s">
        <v>309</v>
      </c>
      <c r="O177" s="103" t="s">
        <v>310</v>
      </c>
      <c r="P177" s="103" t="s">
        <v>311</v>
      </c>
      <c r="Q177" s="103" t="s">
        <v>312</v>
      </c>
      <c r="R177" s="103" t="s">
        <v>313</v>
      </c>
      <c r="S177" s="103" t="s">
        <v>314</v>
      </c>
      <c r="T177" s="103" t="s">
        <v>315</v>
      </c>
      <c r="U177" s="103" t="s">
        <v>316</v>
      </c>
      <c r="V177" s="103" t="s">
        <v>317</v>
      </c>
      <c r="W177" s="103" t="s">
        <v>318</v>
      </c>
      <c r="X177" s="103" t="s">
        <v>319</v>
      </c>
      <c r="Y177" s="103" t="s">
        <v>320</v>
      </c>
      <c r="Z177" s="103" t="s">
        <v>321</v>
      </c>
    </row>
    <row r="178" spans="1:26" ht="25.5" customHeight="1" x14ac:dyDescent="0.25">
      <c r="A178" s="52" t="s">
        <v>467</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25">
      <c r="A179" s="1" t="s">
        <v>468</v>
      </c>
      <c r="B179" s="152" t="str">
        <f>$B$7</f>
        <v>Mobile_jaw_crusher_400tph_RAP</v>
      </c>
      <c r="C179" s="188">
        <f>$B$48</f>
        <v>1</v>
      </c>
      <c r="D179" s="154" t="str">
        <f>'C3'' - Secondary Raw Material '!$C$7</f>
        <v>Diesel</v>
      </c>
      <c r="E179" s="154">
        <f>INDEX($B$158:$B$172,MATCH($B$179,$A$158:$A$172,0))</f>
        <v>1.0250000000000001E-3</v>
      </c>
      <c r="F179" s="154">
        <f>INDEX($C$158:$C$172,MATCH($B$179,$A$158:$A$172,0))</f>
        <v>200</v>
      </c>
      <c r="G179" s="174">
        <f>INDEX($D$158:$D$172,MATCH($B$179,$A$158:$A$172,0))</f>
        <v>25.5</v>
      </c>
      <c r="H179" s="154" cm="1">
        <f t="array" ref="H179">INDEX(LCI!H$2:H$137,MATCH($A$178&amp;$D179,LCI!$B$2:$B$137&amp;LCI!$D$2:$D$137,0))*IF(OR($D179="Electric", $D179="Electric_green"), ($F179*$E179)*$B$20, $G179*$E179)*$C179</f>
        <v>1.3862143315745133E-4</v>
      </c>
      <c r="I179" s="154" cm="1">
        <f t="array" ref="I179">INDEX(LCI!I$2:I$137,MATCH($A$178&amp;$D179,LCI!$B$2:$B$137&amp;LCI!$D$2:$D$137,0))*IF(OR($D179="Electric", $D179="Electric_green"), ($F179*$E179)*$B$20, $G179*$E179)*$C179</f>
        <v>0.10842614099428391</v>
      </c>
      <c r="J179" s="154" cm="1">
        <f t="array" ref="J179">INDEX(LCI!J$2:J$137,MATCH($A$178&amp;$D179,LCI!$B$2:$B$137&amp;LCI!$D$2:$D$137,0))*IF(OR($D179="Electric", $D179="Electric_green"), ($F179*$E179)*$B$20, $G179*$E179)*$C179</f>
        <v>2.2408933132631484E-5</v>
      </c>
      <c r="K179" s="154" cm="1">
        <f t="array" ref="K179">INDEX(LCI!K$2:K$137,MATCH($A$178&amp;$D179,LCI!$B$2:$B$137&amp;LCI!$D$2:$D$137,0))*IF(OR($D179="Electric", $D179="Electric_green"), ($F179*$E179)*$B$20, $G179*$E179)*$C179</f>
        <v>0.1083989371739318</v>
      </c>
      <c r="L179" s="154" cm="1">
        <f t="array" ref="L179">INDEX(LCI!L$2:L$137,MATCH($A$178&amp;$D179,LCI!$B$2:$B$137&amp;LCI!$D$2:$D$137,0))*IF(OR($D179="Electric", $D179="Electric_green"), ($F179*$E179)*$B$20, $G179*$E179)*$C179</f>
        <v>4.7948872194794206E-6</v>
      </c>
      <c r="M179" s="154" cm="1">
        <f t="array" ref="M179">INDEX(LCI!M$2:M$137,MATCH($A$178&amp;$D179,LCI!$B$2:$B$137&amp;LCI!$D$2:$D$137,0))*IF(OR($D179="Electric", $D179="Electric_green"), ($F179*$E179)*$B$20, $G179*$E179)*$C179</f>
        <v>4.7905989732741024E-2</v>
      </c>
      <c r="N179" s="154" cm="1">
        <f t="array" ref="N179">INDEX(LCI!N$2:N$137,MATCH($A$178&amp;$D179,LCI!$B$2:$B$137&amp;LCI!$D$2:$D$137,0))*IF(OR($D179="Electric", $D179="Electric_green"), ($F179*$E179)*$B$20, $G179*$E179)*$C179</f>
        <v>1.4401889896186901</v>
      </c>
      <c r="O179" s="154" cm="1">
        <f t="array" ref="O179">INDEX(LCI!O$2:O$137,MATCH($A$178&amp;$D179,LCI!$B$2:$B$137&amp;LCI!$D$2:$D$137,0))*IF(OR($D179="Electric", $D179="Electric_green"), ($F179*$E179)*$B$20, $G179*$E179)*$C179</f>
        <v>1.1462108569060211E-6</v>
      </c>
      <c r="P179" s="154" cm="1">
        <f t="array" ref="P179">INDEX(LCI!P$2:P$137,MATCH($A$178&amp;$D179,LCI!$B$2:$B$137&amp;LCI!$D$2:$D$137,0))*IF(OR($D179="Electric", $D179="Electric_green"), ($F179*$E179)*$B$20, $G179*$E179)*$C179</f>
        <v>3.1346822364542384E-5</v>
      </c>
      <c r="Q179" s="154" cm="1">
        <f t="array" ref="Q179">INDEX(LCI!Q$2:Q$137,MATCH($A$178&amp;$D179,LCI!$B$2:$B$137&amp;LCI!$D$2:$D$137,0))*IF(OR($D179="Electric", $D179="Electric_green"), ($F179*$E179)*$B$20, $G179*$E179)*$C179</f>
        <v>3.4077858600591087E-4</v>
      </c>
      <c r="R179" s="154" cm="1">
        <f t="array" ref="R179">INDEX(LCI!R$2:R$137,MATCH($A$178&amp;$D179,LCI!$B$2:$B$137&amp;LCI!$D$2:$D$137,0))*IF(OR($D179="Electric", $D179="Electric_green"), ($F179*$E179)*$B$20, $G179*$E179)*$C179</f>
        <v>6.625979555517523E-12</v>
      </c>
      <c r="S179" s="154" cm="1">
        <f t="array" ref="S179">INDEX(LCI!S$2:S$137,MATCH($A$178&amp;$D179,LCI!$B$2:$B$137&amp;LCI!$D$2:$D$137,0))*IF(OR($D179="Electric", $D179="Electric_green"), ($F179*$E179)*$B$20, $G179*$E179)*$C179</f>
        <v>1.7660939663598372E-10</v>
      </c>
      <c r="T179" s="154" cm="1">
        <f t="array" ref="T179">INDEX(LCI!T$2:T$137,MATCH($A$178&amp;$D179,LCI!$B$2:$B$137&amp;LCI!$D$2:$D$137,0))*IF(OR($D179="Electric", $D179="Electric_green"), ($F179*$E179)*$B$20, $G179*$E179)*$C179</f>
        <v>4.3242868294578906E-4</v>
      </c>
      <c r="U179" s="154" cm="1">
        <f t="array" ref="U179">INDEX(LCI!U$2:U$137,MATCH($A$178&amp;$D179,LCI!$B$2:$B$137&amp;LCI!$D$2:$D$137,0))*IF(OR($D179="Electric", $D179="Electric_green"), ($F179*$E179)*$B$20, $G179*$E179)*$C179</f>
        <v>7.4046493957752368E-2</v>
      </c>
      <c r="V179" s="154" cm="1">
        <f t="array" ref="V179">INDEX(LCI!V$2:V$137,MATCH($A$178&amp;$D179,LCI!$B$2:$B$137&amp;LCI!$D$2:$D$137,0))*IF(OR($D179="Electric", $D179="Electric_green"), ($F179*$E179)*$B$20, $G179*$E179)*$C179</f>
        <v>1.6907094417441461E-8</v>
      </c>
      <c r="W179" s="154" cm="1">
        <f t="array" ref="W179">INDEX(LCI!W$2:W$137,MATCH($A$178&amp;$D179,LCI!$B$2:$B$137&amp;LCI!$D$2:$D$137,0))*IF(OR($D179="Electric", $D179="Electric_green"), ($F179*$E179)*$B$20, $G179*$E179)*$C179</f>
        <v>2.4433416227755381E-9</v>
      </c>
      <c r="X179" s="154" cm="1">
        <f t="array" ref="X179">INDEX(LCI!X$2:X$137,MATCH($A$178&amp;$D179,LCI!$B$2:$B$137&amp;LCI!$D$2:$D$137,0))*IF(OR($D179="Electric", $D179="Electric_green"), ($F179*$E179)*$B$20, $G179*$E179)*$C179</f>
        <v>1.0679172504099031E-9</v>
      </c>
      <c r="Y179" s="154" cm="1">
        <f t="array" ref="Y179">INDEX(LCI!Y$2:Y$137,MATCH($A$178&amp;$D179,LCI!$B$2:$B$137&amp;LCI!$D$2:$D$137,0))*IF(OR($D179="Electric", $D179="Electric_green"), ($F179*$E179)*$B$20, $G179*$E179)*$C179</f>
        <v>2.6706839654366918E-4</v>
      </c>
      <c r="Z179" s="154" cm="1">
        <f t="array" ref="Z179">INDEX(LCI!Z$2:Z$137,MATCH($A$178&amp;$D179,LCI!$B$2:$B$137&amp;LCI!$D$2:$D$137,0))*IF(OR($D179="Electric", $D179="Electric_green"), ($F179*$E179)*$B$20, $G179*$E179)*$C179</f>
        <v>1.9491867682726704E-3</v>
      </c>
    </row>
    <row r="180" spans="1:26" s="11" customFormat="1" x14ac:dyDescent="0.25">
      <c r="A180" s="13" t="s">
        <v>469</v>
      </c>
      <c r="B180" s="160" t="str">
        <f>'C3'' - Secondary Raw Material '!$B$8</f>
        <v>Wheel_loader_338tph_Komatsu_WA500_RAP</v>
      </c>
      <c r="C180" s="189">
        <f>$B$31</f>
        <v>1</v>
      </c>
      <c r="D180" s="154" t="str">
        <f>'C3'' - Secondary Raw Material '!$C$8</f>
        <v>Diesel</v>
      </c>
      <c r="E180" s="154">
        <f>INDEX($B$158:$B$172,MATCH($B$180,$A$158:$A$172,0))</f>
        <v>2.5883838383838382E-4</v>
      </c>
      <c r="F180" s="154">
        <f>INDEX($C$158:$C$172,MATCH($B$180,$A$158:$A$172,0))</f>
        <v>263.2</v>
      </c>
      <c r="G180" s="174">
        <f>INDEX($D$158:$D$172,MATCH($B$180,$A$158:$A$172,0))</f>
        <v>33.558</v>
      </c>
      <c r="H180" s="154" cm="1">
        <f t="array" ref="H180">INDEX(LCI!H$2:H$137,MATCH($A$178&amp;$D180,LCI!$B$2:$B$137&amp;LCI!$D$2:$D$137,0))*IF(OR($D180="Electric", $D180="Electric_green"), ($F180*$E180)*$B$20, $G180*$E180)*$C180</f>
        <v>4.6067122736163109E-5</v>
      </c>
      <c r="I180" s="154" cm="1">
        <f t="array" ref="I180">INDEX(LCI!I$2:I$137,MATCH($A$178&amp;$D180,LCI!$B$2:$B$137&amp;LCI!$D$2:$D$137,0))*IF(OR($D180="Electric", $D180="Electric_green"), ($F180*$E180)*$B$20, $G180*$E180)*$C180</f>
        <v>3.6032525643554955E-2</v>
      </c>
      <c r="J180" s="154" cm="1">
        <f t="array" ref="J180">INDEX(LCI!J$2:J$137,MATCH($A$178&amp;$D180,LCI!$B$2:$B$137&amp;LCI!$D$2:$D$137,0))*IF(OR($D180="Electric", $D180="Electric_green"), ($F180*$E180)*$B$20, $G180*$E180)*$C180</f>
        <v>7.4470090915512703E-6</v>
      </c>
      <c r="K180" s="154" cm="1">
        <f t="array" ref="K180">INDEX(LCI!K$2:K$137,MATCH($A$178&amp;$D180,LCI!$B$2:$B$137&amp;LCI!$D$2:$D$137,0))*IF(OR($D180="Electric", $D180="Electric_green"), ($F180*$E180)*$B$20, $G180*$E180)*$C180</f>
        <v>3.6023485182043999E-2</v>
      </c>
      <c r="L180" s="154" cm="1">
        <f t="array" ref="L180">INDEX(LCI!L$2:L$137,MATCH($A$178&amp;$D180,LCI!$B$2:$B$137&amp;LCI!$D$2:$D$137,0))*IF(OR($D180="Electric", $D180="Electric_green"), ($F180*$E180)*$B$20, $G180*$E180)*$C180</f>
        <v>1.5934524194027567E-6</v>
      </c>
      <c r="M180" s="154" cm="1">
        <f t="array" ref="M180">INDEX(LCI!M$2:M$137,MATCH($A$178&amp;$D180,LCI!$B$2:$B$137&amp;LCI!$D$2:$D$137,0))*IF(OR($D180="Electric", $D180="Electric_green"), ($F180*$E180)*$B$20, $G180*$E180)*$C180</f>
        <v>1.5920273355628074E-2</v>
      </c>
      <c r="N180" s="154" cm="1">
        <f t="array" ref="N180">INDEX(LCI!N$2:N$137,MATCH($A$178&amp;$D180,LCI!$B$2:$B$137&amp;LCI!$D$2:$D$137,0))*IF(OR($D180="Electric", $D180="Electric_green"), ($F180*$E180)*$B$20, $G180*$E180)*$C180</f>
        <v>0.47860826018641311</v>
      </c>
      <c r="O180" s="154" cm="1">
        <f t="array" ref="O180">INDEX(LCI!O$2:O$137,MATCH($A$178&amp;$D180,LCI!$B$2:$B$137&amp;LCI!$D$2:$D$137,0))*IF(OR($D180="Electric", $D180="Electric_green"), ($F180*$E180)*$B$20, $G180*$E180)*$C180</f>
        <v>3.8091249689099077E-7</v>
      </c>
      <c r="P180" s="154" cm="1">
        <f t="array" ref="P180">INDEX(LCI!P$2:P$137,MATCH($A$178&amp;$D180,LCI!$B$2:$B$137&amp;LCI!$D$2:$D$137,0))*IF(OR($D180="Electric", $D180="Electric_green"), ($F180*$E180)*$B$20, $G180*$E180)*$C180</f>
        <v>1.0417277331246911E-5</v>
      </c>
      <c r="Q180" s="154" cm="1">
        <f t="array" ref="Q180">INDEX(LCI!Q$2:Q$137,MATCH($A$178&amp;$D180,LCI!$B$2:$B$137&amp;LCI!$D$2:$D$137,0))*IF(OR($D180="Electric", $D180="Electric_green"), ($F180*$E180)*$B$20, $G180*$E180)*$C180</f>
        <v>1.1324864120802491E-4</v>
      </c>
      <c r="R180" s="154" cm="1">
        <f t="array" ref="R180">INDEX(LCI!R$2:R$137,MATCH($A$178&amp;$D180,LCI!$B$2:$B$137&amp;LCI!$D$2:$D$137,0))*IF(OR($D180="Electric", $D180="Electric_green"), ($F180*$E180)*$B$20, $G180*$E180)*$C180</f>
        <v>2.2019669431972372E-12</v>
      </c>
      <c r="S180" s="154" cm="1">
        <f t="array" ref="S180">INDEX(LCI!S$2:S$137,MATCH($A$178&amp;$D180,LCI!$B$2:$B$137&amp;LCI!$D$2:$D$137,0))*IF(OR($D180="Electric", $D180="Electric_green"), ($F180*$E180)*$B$20, $G180*$E180)*$C180</f>
        <v>5.8691405548725895E-11</v>
      </c>
      <c r="T180" s="154" cm="1">
        <f t="array" ref="T180">INDEX(LCI!T$2:T$137,MATCH($A$178&amp;$D180,LCI!$B$2:$B$137&amp;LCI!$D$2:$D$137,0))*IF(OR($D180="Electric", $D180="Electric_green"), ($F180*$E180)*$B$20, $G180*$E180)*$C180</f>
        <v>1.4370609766582281E-4</v>
      </c>
      <c r="U180" s="154" cm="1">
        <f t="array" ref="U180">INDEX(LCI!U$2:U$137,MATCH($A$178&amp;$D180,LCI!$B$2:$B$137&amp;LCI!$D$2:$D$137,0))*IF(OR($D180="Electric", $D180="Electric_green"), ($F180*$E180)*$B$20, $G180*$E180)*$C180</f>
        <v>2.4607370214242953E-2</v>
      </c>
      <c r="V180" s="154" cm="1">
        <f t="array" ref="V180">INDEX(LCI!V$2:V$137,MATCH($A$178&amp;$D180,LCI!$B$2:$B$137&amp;LCI!$D$2:$D$137,0))*IF(OR($D180="Electric", $D180="Electric_green"), ($F180*$E180)*$B$20, $G180*$E180)*$C180</f>
        <v>5.6186202659982217E-9</v>
      </c>
      <c r="W180" s="154" cm="1">
        <f t="array" ref="W180">INDEX(LCI!W$2:W$137,MATCH($A$178&amp;$D180,LCI!$B$2:$B$137&amp;LCI!$D$2:$D$137,0))*IF(OR($D180="Electric", $D180="Electric_green"), ($F180*$E180)*$B$20, $G180*$E180)*$C180</f>
        <v>8.1197918575065856E-10</v>
      </c>
      <c r="X180" s="154" cm="1">
        <f t="array" ref="X180">INDEX(LCI!X$2:X$137,MATCH($A$178&amp;$D180,LCI!$B$2:$B$137&amp;LCI!$D$2:$D$137,0))*IF(OR($D180="Electric", $D180="Electric_green"), ($F180*$E180)*$B$20, $G180*$E180)*$C180</f>
        <v>3.548937125099576E-10</v>
      </c>
      <c r="Y180" s="154" cm="1">
        <f t="array" ref="Y180">INDEX(LCI!Y$2:Y$137,MATCH($A$178&amp;$D180,LCI!$B$2:$B$137&amp;LCI!$D$2:$D$137,0))*IF(OR($D180="Electric", $D180="Electric_green"), ($F180*$E180)*$B$20, $G180*$E180)*$C180</f>
        <v>8.8753032790774892E-5</v>
      </c>
      <c r="Z180" s="154" cm="1">
        <f t="array" ref="Z180">INDEX(LCI!Z$2:Z$137,MATCH($A$178&amp;$D180,LCI!$B$2:$B$137&amp;LCI!$D$2:$D$137,0))*IF(OR($D180="Electric", $D180="Electric_green"), ($F180*$E180)*$B$20, $G180*$E180)*$C180</f>
        <v>6.4776004723404897E-4</v>
      </c>
    </row>
    <row r="181" spans="1:26" x14ac:dyDescent="0.25">
      <c r="A181" s="1" t="s">
        <v>470</v>
      </c>
      <c r="B181" s="152" t="str">
        <f>'C3'' - Secondary Raw Material '!$B$9</f>
        <v>Tracked_stacker_500tph_RAP</v>
      </c>
      <c r="C181" s="188">
        <f>$B$31</f>
        <v>1</v>
      </c>
      <c r="D181" s="154" t="str">
        <f>'C3'' - Secondary Raw Material '!$C$9</f>
        <v>Diesel</v>
      </c>
      <c r="E181" s="154">
        <f>INDEX($B$158:$B$172,MATCH($B$181,$A$158:$A$172,0))</f>
        <v>1.0250000000000001E-3</v>
      </c>
      <c r="F181" s="154">
        <f>INDEX($C$158:$C$172,MATCH($B$181,$A$158:$A$172,0))</f>
        <v>55</v>
      </c>
      <c r="G181" s="174">
        <f>INDEX($D$158:$D$172,MATCH($B$181,$A$158:$A$172,0))</f>
        <v>7.0125000000000002</v>
      </c>
      <c r="H181" s="154" cm="1">
        <f t="array" ref="H181">INDEX(LCI!H$2:H$137,MATCH($A$178&amp;$D181,LCI!$B$2:$B$137&amp;LCI!$D$2:$D$137,0))*IF(OR($D181="Electric", $D181="Electric_green"), ($F181*$E181)*$B$20, $G181*$E181)*$C181</f>
        <v>3.8120894118299115E-5</v>
      </c>
      <c r="I181" s="154" cm="1">
        <f t="array" ref="I181">INDEX(LCI!I$2:I$137,MATCH($A$178&amp;$D181,LCI!$B$2:$B$137&amp;LCI!$D$2:$D$137,0))*IF(OR($D181="Electric", $D181="Electric_green"), ($F181*$E181)*$B$20, $G181*$E181)*$C181</f>
        <v>2.9817188773428076E-2</v>
      </c>
      <c r="J181" s="154" cm="1">
        <f t="array" ref="J181">INDEX(LCI!J$2:J$137,MATCH($A$178&amp;$D181,LCI!$B$2:$B$137&amp;LCI!$D$2:$D$137,0))*IF(OR($D181="Electric", $D181="Electric_green"), ($F181*$E181)*$B$20, $G181*$E181)*$C181</f>
        <v>6.1624566114736584E-6</v>
      </c>
      <c r="K181" s="154" cm="1">
        <f t="array" ref="K181">INDEX(LCI!K$2:K$137,MATCH($A$178&amp;$D181,LCI!$B$2:$B$137&amp;LCI!$D$2:$D$137,0))*IF(OR($D181="Electric", $D181="Electric_green"), ($F181*$E181)*$B$20, $G181*$E181)*$C181</f>
        <v>2.9809707722831248E-2</v>
      </c>
      <c r="L181" s="154" cm="1">
        <f t="array" ref="L181">INDEX(LCI!L$2:L$137,MATCH($A$178&amp;$D181,LCI!$B$2:$B$137&amp;LCI!$D$2:$D$137,0))*IF(OR($D181="Electric", $D181="Electric_green"), ($F181*$E181)*$B$20, $G181*$E181)*$C181</f>
        <v>1.3185939853568406E-6</v>
      </c>
      <c r="M181" s="154" cm="1">
        <f t="array" ref="M181">INDEX(LCI!M$2:M$137,MATCH($A$178&amp;$D181,LCI!$B$2:$B$137&amp;LCI!$D$2:$D$137,0))*IF(OR($D181="Electric", $D181="Electric_green"), ($F181*$E181)*$B$20, $G181*$E181)*$C181</f>
        <v>1.3174147176503783E-2</v>
      </c>
      <c r="N181" s="154" cm="1">
        <f t="array" ref="N181">INDEX(LCI!N$2:N$137,MATCH($A$178&amp;$D181,LCI!$B$2:$B$137&amp;LCI!$D$2:$D$137,0))*IF(OR($D181="Electric", $D181="Electric_green"), ($F181*$E181)*$B$20, $G181*$E181)*$C181</f>
        <v>0.39605197214513982</v>
      </c>
      <c r="O181" s="154" cm="1">
        <f t="array" ref="O181">INDEX(LCI!O$2:O$137,MATCH($A$178&amp;$D181,LCI!$B$2:$B$137&amp;LCI!$D$2:$D$137,0))*IF(OR($D181="Electric", $D181="Electric_green"), ($F181*$E181)*$B$20, $G181*$E181)*$C181</f>
        <v>3.152079856491558E-7</v>
      </c>
      <c r="P181" s="154" cm="1">
        <f t="array" ref="P181">INDEX(LCI!P$2:P$137,MATCH($A$178&amp;$D181,LCI!$B$2:$B$137&amp;LCI!$D$2:$D$137,0))*IF(OR($D181="Electric", $D181="Electric_green"), ($F181*$E181)*$B$20, $G181*$E181)*$C181</f>
        <v>8.6203761502491545E-6</v>
      </c>
      <c r="Q181" s="154" cm="1">
        <f t="array" ref="Q181">INDEX(LCI!Q$2:Q$137,MATCH($A$178&amp;$D181,LCI!$B$2:$B$137&amp;LCI!$D$2:$D$137,0))*IF(OR($D181="Electric", $D181="Electric_green"), ($F181*$E181)*$B$20, $G181*$E181)*$C181</f>
        <v>9.3714111151625492E-5</v>
      </c>
      <c r="R181" s="154" cm="1">
        <f t="array" ref="R181">INDEX(LCI!R$2:R$137,MATCH($A$178&amp;$D181,LCI!$B$2:$B$137&amp;LCI!$D$2:$D$137,0))*IF(OR($D181="Electric", $D181="Electric_green"), ($F181*$E181)*$B$20, $G181*$E181)*$C181</f>
        <v>1.8221443777673189E-12</v>
      </c>
      <c r="S181" s="154" cm="1">
        <f t="array" ref="S181">INDEX(LCI!S$2:S$137,MATCH($A$178&amp;$D181,LCI!$B$2:$B$137&amp;LCI!$D$2:$D$137,0))*IF(OR($D181="Electric", $D181="Electric_green"), ($F181*$E181)*$B$20, $G181*$E181)*$C181</f>
        <v>4.8567584074895525E-11</v>
      </c>
      <c r="T181" s="154" cm="1">
        <f t="array" ref="T181">INDEX(LCI!T$2:T$137,MATCH($A$178&amp;$D181,LCI!$B$2:$B$137&amp;LCI!$D$2:$D$137,0))*IF(OR($D181="Electric", $D181="Electric_green"), ($F181*$E181)*$B$20, $G181*$E181)*$C181</f>
        <v>1.18917887810092E-4</v>
      </c>
      <c r="U181" s="154" cm="1">
        <f t="array" ref="U181">INDEX(LCI!U$2:U$137,MATCH($A$178&amp;$D181,LCI!$B$2:$B$137&amp;LCI!$D$2:$D$137,0))*IF(OR($D181="Electric", $D181="Electric_green"), ($F181*$E181)*$B$20, $G181*$E181)*$C181</f>
        <v>2.03627858383819E-2</v>
      </c>
      <c r="V181" s="154" cm="1">
        <f t="array" ref="V181">INDEX(LCI!V$2:V$137,MATCH($A$178&amp;$D181,LCI!$B$2:$B$137&amp;LCI!$D$2:$D$137,0))*IF(OR($D181="Electric", $D181="Electric_green"), ($F181*$E181)*$B$20, $G181*$E181)*$C181</f>
        <v>4.6494509647964014E-9</v>
      </c>
      <c r="W181" s="154" cm="1">
        <f t="array" ref="W181">INDEX(LCI!W$2:W$137,MATCH($A$178&amp;$D181,LCI!$B$2:$B$137&amp;LCI!$D$2:$D$137,0))*IF(OR($D181="Electric", $D181="Electric_green"), ($F181*$E181)*$B$20, $G181*$E181)*$C181</f>
        <v>6.7191894626327307E-10</v>
      </c>
      <c r="X181" s="154" cm="1">
        <f t="array" ref="X181">INDEX(LCI!X$2:X$137,MATCH($A$178&amp;$D181,LCI!$B$2:$B$137&amp;LCI!$D$2:$D$137,0))*IF(OR($D181="Electric", $D181="Electric_green"), ($F181*$E181)*$B$20, $G181*$E181)*$C181</f>
        <v>2.9367724386272333E-10</v>
      </c>
      <c r="Y181" s="154" cm="1">
        <f t="array" ref="Y181">INDEX(LCI!Y$2:Y$137,MATCH($A$178&amp;$D181,LCI!$B$2:$B$137&amp;LCI!$D$2:$D$137,0))*IF(OR($D181="Electric", $D181="Electric_green"), ($F181*$E181)*$B$20, $G181*$E181)*$C181</f>
        <v>7.3443809049509023E-5</v>
      </c>
      <c r="Z181" s="154" cm="1">
        <f t="array" ref="Z181">INDEX(LCI!Z$2:Z$137,MATCH($A$178&amp;$D181,LCI!$B$2:$B$137&amp;LCI!$D$2:$D$137,0))*IF(OR($D181="Electric", $D181="Electric_green"), ($F181*$E181)*$B$20, $G181*$E181)*$C181</f>
        <v>5.3602636127498442E-4</v>
      </c>
    </row>
    <row r="182" spans="1:26" x14ac:dyDescent="0.25">
      <c r="A182" s="1" t="s">
        <v>363</v>
      </c>
      <c r="B182" s="152" t="str">
        <f>'C3'' - Secondary Raw Material '!$B$10</f>
        <v>Mobile_screener_500tph_RAP</v>
      </c>
      <c r="C182" s="188">
        <f>$B$73</f>
        <v>1</v>
      </c>
      <c r="D182" s="154" t="str">
        <f>'C3'' - Secondary Raw Material '!$C$10</f>
        <v>Diesel</v>
      </c>
      <c r="E182" s="154">
        <f>INDEX($B$158:$B$172,MATCH($B$182,$A$158:$A$172,0))</f>
        <v>1.0250000000000001E-3</v>
      </c>
      <c r="F182" s="154">
        <f>INDEX($C$158:$C$172,MATCH($B$182,$A$158:$A$172,0))</f>
        <v>99</v>
      </c>
      <c r="G182" s="174">
        <f>INDEX($D$158:$D$172,MATCH($B$182,$A$158:$A$172,0))</f>
        <v>12.6225</v>
      </c>
      <c r="H182" s="154" cm="1">
        <f t="array" ref="H182">INDEX(LCI!H$2:H$137,MATCH($A$178&amp;$D182,LCI!$B$2:$B$137&amp;LCI!$D$2:$D$137,0))*IF(OR($D182="Electric", $D182="Electric_green"), ($F182*$E182)*$B$20, $G182*$E182)*$C182</f>
        <v>6.8617609412938404E-5</v>
      </c>
      <c r="I182" s="154" cm="1">
        <f t="array" ref="I182">INDEX(LCI!I$2:I$137,MATCH($A$178&amp;$D182,LCI!$B$2:$B$137&amp;LCI!$D$2:$D$137,0))*IF(OR($D182="Electric", $D182="Electric_green"), ($F182*$E182)*$B$20, $G182*$E182)*$C182</f>
        <v>5.3670939792170538E-2</v>
      </c>
      <c r="J182" s="154" cm="1">
        <f t="array" ref="J182">INDEX(LCI!J$2:J$137,MATCH($A$178&amp;$D182,LCI!$B$2:$B$137&amp;LCI!$D$2:$D$137,0))*IF(OR($D182="Electric", $D182="Electric_green"), ($F182*$E182)*$B$20, $G182*$E182)*$C182</f>
        <v>1.1092421900652586E-5</v>
      </c>
      <c r="K182" s="154" cm="1">
        <f t="array" ref="K182">INDEX(LCI!K$2:K$137,MATCH($A$178&amp;$D182,LCI!$B$2:$B$137&amp;LCI!$D$2:$D$137,0))*IF(OR($D182="Electric", $D182="Electric_green"), ($F182*$E182)*$B$20, $G182*$E182)*$C182</f>
        <v>5.365747390109625E-2</v>
      </c>
      <c r="L182" s="154" cm="1">
        <f t="array" ref="L182">INDEX(LCI!L$2:L$137,MATCH($A$178&amp;$D182,LCI!$B$2:$B$137&amp;LCI!$D$2:$D$137,0))*IF(OR($D182="Electric", $D182="Electric_green"), ($F182*$E182)*$B$20, $G182*$E182)*$C182</f>
        <v>2.3734691736423132E-6</v>
      </c>
      <c r="M182" s="154" cm="1">
        <f t="array" ref="M182">INDEX(LCI!M$2:M$137,MATCH($A$178&amp;$D182,LCI!$B$2:$B$137&amp;LCI!$D$2:$D$137,0))*IF(OR($D182="Electric", $D182="Electric_green"), ($F182*$E182)*$B$20, $G182*$E182)*$C182</f>
        <v>2.371346491770681E-2</v>
      </c>
      <c r="N182" s="154" cm="1">
        <f t="array" ref="N182">INDEX(LCI!N$2:N$137,MATCH($A$178&amp;$D182,LCI!$B$2:$B$137&amp;LCI!$D$2:$D$137,0))*IF(OR($D182="Electric", $D182="Electric_green"), ($F182*$E182)*$B$20, $G182*$E182)*$C182</f>
        <v>0.71289354986125164</v>
      </c>
      <c r="O182" s="154" cm="1">
        <f t="array" ref="O182">INDEX(LCI!O$2:O$137,MATCH($A$178&amp;$D182,LCI!$B$2:$B$137&amp;LCI!$D$2:$D$137,0))*IF(OR($D182="Electric", $D182="Electric_green"), ($F182*$E182)*$B$20, $G182*$E182)*$C182</f>
        <v>5.6737437416848043E-7</v>
      </c>
      <c r="P182" s="154" cm="1">
        <f t="array" ref="P182">INDEX(LCI!P$2:P$137,MATCH($A$178&amp;$D182,LCI!$B$2:$B$137&amp;LCI!$D$2:$D$137,0))*IF(OR($D182="Electric", $D182="Electric_green"), ($F182*$E182)*$B$20, $G182*$E182)*$C182</f>
        <v>1.5516677070448479E-5</v>
      </c>
      <c r="Q182" s="154" cm="1">
        <f t="array" ref="Q182">INDEX(LCI!Q$2:Q$137,MATCH($A$178&amp;$D182,LCI!$B$2:$B$137&amp;LCI!$D$2:$D$137,0))*IF(OR($D182="Electric", $D182="Electric_green"), ($F182*$E182)*$B$20, $G182*$E182)*$C182</f>
        <v>1.6868540007292589E-4</v>
      </c>
      <c r="R182" s="154" cm="1">
        <f t="array" ref="R182">INDEX(LCI!R$2:R$137,MATCH($A$178&amp;$D182,LCI!$B$2:$B$137&amp;LCI!$D$2:$D$137,0))*IF(OR($D182="Electric", $D182="Electric_green"), ($F182*$E182)*$B$20, $G182*$E182)*$C182</f>
        <v>3.2798598799811743E-12</v>
      </c>
      <c r="S182" s="154" cm="1">
        <f t="array" ref="S182">INDEX(LCI!S$2:S$137,MATCH($A$178&amp;$D182,LCI!$B$2:$B$137&amp;LCI!$D$2:$D$137,0))*IF(OR($D182="Electric", $D182="Electric_green"), ($F182*$E182)*$B$20, $G182*$E182)*$C182</f>
        <v>8.7421651334811948E-11</v>
      </c>
      <c r="T182" s="154" cm="1">
        <f t="array" ref="T182">INDEX(LCI!T$2:T$137,MATCH($A$178&amp;$D182,LCI!$B$2:$B$137&amp;LCI!$D$2:$D$137,0))*IF(OR($D182="Electric", $D182="Electric_green"), ($F182*$E182)*$B$20, $G182*$E182)*$C182</f>
        <v>2.1405219805816563E-4</v>
      </c>
      <c r="U182" s="154" cm="1">
        <f t="array" ref="U182">INDEX(LCI!U$2:U$137,MATCH($A$178&amp;$D182,LCI!$B$2:$B$137&amp;LCI!$D$2:$D$137,0))*IF(OR($D182="Electric", $D182="Electric_green"), ($F182*$E182)*$B$20, $G182*$E182)*$C182</f>
        <v>3.6653014509087423E-2</v>
      </c>
      <c r="V182" s="154" cm="1">
        <f t="array" ref="V182">INDEX(LCI!V$2:V$137,MATCH($A$178&amp;$D182,LCI!$B$2:$B$137&amp;LCI!$D$2:$D$137,0))*IF(OR($D182="Electric", $D182="Electric_green"), ($F182*$E182)*$B$20, $G182*$E182)*$C182</f>
        <v>8.3690117366335239E-9</v>
      </c>
      <c r="W182" s="154" cm="1">
        <f t="array" ref="W182">INDEX(LCI!W$2:W$137,MATCH($A$178&amp;$D182,LCI!$B$2:$B$137&amp;LCI!$D$2:$D$137,0))*IF(OR($D182="Electric", $D182="Electric_green"), ($F182*$E182)*$B$20, $G182*$E182)*$C182</f>
        <v>1.2094541032738916E-9</v>
      </c>
      <c r="X182" s="154" cm="1">
        <f t="array" ref="X182">INDEX(LCI!X$2:X$137,MATCH($A$178&amp;$D182,LCI!$B$2:$B$137&amp;LCI!$D$2:$D$137,0))*IF(OR($D182="Electric", $D182="Electric_green"), ($F182*$E182)*$B$20, $G182*$E182)*$C182</f>
        <v>5.2861903895290199E-10</v>
      </c>
      <c r="Y182" s="154" cm="1">
        <f t="array" ref="Y182">INDEX(LCI!Y$2:Y$137,MATCH($A$178&amp;$D182,LCI!$B$2:$B$137&amp;LCI!$D$2:$D$137,0))*IF(OR($D182="Electric", $D182="Electric_green"), ($F182*$E182)*$B$20, $G182*$E182)*$C182</f>
        <v>1.3219885628911626E-4</v>
      </c>
      <c r="Z182" s="154" cm="1">
        <f t="array" ref="Z182">INDEX(LCI!Z$2:Z$137,MATCH($A$178&amp;$D182,LCI!$B$2:$B$137&amp;LCI!$D$2:$D$137,0))*IF(OR($D182="Electric", $D182="Electric_green"), ($F182*$E182)*$B$20, $G182*$E182)*$C182</f>
        <v>9.648474502949719E-4</v>
      </c>
    </row>
    <row r="183" spans="1:26" x14ac:dyDescent="0.25">
      <c r="A183" s="1" t="s">
        <v>220</v>
      </c>
      <c r="B183" s="1"/>
      <c r="C183" s="1"/>
      <c r="D183" s="1"/>
      <c r="E183" s="1"/>
      <c r="F183" s="1"/>
      <c r="G183" s="1"/>
      <c r="H183" s="1">
        <f t="shared" ref="H183:Z183" si="0">SUM(H179:H182)</f>
        <v>2.9142705942485195E-4</v>
      </c>
      <c r="I183" s="1">
        <f t="shared" si="0"/>
        <v>0.22794679520343747</v>
      </c>
      <c r="J183" s="1">
        <f t="shared" si="0"/>
        <v>4.7110820736309001E-5</v>
      </c>
      <c r="K183" s="1">
        <f t="shared" si="0"/>
        <v>0.22788960397990332</v>
      </c>
      <c r="L183" s="1">
        <f t="shared" si="0"/>
        <v>1.0080402797881333E-5</v>
      </c>
      <c r="M183" s="1">
        <f t="shared" si="0"/>
        <v>0.10071387518257968</v>
      </c>
      <c r="N183" s="1">
        <f t="shared" si="0"/>
        <v>3.0277427718114946</v>
      </c>
      <c r="O183" s="1">
        <f t="shared" si="0"/>
        <v>2.4097057136146485E-6</v>
      </c>
      <c r="P183" s="1">
        <f t="shared" si="0"/>
        <v>6.5901152916486919E-5</v>
      </c>
      <c r="Q183" s="1">
        <f t="shared" si="0"/>
        <v>7.1642673843848716E-4</v>
      </c>
      <c r="R183" s="1">
        <f t="shared" si="0"/>
        <v>1.3929950756463255E-11</v>
      </c>
      <c r="S183" s="1">
        <f t="shared" si="0"/>
        <v>3.7129003759441711E-10</v>
      </c>
      <c r="T183" s="1">
        <f t="shared" si="0"/>
        <v>9.0910486647986951E-4</v>
      </c>
      <c r="U183" s="1">
        <f t="shared" si="0"/>
        <v>0.15566966451946462</v>
      </c>
      <c r="V183" s="1">
        <f t="shared" si="0"/>
        <v>3.5544177384869613E-8</v>
      </c>
      <c r="W183" s="1">
        <f t="shared" si="0"/>
        <v>5.1366938580633615E-9</v>
      </c>
      <c r="X183" s="1">
        <f t="shared" si="0"/>
        <v>2.2451072457354859E-9</v>
      </c>
      <c r="Y183" s="1">
        <f t="shared" si="0"/>
        <v>5.6146409467306931E-4</v>
      </c>
      <c r="Z183" s="1">
        <f t="shared" si="0"/>
        <v>4.0978206270766756E-3</v>
      </c>
    </row>
    <row r="184" spans="1:26" x14ac:dyDescent="0.2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25">
      <c r="A186" s="47" t="s">
        <v>471</v>
      </c>
    </row>
    <row r="187" spans="1:26" x14ac:dyDescent="0.2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25">
      <c r="A188" s="13" t="s">
        <v>359</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25">
      <c r="A189" s="1" t="s">
        <v>361</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25">
      <c r="A190" s="1" t="s">
        <v>363</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25">
      <c r="A191" s="1" t="s">
        <v>220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4" x14ac:dyDescent="0.4">
      <c r="A194" s="228" t="s">
        <v>472</v>
      </c>
      <c r="B194"/>
      <c r="L194" s="3"/>
      <c r="M194" s="3"/>
      <c r="N194" s="3"/>
    </row>
    <row r="195" spans="1:14" x14ac:dyDescent="0.25">
      <c r="B195"/>
      <c r="L195" s="3"/>
      <c r="M195" s="3"/>
      <c r="N195" s="3"/>
    </row>
    <row r="196" spans="1:14" ht="15.75" x14ac:dyDescent="0.25">
      <c r="A196" s="81" t="s">
        <v>473</v>
      </c>
      <c r="B196" s="47"/>
      <c r="C196" s="29"/>
      <c r="L196" s="3"/>
      <c r="M196" s="3"/>
      <c r="N196" s="3"/>
    </row>
    <row r="197" spans="1:14" x14ac:dyDescent="0.25">
      <c r="A197" s="1" t="s">
        <v>474</v>
      </c>
      <c r="B197" s="22" t="s">
        <v>475</v>
      </c>
      <c r="C197" s="2" t="s">
        <v>475</v>
      </c>
      <c r="D197" s="1" t="s">
        <v>476</v>
      </c>
      <c r="L197" s="3"/>
      <c r="M197" s="3"/>
      <c r="N197" s="3"/>
    </row>
    <row r="198" spans="1:14" x14ac:dyDescent="0.25">
      <c r="A198" s="1" t="s">
        <v>477</v>
      </c>
      <c r="B198" s="119">
        <v>0.51</v>
      </c>
      <c r="C198" s="2"/>
      <c r="D198" s="1"/>
      <c r="L198" s="3"/>
      <c r="M198" s="3"/>
      <c r="N198" s="3"/>
    </row>
    <row r="199" spans="1:14" x14ac:dyDescent="0.25">
      <c r="A199" s="1" t="s">
        <v>384</v>
      </c>
      <c r="B199" s="119">
        <v>18.5</v>
      </c>
      <c r="C199" s="2"/>
      <c r="D199" s="1"/>
      <c r="L199" s="3"/>
      <c r="M199" s="3"/>
      <c r="N199" s="3"/>
    </row>
    <row r="200" spans="1:14" x14ac:dyDescent="0.25">
      <c r="A200" s="1" t="s">
        <v>387</v>
      </c>
      <c r="B200" s="119">
        <v>0.25</v>
      </c>
      <c r="C200" s="2"/>
      <c r="D200" s="1"/>
      <c r="L200" s="3"/>
      <c r="M200" s="3"/>
      <c r="N200" s="3"/>
    </row>
    <row r="201" spans="1:14" x14ac:dyDescent="0.25">
      <c r="A201" s="1" t="s">
        <v>396</v>
      </c>
      <c r="B201" s="119">
        <v>0.66</v>
      </c>
      <c r="C201" s="2"/>
      <c r="D201" s="1"/>
      <c r="L201" s="3"/>
      <c r="M201" s="3"/>
      <c r="N201" s="3"/>
    </row>
    <row r="202" spans="1:14" ht="45" x14ac:dyDescent="0.25">
      <c r="A202" s="143" t="s">
        <v>478</v>
      </c>
      <c r="B202" s="119">
        <v>0.37</v>
      </c>
      <c r="C202" s="144" t="s">
        <v>479</v>
      </c>
      <c r="D202" s="1"/>
      <c r="L202" s="3"/>
      <c r="M202" s="3"/>
      <c r="N202" s="3"/>
    </row>
    <row r="203" spans="1:14" x14ac:dyDescent="0.25">
      <c r="A203" s="69" t="s">
        <v>480</v>
      </c>
      <c r="B203" s="207">
        <v>0.75</v>
      </c>
      <c r="C203" s="2"/>
      <c r="D203" s="1"/>
      <c r="L203" s="3"/>
      <c r="M203" s="3"/>
      <c r="N203" s="3"/>
    </row>
    <row r="204" spans="1:14" x14ac:dyDescent="0.25">
      <c r="A204" s="69" t="s">
        <v>481</v>
      </c>
      <c r="B204" s="145">
        <v>23</v>
      </c>
      <c r="C204" s="2"/>
      <c r="D204" s="1"/>
      <c r="L204" s="3"/>
      <c r="M204" s="3"/>
      <c r="N204" s="3"/>
    </row>
    <row r="205" spans="1:14" x14ac:dyDescent="0.25">
      <c r="A205" s="69" t="s">
        <v>482</v>
      </c>
      <c r="B205" s="206">
        <f>3600/$B$204</f>
        <v>156.52173913043478</v>
      </c>
      <c r="C205" s="2"/>
      <c r="D205" s="1"/>
      <c r="L205" s="3"/>
      <c r="M205" s="3"/>
      <c r="N205" s="3"/>
    </row>
    <row r="206" spans="1:14" x14ac:dyDescent="0.25">
      <c r="A206" s="1" t="s">
        <v>483</v>
      </c>
      <c r="B206" s="208">
        <v>0.75</v>
      </c>
      <c r="C206" s="2"/>
      <c r="D206" s="1"/>
      <c r="L206" s="3"/>
      <c r="M206" s="3"/>
      <c r="N206" s="3"/>
    </row>
    <row r="207" spans="1:14" x14ac:dyDescent="0.25">
      <c r="A207" s="1" t="s">
        <v>484</v>
      </c>
      <c r="B207" s="197">
        <f>$B$202*$B$201*$B$203*$B$205*$B$206</f>
        <v>21.500217391304346</v>
      </c>
      <c r="C207" s="1" t="s">
        <v>485</v>
      </c>
      <c r="D207" s="1"/>
      <c r="L207" s="3"/>
      <c r="M207" s="3"/>
      <c r="N207" s="3"/>
    </row>
    <row r="208" spans="1:14" x14ac:dyDescent="0.25">
      <c r="A208" s="1" t="s">
        <v>400</v>
      </c>
      <c r="B208" s="154">
        <f>$B$199*$B$198*$B$200</f>
        <v>2.3587500000000001</v>
      </c>
      <c r="C208" s="39" t="s">
        <v>401</v>
      </c>
      <c r="D208" s="1"/>
      <c r="L208" s="3"/>
      <c r="M208" s="3"/>
      <c r="N208" s="3"/>
    </row>
    <row r="209" spans="1:14" x14ac:dyDescent="0.25">
      <c r="B209" s="95"/>
      <c r="L209" s="3"/>
      <c r="M209" s="3"/>
      <c r="N209" s="3"/>
    </row>
    <row r="210" spans="1:14" x14ac:dyDescent="0.25">
      <c r="B210"/>
      <c r="C210" s="95"/>
      <c r="L210" s="3"/>
      <c r="M210" s="3"/>
      <c r="N210" s="3"/>
    </row>
    <row r="211" spans="1:14" ht="15.75" x14ac:dyDescent="0.25">
      <c r="A211" s="81" t="s">
        <v>486</v>
      </c>
      <c r="B211"/>
      <c r="L211" s="3"/>
      <c r="M211" s="3"/>
      <c r="N211" s="3"/>
    </row>
    <row r="212" spans="1:14" x14ac:dyDescent="0.25">
      <c r="A212" s="1" t="s">
        <v>487</v>
      </c>
      <c r="B212" s="96">
        <v>3.5</v>
      </c>
      <c r="C212" s="1"/>
      <c r="D212" s="1"/>
      <c r="L212" s="3"/>
      <c r="M212" s="3"/>
      <c r="N212" s="3"/>
    </row>
    <row r="213" spans="1:14" ht="45" x14ac:dyDescent="0.25">
      <c r="A213" s="1" t="s">
        <v>488</v>
      </c>
      <c r="B213" s="119" t="s">
        <v>489</v>
      </c>
      <c r="C213" s="1" t="s">
        <v>490</v>
      </c>
      <c r="D213" s="53" t="s">
        <v>491</v>
      </c>
      <c r="L213" s="3"/>
      <c r="M213" s="3"/>
      <c r="N213" s="3"/>
    </row>
    <row r="214" spans="1:14" ht="45" x14ac:dyDescent="0.25">
      <c r="A214" s="1" t="s">
        <v>387</v>
      </c>
      <c r="B214" s="96">
        <v>0.25</v>
      </c>
      <c r="C214" s="53" t="s">
        <v>388</v>
      </c>
      <c r="D214" s="123" t="s">
        <v>492</v>
      </c>
      <c r="L214" s="3"/>
      <c r="M214" s="3"/>
      <c r="N214" s="3"/>
    </row>
    <row r="215" spans="1:14" ht="30" x14ac:dyDescent="0.25">
      <c r="A215" s="1" t="s">
        <v>477</v>
      </c>
      <c r="B215" s="96">
        <v>0.51</v>
      </c>
      <c r="C215" s="53" t="s">
        <v>386</v>
      </c>
      <c r="D215" s="1"/>
      <c r="L215" s="3"/>
      <c r="M215" s="3"/>
      <c r="N215" s="3"/>
    </row>
    <row r="216" spans="1:14" x14ac:dyDescent="0.25">
      <c r="A216" s="1" t="s">
        <v>384</v>
      </c>
      <c r="B216" s="96">
        <v>42</v>
      </c>
      <c r="C216" s="1"/>
      <c r="D216" s="1"/>
      <c r="L216" s="3"/>
      <c r="M216" s="3"/>
      <c r="N216" s="3"/>
    </row>
    <row r="217" spans="1:14" x14ac:dyDescent="0.25">
      <c r="A217" s="1" t="s">
        <v>483</v>
      </c>
      <c r="B217" s="313">
        <v>0.83</v>
      </c>
      <c r="C217" s="1"/>
      <c r="D217" s="1"/>
      <c r="L217" s="3"/>
      <c r="M217" s="3"/>
      <c r="N217" s="3"/>
    </row>
    <row r="218" spans="1:14" x14ac:dyDescent="0.25">
      <c r="A218" s="1" t="s">
        <v>493</v>
      </c>
      <c r="B218" s="129">
        <v>3</v>
      </c>
      <c r="C218" s="1" t="s">
        <v>494</v>
      </c>
      <c r="D218" s="1"/>
      <c r="L218" s="3"/>
      <c r="M218" s="3"/>
      <c r="N218" s="3"/>
    </row>
    <row r="219" spans="1:14" x14ac:dyDescent="0.25">
      <c r="A219" s="1" t="s">
        <v>482</v>
      </c>
      <c r="B219" s="314">
        <f>60/$B$218</f>
        <v>20</v>
      </c>
      <c r="C219" s="1"/>
      <c r="D219" s="1"/>
      <c r="L219" s="3"/>
      <c r="M219" s="3"/>
      <c r="N219" s="3"/>
    </row>
    <row r="220" spans="1:14" x14ac:dyDescent="0.25">
      <c r="A220" s="1" t="s">
        <v>484</v>
      </c>
      <c r="B220" s="154">
        <f>B212*B219*B217</f>
        <v>58.099999999999994</v>
      </c>
      <c r="C220" s="2" t="s">
        <v>495</v>
      </c>
      <c r="D220" s="1"/>
      <c r="L220" s="3"/>
      <c r="M220" s="3"/>
      <c r="N220" s="3"/>
    </row>
    <row r="221" spans="1:14" x14ac:dyDescent="0.25">
      <c r="A221" s="1" t="s">
        <v>400</v>
      </c>
      <c r="B221" s="154">
        <f>$B$216*$B$215*$B$214</f>
        <v>5.3550000000000004</v>
      </c>
      <c r="C221" s="39" t="s">
        <v>401</v>
      </c>
      <c r="D221" s="1"/>
      <c r="L221" s="3"/>
      <c r="M221" s="3"/>
      <c r="N221" s="3"/>
    </row>
    <row r="222" spans="1:14" x14ac:dyDescent="0.25">
      <c r="B222"/>
      <c r="C222" s="85"/>
      <c r="L222" s="3"/>
      <c r="M222" s="3"/>
      <c r="N222" s="3"/>
    </row>
    <row r="223" spans="1:14" x14ac:dyDescent="0.25">
      <c r="A223" s="1" t="s">
        <v>371</v>
      </c>
      <c r="B223" s="96">
        <v>0.51</v>
      </c>
      <c r="C223" s="39" t="s">
        <v>372</v>
      </c>
      <c r="L223" s="3"/>
      <c r="M223" s="3"/>
      <c r="N223" s="3"/>
    </row>
    <row r="224" spans="1:14" x14ac:dyDescent="0.25">
      <c r="B224"/>
      <c r="L224" s="3"/>
      <c r="M224" s="3"/>
      <c r="N224" s="3"/>
    </row>
    <row r="225" spans="1:14" ht="18.75" x14ac:dyDescent="0.3">
      <c r="A225" s="116" t="s">
        <v>496</v>
      </c>
      <c r="B225"/>
      <c r="N225" s="142"/>
    </row>
    <row r="226" spans="1:14" x14ac:dyDescent="0.25">
      <c r="A226" s="62" t="s">
        <v>497</v>
      </c>
      <c r="B226" s="62" t="s">
        <v>498</v>
      </c>
      <c r="C226" s="62" t="s">
        <v>499</v>
      </c>
      <c r="D226" s="62" t="s">
        <v>36</v>
      </c>
      <c r="E226" s="62" t="s">
        <v>500</v>
      </c>
      <c r="F226" s="62" t="s">
        <v>501</v>
      </c>
    </row>
    <row r="227" spans="1:14" x14ac:dyDescent="0.25">
      <c r="A227" s="1" t="s">
        <v>502</v>
      </c>
      <c r="B227" s="1" t="s">
        <v>67</v>
      </c>
      <c r="C227" s="96">
        <v>1</v>
      </c>
      <c r="D227" s="96" t="s">
        <v>68</v>
      </c>
      <c r="E227" s="96">
        <v>50</v>
      </c>
      <c r="F227" s="96">
        <v>1.25</v>
      </c>
    </row>
    <row r="228" spans="1:14" x14ac:dyDescent="0.25">
      <c r="B228"/>
    </row>
    <row r="229" spans="1:14" ht="18.75" x14ac:dyDescent="0.3">
      <c r="A229" s="74" t="s">
        <v>503</v>
      </c>
      <c r="B229"/>
    </row>
    <row r="230" spans="1:14" x14ac:dyDescent="0.25">
      <c r="A230" s="294" t="s">
        <v>504</v>
      </c>
      <c r="B230" s="294" t="s">
        <v>377</v>
      </c>
      <c r="C230" s="294" t="s">
        <v>499</v>
      </c>
      <c r="D230" s="294" t="s">
        <v>36</v>
      </c>
      <c r="E230" s="294" t="s">
        <v>384</v>
      </c>
      <c r="F230" s="294" t="s">
        <v>505</v>
      </c>
      <c r="G230" s="294" t="s">
        <v>506</v>
      </c>
    </row>
    <row r="231" spans="1:14" x14ac:dyDescent="0.25">
      <c r="A231" s="1" t="s">
        <v>507</v>
      </c>
      <c r="B231" s="1" t="s">
        <v>508</v>
      </c>
      <c r="C231" s="96">
        <v>1</v>
      </c>
      <c r="D231" s="96" t="s">
        <v>26</v>
      </c>
      <c r="E231" s="96">
        <v>55.93</v>
      </c>
      <c r="F231" s="96">
        <v>0.33300000000000002</v>
      </c>
      <c r="G231" s="154">
        <f>$E$231*$F$231</f>
        <v>18.624690000000001</v>
      </c>
    </row>
    <row r="232" spans="1:14" x14ac:dyDescent="0.25">
      <c r="A232" s="1" t="s">
        <v>509</v>
      </c>
      <c r="B232" s="1" t="s">
        <v>508</v>
      </c>
      <c r="C232" s="96">
        <v>1</v>
      </c>
      <c r="D232" s="96" t="s">
        <v>26</v>
      </c>
      <c r="E232" s="96">
        <v>3.73</v>
      </c>
      <c r="F232" s="96">
        <v>0.33300000000000002</v>
      </c>
      <c r="G232" s="154">
        <f>$E$232*$F$232</f>
        <v>1.2420900000000001</v>
      </c>
    </row>
    <row r="233" spans="1:14" x14ac:dyDescent="0.25">
      <c r="A233" s="1" t="s">
        <v>510</v>
      </c>
      <c r="B233" s="1" t="s">
        <v>508</v>
      </c>
      <c r="C233" s="96">
        <v>4</v>
      </c>
      <c r="D233" s="96" t="s">
        <v>26</v>
      </c>
      <c r="E233" s="96">
        <v>1.49</v>
      </c>
      <c r="F233" s="96">
        <v>0.33</v>
      </c>
      <c r="G233" s="154">
        <f>$E$233*$F$233</f>
        <v>0.49170000000000003</v>
      </c>
    </row>
    <row r="234" spans="1:14" x14ac:dyDescent="0.25">
      <c r="A234" s="3"/>
      <c r="B234" s="3"/>
      <c r="C234" s="3"/>
      <c r="D234" s="3"/>
      <c r="E234" s="3"/>
      <c r="F234" s="3"/>
    </row>
    <row r="235" spans="1:14" ht="18.75" x14ac:dyDescent="0.3">
      <c r="A235" s="74" t="s">
        <v>511</v>
      </c>
      <c r="B235"/>
    </row>
    <row r="236" spans="1:14" x14ac:dyDescent="0.25">
      <c r="A236" s="294" t="s">
        <v>504</v>
      </c>
      <c r="B236" s="294" t="s">
        <v>377</v>
      </c>
      <c r="C236" s="294" t="s">
        <v>499</v>
      </c>
      <c r="D236" s="294" t="s">
        <v>36</v>
      </c>
      <c r="E236" s="294" t="s">
        <v>384</v>
      </c>
      <c r="F236" s="294" t="s">
        <v>505</v>
      </c>
      <c r="G236" s="294" t="s">
        <v>506</v>
      </c>
    </row>
    <row r="237" spans="1:14" x14ac:dyDescent="0.25">
      <c r="A237" s="1" t="s">
        <v>512</v>
      </c>
      <c r="B237" s="1" t="s">
        <v>513</v>
      </c>
      <c r="C237" s="96">
        <v>1</v>
      </c>
      <c r="D237" s="96" t="s">
        <v>26</v>
      </c>
      <c r="E237" s="96">
        <v>250</v>
      </c>
      <c r="F237" s="96">
        <v>0.25</v>
      </c>
      <c r="G237" s="154">
        <f>$E$237*$F$237</f>
        <v>62.5</v>
      </c>
    </row>
    <row r="238" spans="1:14" x14ac:dyDescent="0.25">
      <c r="A238" s="1" t="s">
        <v>510</v>
      </c>
      <c r="B238" s="1" t="s">
        <v>508</v>
      </c>
      <c r="C238" s="96">
        <v>2</v>
      </c>
      <c r="D238" s="96" t="s">
        <v>26</v>
      </c>
      <c r="E238" s="96">
        <v>1.49</v>
      </c>
      <c r="F238" s="96">
        <v>0.25</v>
      </c>
      <c r="G238" s="154">
        <f>E238*F238</f>
        <v>0.3725</v>
      </c>
    </row>
    <row r="239" spans="1:14" x14ac:dyDescent="0.25">
      <c r="B239"/>
    </row>
    <row r="240" spans="1:14" x14ac:dyDescent="0.25">
      <c r="A240" s="62" t="s">
        <v>504</v>
      </c>
      <c r="B240" s="62" t="s">
        <v>377</v>
      </c>
      <c r="C240" s="62" t="s">
        <v>499</v>
      </c>
      <c r="D240" s="62" t="s">
        <v>36</v>
      </c>
      <c r="E240" s="62" t="s">
        <v>384</v>
      </c>
      <c r="F240" s="62" t="s">
        <v>505</v>
      </c>
      <c r="G240" s="62" t="s">
        <v>400</v>
      </c>
    </row>
    <row r="241" spans="1:7" x14ac:dyDescent="0.25">
      <c r="A241" s="1" t="s">
        <v>514</v>
      </c>
      <c r="B241" s="1" t="s">
        <v>515</v>
      </c>
      <c r="C241" s="96">
        <v>1</v>
      </c>
      <c r="D241" s="96" t="s">
        <v>39</v>
      </c>
      <c r="E241" s="96">
        <v>160</v>
      </c>
      <c r="F241" s="96">
        <v>0.25</v>
      </c>
      <c r="G241" s="154">
        <f>$B$208</f>
        <v>2.3587500000000001</v>
      </c>
    </row>
    <row r="242" spans="1:7" x14ac:dyDescent="0.25">
      <c r="B242"/>
    </row>
    <row r="243" spans="1:7" ht="18.75" x14ac:dyDescent="0.3">
      <c r="A243" s="74" t="s">
        <v>516</v>
      </c>
      <c r="B243"/>
    </row>
    <row r="244" spans="1:7" x14ac:dyDescent="0.25">
      <c r="A244" s="294" t="s">
        <v>504</v>
      </c>
      <c r="B244" s="294" t="s">
        <v>377</v>
      </c>
      <c r="C244" s="294" t="s">
        <v>499</v>
      </c>
      <c r="D244" s="294" t="s">
        <v>36</v>
      </c>
      <c r="E244" s="294" t="s">
        <v>384</v>
      </c>
      <c r="F244" s="294" t="s">
        <v>505</v>
      </c>
      <c r="G244" s="294" t="s">
        <v>506</v>
      </c>
    </row>
    <row r="245" spans="1:7" x14ac:dyDescent="0.25">
      <c r="A245" s="1" t="s">
        <v>517</v>
      </c>
      <c r="B245" s="1" t="s">
        <v>518</v>
      </c>
      <c r="C245" s="96">
        <v>1</v>
      </c>
      <c r="D245" s="96" t="s">
        <v>26</v>
      </c>
      <c r="E245" s="96">
        <v>160</v>
      </c>
      <c r="F245" s="96">
        <v>0.25</v>
      </c>
      <c r="G245" s="154">
        <f>$E$245*$F$245</f>
        <v>40</v>
      </c>
    </row>
    <row r="246" spans="1:7" x14ac:dyDescent="0.25">
      <c r="A246" s="1" t="s">
        <v>519</v>
      </c>
      <c r="B246" s="1" t="s">
        <v>508</v>
      </c>
      <c r="C246" s="96">
        <v>1</v>
      </c>
      <c r="D246" s="96" t="s">
        <v>26</v>
      </c>
      <c r="E246" s="96">
        <v>1.49</v>
      </c>
      <c r="F246" s="96">
        <v>0.25</v>
      </c>
      <c r="G246" s="154">
        <f>$E$246*$F$246</f>
        <v>0.3725</v>
      </c>
    </row>
    <row r="247" spans="1:7" x14ac:dyDescent="0.25">
      <c r="B247"/>
    </row>
    <row r="248" spans="1:7" ht="18.75" x14ac:dyDescent="0.3">
      <c r="A248" s="74" t="s">
        <v>520</v>
      </c>
      <c r="B248"/>
    </row>
    <row r="249" spans="1:7" x14ac:dyDescent="0.25">
      <c r="A249" s="294" t="s">
        <v>504</v>
      </c>
      <c r="B249" s="294" t="s">
        <v>377</v>
      </c>
      <c r="C249" s="294" t="s">
        <v>499</v>
      </c>
      <c r="D249" s="294" t="s">
        <v>36</v>
      </c>
      <c r="E249" s="294" t="s">
        <v>384</v>
      </c>
      <c r="F249" s="294" t="s">
        <v>505</v>
      </c>
      <c r="G249" s="294" t="s">
        <v>506</v>
      </c>
    </row>
    <row r="250" spans="1:7" x14ac:dyDescent="0.25">
      <c r="A250" s="1" t="s">
        <v>521</v>
      </c>
      <c r="B250" s="1" t="s">
        <v>522</v>
      </c>
      <c r="C250" s="96">
        <v>1</v>
      </c>
      <c r="D250" s="96" t="s">
        <v>26</v>
      </c>
      <c r="E250" s="96">
        <v>250</v>
      </c>
      <c r="F250" s="96">
        <v>2</v>
      </c>
      <c r="G250" s="154">
        <f>$E$250*$F$250</f>
        <v>500</v>
      </c>
    </row>
    <row r="251" spans="1:7" x14ac:dyDescent="0.25">
      <c r="A251" s="1" t="s">
        <v>519</v>
      </c>
      <c r="B251" s="1" t="s">
        <v>508</v>
      </c>
      <c r="C251" s="96">
        <v>1</v>
      </c>
      <c r="D251" s="96" t="s">
        <v>26</v>
      </c>
      <c r="E251" s="96">
        <v>1.49</v>
      </c>
      <c r="F251" s="96">
        <v>2</v>
      </c>
      <c r="G251" s="154">
        <f>$E$251*$F$251</f>
        <v>2.98</v>
      </c>
    </row>
    <row r="252" spans="1:7" x14ac:dyDescent="0.25">
      <c r="A252" s="1" t="s">
        <v>523</v>
      </c>
      <c r="B252" s="1"/>
      <c r="C252" s="96">
        <v>1</v>
      </c>
      <c r="D252" s="96" t="s">
        <v>26</v>
      </c>
      <c r="E252" s="96">
        <v>37</v>
      </c>
      <c r="F252" s="96">
        <v>2</v>
      </c>
      <c r="G252" s="154">
        <f>$E$252*$F$252</f>
        <v>74</v>
      </c>
    </row>
    <row r="253" spans="1:7" x14ac:dyDescent="0.25">
      <c r="A253" s="1" t="s">
        <v>524</v>
      </c>
      <c r="B253" s="1" t="s">
        <v>525</v>
      </c>
      <c r="C253" s="96">
        <v>1</v>
      </c>
      <c r="D253" s="96" t="s">
        <v>26</v>
      </c>
      <c r="E253" s="96">
        <v>3.73</v>
      </c>
      <c r="F253" s="96">
        <v>2</v>
      </c>
      <c r="G253" s="154">
        <f>$E$253*$F$253</f>
        <v>7.46</v>
      </c>
    </row>
    <row r="254" spans="1:7" x14ac:dyDescent="0.25">
      <c r="B254"/>
    </row>
    <row r="255" spans="1:7" x14ac:dyDescent="0.25">
      <c r="A255" s="62" t="s">
        <v>504</v>
      </c>
      <c r="B255" s="62" t="s">
        <v>377</v>
      </c>
      <c r="C255" s="62" t="s">
        <v>499</v>
      </c>
      <c r="D255" s="294" t="s">
        <v>36</v>
      </c>
      <c r="E255" s="294" t="s">
        <v>384</v>
      </c>
      <c r="F255" s="294" t="s">
        <v>505</v>
      </c>
      <c r="G255" s="62" t="s">
        <v>400</v>
      </c>
    </row>
    <row r="256" spans="1:7" x14ac:dyDescent="0.25">
      <c r="A256" s="1" t="s">
        <v>526</v>
      </c>
      <c r="B256" s="1"/>
      <c r="C256" s="96">
        <v>1</v>
      </c>
      <c r="D256" s="96" t="s">
        <v>39</v>
      </c>
      <c r="E256" s="96"/>
      <c r="F256" s="96">
        <v>2</v>
      </c>
      <c r="G256" s="154">
        <f>$B$221</f>
        <v>5.3550000000000004</v>
      </c>
    </row>
    <row r="257" spans="1:26" x14ac:dyDescent="0.25">
      <c r="B257"/>
    </row>
    <row r="258" spans="1:26" x14ac:dyDescent="0.25">
      <c r="B258"/>
    </row>
    <row r="259" spans="1:26" x14ac:dyDescent="0.25">
      <c r="B259"/>
    </row>
    <row r="260" spans="1:26" ht="18.75" x14ac:dyDescent="0.3">
      <c r="A260" s="116" t="s">
        <v>527</v>
      </c>
      <c r="B260"/>
    </row>
    <row r="261" spans="1:26" x14ac:dyDescent="0.25">
      <c r="B261"/>
    </row>
    <row r="262" spans="1:26" ht="90" x14ac:dyDescent="0.25">
      <c r="A262" s="302" t="s">
        <v>463</v>
      </c>
      <c r="B262" s="300" t="s">
        <v>464</v>
      </c>
      <c r="C262" s="302" t="s">
        <v>465</v>
      </c>
      <c r="D262" s="302" t="s">
        <v>528</v>
      </c>
      <c r="E262" s="302" t="s">
        <v>466</v>
      </c>
      <c r="F262" s="302" t="s">
        <v>529</v>
      </c>
      <c r="G262" s="302" t="s">
        <v>530</v>
      </c>
      <c r="H262" s="103" t="s">
        <v>303</v>
      </c>
      <c r="I262" s="103" t="s">
        <v>304</v>
      </c>
      <c r="J262" s="103" t="s">
        <v>305</v>
      </c>
      <c r="K262" s="103" t="s">
        <v>306</v>
      </c>
      <c r="L262" s="103" t="s">
        <v>307</v>
      </c>
      <c r="M262" s="103" t="s">
        <v>308</v>
      </c>
      <c r="N262" s="103" t="s">
        <v>309</v>
      </c>
      <c r="O262" s="103" t="s">
        <v>310</v>
      </c>
      <c r="P262" s="103" t="s">
        <v>311</v>
      </c>
      <c r="Q262" s="103" t="s">
        <v>312</v>
      </c>
      <c r="R262" s="103" t="s">
        <v>313</v>
      </c>
      <c r="S262" s="103" t="s">
        <v>314</v>
      </c>
      <c r="T262" s="103" t="s">
        <v>315</v>
      </c>
      <c r="U262" s="103" t="s">
        <v>316</v>
      </c>
      <c r="V262" s="103" t="s">
        <v>317</v>
      </c>
      <c r="W262" s="103" t="s">
        <v>318</v>
      </c>
      <c r="X262" s="103" t="s">
        <v>319</v>
      </c>
      <c r="Y262" s="103" t="s">
        <v>320</v>
      </c>
      <c r="Z262" s="103" t="s">
        <v>321</v>
      </c>
    </row>
    <row r="263" spans="1:26" x14ac:dyDescent="0.25">
      <c r="A263" s="1" t="s">
        <v>531</v>
      </c>
      <c r="B263" s="1" t="str">
        <f>$A$227</f>
        <v>Transportation</v>
      </c>
      <c r="C263" s="154">
        <f>$C$227</f>
        <v>1</v>
      </c>
      <c r="D263" s="154" t="str">
        <f>$B$227</f>
        <v>Truck</v>
      </c>
      <c r="E263" s="154" t="str">
        <f>$D$227</f>
        <v>Diesel_Euro6</v>
      </c>
      <c r="F263" s="152">
        <f>$E$227</f>
        <v>50</v>
      </c>
      <c r="G263" s="154" t="s">
        <v>532</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25">
      <c r="B264"/>
      <c r="F264" s="29"/>
    </row>
    <row r="265" spans="1:26" x14ac:dyDescent="0.25">
      <c r="B265"/>
      <c r="F265" s="29"/>
    </row>
    <row r="266" spans="1:26" ht="75" x14ac:dyDescent="0.25">
      <c r="A266" s="302" t="s">
        <v>463</v>
      </c>
      <c r="B266" s="300" t="s">
        <v>464</v>
      </c>
      <c r="C266" s="302" t="s">
        <v>465</v>
      </c>
      <c r="D266" s="302" t="s">
        <v>384</v>
      </c>
      <c r="E266" s="302" t="s">
        <v>466</v>
      </c>
      <c r="F266" s="302" t="s">
        <v>530</v>
      </c>
      <c r="G266" s="103" t="s">
        <v>303</v>
      </c>
      <c r="H266" s="103" t="s">
        <v>304</v>
      </c>
      <c r="I266" s="103" t="s">
        <v>305</v>
      </c>
      <c r="J266" s="103" t="s">
        <v>306</v>
      </c>
      <c r="K266" s="103" t="s">
        <v>307</v>
      </c>
      <c r="L266" s="103" t="s">
        <v>308</v>
      </c>
      <c r="M266" s="103" t="s">
        <v>309</v>
      </c>
      <c r="N266" s="103" t="s">
        <v>310</v>
      </c>
      <c r="O266" s="103" t="s">
        <v>311</v>
      </c>
      <c r="P266" s="103" t="s">
        <v>312</v>
      </c>
      <c r="Q266" s="103" t="s">
        <v>313</v>
      </c>
      <c r="R266" s="103" t="s">
        <v>314</v>
      </c>
      <c r="S266" s="103" t="s">
        <v>315</v>
      </c>
      <c r="T266" s="103" t="s">
        <v>316</v>
      </c>
      <c r="U266" s="103" t="s">
        <v>317</v>
      </c>
      <c r="V266" s="103" t="s">
        <v>318</v>
      </c>
      <c r="W266" s="103" t="s">
        <v>319</v>
      </c>
      <c r="X266" s="103" t="s">
        <v>320</v>
      </c>
      <c r="Y266" s="103" t="s">
        <v>321</v>
      </c>
    </row>
    <row r="267" spans="1:26" x14ac:dyDescent="0.25">
      <c r="A267" s="390" t="s">
        <v>533</v>
      </c>
      <c r="B267" s="1" t="s">
        <v>507</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25">
      <c r="A268" s="390"/>
      <c r="B268" s="1" t="s">
        <v>509</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25">
      <c r="A269" s="390"/>
      <c r="B269" s="1" t="s">
        <v>510</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25">
      <c r="A270" s="384" t="s">
        <v>534</v>
      </c>
      <c r="B270" s="1" t="s">
        <v>512</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25">
      <c r="A271" s="386"/>
      <c r="B271" s="1" t="s">
        <v>510</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25">
      <c r="A272" s="390" t="s">
        <v>535</v>
      </c>
      <c r="B272" s="1" t="s">
        <v>517</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25">
      <c r="A273" s="390"/>
      <c r="B273" s="1" t="s">
        <v>519</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25">
      <c r="A274" s="384" t="s">
        <v>536</v>
      </c>
      <c r="B274" s="1" t="s">
        <v>521</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25">
      <c r="A275" s="385"/>
      <c r="B275" s="1" t="s">
        <v>519</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25">
      <c r="A276" s="385"/>
      <c r="B276" s="1" t="s">
        <v>523</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25">
      <c r="A277" s="386"/>
      <c r="B277" s="1" t="s">
        <v>524</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25">
      <c r="B278"/>
    </row>
    <row r="279" spans="1:25" x14ac:dyDescent="0.25">
      <c r="B279"/>
    </row>
    <row r="280" spans="1:25" ht="75" x14ac:dyDescent="0.25">
      <c r="A280" s="302" t="s">
        <v>463</v>
      </c>
      <c r="B280" s="300" t="s">
        <v>464</v>
      </c>
      <c r="C280" s="302" t="s">
        <v>465</v>
      </c>
      <c r="D280" s="302" t="s">
        <v>466</v>
      </c>
      <c r="E280" s="302" t="s">
        <v>505</v>
      </c>
      <c r="F280" s="302" t="s">
        <v>400</v>
      </c>
      <c r="G280" s="103" t="s">
        <v>303</v>
      </c>
      <c r="H280" s="103" t="s">
        <v>304</v>
      </c>
      <c r="I280" s="103" t="s">
        <v>305</v>
      </c>
      <c r="J280" s="103" t="s">
        <v>306</v>
      </c>
      <c r="K280" s="103" t="s">
        <v>307</v>
      </c>
      <c r="L280" s="103" t="s">
        <v>308</v>
      </c>
      <c r="M280" s="103" t="s">
        <v>309</v>
      </c>
      <c r="N280" s="103" t="s">
        <v>310</v>
      </c>
      <c r="O280" s="103" t="s">
        <v>311</v>
      </c>
      <c r="P280" s="103" t="s">
        <v>312</v>
      </c>
      <c r="Q280" s="103" t="s">
        <v>313</v>
      </c>
      <c r="R280" s="103" t="s">
        <v>314</v>
      </c>
      <c r="S280" s="103" t="s">
        <v>315</v>
      </c>
      <c r="T280" s="103" t="s">
        <v>316</v>
      </c>
      <c r="U280" s="103" t="s">
        <v>317</v>
      </c>
      <c r="V280" s="103" t="s">
        <v>318</v>
      </c>
      <c r="W280" s="103" t="s">
        <v>319</v>
      </c>
      <c r="X280" s="103" t="s">
        <v>320</v>
      </c>
      <c r="Y280" s="103" t="s">
        <v>321</v>
      </c>
    </row>
    <row r="281" spans="1:25" x14ac:dyDescent="0.25">
      <c r="A281" s="73"/>
      <c r="B281" s="1" t="s">
        <v>537</v>
      </c>
      <c r="C281" s="1">
        <v>1</v>
      </c>
      <c r="D281" s="1" t="s">
        <v>39</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25">
      <c r="A282" s="73"/>
      <c r="B282" s="1" t="s">
        <v>538</v>
      </c>
      <c r="C282" s="1">
        <v>1</v>
      </c>
      <c r="D282" s="1" t="s">
        <v>39</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25">
      <c r="B283"/>
    </row>
    <row r="284" spans="1:25" x14ac:dyDescent="0.25">
      <c r="B284"/>
    </row>
    <row r="285" spans="1:25" ht="18.75" x14ac:dyDescent="0.3">
      <c r="A285" s="116" t="s">
        <v>539</v>
      </c>
      <c r="B285"/>
    </row>
    <row r="286" spans="1:25" x14ac:dyDescent="0.25">
      <c r="B286"/>
    </row>
    <row r="287" spans="1:25" ht="75" x14ac:dyDescent="0.25">
      <c r="A287" s="102" t="s">
        <v>463</v>
      </c>
      <c r="B287" s="102"/>
      <c r="C287" s="103" t="s">
        <v>303</v>
      </c>
      <c r="D287" s="103" t="s">
        <v>304</v>
      </c>
      <c r="E287" s="103" t="s">
        <v>305</v>
      </c>
      <c r="F287" s="103" t="s">
        <v>306</v>
      </c>
      <c r="G287" s="103" t="s">
        <v>307</v>
      </c>
      <c r="H287" s="103" t="s">
        <v>308</v>
      </c>
      <c r="I287" s="103" t="s">
        <v>309</v>
      </c>
      <c r="J287" s="103" t="s">
        <v>310</v>
      </c>
      <c r="K287" s="103" t="s">
        <v>311</v>
      </c>
      <c r="L287" s="103" t="s">
        <v>312</v>
      </c>
      <c r="M287" s="103" t="s">
        <v>313</v>
      </c>
      <c r="N287" s="103" t="s">
        <v>314</v>
      </c>
      <c r="O287" s="103" t="s">
        <v>315</v>
      </c>
      <c r="P287" s="103" t="s">
        <v>316</v>
      </c>
      <c r="Q287" s="103" t="s">
        <v>317</v>
      </c>
      <c r="R287" s="103" t="s">
        <v>318</v>
      </c>
      <c r="S287" s="103" t="s">
        <v>319</v>
      </c>
      <c r="T287" s="103" t="s">
        <v>320</v>
      </c>
      <c r="U287" s="103" t="s">
        <v>321</v>
      </c>
    </row>
    <row r="288" spans="1:25" x14ac:dyDescent="0.25">
      <c r="A288" s="31" t="s">
        <v>531</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25">
      <c r="A289" s="384" t="s">
        <v>533</v>
      </c>
      <c r="B289" s="1" t="s">
        <v>507</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25">
      <c r="A290" s="385"/>
      <c r="B290" s="1" t="s">
        <v>509</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25">
      <c r="A291" s="386"/>
      <c r="B291" s="1" t="s">
        <v>510</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25">
      <c r="A292" s="384" t="s">
        <v>534</v>
      </c>
      <c r="B292" s="1" t="s">
        <v>512</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25">
      <c r="A293" s="386"/>
      <c r="B293" s="1" t="s">
        <v>510</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25">
      <c r="A294" s="390" t="s">
        <v>535</v>
      </c>
      <c r="B294" s="1" t="s">
        <v>517</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25">
      <c r="A295" s="390"/>
      <c r="B295" s="1" t="s">
        <v>519</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25">
      <c r="A296" s="384" t="s">
        <v>536</v>
      </c>
      <c r="B296" s="1" t="s">
        <v>521</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25">
      <c r="A297" s="385"/>
      <c r="B297" s="1" t="s">
        <v>519</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25">
      <c r="A298" s="385"/>
      <c r="B298" s="1" t="s">
        <v>523</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25">
      <c r="A299" s="386"/>
      <c r="B299" s="1" t="s">
        <v>524</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25">
      <c r="A300" s="1" t="s">
        <v>537</v>
      </c>
      <c r="B300" s="1" t="s">
        <v>527</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25">
      <c r="A301" s="9" t="s">
        <v>538</v>
      </c>
      <c r="B301" s="1" t="s">
        <v>527</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25">
      <c r="A302" s="394" t="s">
        <v>540</v>
      </c>
      <c r="B302" s="394"/>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30" x14ac:dyDescent="0.25">
      <c r="A303" s="53" t="s">
        <v>541</v>
      </c>
      <c r="B303" s="324" t="s">
        <v>62</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4" x14ac:dyDescent="0.4">
      <c r="A308" s="100" t="s">
        <v>542</v>
      </c>
    </row>
    <row r="310" spans="1:23" ht="90" x14ac:dyDescent="0.25">
      <c r="A310" s="104" t="s">
        <v>300</v>
      </c>
      <c r="B310" s="104" t="s">
        <v>301</v>
      </c>
      <c r="C310" s="103" t="s">
        <v>302</v>
      </c>
      <c r="D310" s="103" t="s">
        <v>61</v>
      </c>
      <c r="E310" s="103" t="s">
        <v>303</v>
      </c>
      <c r="F310" s="103" t="s">
        <v>304</v>
      </c>
      <c r="G310" s="103" t="s">
        <v>305</v>
      </c>
      <c r="H310" s="103" t="s">
        <v>306</v>
      </c>
      <c r="I310" s="103" t="s">
        <v>307</v>
      </c>
      <c r="J310" s="103" t="s">
        <v>308</v>
      </c>
      <c r="K310" s="103" t="s">
        <v>309</v>
      </c>
      <c r="L310" s="103" t="s">
        <v>310</v>
      </c>
      <c r="M310" s="103" t="s">
        <v>311</v>
      </c>
      <c r="N310" s="103" t="s">
        <v>312</v>
      </c>
      <c r="O310" s="103" t="s">
        <v>313</v>
      </c>
      <c r="P310" s="103" t="s">
        <v>314</v>
      </c>
      <c r="Q310" s="103" t="s">
        <v>315</v>
      </c>
      <c r="R310" s="103" t="s">
        <v>316</v>
      </c>
      <c r="S310" s="103" t="s">
        <v>317</v>
      </c>
      <c r="T310" s="103" t="s">
        <v>318</v>
      </c>
      <c r="U310" s="103" t="s">
        <v>319</v>
      </c>
      <c r="V310" s="103" t="s">
        <v>320</v>
      </c>
      <c r="W310" s="103" t="s">
        <v>321</v>
      </c>
    </row>
    <row r="311" spans="1:23" x14ac:dyDescent="0.25">
      <c r="A311" s="390" t="s">
        <v>323</v>
      </c>
      <c r="B311" s="158" t="str">
        <f>Input!A53</f>
        <v>Other_waste 1</v>
      </c>
      <c r="C311" s="154">
        <f>+Input!B53*(1-Input!E53)</f>
        <v>0.02</v>
      </c>
      <c r="D311" s="158" t="str">
        <f>Input!$C$53</f>
        <v>Recycled_plastic</v>
      </c>
      <c r="E311" s="158" cm="1">
        <f t="array" ref="E311">IF($D311="Recycled_concrete_aggregate",0,INDEX(LCI!H$2:H$130,MATCH('C3'' - Secondary Raw Material '!$B$311&amp;'C3'' - Secondary Raw Material '!$D$311,LCI!$B$2:$B$130&amp;LCI!$D$2:$D$130,0))*$C$311)</f>
        <v>5.9366429705583423E-2</v>
      </c>
      <c r="F311" s="158" cm="1">
        <f t="array" ref="F311">IF($D311="Recycled_concrete_aggregate",0,INDEX(LCI!I$2:I$130,MATCH('C3'' - Secondary Raw Material '!$B$311&amp;'C3'' - Secondary Raw Material '!$D$311,LCI!$B$2:$B$130&amp;LCI!$D$2:$D$130,0))*$C$311)</f>
        <v>14.023620626519541</v>
      </c>
      <c r="G311" s="158" cm="1">
        <f t="array" ref="G311">IF($D311="Recycled_concrete_aggregate",0,INDEX(LCI!J$2:J$130,MATCH('C3'' - Secondary Raw Material '!$B$311&amp;'C3'' - Secondary Raw Material '!$D$311,LCI!$B$2:$B$130&amp;LCI!$D$2:$D$130,0))*$C$311)</f>
        <v>1.8362765019448386</v>
      </c>
      <c r="H311" s="158" cm="1">
        <f t="array" ref="H311">IF($D311="Recycled_concrete_aggregate",0,INDEX(LCI!K$2:K$130,MATCH('C3'' - Secondary Raw Material '!$B$311&amp;'C3'' - Secondary Raw Material '!$D$311,LCI!$B$2:$B$130&amp;LCI!$D$2:$D$130,0))*$C$311)</f>
        <v>12.166103199835428</v>
      </c>
      <c r="I311" s="158" cm="1">
        <f t="array" ref="I311">IF($D311="Recycled_concrete_aggregate",0,INDEX(LCI!L$2:L$130,MATCH('C3'' - Secondary Raw Material '!$B$311&amp;'C3'' - Secondary Raw Material '!$D$311,LCI!$B$2:$B$130&amp;LCI!$D$2:$D$130,0))*$C$311)</f>
        <v>2.1240924739274362E-2</v>
      </c>
      <c r="J311" s="158" cm="1">
        <f t="array" ref="J311">IF($D311="Recycled_concrete_aggregate",0,INDEX(LCI!M$2:M$130,MATCH('C3'' - Secondary Raw Material '!$B$311&amp;'C3'' - Secondary Raw Material '!$D$311,LCI!$B$2:$B$130&amp;LCI!$D$2:$D$130,0))*$C$311)</f>
        <v>72.642820327017375</v>
      </c>
      <c r="K311" s="158" cm="1">
        <f t="array" ref="K311">IF($D311="Recycled_concrete_aggregate",0,INDEX(LCI!N$2:N$130,MATCH('C3'' - Secondary Raw Material '!$B$311&amp;'C3'' - Secondary Raw Material '!$D$311,LCI!$B$2:$B$130&amp;LCI!$D$2:$D$130,0))*$C$311)</f>
        <v>148.14473024705143</v>
      </c>
      <c r="L311" s="158" cm="1">
        <f t="array" ref="L311">IF($D311="Recycled_concrete_aggregate",0,INDEX(LCI!O$2:O$130,MATCH('C3'' - Secondary Raw Material '!$B$311&amp;'C3'' - Secondary Raw Material '!$D$311,LCI!$B$2:$B$130&amp;LCI!$D$2:$D$130,0))*$C$311)</f>
        <v>4.4179738961968576E-3</v>
      </c>
      <c r="M311" s="158" cm="1">
        <f t="array" ref="M311">IF($D311="Recycled_concrete_aggregate",0,INDEX(LCI!P$2:P$130,MATCH('C3'' - Secondary Raw Material '!$B$311&amp;'C3'' - Secondary Raw Material '!$D$311,LCI!$B$2:$B$130&amp;LCI!$D$2:$D$130,0))*$C$311)</f>
        <v>1.7531532862579042E-2</v>
      </c>
      <c r="N311" s="158" cm="1">
        <f t="array" ref="N311">IF($D311="Recycled_concrete_aggregate",0,INDEX(LCI!Q$2:Q$130,MATCH('C3'' - Secondary Raw Material '!$B$311&amp;'C3'' - Secondary Raw Material '!$D$311,LCI!$B$2:$B$130&amp;LCI!$D$2:$D$130,0))*$C$311)</f>
        <v>0.14150130924124973</v>
      </c>
      <c r="O311" s="158" cm="1">
        <f t="array" ref="O311">IF($D311="Recycled_concrete_aggregate",0,INDEX(LCI!R$2:R$130,MATCH('C3'' - Secondary Raw Material '!$B$311&amp;'C3'' - Secondary Raw Material '!$D$311,LCI!$B$2:$B$130&amp;LCI!$D$2:$D$130,0))*$C$311)</f>
        <v>1.1878180694629077E-8</v>
      </c>
      <c r="P311" s="158" cm="1">
        <f t="array" ref="P311">IF($D311="Recycled_concrete_aggregate",0,INDEX(LCI!S$2:S$130,MATCH('C3'' - Secondary Raw Material '!$B$311&amp;'C3'' - Secondary Raw Material '!$D$311,LCI!$B$2:$B$130&amp;LCI!$D$2:$D$130,0))*$C$311)</f>
        <v>1.6760675627332619E-7</v>
      </c>
      <c r="Q311" s="158" cm="1">
        <f t="array" ref="Q311">IF($D311="Recycled_concrete_aggregate",0,INDEX(LCI!T$2:T$130,MATCH('C3'' - Secondary Raw Material '!$B$311&amp;'C3'' - Secondary Raw Material '!$D$311,LCI!$B$2:$B$130&amp;LCI!$D$2:$D$130,0))*$C$311)</f>
        <v>0.93828796587371099</v>
      </c>
      <c r="R311" s="158" cm="1">
        <f t="array" ref="R311">IF($D311="Recycled_concrete_aggregate",0,INDEX(LCI!U$2:U$130,MATCH('C3'' - Secondary Raw Material '!$B$311&amp;'C3'' - Secondary Raw Material '!$D$311,LCI!$B$2:$B$130&amp;LCI!$D$2:$D$130,0))*$C$311)</f>
        <v>78.793597963984027</v>
      </c>
      <c r="S311" s="158" cm="1">
        <f t="array" ref="S311">IF($D311="Recycled_concrete_aggregate",0,INDEX(LCI!V$2:V$130,MATCH('C3'' - Secondary Raw Material '!$B$311&amp;'C3'' - Secondary Raw Material '!$D$311,LCI!$B$2:$B$130&amp;LCI!$D$2:$D$130,0))*$C$311)</f>
        <v>7.4970352750901442E-5</v>
      </c>
      <c r="T311" s="158" cm="1">
        <f t="array" ref="T311">IF($D311="Recycled_concrete_aggregate",0,INDEX(LCI!W$2:W$130,MATCH('C3'' - Secondary Raw Material '!$B$311&amp;'C3'' - Secondary Raw Material '!$D$311,LCI!$B$2:$B$130&amp;LCI!$D$2:$D$130,0))*$C$311)</f>
        <v>1.1088326662803008E-7</v>
      </c>
      <c r="U311" s="158" cm="1">
        <f t="array" ref="U311">IF($D311="Recycled_concrete_aggregate",0,INDEX(LCI!X$2:X$130,MATCH('C3'' - Secondary Raw Material '!$B$311&amp;'C3'' - Secondary Raw Material '!$D$311,LCI!$B$2:$B$130&amp;LCI!$D$2:$D$130,0))*$C$311)</f>
        <v>1.8714166182964235E-6</v>
      </c>
      <c r="V311" s="158" cm="1">
        <f t="array" ref="V311">IF($D311="Recycled_concrete_aggregate",0,INDEX(LCI!Y$2:Y$130,MATCH('C3'' - Secondary Raw Material '!$B$311&amp;'C3'' - Secondary Raw Material '!$D$311,LCI!$B$2:$B$130&amp;LCI!$D$2:$D$130,0))*$C$311)</f>
        <v>4.6093865197696697E-2</v>
      </c>
      <c r="W311" s="158" cm="1">
        <f t="array" ref="W311">IF($D311="Recycled_concrete_aggregate",0,INDEX(LCI!Z$2:Z$130,MATCH('C3'' - Secondary Raw Material '!$B$311&amp;'C3'' - Secondary Raw Material '!$D$311,LCI!$B$2:$B$130&amp;LCI!$D$2:$D$130,0))*$C$311)</f>
        <v>3.0644826989595182</v>
      </c>
    </row>
    <row r="312" spans="1:23" x14ac:dyDescent="0.25">
      <c r="A312" s="390"/>
      <c r="B312" s="158" t="str">
        <f>Input!A54</f>
        <v>Other_waste 2</v>
      </c>
      <c r="C312" s="154">
        <f>+Input!B54*(1-Input!E54)</f>
        <v>0.02</v>
      </c>
      <c r="D312" s="158" t="str">
        <f>Input!$C$54</f>
        <v>Steel_slag_aggregate</v>
      </c>
      <c r="E312" s="158" cm="1">
        <f t="array" ref="E312">IF($D312="Recycled_concrete_aggregate",0,INDEX(LCI!H$2:H$130,MATCH('C3'' - Secondary Raw Material '!$B$312&amp;'C3'' - Secondary Raw Material '!$D$312,LCI!$B$2:$B$130&amp;LCI!$D$2:$D$130,0))*$C$312)</f>
        <v>1.5248372049605463E-2</v>
      </c>
      <c r="F312" s="158" cm="1">
        <f t="array" ref="F312">IF($D312="Recycled_concrete_aggregate",0,INDEX(LCI!I$2:I$130,MATCH('C3'' - Secondary Raw Material '!$B$312&amp;'C3'' - Secondary Raw Material '!$D$312,LCI!$B$2:$B$130&amp;LCI!$D$2:$D$130,0))*$C$312)</f>
        <v>1.9199579490260232</v>
      </c>
      <c r="G312" s="158" cm="1">
        <f t="array" ref="G312">IF($D312="Recycled_concrete_aggregate",0,INDEX(LCI!J$2:J$130,MATCH('C3'' - Secondary Raw Material '!$B$312&amp;'C3'' - Secondary Raw Material '!$D$312,LCI!$B$2:$B$130&amp;LCI!$D$2:$D$130,0))*$C$312)</f>
        <v>1.6309632298441422E-2</v>
      </c>
      <c r="H312" s="158" cm="1">
        <f t="array" ref="H312">IF($D312="Recycled_concrete_aggregate",0,INDEX(LCI!K$2:K$130,MATCH('C3'' - Secondary Raw Material '!$B$312&amp;'C3'' - Secondary Raw Material '!$D$312,LCI!$B$2:$B$130&amp;LCI!$D$2:$D$130,0))*$C$312)</f>
        <v>1.900687717664054</v>
      </c>
      <c r="I312" s="158" cm="1">
        <f t="array" ref="I312">IF($D312="Recycled_concrete_aggregate",0,INDEX(LCI!L$2:L$130,MATCH('C3'' - Secondary Raw Material '!$B$312&amp;'C3'' - Secondary Raw Material '!$D$312,LCI!$B$2:$B$130&amp;LCI!$D$2:$D$130,0))*$C$312)</f>
        <v>2.9605990635277702E-3</v>
      </c>
      <c r="J312" s="158" cm="1">
        <f t="array" ref="J312">IF($D312="Recycled_concrete_aggregate",0,INDEX(LCI!M$2:M$130,MATCH('C3'' - Secondary Raw Material '!$B$312&amp;'C3'' - Secondary Raw Material '!$D$312,LCI!$B$2:$B$130&amp;LCI!$D$2:$D$130,0))*$C$312)</f>
        <v>46.180070680391765</v>
      </c>
      <c r="K312" s="158" cm="1">
        <f t="array" ref="K312">IF($D312="Recycled_concrete_aggregate",0,INDEX(LCI!N$2:N$130,MATCH('C3'' - Secondary Raw Material '!$B$312&amp;'C3'' - Secondary Raw Material '!$D$312,LCI!$B$2:$B$130&amp;LCI!$D$2:$D$130,0))*$C$312)</f>
        <v>20.889414299398101</v>
      </c>
      <c r="L312" s="158" cm="1">
        <f t="array" ref="L312">IF($D312="Recycled_concrete_aggregate",0,INDEX(LCI!O$2:O$130,MATCH('C3'' - Secondary Raw Material '!$B$312&amp;'C3'' - Secondary Raw Material '!$D$312,LCI!$B$2:$B$130&amp;LCI!$D$2:$D$130,0))*$C$312)</f>
        <v>4.8731515076226703E-4</v>
      </c>
      <c r="M312" s="158" cm="1">
        <f t="array" ref="M312">IF($D312="Recycled_concrete_aggregate",0,INDEX(LCI!P$2:P$130,MATCH('C3'' - Secondary Raw Material '!$B$312&amp;'C3'' - Secondary Raw Material '!$D$312,LCI!$B$2:$B$130&amp;LCI!$D$2:$D$130,0))*$C$312)</f>
        <v>1.8166076499638367E-3</v>
      </c>
      <c r="N312" s="158" cm="1">
        <f t="array" ref="N312">IF($D312="Recycled_concrete_aggregate",0,INDEX(LCI!Q$2:Q$130,MATCH('C3'' - Secondary Raw Material '!$B$312&amp;'C3'' - Secondary Raw Material '!$D$312,LCI!$B$2:$B$130&amp;LCI!$D$2:$D$130,0))*$C$312)</f>
        <v>1.9381503884101078E-2</v>
      </c>
      <c r="O312" s="158" cm="1">
        <f t="array" ref="O312">IF($D312="Recycled_concrete_aggregate",0,INDEX(LCI!R$2:R$130,MATCH('C3'' - Secondary Raw Material '!$B$312&amp;'C3'' - Secondary Raw Material '!$D$312,LCI!$B$2:$B$130&amp;LCI!$D$2:$D$130,0))*$C$312)</f>
        <v>3.669494338943548E-10</v>
      </c>
      <c r="P312" s="158" cm="1">
        <f t="array" ref="P312">IF($D312="Recycled_concrete_aggregate",0,INDEX(LCI!S$2:S$130,MATCH('C3'' - Secondary Raw Material '!$B$312&amp;'C3'' - Secondary Raw Material '!$D$312,LCI!$B$2:$B$130&amp;LCI!$D$2:$D$130,0))*$C$312)</f>
        <v>1.6710345870617017E-8</v>
      </c>
      <c r="Q312" s="158" cm="1">
        <f t="array" ref="Q312">IF($D312="Recycled_concrete_aggregate",0,INDEX(LCI!T$2:T$130,MATCH('C3'' - Secondary Raw Material '!$B$312&amp;'C3'' - Secondary Raw Material '!$D$312,LCI!$B$2:$B$130&amp;LCI!$D$2:$D$130,0))*$C$312)</f>
        <v>0.10761352914302402</v>
      </c>
      <c r="R312" s="158" cm="1">
        <f t="array" ref="R312">IF($D312="Recycled_concrete_aggregate",0,INDEX(LCI!U$2:U$130,MATCH('C3'' - Secondary Raw Material '!$B$312&amp;'C3'' - Secondary Raw Material '!$D$312,LCI!$B$2:$B$130&amp;LCI!$D$2:$D$130,0))*$C$312)</f>
        <v>9.5029512397811171</v>
      </c>
      <c r="S312" s="158" cm="1">
        <f t="array" ref="S312">IF($D312="Recycled_concrete_aggregate",0,INDEX(LCI!V$2:V$130,MATCH('C3'' - Secondary Raw Material '!$B$312&amp;'C3'' - Secondary Raw Material '!$D$312,LCI!$B$2:$B$130&amp;LCI!$D$2:$D$130,0))*$C$312)</f>
        <v>1.0240903503460092E-5</v>
      </c>
      <c r="T312" s="158" cm="1">
        <f t="array" ref="T312">IF($D312="Recycled_concrete_aggregate",0,INDEX(LCI!W$2:W$130,MATCH('C3'' - Secondary Raw Material '!$B$312&amp;'C3'' - Secondary Raw Material '!$D$312,LCI!$B$2:$B$130&amp;LCI!$D$2:$D$130,0))*$C$312)</f>
        <v>1.604849100830228E-8</v>
      </c>
      <c r="U312" s="158" cm="1">
        <f t="array" ref="U312">IF($D312="Recycled_concrete_aggregate",0,INDEX(LCI!X$2:X$130,MATCH('C3'' - Secondary Raw Material '!$B$312&amp;'C3'' - Secondary Raw Material '!$D$312,LCI!$B$2:$B$130&amp;LCI!$D$2:$D$130,0))*$C$312)</f>
        <v>1.7464324557017546E-7</v>
      </c>
      <c r="V312" s="158" cm="1">
        <f t="array" ref="V312">IF($D312="Recycled_concrete_aggregate",0,INDEX(LCI!Y$2:Y$130,MATCH('C3'' - Secondary Raw Material '!$B$312&amp;'C3'' - Secondary Raw Material '!$D$312,LCI!$B$2:$B$130&amp;LCI!$D$2:$D$130,0))*$C$312)</f>
        <v>6.5375938284202599E-3</v>
      </c>
      <c r="W312" s="158" cm="1">
        <f t="array" ref="W312">IF($D312="Recycled_concrete_aggregate",0,INDEX(LCI!Z$2:Z$130,MATCH('C3'' - Secondary Raw Material '!$B$312&amp;'C3'' - Secondary Raw Material '!$D$312,LCI!$B$2:$B$130&amp;LCI!$D$2:$D$130,0))*$C$312)</f>
        <v>0.33600324179788976</v>
      </c>
    </row>
    <row r="313" spans="1:23" x14ac:dyDescent="0.25">
      <c r="A313" s="1" t="s">
        <v>220</v>
      </c>
      <c r="B313" s="1"/>
      <c r="C313" s="1"/>
      <c r="D313" s="1"/>
      <c r="E313" s="1">
        <f>SUM(E311:E312)</f>
        <v>7.4614801755188892E-2</v>
      </c>
      <c r="F313" s="1">
        <f t="shared" ref="F313:W313" si="26">SUM(F311:F312)</f>
        <v>15.943578575545565</v>
      </c>
      <c r="G313" s="1">
        <f t="shared" si="26"/>
        <v>1.8525861342432801</v>
      </c>
      <c r="H313" s="1">
        <f t="shared" si="26"/>
        <v>14.066790917499482</v>
      </c>
      <c r="I313" s="1">
        <f t="shared" si="26"/>
        <v>2.4201523802802133E-2</v>
      </c>
      <c r="J313" s="1">
        <f t="shared" si="26"/>
        <v>118.82289100740914</v>
      </c>
      <c r="K313" s="1">
        <f t="shared" si="26"/>
        <v>169.03414454644954</v>
      </c>
      <c r="L313" s="1">
        <f t="shared" si="26"/>
        <v>4.9052890469591243E-3</v>
      </c>
      <c r="M313" s="1">
        <f t="shared" si="26"/>
        <v>1.9348140512542879E-2</v>
      </c>
      <c r="N313" s="1">
        <f t="shared" si="26"/>
        <v>0.1608828131253508</v>
      </c>
      <c r="O313" s="1">
        <f t="shared" si="26"/>
        <v>1.2245130128523432E-8</v>
      </c>
      <c r="P313" s="1">
        <f t="shared" si="26"/>
        <v>1.8431710214394321E-7</v>
      </c>
      <c r="Q313" s="1">
        <f t="shared" si="26"/>
        <v>1.0459014950167349</v>
      </c>
      <c r="R313" s="1">
        <f t="shared" si="26"/>
        <v>88.296549203765139</v>
      </c>
      <c r="S313" s="1">
        <f t="shared" si="26"/>
        <v>8.5211256254361529E-5</v>
      </c>
      <c r="T313" s="1">
        <f t="shared" si="26"/>
        <v>1.2693175763633234E-7</v>
      </c>
      <c r="U313" s="1">
        <f t="shared" si="26"/>
        <v>2.046059863866599E-6</v>
      </c>
      <c r="V313" s="1">
        <f t="shared" si="26"/>
        <v>5.2631459026116954E-2</v>
      </c>
      <c r="W313" s="1">
        <f t="shared" si="26"/>
        <v>3.4004859407574077</v>
      </c>
    </row>
    <row r="317" spans="1:23" ht="24" x14ac:dyDescent="0.4">
      <c r="A317" s="100" t="s">
        <v>543</v>
      </c>
    </row>
    <row r="318" spans="1:23" x14ac:dyDescent="0.25">
      <c r="D318" s="28"/>
      <c r="E318" s="393"/>
      <c r="F318" s="393"/>
    </row>
    <row r="319" spans="1:23" x14ac:dyDescent="0.25">
      <c r="A319" s="107" t="s">
        <v>164</v>
      </c>
      <c r="B319" s="128" t="s">
        <v>544</v>
      </c>
      <c r="C319" s="107" t="s">
        <v>365</v>
      </c>
      <c r="D319" s="107" t="s">
        <v>340</v>
      </c>
      <c r="E319" s="107" t="s">
        <v>341</v>
      </c>
      <c r="F319" s="62" t="s">
        <v>545</v>
      </c>
    </row>
    <row r="320" spans="1:23" x14ac:dyDescent="0.25">
      <c r="A320" s="1" t="s">
        <v>344</v>
      </c>
      <c r="B320" s="154">
        <f>SUM(H179:H182)</f>
        <v>2.9142705942485195E-4</v>
      </c>
      <c r="C320" s="154">
        <f>SUM(H187:H190)</f>
        <v>0</v>
      </c>
      <c r="D320" s="158" cm="1">
        <f t="array" ref="D320">IF($D311="Recycled_concrete_aggregate",0,INDEX(LCI!H$2:H$130,MATCH('C3'' - Secondary Raw Material '!$B$311&amp;'C3'' - Secondary Raw Material '!$D$311,LCI!$B$2:$B$130&amp;LCI!$D$2:$D$130,0))*$C$311)</f>
        <v>5.9366429705583423E-2</v>
      </c>
      <c r="E320" s="158" cm="1">
        <f t="array" ref="E320">IF($D312="Recycled_concrete_aggregate",0,INDEX(LCI!H$2:H$130,MATCH('C3'' - Secondary Raw Material '!$B$312&amp;'C3'' - Secondary Raw Material '!$D$312,LCI!$B$2:$B$130&amp;LCI!$D$2:$D$130,0))*$C$312)</f>
        <v>1.5248372049605463E-2</v>
      </c>
      <c r="F320" s="154">
        <f t="shared" ref="F320:F338" si="27">SUM(B320:E320)</f>
        <v>7.4906228814613743E-2</v>
      </c>
    </row>
    <row r="321" spans="1:6" x14ac:dyDescent="0.25">
      <c r="A321" s="1" t="s">
        <v>304</v>
      </c>
      <c r="B321" s="154">
        <f>SUM(I179:I182)</f>
        <v>0.22794679520343747</v>
      </c>
      <c r="C321" s="154">
        <f>SUM(I187:I190)</f>
        <v>0</v>
      </c>
      <c r="D321" s="158" cm="1">
        <f t="array" ref="D321">IF($D311="Recycled_concrete_aggregate",0,INDEX(LCI!I$2:I$130,MATCH('C3'' - Secondary Raw Material '!$B$311&amp;'C3'' - Secondary Raw Material '!$D$311,LCI!$B$2:$B$130&amp;LCI!$D$2:$D$130,0))*$C$311)</f>
        <v>14.023620626519541</v>
      </c>
      <c r="E321" s="158" cm="1">
        <f t="array" ref="E321">IF($D312="Recycled_concrete_aggregate",0,INDEX(LCI!I$2:I$130,MATCH('C3'' - Secondary Raw Material '!$B$312&amp;'C3'' - Secondary Raw Material '!$D$312,LCI!$B$2:$B$130&amp;LCI!$D$2:$D$130,0))*$C$312)</f>
        <v>1.9199579490260232</v>
      </c>
      <c r="F321" s="154">
        <f t="shared" si="27"/>
        <v>16.171525370749002</v>
      </c>
    </row>
    <row r="322" spans="1:6" x14ac:dyDescent="0.25">
      <c r="A322" s="1" t="s">
        <v>305</v>
      </c>
      <c r="B322" s="154">
        <f>SUM(J179:J182)</f>
        <v>4.7110820736309001E-5</v>
      </c>
      <c r="C322" s="154">
        <f>SUM(J187:J190)</f>
        <v>0</v>
      </c>
      <c r="D322" s="158" cm="1">
        <f t="array" ref="D322">IF($D311="Recycled_concrete_aggregate",0,INDEX(LCI!J$2:J$130,MATCH('C3'' - Secondary Raw Material '!$B$311&amp;'C3'' - Secondary Raw Material '!$D$311,LCI!$B$2:$B$130&amp;LCI!$D$2:$D$130,0))*$C$311)</f>
        <v>1.8362765019448386</v>
      </c>
      <c r="E322" s="158" cm="1">
        <f t="array" ref="E322">IF($D312="Recycled_concrete_aggregate",0,INDEX(LCI!J$2:J$130,MATCH('C3'' - Secondary Raw Material '!$B$312&amp;'C3'' - Secondary Raw Material '!$D$312,LCI!$B$2:$B$130&amp;LCI!$D$2:$D$130,0))*$C$312)</f>
        <v>1.6309632298441422E-2</v>
      </c>
      <c r="F322" s="154">
        <f t="shared" si="27"/>
        <v>1.8526332450640164</v>
      </c>
    </row>
    <row r="323" spans="1:6" x14ac:dyDescent="0.25">
      <c r="A323" s="1" t="s">
        <v>306</v>
      </c>
      <c r="B323" s="154">
        <f>SUM(K179:K182)</f>
        <v>0.22788960397990332</v>
      </c>
      <c r="C323" s="154">
        <f>SUM(K187:K190)</f>
        <v>0</v>
      </c>
      <c r="D323" s="158" cm="1">
        <f t="array" ref="D323">IF($D311="Recycled_concrete_aggregate",0,INDEX(LCI!K$2:K$130,MATCH('C3'' - Secondary Raw Material '!$B$311&amp;'C3'' - Secondary Raw Material '!$D$311,LCI!$B$2:$B$130&amp;LCI!$D$2:$D$130,0))*$C$311)</f>
        <v>12.166103199835428</v>
      </c>
      <c r="E323" s="158" cm="1">
        <f t="array" ref="E323">IF($D312="Recycled_concrete_aggregate",0,INDEX(LCI!K$2:K$130,MATCH('C3'' - Secondary Raw Material '!$B$312&amp;'C3'' - Secondary Raw Material '!$D$312,LCI!$B$2:$B$130&amp;LCI!$D$2:$D$130,0))*$C$312)</f>
        <v>1.900687717664054</v>
      </c>
      <c r="F323" s="154">
        <f t="shared" si="27"/>
        <v>14.294680521479386</v>
      </c>
    </row>
    <row r="324" spans="1:6" x14ac:dyDescent="0.25">
      <c r="A324" s="1" t="s">
        <v>307</v>
      </c>
      <c r="B324" s="154">
        <f>SUM(L179:L182)</f>
        <v>1.0080402797881333E-5</v>
      </c>
      <c r="C324" s="154">
        <f>SUM(L187:L190)</f>
        <v>0</v>
      </c>
      <c r="D324" s="158" cm="1">
        <f t="array" ref="D324">IF($D311="Recycled_concrete_aggregate",0,INDEX(LCI!L$2:L$130,MATCH('C3'' - Secondary Raw Material '!$B$311&amp;'C3'' - Secondary Raw Material '!$D$311,LCI!$B$2:$B$130&amp;LCI!$D$2:$D$130,0))*$C$311)</f>
        <v>2.1240924739274362E-2</v>
      </c>
      <c r="E324" s="158" cm="1">
        <f t="array" ref="E324">IF($D312="Recycled_concrete_aggregate",0,INDEX(LCI!L$2:L$130,MATCH('C3'' - Secondary Raw Material '!$B$312&amp;'C3'' - Secondary Raw Material '!$D$312,LCI!$B$2:$B$130&amp;LCI!$D$2:$D$130,0))*$C$312)</f>
        <v>2.9605990635277702E-3</v>
      </c>
      <c r="F324" s="154">
        <f t="shared" si="27"/>
        <v>2.4211604205600014E-2</v>
      </c>
    </row>
    <row r="325" spans="1:6" x14ac:dyDescent="0.25">
      <c r="A325" s="1" t="s">
        <v>308</v>
      </c>
      <c r="B325" s="154">
        <f>SUM(M179:M182)</f>
        <v>0.10071387518257968</v>
      </c>
      <c r="C325" s="154">
        <f>SUM(M187:M190)</f>
        <v>0</v>
      </c>
      <c r="D325" s="158" cm="1">
        <f t="array" ref="D325">IF($D311="Recycled_concrete_aggregate",0,INDEX(LCI!M$2:M$130,MATCH('C3'' - Secondary Raw Material '!$B$311&amp;'C3'' - Secondary Raw Material '!$D$311,LCI!$B$2:$B$130&amp;LCI!$D$2:$D$130,0))*$C$311)</f>
        <v>72.642820327017375</v>
      </c>
      <c r="E325" s="158" cm="1">
        <f t="array" ref="E325">IF($D312="Recycled_concrete_aggregate",0,INDEX(LCI!M$2:M$130,MATCH('C3'' - Secondary Raw Material '!$B$312&amp;'C3'' - Secondary Raw Material '!$D$312,LCI!$B$2:$B$130&amp;LCI!$D$2:$D$130,0))*$C$312)</f>
        <v>46.180070680391765</v>
      </c>
      <c r="F325" s="154">
        <f t="shared" si="27"/>
        <v>118.92360488259172</v>
      </c>
    </row>
    <row r="326" spans="1:6" x14ac:dyDescent="0.25">
      <c r="A326" s="1" t="s">
        <v>309</v>
      </c>
      <c r="B326" s="154">
        <f>SUM(N179:N182)</f>
        <v>3.0277427718114946</v>
      </c>
      <c r="C326" s="154">
        <f>SUM(N187:N190)</f>
        <v>0</v>
      </c>
      <c r="D326" s="158" cm="1">
        <f t="array" ref="D326">IF($D311="Recycled_concrete_aggregate",0,INDEX(LCI!N$2:N$130,MATCH('C3'' - Secondary Raw Material '!$B$311&amp;'C3'' - Secondary Raw Material '!$D$311,LCI!$B$2:$B$130&amp;LCI!$D$2:$D$130,0))*$C$311)</f>
        <v>148.14473024705143</v>
      </c>
      <c r="E326" s="158" cm="1">
        <f t="array" ref="E326">IF($D312="Recycled_concrete_aggregate",0,INDEX(LCI!N$2:N$130,MATCH('C3'' - Secondary Raw Material '!$B$312&amp;'C3'' - Secondary Raw Material '!$D$312,LCI!$B$2:$B$130&amp;LCI!$D$2:$D$130,0))*$C$312)</f>
        <v>20.889414299398101</v>
      </c>
      <c r="F326" s="154">
        <f t="shared" si="27"/>
        <v>172.06188731826103</v>
      </c>
    </row>
    <row r="327" spans="1:6" x14ac:dyDescent="0.25">
      <c r="A327" s="1" t="s">
        <v>310</v>
      </c>
      <c r="B327" s="154">
        <f>SUM(O179:O182)</f>
        <v>2.4097057136146485E-6</v>
      </c>
      <c r="C327" s="154">
        <f>SUM(O187:O190)</f>
        <v>0</v>
      </c>
      <c r="D327" s="158" cm="1">
        <f t="array" ref="D327">IF($D311="Recycled_concrete_aggregate",0,INDEX(LCI!O$2:O$130,MATCH('C3'' - Secondary Raw Material '!$B$311&amp;'C3'' - Secondary Raw Material '!$D$311,LCI!$B$2:$B$130&amp;LCI!$D$2:$D$130,0))*$C$311)</f>
        <v>4.4179738961968576E-3</v>
      </c>
      <c r="E327" s="158" cm="1">
        <f t="array" ref="E327">IF($D312="Recycled_concrete_aggregate",0,INDEX(LCI!O$2:O$130,MATCH('C3'' - Secondary Raw Material '!$B$312&amp;'C3'' - Secondary Raw Material '!$D$312,LCI!$B$2:$B$130&amp;LCI!$D$2:$D$130,0))*$C$312)</f>
        <v>4.8731515076226703E-4</v>
      </c>
      <c r="F327" s="154">
        <f t="shared" si="27"/>
        <v>4.9076987526727386E-3</v>
      </c>
    </row>
    <row r="328" spans="1:6" x14ac:dyDescent="0.25">
      <c r="A328" s="1" t="s">
        <v>311</v>
      </c>
      <c r="B328" s="154">
        <f>SUM(P179:P182)</f>
        <v>6.5901152916486919E-5</v>
      </c>
      <c r="C328" s="154">
        <f>SUM(P187:P190)</f>
        <v>0</v>
      </c>
      <c r="D328" s="158" cm="1">
        <f t="array" ref="D328">IF($D311="Recycled_concrete_aggregate",0,INDEX(LCI!P$2:P$130,MATCH('C3'' - Secondary Raw Material '!$B$311&amp;'C3'' - Secondary Raw Material '!$D$311,LCI!$B$2:$B$130&amp;LCI!$D$2:$D$130,0))*$C$311)</f>
        <v>1.7531532862579042E-2</v>
      </c>
      <c r="E328" s="158" cm="1">
        <f t="array" ref="E328">IF($D312="Recycled_concrete_aggregate",0,INDEX(LCI!P$2:P$130,MATCH('C3'' - Secondary Raw Material '!$B$312&amp;'C3'' - Secondary Raw Material '!$D$312,LCI!$B$2:$B$130&amp;LCI!$D$2:$D$130,0))*$C$312)</f>
        <v>1.8166076499638367E-3</v>
      </c>
      <c r="F328" s="154">
        <f t="shared" si="27"/>
        <v>1.9414041665459368E-2</v>
      </c>
    </row>
    <row r="329" spans="1:6" x14ac:dyDescent="0.25">
      <c r="A329" s="1" t="s">
        <v>312</v>
      </c>
      <c r="B329" s="154">
        <f>SUM(Q179:Q182)</f>
        <v>7.1642673843848716E-4</v>
      </c>
      <c r="C329" s="154">
        <f>SUM(Q187:Q190)</f>
        <v>0</v>
      </c>
      <c r="D329" s="158" cm="1">
        <f t="array" ref="D329">IF($D311="Recycled_concrete_aggregate",0,INDEX(LCI!Q$2:Q$130,MATCH('C3'' - Secondary Raw Material '!$B$311&amp;'C3'' - Secondary Raw Material '!$D$311,LCI!$B$2:$B$130&amp;LCI!$D$2:$D$130,0))*$C$311)</f>
        <v>0.14150130924124973</v>
      </c>
      <c r="E329" s="158" cm="1">
        <f t="array" ref="E329">IF($D312="Recycled_concrete_aggregate",0,INDEX(LCI!Q$2:Q$130,MATCH('C3'' - Secondary Raw Material '!$B$312&amp;'C3'' - Secondary Raw Material '!$D$312,LCI!$B$2:$B$130&amp;LCI!$D$2:$D$130,0))*$C$312)</f>
        <v>1.9381503884101078E-2</v>
      </c>
      <c r="F329" s="154">
        <f t="shared" si="27"/>
        <v>0.16159923986378932</v>
      </c>
    </row>
    <row r="330" spans="1:6" x14ac:dyDescent="0.25">
      <c r="A330" s="1" t="s">
        <v>313</v>
      </c>
      <c r="B330" s="154">
        <f>SUM(R179:R182)</f>
        <v>1.3929950756463255E-11</v>
      </c>
      <c r="C330" s="154">
        <f>SUM(R187:R190)</f>
        <v>0</v>
      </c>
      <c r="D330" s="158" cm="1">
        <f t="array" ref="D330">IF($D311="Recycled_concrete_aggregate",0,INDEX(LCI!R$2:R$130,MATCH('C3'' - Secondary Raw Material '!$B$311&amp;'C3'' - Secondary Raw Material '!$D$311,LCI!$B$2:$B$130&amp;LCI!$D$2:$D$130,0))*$C$311)</f>
        <v>1.1878180694629077E-8</v>
      </c>
      <c r="E330" s="158" cm="1">
        <f t="array" ref="E330">IF($D312="Recycled_concrete_aggregate",0,INDEX(LCI!R$2:R$130,MATCH('C3'' - Secondary Raw Material '!$B$312&amp;'C3'' - Secondary Raw Material '!$D$312,LCI!$B$2:$B$130&amp;LCI!$D$2:$D$130,0))*$C$312)</f>
        <v>3.669494338943548E-10</v>
      </c>
      <c r="F330" s="154">
        <f t="shared" si="27"/>
        <v>1.2259060079279895E-8</v>
      </c>
    </row>
    <row r="331" spans="1:6" x14ac:dyDescent="0.25">
      <c r="A331" s="1" t="s">
        <v>345</v>
      </c>
      <c r="B331" s="154">
        <f>SUM(S179:S182)</f>
        <v>3.7129003759441711E-10</v>
      </c>
      <c r="C331" s="154">
        <f>SUM(S187:S190)</f>
        <v>0</v>
      </c>
      <c r="D331" s="158" cm="1">
        <f t="array" ref="D331">IF($D311="Recycled_concrete_aggregate",0,INDEX(LCI!S$2:S$130,MATCH('C3'' - Secondary Raw Material '!$B$311&amp;'C3'' - Secondary Raw Material '!$D$311,LCI!$B$2:$B$130&amp;LCI!$D$2:$D$130,0))*$C$311)</f>
        <v>1.6760675627332619E-7</v>
      </c>
      <c r="E331" s="158" cm="1">
        <f t="array" ref="E331">IF($D312="Recycled_concrete_aggregate",0,INDEX(LCI!S$2:S$130,MATCH('C3'' - Secondary Raw Material '!$B$312&amp;'C3'' - Secondary Raw Material '!$D$312,LCI!$B$2:$B$130&amp;LCI!$D$2:$D$130,0))*$C$312)</f>
        <v>1.6710345870617017E-8</v>
      </c>
      <c r="F331" s="154">
        <f t="shared" si="27"/>
        <v>1.8468839218153762E-7</v>
      </c>
    </row>
    <row r="332" spans="1:6" x14ac:dyDescent="0.25">
      <c r="A332" s="1" t="s">
        <v>315</v>
      </c>
      <c r="B332" s="154">
        <f>SUM(T179:T182)</f>
        <v>9.0910486647986951E-4</v>
      </c>
      <c r="C332" s="154">
        <f>SUM(T187:T190)</f>
        <v>0</v>
      </c>
      <c r="D332" s="158" cm="1">
        <f t="array" ref="D332">IF($D311="Recycled_concrete_aggregate",0,INDEX(LCI!T$2:T$130,MATCH('C3'' - Secondary Raw Material '!$B$311&amp;'C3'' - Secondary Raw Material '!$D$311,LCI!$B$2:$B$130&amp;LCI!$D$2:$D$130,0))*$C$311)</f>
        <v>0.93828796587371099</v>
      </c>
      <c r="E332" s="158" cm="1">
        <f t="array" ref="E332">IF($D312="Recycled_concrete_aggregate",0,INDEX(LCI!T$2:T$130,MATCH('C3'' - Secondary Raw Material '!$B$312&amp;'C3'' - Secondary Raw Material '!$D$312,LCI!$B$2:$B$130&amp;LCI!$D$2:$D$130,0))*$C$312)</f>
        <v>0.10761352914302402</v>
      </c>
      <c r="F332" s="154">
        <f t="shared" si="27"/>
        <v>1.0468105998832149</v>
      </c>
    </row>
    <row r="333" spans="1:6" x14ac:dyDescent="0.25">
      <c r="A333" s="1" t="s">
        <v>316</v>
      </c>
      <c r="B333" s="154">
        <f>SUM(U179:U182)</f>
        <v>0.15566966451946462</v>
      </c>
      <c r="C333" s="154">
        <f>SUM(U187:U190)</f>
        <v>0</v>
      </c>
      <c r="D333" s="158" cm="1">
        <f t="array" ref="D333">IF($D311="Recycled_concrete_aggregate",0,INDEX(LCI!U$2:U$130,MATCH('C3'' - Secondary Raw Material '!$B$311&amp;'C3'' - Secondary Raw Material '!$D$311,LCI!$B$2:$B$130&amp;LCI!$D$2:$D$130,0))*$C$311)</f>
        <v>78.793597963984027</v>
      </c>
      <c r="E333" s="158" cm="1">
        <f t="array" ref="E333">IF($D312="Recycled_concrete_aggregate",0,INDEX(LCI!U$2:U$130,MATCH('C3'' - Secondary Raw Material '!$B$312&amp;'C3'' - Secondary Raw Material '!$D$312,LCI!$B$2:$B$130&amp;LCI!$D$2:$D$130,0))*$C$312)</f>
        <v>9.5029512397811171</v>
      </c>
      <c r="F333" s="154">
        <f t="shared" si="27"/>
        <v>88.452218868284604</v>
      </c>
    </row>
    <row r="334" spans="1:6" x14ac:dyDescent="0.25">
      <c r="A334" s="1" t="s">
        <v>317</v>
      </c>
      <c r="B334" s="154">
        <f>SUM(V179:V182)</f>
        <v>3.5544177384869613E-8</v>
      </c>
      <c r="C334" s="154">
        <f>SUM(V187:V190)</f>
        <v>0</v>
      </c>
      <c r="D334" s="158" cm="1">
        <f t="array" ref="D334">IF($D311="Recycled_concrete_aggregate",0,INDEX(LCI!V$2:V$130,MATCH('C3'' - Secondary Raw Material '!$B$311&amp;'C3'' - Secondary Raw Material '!$D$311,LCI!$B$2:$B$130&amp;LCI!$D$2:$D$130,0))*$C$311)</f>
        <v>7.4970352750901442E-5</v>
      </c>
      <c r="E334" s="158" cm="1">
        <f t="array" ref="E334">IF($D312="Recycled_concrete_aggregate",0,INDEX(LCI!V$2:V$130,MATCH('C3'' - Secondary Raw Material '!$B$312&amp;'C3'' - Secondary Raw Material '!$D$312,LCI!$B$2:$B$130&amp;LCI!$D$2:$D$130,0))*$C$312)</f>
        <v>1.0240903503460092E-5</v>
      </c>
      <c r="F334" s="154">
        <f t="shared" si="27"/>
        <v>8.52468004317464E-5</v>
      </c>
    </row>
    <row r="335" spans="1:6" x14ac:dyDescent="0.25">
      <c r="A335" s="1" t="s">
        <v>318</v>
      </c>
      <c r="B335" s="154">
        <f>SUM(W179:W182)</f>
        <v>5.1366938580633615E-9</v>
      </c>
      <c r="C335" s="154">
        <f>SUM(W187:W190)</f>
        <v>0</v>
      </c>
      <c r="D335" s="158" cm="1">
        <f t="array" ref="D335">IF($D311="Recycled_concrete_aggregate",0,INDEX(LCI!W$2:W$130,MATCH('C3'' - Secondary Raw Material '!$B$311&amp;'C3'' - Secondary Raw Material '!$D$311,LCI!$B$2:$B$130&amp;LCI!$D$2:$D$130,0))*$C$311)</f>
        <v>1.1088326662803008E-7</v>
      </c>
      <c r="E335" s="158" cm="1">
        <f t="array" ref="E335">IF($D312="Recycled_concrete_aggregate",0,INDEX(LCI!W$2:W$130,MATCH('C3'' - Secondary Raw Material '!$B$312&amp;'C3'' - Secondary Raw Material '!$D$312,LCI!$B$2:$B$130&amp;LCI!$D$2:$D$130,0))*$C$312)</f>
        <v>1.604849100830228E-8</v>
      </c>
      <c r="F335" s="154">
        <f t="shared" si="27"/>
        <v>1.3206845149439572E-7</v>
      </c>
    </row>
    <row r="336" spans="1:6" x14ac:dyDescent="0.25">
      <c r="A336" s="1" t="s">
        <v>319</v>
      </c>
      <c r="B336" s="154">
        <f>SUM(X179:X182)</f>
        <v>2.2451072457354859E-9</v>
      </c>
      <c r="C336" s="154">
        <f>SUM(X187:X190)</f>
        <v>0</v>
      </c>
      <c r="D336" s="158" cm="1">
        <f t="array" ref="D336">IF($D311="Recycled_concrete_aggregate",0,INDEX(LCI!X$2:X$130,MATCH('C3'' - Secondary Raw Material '!$B$311&amp;'C3'' - Secondary Raw Material '!$D$311,LCI!$B$2:$B$130&amp;LCI!$D$2:$D$130,0))*$C$311)</f>
        <v>1.8714166182964235E-6</v>
      </c>
      <c r="E336" s="158" cm="1">
        <f t="array" ref="E336">IF($D312="Recycled_concrete_aggregate",0,INDEX(LCI!X$2:X$130,MATCH('C3'' - Secondary Raw Material '!$B$312&amp;'C3'' - Secondary Raw Material '!$D$312,LCI!$B$2:$B$130&amp;LCI!$D$2:$D$130,0))*$C$312)</f>
        <v>1.7464324557017546E-7</v>
      </c>
      <c r="F336" s="154">
        <f t="shared" si="27"/>
        <v>2.0483049711123346E-6</v>
      </c>
    </row>
    <row r="337" spans="1:6" x14ac:dyDescent="0.25">
      <c r="A337" s="1" t="s">
        <v>320</v>
      </c>
      <c r="B337" s="154">
        <f>SUM(Y179:Y182)</f>
        <v>5.6146409467306931E-4</v>
      </c>
      <c r="C337" s="154">
        <f>SUM(Y187:Y190)</f>
        <v>0</v>
      </c>
      <c r="D337" s="158" cm="1">
        <f t="array" ref="D337">IF($D311="Recycled_concrete_aggregate",0,INDEX(LCI!Y$2:Y$130,MATCH('C3'' - Secondary Raw Material '!$B$311&amp;'C3'' - Secondary Raw Material '!$D$311,LCI!$B$2:$B$130&amp;LCI!$D$2:$D$130,0))*$C$311)</f>
        <v>4.6093865197696697E-2</v>
      </c>
      <c r="E337" s="158" cm="1">
        <f t="array" ref="E337">IF($D312="Recycled_concrete_aggregate",0,INDEX(LCI!Y$2:Y$130,MATCH('C3'' - Secondary Raw Material '!$B$312&amp;'C3'' - Secondary Raw Material '!$D$312,LCI!$B$2:$B$130&amp;LCI!$D$2:$D$130,0))*$C$312)</f>
        <v>6.5375938284202599E-3</v>
      </c>
      <c r="F337" s="154">
        <f t="shared" si="27"/>
        <v>5.3192923120790027E-2</v>
      </c>
    </row>
    <row r="338" spans="1:6" x14ac:dyDescent="0.25">
      <c r="A338" s="1" t="s">
        <v>321</v>
      </c>
      <c r="B338" s="154">
        <f>SUM(Z179:Z182)</f>
        <v>4.0978206270766756E-3</v>
      </c>
      <c r="C338" s="154">
        <f>SUM(Z187:Z190)</f>
        <v>0</v>
      </c>
      <c r="D338" s="158" cm="1">
        <f t="array" ref="D338">IF($D311="Recycled_concrete_aggregate",0,INDEX(LCI!Z$2:Z$130,MATCH('C3'' - Secondary Raw Material '!$B$311&amp;'C3'' - Secondary Raw Material '!$D$311,LCI!$B$2:$B$130&amp;LCI!$D$2:$D$130,0))*$C$311)</f>
        <v>3.0644826989595182</v>
      </c>
      <c r="E338" s="158" cm="1">
        <f t="array" ref="E338">IF($D312="Recycled_concrete_aggregate",0,INDEX(LCI!Z$2:Z$130,MATCH('C3'' - Secondary Raw Material '!$B$312&amp;'C3'' - Secondary Raw Material '!$D$312,LCI!$B$2:$B$130&amp;LCI!$D$2:$D$130,0))*$C$312)</f>
        <v>0.33600324179788976</v>
      </c>
      <c r="F338" s="154">
        <f t="shared" si="27"/>
        <v>3.4045837613844849</v>
      </c>
    </row>
    <row r="342" spans="1:6" x14ac:dyDescent="0.25">
      <c r="B342" t="s">
        <v>546</v>
      </c>
    </row>
    <row r="343" spans="1:6" x14ac:dyDescent="0.25">
      <c r="A343" s="95" t="s">
        <v>351</v>
      </c>
      <c r="B343" s="1">
        <f>SUM($H$183:$Z$183)+SUM($H$191:$Z$191)+SUM(E311:W312)</f>
        <v>416.5462639282415</v>
      </c>
    </row>
    <row r="344" spans="1:6" x14ac:dyDescent="0.25">
      <c r="A344" s="95" t="s">
        <v>352</v>
      </c>
      <c r="B344" s="1">
        <f>SUM($B$320:$E$338)</f>
        <v>416.54626392824156</v>
      </c>
    </row>
    <row r="345" spans="1:6" x14ac:dyDescent="0.25">
      <c r="A345" s="95" t="s">
        <v>62</v>
      </c>
      <c r="B345" s="204">
        <f>B343-B344</f>
        <v>0</v>
      </c>
    </row>
    <row r="346" spans="1:6" x14ac:dyDescent="0.25">
      <c r="C346" s="95"/>
    </row>
    <row r="347" spans="1:6" x14ac:dyDescent="0.25">
      <c r="C347" s="95"/>
    </row>
    <row r="348" spans="1:6" x14ac:dyDescent="0.25">
      <c r="C348" s="95"/>
      <c r="D348" s="257"/>
    </row>
    <row r="353" spans="1:2" x14ac:dyDescent="0.25">
      <c r="B353"/>
    </row>
    <row r="354" spans="1:2" x14ac:dyDescent="0.25">
      <c r="A354" s="95"/>
      <c r="B354"/>
    </row>
    <row r="355" spans="1:2" x14ac:dyDescent="0.25">
      <c r="A355" s="95"/>
      <c r="B355"/>
    </row>
    <row r="356" spans="1:2" x14ac:dyDescent="0.2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5" x14ac:dyDescent="0.25"/>
  <cols>
    <col min="1" max="1" width="87.140625" customWidth="1"/>
    <col min="2" max="2" width="40.28515625" customWidth="1"/>
    <col min="3" max="3" width="24.42578125" customWidth="1"/>
    <col min="4" max="4" width="26.7109375" customWidth="1"/>
    <col min="5" max="5" width="19.85546875" customWidth="1"/>
    <col min="6" max="6" width="18.140625" customWidth="1"/>
    <col min="7" max="7" width="21.140625" customWidth="1"/>
    <col min="8" max="8" width="20.85546875" customWidth="1"/>
    <col min="9" max="9" width="21.5703125" customWidth="1"/>
    <col min="10" max="10" width="19" customWidth="1"/>
    <col min="11" max="11" width="20.140625" customWidth="1"/>
    <col min="12" max="12" width="19.140625" customWidth="1"/>
    <col min="13" max="13" width="22.140625" customWidth="1"/>
    <col min="14" max="14" width="23.28515625" customWidth="1"/>
    <col min="15" max="15" width="21.140625" customWidth="1"/>
    <col min="16" max="16" width="18.140625" customWidth="1"/>
    <col min="17" max="17" width="19" customWidth="1"/>
    <col min="18" max="18" width="16.85546875" customWidth="1"/>
    <col min="19" max="19" width="20.28515625" customWidth="1"/>
    <col min="20" max="20" width="20.85546875" customWidth="1"/>
    <col min="21" max="21" width="19" customWidth="1"/>
    <col min="22" max="22" width="20.85546875" customWidth="1"/>
    <col min="23" max="23" width="18.140625" customWidth="1"/>
    <col min="24" max="24" width="19.140625" customWidth="1"/>
    <col min="25" max="25" width="17.42578125" customWidth="1"/>
    <col min="26" max="26" width="14.28515625" customWidth="1"/>
    <col min="27" max="27" width="8.85546875" customWidth="1"/>
    <col min="28" max="28" width="12.42578125" customWidth="1"/>
  </cols>
  <sheetData>
    <row r="1" spans="1:25" ht="24" x14ac:dyDescent="0.4">
      <c r="A1" s="100" t="s">
        <v>547</v>
      </c>
    </row>
    <row r="3" spans="1:25" x14ac:dyDescent="0.25">
      <c r="A3" s="397" t="s">
        <v>548</v>
      </c>
      <c r="B3" s="397"/>
      <c r="C3" s="62" t="s">
        <v>377</v>
      </c>
      <c r="D3" s="62" t="s">
        <v>378</v>
      </c>
    </row>
    <row r="4" spans="1:25" x14ac:dyDescent="0.25">
      <c r="A4" s="1" t="s">
        <v>549</v>
      </c>
      <c r="B4" s="106">
        <v>1.24</v>
      </c>
      <c r="C4" t="s">
        <v>550</v>
      </c>
      <c r="D4" s="30" t="s">
        <v>551</v>
      </c>
      <c r="E4" s="20"/>
    </row>
    <row r="5" spans="1:25" x14ac:dyDescent="0.25">
      <c r="A5" s="1" t="s">
        <v>552</v>
      </c>
      <c r="B5" s="106">
        <v>36.286999999999999</v>
      </c>
      <c r="C5" s="1"/>
      <c r="D5" s="1"/>
    </row>
    <row r="6" spans="1:25" x14ac:dyDescent="0.25">
      <c r="A6" s="1" t="s">
        <v>553</v>
      </c>
      <c r="B6" s="163">
        <f>B4/B5</f>
        <v>3.417201752693802E-2</v>
      </c>
      <c r="C6" s="1"/>
      <c r="D6" s="1"/>
    </row>
    <row r="10" spans="1:25" x14ac:dyDescent="0.25">
      <c r="A10" t="s">
        <v>554</v>
      </c>
    </row>
    <row r="12" spans="1:25" ht="24" x14ac:dyDescent="0.4">
      <c r="A12" s="100" t="s">
        <v>555</v>
      </c>
    </row>
    <row r="14" spans="1:25" ht="100.15" customHeight="1" x14ac:dyDescent="0.25">
      <c r="A14" s="104" t="s">
        <v>300</v>
      </c>
      <c r="B14" s="104" t="s">
        <v>301</v>
      </c>
      <c r="C14" s="103" t="s">
        <v>302</v>
      </c>
      <c r="D14" s="103" t="s">
        <v>60</v>
      </c>
      <c r="E14" s="103" t="s">
        <v>556</v>
      </c>
      <c r="F14" s="103" t="s">
        <v>557</v>
      </c>
      <c r="G14" s="103" t="s">
        <v>303</v>
      </c>
      <c r="H14" s="103" t="s">
        <v>304</v>
      </c>
      <c r="I14" s="103" t="s">
        <v>305</v>
      </c>
      <c r="J14" s="103" t="s">
        <v>306</v>
      </c>
      <c r="K14" s="103" t="s">
        <v>307</v>
      </c>
      <c r="L14" s="103" t="s">
        <v>308</v>
      </c>
      <c r="M14" s="103" t="s">
        <v>309</v>
      </c>
      <c r="N14" s="103" t="s">
        <v>310</v>
      </c>
      <c r="O14" s="103" t="s">
        <v>311</v>
      </c>
      <c r="P14" s="103" t="s">
        <v>312</v>
      </c>
      <c r="Q14" s="103" t="s">
        <v>313</v>
      </c>
      <c r="R14" s="103" t="s">
        <v>314</v>
      </c>
      <c r="S14" s="103" t="s">
        <v>315</v>
      </c>
      <c r="T14" s="103" t="s">
        <v>316</v>
      </c>
      <c r="U14" s="103" t="s">
        <v>317</v>
      </c>
      <c r="V14" s="103" t="s">
        <v>318</v>
      </c>
      <c r="W14" s="103" t="s">
        <v>319</v>
      </c>
      <c r="X14" s="103" t="s">
        <v>320</v>
      </c>
      <c r="Y14" s="103" t="s">
        <v>321</v>
      </c>
    </row>
    <row r="15" spans="1:25" x14ac:dyDescent="0.25">
      <c r="A15" s="6" t="s">
        <v>287</v>
      </c>
      <c r="B15" s="158" t="str">
        <f>Input!A39</f>
        <v>Virgin binder</v>
      </c>
      <c r="C15" s="158">
        <f>+Input!B39</f>
        <v>0.02</v>
      </c>
      <c r="D15" s="158">
        <f>Input!$L39</f>
        <v>20</v>
      </c>
      <c r="E15" s="158" t="str">
        <f>Input!$J39</f>
        <v>Truck</v>
      </c>
      <c r="F15" s="158" t="str">
        <f>Input!$K39</f>
        <v>Diesel_Euro6</v>
      </c>
      <c r="G15" s="158" cm="1">
        <f t="array" ref="G15">INDEX(LCI!H$2:H$73, MATCH($E15&amp;$F15, LCI!$B$2:$B$73&amp;LCI!$D$2:$D$73, 0))* IF(AND($E15="Truck", OR($F15="Electric", $F15="Electric_green")), $B$6, 1)* $C15* $D15</f>
        <v>9.46888E-5</v>
      </c>
      <c r="H15" s="158" cm="1">
        <f t="array" ref="H15">INDEX(LCI!I$2:I$73, MATCH($E15&amp;$F15, LCI!$B$2:$B$73&amp;LCI!$D$2:$D$73, 0))* IF(AND($E15="Truck", OR($F15="Electric", $F15="Electric_green")), $B$6, 1)* $C15* $D15</f>
        <v>6.3497943599999995E-2</v>
      </c>
      <c r="I15" s="158" cm="1">
        <f t="array" ref="I15">INDEX(LCI!J$2:J$73, MATCH($E15&amp;$F15, LCI!$B$2:$B$73&amp;LCI!$D$2:$D$73, 0))* IF(AND($E15="Truck", OR($F15="Electric", $F15="Electric_green")), $B$6, 1)* $C15* $D15</f>
        <v>2.967612E-5</v>
      </c>
      <c r="J15" s="158" cm="1">
        <f t="array" ref="J15">INDEX(LCI!K$2:K$73, MATCH($E15&amp;$F15, LCI!$B$2:$B$73&amp;LCI!$D$2:$D$73, 0))* IF(AND($E15="Truck", OR($F15="Electric", $F15="Electric_green")), $B$6, 1)* $C15* $D15</f>
        <v>6.34632168E-2</v>
      </c>
      <c r="K15" s="158" cm="1">
        <f t="array" ref="K15">INDEX(LCI!L$2:L$73, MATCH($E15&amp;$F15, LCI!$B$2:$B$73&amp;LCI!$D$2:$D$73, 0))* IF(AND($E15="Truck", OR($F15="Electric", $F15="Electric_green")), $B$6, 1)* $C15* $D15</f>
        <v>5.0506000000000004E-6</v>
      </c>
      <c r="L15" s="158" cm="1">
        <f t="array" ref="L15">INDEX(LCI!M$2:M$73, MATCH($E15&amp;$F15, LCI!$B$2:$B$73&amp;LCI!$D$2:$D$73, 0))* IF(AND($E15="Truck", OR($F15="Electric", $F15="Electric_green")), $B$6, 1)* $C15* $D15</f>
        <v>5.4537579599999997E-2</v>
      </c>
      <c r="M15" s="158" cm="1">
        <f t="array" ref="M15">INDEX(LCI!N$2:N$73, MATCH($E15&amp;$F15, LCI!$B$2:$B$73&amp;LCI!$D$2:$D$73, 0))* IF(AND($E15="Truck", OR($F15="Electric", $F15="Electric_green")), $B$6, 1)* $C15* $D15</f>
        <v>0.85461630399999999</v>
      </c>
      <c r="N15" s="158" cm="1">
        <f t="array" ref="N15">INDEX(LCI!O$2:O$73, MATCH($E15&amp;$F15, LCI!$B$2:$B$73&amp;LCI!$D$2:$D$73, 0))* IF(AND($E15="Truck", OR($F15="Electric", $F15="Electric_green")), $B$6, 1)* $C15* $D15</f>
        <v>1.4810759999999999E-6</v>
      </c>
      <c r="O15" s="158" cm="1">
        <f t="array" ref="O15">INDEX(LCI!P$2:P$73, MATCH($E15&amp;$F15, LCI!$B$2:$B$73&amp;LCI!$D$2:$D$73, 0))* IF(AND($E15="Truck", OR($F15="Electric", $F15="Electric_green")), $B$6, 1)* $C15* $D15</f>
        <v>2.0638879999999998E-5</v>
      </c>
      <c r="P15" s="158" cm="1">
        <f t="array" ref="P15">INDEX(LCI!Q$2:Q$73, MATCH($E15&amp;$F15, LCI!$B$2:$B$73&amp;LCI!$D$2:$D$73, 0))* IF(AND($E15="Truck", OR($F15="Electric", $F15="Electric_green")), $B$6, 1)* $C15* $D15</f>
        <v>2.233972E-4</v>
      </c>
      <c r="Q15" s="158" cm="1">
        <f t="array" ref="Q15">INDEX(LCI!R$2:R$73, MATCH($E15&amp;$F15, LCI!$B$2:$B$73&amp;LCI!$D$2:$D$73, 0))* IF(AND($E15="Truck", OR($F15="Electric", $F15="Electric_green")), $B$6, 1)* $C15* $D15</f>
        <v>5.62788E-12</v>
      </c>
      <c r="R15" s="158" cm="1">
        <f t="array" ref="R15">INDEX(LCI!S$2:S$73, MATCH($E15&amp;$F15, LCI!$B$2:$B$73&amp;LCI!$D$2:$D$73, 0))* IF(AND($E15="Truck", OR($F15="Electric", $F15="Electric_green")), $B$6, 1)* $C15* $D15</f>
        <v>4.5791200000000004E-10</v>
      </c>
      <c r="S15" s="158" cm="1">
        <f t="array" ref="S15">INDEX(LCI!T$2:T$73, MATCH($E15&amp;$F15, LCI!$B$2:$B$73&amp;LCI!$D$2:$D$73, 0))* IF(AND($E15="Truck", OR($F15="Electric", $F15="Electric_green")), $B$6, 1)* $C15* $D15</f>
        <v>3.8752239999999998E-4</v>
      </c>
      <c r="T15" s="158" cm="1">
        <f t="array" ref="T15">INDEX(LCI!U$2:U$73, MATCH($E15&amp;$F15, LCI!$B$2:$B$73&amp;LCI!$D$2:$D$73, 0))* IF(AND($E15="Truck", OR($F15="Electric", $F15="Electric_green")), $B$6, 1)* $C15* $D15</f>
        <v>5.3906605600000004E-2</v>
      </c>
      <c r="U15" s="158" cm="1">
        <f t="array" ref="U15">INDEX(LCI!V$2:V$73, MATCH($E15&amp;$F15, LCI!$B$2:$B$73&amp;LCI!$D$2:$D$73, 0))* IF(AND($E15="Truck", OR($F15="Electric", $F15="Electric_green")), $B$6, 1)* $C15* $D15</f>
        <v>7.005479999999999E-8</v>
      </c>
      <c r="V15" s="158" cm="1">
        <f t="array" ref="V15">INDEX(LCI!W$2:W$73, MATCH($E15&amp;$F15, LCI!$B$2:$B$73&amp;LCI!$D$2:$D$73, 0))* IF(AND($E15="Truck", OR($F15="Electric", $F15="Electric_green")), $B$6, 1)* $C15* $D15</f>
        <v>1.4119280000000003E-9</v>
      </c>
      <c r="W15" s="158" cm="1">
        <f t="array" ref="W15">INDEX(LCI!X$2:X$73, MATCH($E15&amp;$F15, LCI!$B$2:$B$73&amp;LCI!$D$2:$D$73, 0))* IF(AND($E15="Truck", OR($F15="Electric", $F15="Electric_green")), $B$6, 1)* $C15* $D15</f>
        <v>3.9358279999999994E-9</v>
      </c>
      <c r="X15" s="158" cm="1">
        <f t="array" ref="X15">INDEX(LCI!Y$2:Y$73, MATCH($E15&amp;$F15, LCI!$B$2:$B$73&amp;LCI!$D$2:$D$73, 0))* IF(AND($E15="Truck", OR($F15="Electric", $F15="Electric_green")), $B$6, 1)* $C15* $D15</f>
        <v>1.650864E-4</v>
      </c>
      <c r="Y15" s="158" cm="1">
        <f t="array" ref="Y15">INDEX(LCI!Z$2:Z$73, MATCH($E15&amp;$F15, LCI!$B$2:$B$73&amp;LCI!$D$2:$D$73, 0))* IF(AND($E15="Truck", OR($F15="Electric", $F15="Electric_green")), $B$6, 1)* $C15* $D15</f>
        <v>1.9464756E-3</v>
      </c>
    </row>
    <row r="16" spans="1:25" ht="13.9" customHeight="1" x14ac:dyDescent="0.25">
      <c r="A16" s="384" t="s">
        <v>232</v>
      </c>
      <c r="B16" s="158" t="str">
        <f>Input!A40</f>
        <v>Virgin crushed coarse aggregate 1 (&gt;2 mm)</v>
      </c>
      <c r="C16" s="158">
        <f>+Input!B40</f>
        <v>0</v>
      </c>
      <c r="D16" s="158">
        <f>Input!$L40</f>
        <v>0</v>
      </c>
      <c r="E16" s="158" t="str">
        <f>Input!$J40</f>
        <v>No</v>
      </c>
      <c r="F16" s="158" t="str">
        <f>Input!$K40</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3.9" customHeight="1" x14ac:dyDescent="0.25">
      <c r="A17" s="385"/>
      <c r="B17" s="158" t="str">
        <f>Input!A41</f>
        <v>Virgin crushed coarse aggregate 2 (&gt;2 mm)</v>
      </c>
      <c r="C17" s="158">
        <f>+Input!B41</f>
        <v>0.2</v>
      </c>
      <c r="D17" s="158">
        <f>Input!$L41</f>
        <v>40</v>
      </c>
      <c r="E17" s="158" t="str">
        <f>Input!$J41</f>
        <v>Ship</v>
      </c>
      <c r="F17" s="158" t="str">
        <f>Input!$K41</f>
        <v>Heavy_fuel_oil</v>
      </c>
      <c r="G17" s="158" cm="1">
        <f t="array" ref="G17">INDEX(LCI!H$2:H$73, MATCH($E17&amp;$F17, LCI!$B$2:$B$73&amp;LCI!$D$2:$D$73, 0))* IF(AND($E17="Truck", OR($F17="Electric", $F17="Electric_green")), $B$6, 1)* $C17* $D17</f>
        <v>2.4049471052349832E-3</v>
      </c>
      <c r="H17" s="158" cm="1">
        <f t="array" ref="H17">INDEX(LCI!I$2:I$73, MATCH($E17&amp;$F17, LCI!$B$2:$B$73&amp;LCI!$D$2:$D$73, 0))* IF(AND($E17="Truck", OR($F17="Electric", $F17="Electric_green")), $B$6, 1)* $C17* $D17</f>
        <v>8.1929002843911997E-2</v>
      </c>
      <c r="I17" s="158" cm="1">
        <f t="array" ref="I17">INDEX(LCI!J$2:J$73, MATCH($E17&amp;$F17, LCI!$B$2:$B$73&amp;LCI!$D$2:$D$73, 0))* IF(AND($E17="Truck", OR($F17="Electric", $F17="Electric_green")), $B$6, 1)* $C17* $D17</f>
        <v>1.2526845944188727E-5</v>
      </c>
      <c r="J17" s="158" cm="1">
        <f t="array" ref="J17">INDEX(LCI!K$2:K$73, MATCH($E17&amp;$F17, LCI!$B$2:$B$73&amp;LCI!$D$2:$D$73, 0))* IF(AND($E17="Truck", OR($F17="Electric", $F17="Electric_green")), $B$6, 1)* $C17* $D17</f>
        <v>8.1872488598892956E-2</v>
      </c>
      <c r="K17" s="158" cm="1">
        <f t="array" ref="K17">INDEX(LCI!L$2:L$73, MATCH($E17&amp;$F17, LCI!$B$2:$B$73&amp;LCI!$D$2:$D$73, 0))* IF(AND($E17="Truck", OR($F17="Electric", $F17="Electric_green")), $B$6, 1)* $C17* $D17</f>
        <v>4.3987399074847073E-5</v>
      </c>
      <c r="L17" s="158" cm="1">
        <f t="array" ref="L17">INDEX(LCI!M$2:M$73, MATCH($E17&amp;$F17, LCI!$B$2:$B$73&amp;LCI!$D$2:$D$73, 0))* IF(AND($E17="Truck", OR($F17="Electric", $F17="Electric_green")), $B$6, 1)* $C17* $D17</f>
        <v>7.0806163638708758E-2</v>
      </c>
      <c r="M17" s="158" cm="1">
        <f t="array" ref="M17">INDEX(LCI!N$2:N$73, MATCH($E17&amp;$F17, LCI!$B$2:$B$73&amp;LCI!$D$2:$D$73, 0))* IF(AND($E17="Truck", OR($F17="Electric", $F17="Electric_green")), $B$6, 1)* $C17* $D17</f>
        <v>1.0024549573152255</v>
      </c>
      <c r="N17" s="158" cm="1">
        <f t="array" ref="N17">INDEX(LCI!O$2:O$73, MATCH($E17&amp;$F17, LCI!$B$2:$B$73&amp;LCI!$D$2:$D$73, 0))* IF(AND($E17="Truck", OR($F17="Electric", $F17="Electric_green")), $B$6, 1)* $C17* $D17</f>
        <v>2.8968471681087632E-6</v>
      </c>
      <c r="O17" s="158" cm="1">
        <f t="array" ref="O17">INDEX(LCI!P$2:P$73, MATCH($E17&amp;$F17, LCI!$B$2:$B$73&amp;LCI!$D$2:$D$73, 0))* IF(AND($E17="Truck", OR($F17="Electric", $F17="Electric_green")), $B$6, 1)* $C17* $D17</f>
        <v>5.9875740282593157E-4</v>
      </c>
      <c r="P17" s="158" cm="1">
        <f t="array" ref="P17">INDEX(LCI!Q$2:Q$73, MATCH($E17&amp;$F17, LCI!$B$2:$B$73&amp;LCI!$D$2:$D$73, 0))* IF(AND($E17="Truck", OR($F17="Electric", $F17="Electric_green")), $B$6, 1)* $C17* $D17</f>
        <v>6.6501000158143333E-3</v>
      </c>
      <c r="Q17" s="158" cm="1">
        <f t="array" ref="Q17">INDEX(LCI!R$2:R$73, MATCH($E17&amp;$F17, LCI!$B$2:$B$73&amp;LCI!$D$2:$D$73, 0))* IF(AND($E17="Truck", OR($F17="Electric", $F17="Electric_green")), $B$6, 1)* $C17* $D17</f>
        <v>1.7318442938368043E-11</v>
      </c>
      <c r="R17" s="158" cm="1">
        <f t="array" ref="R17">INDEX(LCI!S$2:S$73, MATCH($E17&amp;$F17, LCI!$B$2:$B$73&amp;LCI!$D$2:$D$73, 0))* IF(AND($E17="Truck", OR($F17="Electric", $F17="Electric_green")), $B$6, 1)* $C17* $D17</f>
        <v>2.4225750935691662E-10</v>
      </c>
      <c r="S17" s="158" cm="1">
        <f t="array" ref="S17">INDEX(LCI!T$2:T$73, MATCH($E17&amp;$F17, LCI!$B$2:$B$73&amp;LCI!$D$2:$D$73, 0))* IF(AND($E17="Truck", OR($F17="Electric", $F17="Electric_green")), $B$6, 1)* $C17* $D17</f>
        <v>4.3313980081006678E-4</v>
      </c>
      <c r="T17" s="158" cm="1">
        <f t="array" ref="T17">INDEX(LCI!U$2:U$73, MATCH($E17&amp;$F17, LCI!$B$2:$B$73&amp;LCI!$D$2:$D$73, 0))* IF(AND($E17="Truck", OR($F17="Electric", $F17="Electric_green")), $B$6, 1)* $C17* $D17</f>
        <v>7.2762283889893059E-2</v>
      </c>
      <c r="U17" s="158" cm="1">
        <f t="array" ref="U17">INDEX(LCI!V$2:V$73, MATCH($E17&amp;$F17, LCI!$B$2:$B$73&amp;LCI!$D$2:$D$73, 0))* IF(AND($E17="Truck", OR($F17="Electric", $F17="Electric_green")), $B$6, 1)* $C17* $D17</f>
        <v>8.2935091057656481E-8</v>
      </c>
      <c r="V17" s="158" cm="1">
        <f t="array" ref="V17">INDEX(LCI!W$2:W$73, MATCH($E17&amp;$F17, LCI!$B$2:$B$73&amp;LCI!$D$2:$D$73, 0))* IF(AND($E17="Truck", OR($F17="Electric", $F17="Electric_green")), $B$6, 1)* $C17* $D17</f>
        <v>1.1551781992530952E-9</v>
      </c>
      <c r="W17" s="158" cm="1">
        <f t="array" ref="W17">INDEX(LCI!X$2:X$73, MATCH($E17&amp;$F17, LCI!$B$2:$B$73&amp;LCI!$D$2:$D$73, 0))* IF(AND($E17="Truck", OR($F17="Electric", $F17="Electric_green")), $B$6, 1)* $C17* $D17</f>
        <v>2.4152165760556434E-9</v>
      </c>
      <c r="X17" s="158" cm="1">
        <f t="array" ref="X17">INDEX(LCI!Y$2:Y$73, MATCH($E17&amp;$F17, LCI!$B$2:$B$73&amp;LCI!$D$2:$D$73, 0))* IF(AND($E17="Truck", OR($F17="Electric", $F17="Electric_green")), $B$6, 1)* $C17* $D17</f>
        <v>1.8046638413187913E-3</v>
      </c>
      <c r="Y17" s="158" cm="1">
        <f t="array" ref="Y17">INDEX(LCI!Z$2:Z$73, MATCH($E17&amp;$F17, LCI!$B$2:$B$73&amp;LCI!$D$2:$D$73, 0))* IF(AND($E17="Truck", OR($F17="Electric", $F17="Electric_green")), $B$6, 1)* $C17* $D17</f>
        <v>2.8870157755957761E-3</v>
      </c>
    </row>
    <row r="18" spans="1:25" ht="13.9" customHeight="1" x14ac:dyDescent="0.25">
      <c r="A18" s="385"/>
      <c r="B18" s="158" t="str">
        <f>Input!A42</f>
        <v>Virgin crushed coarse aggregate 3 (&gt;2 mm)</v>
      </c>
      <c r="C18" s="158">
        <f>+Input!B42</f>
        <v>0.1</v>
      </c>
      <c r="D18" s="158">
        <f>Input!$L42</f>
        <v>40</v>
      </c>
      <c r="E18" s="158" t="str">
        <f>Input!$J42</f>
        <v>Ship</v>
      </c>
      <c r="F18" s="158" t="str">
        <f>Input!$K42</f>
        <v>Heavy_fuel_oil</v>
      </c>
      <c r="G18" s="158" cm="1">
        <f t="array" ref="G18">INDEX(LCI!H$2:H$73, MATCH($E18&amp;$F18, LCI!$B$2:$B$73&amp;LCI!$D$2:$D$73, 0))* IF(AND($E18="Truck", OR($F18="Electric", $F18="Electric_green")), $B$6, 1)* $C18* $D18</f>
        <v>1.2024735526174916E-3</v>
      </c>
      <c r="H18" s="158" cm="1">
        <f t="array" ref="H18">INDEX(LCI!I$2:I$73, MATCH($E18&amp;$F18, LCI!$B$2:$B$73&amp;LCI!$D$2:$D$73, 0))* IF(AND($E18="Truck", OR($F18="Electric", $F18="Electric_green")), $B$6, 1)* $C18* $D18</f>
        <v>4.0964501421955998E-2</v>
      </c>
      <c r="I18" s="158" cm="1">
        <f t="array" ref="I18">INDEX(LCI!J$2:J$73, MATCH($E18&amp;$F18, LCI!$B$2:$B$73&amp;LCI!$D$2:$D$73, 0))* IF(AND($E18="Truck", OR($F18="Electric", $F18="Electric_green")), $B$6, 1)* $C18* $D18</f>
        <v>6.2634229720943636E-6</v>
      </c>
      <c r="J18" s="158" cm="1">
        <f t="array" ref="J18">INDEX(LCI!K$2:K$73, MATCH($E18&amp;$F18, LCI!$B$2:$B$73&amp;LCI!$D$2:$D$73, 0))* IF(AND($E18="Truck", OR($F18="Electric", $F18="Electric_green")), $B$6, 1)* $C18* $D18</f>
        <v>4.0936244299446478E-2</v>
      </c>
      <c r="K18" s="158" cm="1">
        <f t="array" ref="K18">INDEX(LCI!L$2:L$73, MATCH($E18&amp;$F18, LCI!$B$2:$B$73&amp;LCI!$D$2:$D$73, 0))* IF(AND($E18="Truck", OR($F18="Electric", $F18="Electric_green")), $B$6, 1)* $C18* $D18</f>
        <v>2.1993699537423536E-5</v>
      </c>
      <c r="L18" s="158" cm="1">
        <f t="array" ref="L18">INDEX(LCI!M$2:M$73, MATCH($E18&amp;$F18, LCI!$B$2:$B$73&amp;LCI!$D$2:$D$73, 0))* IF(AND($E18="Truck", OR($F18="Electric", $F18="Electric_green")), $B$6, 1)* $C18* $D18</f>
        <v>3.5403081819354379E-2</v>
      </c>
      <c r="M18" s="158" cm="1">
        <f t="array" ref="M18">INDEX(LCI!N$2:N$73, MATCH($E18&amp;$F18, LCI!$B$2:$B$73&amp;LCI!$D$2:$D$73, 0))* IF(AND($E18="Truck", OR($F18="Electric", $F18="Electric_green")), $B$6, 1)* $C18* $D18</f>
        <v>0.50122747865761275</v>
      </c>
      <c r="N18" s="158" cm="1">
        <f t="array" ref="N18">INDEX(LCI!O$2:O$73, MATCH($E18&amp;$F18, LCI!$B$2:$B$73&amp;LCI!$D$2:$D$73, 0))* IF(AND($E18="Truck", OR($F18="Electric", $F18="Electric_green")), $B$6, 1)* $C18* $D18</f>
        <v>1.4484235840543816E-6</v>
      </c>
      <c r="O18" s="158" cm="1">
        <f t="array" ref="O18">INDEX(LCI!P$2:P$73, MATCH($E18&amp;$F18, LCI!$B$2:$B$73&amp;LCI!$D$2:$D$73, 0))* IF(AND($E18="Truck", OR($F18="Electric", $F18="Electric_green")), $B$6, 1)* $C18* $D18</f>
        <v>2.9937870141296579E-4</v>
      </c>
      <c r="P18" s="158" cm="1">
        <f t="array" ref="P18">INDEX(LCI!Q$2:Q$73, MATCH($E18&amp;$F18, LCI!$B$2:$B$73&amp;LCI!$D$2:$D$73, 0))* IF(AND($E18="Truck", OR($F18="Electric", $F18="Electric_green")), $B$6, 1)* $C18* $D18</f>
        <v>3.3250500079071666E-3</v>
      </c>
      <c r="Q18" s="158" cm="1">
        <f t="array" ref="Q18">INDEX(LCI!R$2:R$73, MATCH($E18&amp;$F18, LCI!$B$2:$B$73&amp;LCI!$D$2:$D$73, 0))* IF(AND($E18="Truck", OR($F18="Electric", $F18="Electric_green")), $B$6, 1)* $C18* $D18</f>
        <v>8.6592214691840216E-12</v>
      </c>
      <c r="R18" s="158" cm="1">
        <f t="array" ref="R18">INDEX(LCI!S$2:S$73, MATCH($E18&amp;$F18, LCI!$B$2:$B$73&amp;LCI!$D$2:$D$73, 0))* IF(AND($E18="Truck", OR($F18="Electric", $F18="Electric_green")), $B$6, 1)* $C18* $D18</f>
        <v>1.2112875467845831E-10</v>
      </c>
      <c r="S18" s="158" cm="1">
        <f t="array" ref="S18">INDEX(LCI!T$2:T$73, MATCH($E18&amp;$F18, LCI!$B$2:$B$73&amp;LCI!$D$2:$D$73, 0))* IF(AND($E18="Truck", OR($F18="Electric", $F18="Electric_green")), $B$6, 1)* $C18* $D18</f>
        <v>2.1656990040503339E-4</v>
      </c>
      <c r="T18" s="158" cm="1">
        <f t="array" ref="T18">INDEX(LCI!U$2:U$73, MATCH($E18&amp;$F18, LCI!$B$2:$B$73&amp;LCI!$D$2:$D$73, 0))* IF(AND($E18="Truck", OR($F18="Electric", $F18="Electric_green")), $B$6, 1)* $C18* $D18</f>
        <v>3.638114194494653E-2</v>
      </c>
      <c r="U18" s="158" cm="1">
        <f t="array" ref="U18">INDEX(LCI!V$2:V$73, MATCH($E18&amp;$F18, LCI!$B$2:$B$73&amp;LCI!$D$2:$D$73, 0))* IF(AND($E18="Truck", OR($F18="Electric", $F18="Electric_green")), $B$6, 1)* $C18* $D18</f>
        <v>4.146754552882824E-8</v>
      </c>
      <c r="V18" s="158" cm="1">
        <f t="array" ref="V18">INDEX(LCI!W$2:W$73, MATCH($E18&amp;$F18, LCI!$B$2:$B$73&amp;LCI!$D$2:$D$73, 0))* IF(AND($E18="Truck", OR($F18="Electric", $F18="Electric_green")), $B$6, 1)* $C18* $D18</f>
        <v>5.7758909962654759E-10</v>
      </c>
      <c r="W18" s="158" cm="1">
        <f t="array" ref="W18">INDEX(LCI!X$2:X$73, MATCH($E18&amp;$F18, LCI!$B$2:$B$73&amp;LCI!$D$2:$D$73, 0))* IF(AND($E18="Truck", OR($F18="Electric", $F18="Electric_green")), $B$6, 1)* $C18* $D18</f>
        <v>1.2076082880278217E-9</v>
      </c>
      <c r="X18" s="158" cm="1">
        <f t="array" ref="X18">INDEX(LCI!Y$2:Y$73, MATCH($E18&amp;$F18, LCI!$B$2:$B$73&amp;LCI!$D$2:$D$73, 0))* IF(AND($E18="Truck", OR($F18="Electric", $F18="Electric_green")), $B$6, 1)* $C18* $D18</f>
        <v>9.0233192065939565E-4</v>
      </c>
      <c r="Y18" s="158" cm="1">
        <f t="array" ref="Y18">INDEX(LCI!Z$2:Z$73, MATCH($E18&amp;$F18, LCI!$B$2:$B$73&amp;LCI!$D$2:$D$73, 0))* IF(AND($E18="Truck", OR($F18="Electric", $F18="Electric_green")), $B$6, 1)* $C18* $D18</f>
        <v>1.4435078877978881E-3</v>
      </c>
    </row>
    <row r="19" spans="1:25" ht="13.9" customHeight="1" x14ac:dyDescent="0.25">
      <c r="A19" s="385"/>
      <c r="B19" s="158" t="str">
        <f>Input!A43</f>
        <v>Virgin crushed fine aggregate 1 (≤2 mm)</v>
      </c>
      <c r="C19" s="158">
        <f>+Input!B43</f>
        <v>0.06</v>
      </c>
      <c r="D19" s="158">
        <f>Input!$L43</f>
        <v>22</v>
      </c>
      <c r="E19" s="158" t="str">
        <f>Input!$J43</f>
        <v>Truck</v>
      </c>
      <c r="F19" s="158" t="str">
        <f>Input!$K43</f>
        <v>Diesel_Euro5</v>
      </c>
      <c r="G19" s="158" cm="1">
        <f t="array" ref="G19">INDEX(LCI!H$2:H$73, MATCH($E19&amp;$F19, LCI!$B$2:$B$73&amp;LCI!$D$2:$D$73, 0))* IF(AND($E19="Truck", OR($F19="Electric", $F19="Electric_green")), $B$6, 1)* $C19* $D19</f>
        <v>5.8441283999999998E-4</v>
      </c>
      <c r="H19" s="158" cm="1">
        <f t="array" ref="H19">INDEX(LCI!I$2:I$73, MATCH($E19&amp;$F19, LCI!$B$2:$B$73&amp;LCI!$D$2:$D$73, 0))* IF(AND($E19="Truck", OR($F19="Electric", $F19="Electric_green")), $B$6, 1)* $C19* $D19</f>
        <v>0.21362345268000002</v>
      </c>
      <c r="I19" s="158" cm="1">
        <f t="array" ref="I19">INDEX(LCI!J$2:J$73, MATCH($E19&amp;$F19, LCI!$B$2:$B$73&amp;LCI!$D$2:$D$73, 0))* IF(AND($E19="Truck", OR($F19="Electric", $F19="Electric_green")), $B$6, 1)* $C19* $D19</f>
        <v>9.8734415999999998E-5</v>
      </c>
      <c r="J19" s="158" cm="1">
        <f t="array" ref="J19">INDEX(LCI!K$2:K$73, MATCH($E19&amp;$F19, LCI!$B$2:$B$73&amp;LCI!$D$2:$D$73, 0))* IF(AND($E19="Truck", OR($F19="Electric", $F19="Electric_green")), $B$6, 1)* $C19* $D19</f>
        <v>0.21350792099999999</v>
      </c>
      <c r="K19" s="158" cm="1">
        <f t="array" ref="K19">INDEX(LCI!L$2:L$73, MATCH($E19&amp;$F19, LCI!$B$2:$B$73&amp;LCI!$D$2:$D$73, 0))* IF(AND($E19="Truck", OR($F19="Electric", $F19="Electric_green")), $B$6, 1)* $C19* $D19</f>
        <v>1.6796868000000001E-5</v>
      </c>
      <c r="L19" s="158" cm="1">
        <f t="array" ref="L19">INDEX(LCI!M$2:M$73, MATCH($E19&amp;$F19, LCI!$B$2:$B$73&amp;LCI!$D$2:$D$73, 0))* IF(AND($E19="Truck", OR($F19="Electric", $F19="Electric_green")), $B$6, 1)* $C19* $D19</f>
        <v>0.18154861295999997</v>
      </c>
      <c r="M19" s="158" cm="1">
        <f t="array" ref="M19">INDEX(LCI!N$2:N$73, MATCH($E19&amp;$F19, LCI!$B$2:$B$73&amp;LCI!$D$2:$D$73, 0))* IF(AND($E19="Truck", OR($F19="Electric", $F19="Electric_green")), $B$6, 1)* $C19* $D19</f>
        <v>2.8722402851999997</v>
      </c>
      <c r="N19" s="158" cm="1">
        <f t="array" ref="N19">INDEX(LCI!O$2:O$73, MATCH($E19&amp;$F19, LCI!$B$2:$B$73&amp;LCI!$D$2:$D$73, 0))* IF(AND($E19="Truck", OR($F19="Electric", $F19="Electric_green")), $B$6, 1)* $C19* $D19</f>
        <v>4.9143600000000005E-6</v>
      </c>
      <c r="O19" s="158" cm="1">
        <f t="array" ref="O19">INDEX(LCI!P$2:P$73, MATCH($E19&amp;$F19, LCI!$B$2:$B$73&amp;LCI!$D$2:$D$73, 0))* IF(AND($E19="Truck", OR($F19="Electric", $F19="Electric_green")), $B$6, 1)* $C19* $D19</f>
        <v>2.0968727999999998E-4</v>
      </c>
      <c r="P19" s="158" cm="1">
        <f t="array" ref="P19">INDEX(LCI!Q$2:Q$73, MATCH($E19&amp;$F19, LCI!$B$2:$B$73&amp;LCI!$D$2:$D$73, 0))* IF(AND($E19="Truck", OR($F19="Electric", $F19="Electric_green")), $B$6, 1)* $C19* $D19</f>
        <v>2.2873685999999999E-3</v>
      </c>
      <c r="Q19" s="158" cm="1">
        <f t="array" ref="Q19">INDEX(LCI!R$2:R$73, MATCH($E19&amp;$F19, LCI!$B$2:$B$73&amp;LCI!$D$2:$D$73, 0))* IF(AND($E19="Truck", OR($F19="Electric", $F19="Electric_green")), $B$6, 1)* $C19* $D19</f>
        <v>1.9967772E-11</v>
      </c>
      <c r="R19" s="158" cm="1">
        <f t="array" ref="R19">INDEX(LCI!S$2:S$73, MATCH($E19&amp;$F19, LCI!$B$2:$B$73&amp;LCI!$D$2:$D$73, 0))* IF(AND($E19="Truck", OR($F19="Electric", $F19="Electric_green")), $B$6, 1)* $C19* $D19</f>
        <v>1.531002E-9</v>
      </c>
      <c r="S19" s="158" cm="1">
        <f t="array" ref="S19">INDEX(LCI!T$2:T$73, MATCH($E19&amp;$F19, LCI!$B$2:$B$73&amp;LCI!$D$2:$D$73, 0))* IF(AND($E19="Truck", OR($F19="Electric", $F19="Electric_green")), $B$6, 1)* $C19* $D19</f>
        <v>1.2931089599999999E-3</v>
      </c>
      <c r="T19" s="158" cm="1">
        <f t="array" ref="T19">INDEX(LCI!U$2:U$73, MATCH($E19&amp;$F19, LCI!$B$2:$B$73&amp;LCI!$D$2:$D$73, 0))* IF(AND($E19="Truck", OR($F19="Electric", $F19="Electric_green")), $B$6, 1)* $C19* $D19</f>
        <v>0.18023522880000001</v>
      </c>
      <c r="U19" s="158" cm="1">
        <f t="array" ref="U19">INDEX(LCI!V$2:V$73, MATCH($E19&amp;$F19, LCI!$B$2:$B$73&amp;LCI!$D$2:$D$73, 0))* IF(AND($E19="Truck", OR($F19="Electric", $F19="Electric_green")), $B$6, 1)* $C19* $D19</f>
        <v>2.3155571999999998E-7</v>
      </c>
      <c r="V19" s="158" cm="1">
        <f t="array" ref="V19">INDEX(LCI!W$2:W$73, MATCH($E19&amp;$F19, LCI!$B$2:$B$73&amp;LCI!$D$2:$D$73, 0))* IF(AND($E19="Truck", OR($F19="Electric", $F19="Electric_green")), $B$6, 1)* $C19* $D19</f>
        <v>4.7518152E-9</v>
      </c>
      <c r="W19" s="158" cm="1">
        <f t="array" ref="W19">INDEX(LCI!X$2:X$73, MATCH($E19&amp;$F19, LCI!$B$2:$B$73&amp;LCI!$D$2:$D$73, 0))* IF(AND($E19="Truck", OR($F19="Electric", $F19="Electric_green")), $B$6, 1)* $C19* $D19</f>
        <v>1.4444760000000001E-8</v>
      </c>
      <c r="X19" s="158" cm="1">
        <f t="array" ref="X19">INDEX(LCI!Y$2:Y$73, MATCH($E19&amp;$F19, LCI!$B$2:$B$73&amp;LCI!$D$2:$D$73, 0))* IF(AND($E19="Truck", OR($F19="Electric", $F19="Electric_green")), $B$6, 1)* $C19* $D19</f>
        <v>9.2011260000000004E-4</v>
      </c>
      <c r="Y19" s="158" cm="1">
        <f t="array" ref="Y19">INDEX(LCI!Z$2:Z$73, MATCH($E19&amp;$F19, LCI!$B$2:$B$73&amp;LCI!$D$2:$D$73, 0))* IF(AND($E19="Truck", OR($F19="Electric", $F19="Electric_green")), $B$6, 1)* $C19* $D19</f>
        <v>6.4828394399999989E-3</v>
      </c>
    </row>
    <row r="20" spans="1:25" ht="13.9" customHeight="1" x14ac:dyDescent="0.25">
      <c r="A20" s="385"/>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3.9" customHeight="1" x14ac:dyDescent="0.25">
      <c r="A21" s="385"/>
      <c r="B21" s="158" t="str">
        <f>Input!A45</f>
        <v>Virgin crushed fine aggregate 3 (≤2 mm)</v>
      </c>
      <c r="C21" s="158">
        <f>+Input!B45</f>
        <v>0.03</v>
      </c>
      <c r="D21" s="158">
        <f>Input!$L45</f>
        <v>40</v>
      </c>
      <c r="E21" s="158" t="str">
        <f>Input!$J45</f>
        <v>Truck</v>
      </c>
      <c r="F21" s="158" t="str">
        <f>Input!$K45</f>
        <v>Diesel_Euro5</v>
      </c>
      <c r="G21" s="158" cm="1">
        <f t="array" ref="G21">INDEX(LCI!H$2:H$73, MATCH($E21&amp;$F21, LCI!$B$2:$B$73&amp;LCI!$D$2:$D$73, 0))* IF(AND($E21="Truck", OR($F21="Electric", $F21="Electric_green")), $B$6, 1)* $C21* $D21</f>
        <v>5.3128440000000006E-4</v>
      </c>
      <c r="H21" s="158" cm="1">
        <f t="array" ref="H21">INDEX(LCI!I$2:I$73, MATCH($E21&amp;$F21, LCI!$B$2:$B$73&amp;LCI!$D$2:$D$73, 0))* IF(AND($E21="Truck", OR($F21="Electric", $F21="Electric_green")), $B$6, 1)* $C21* $D21</f>
        <v>0.19420313880000001</v>
      </c>
      <c r="I21" s="158" cm="1">
        <f t="array" ref="I21">INDEX(LCI!J$2:J$73, MATCH($E21&amp;$F21, LCI!$B$2:$B$73&amp;LCI!$D$2:$D$73, 0))* IF(AND($E21="Truck", OR($F21="Electric", $F21="Electric_green")), $B$6, 1)* $C21* $D21</f>
        <v>8.9758559999999989E-5</v>
      </c>
      <c r="J21" s="158" cm="1">
        <f t="array" ref="J21">INDEX(LCI!K$2:K$73, MATCH($E21&amp;$F21, LCI!$B$2:$B$73&amp;LCI!$D$2:$D$73, 0))* IF(AND($E21="Truck", OR($F21="Electric", $F21="Electric_green")), $B$6, 1)* $C21* $D21</f>
        <v>0.19409810999999999</v>
      </c>
      <c r="K21" s="158" cm="1">
        <f t="array" ref="K21">INDEX(LCI!L$2:L$73, MATCH($E21&amp;$F21, LCI!$B$2:$B$73&amp;LCI!$D$2:$D$73, 0))* IF(AND($E21="Truck", OR($F21="Electric", $F21="Electric_green")), $B$6, 1)* $C21* $D21</f>
        <v>1.526988E-5</v>
      </c>
      <c r="L21" s="158" cm="1">
        <f t="array" ref="L21">INDEX(LCI!M$2:M$73, MATCH($E21&amp;$F21, LCI!$B$2:$B$73&amp;LCI!$D$2:$D$73, 0))* IF(AND($E21="Truck", OR($F21="Electric", $F21="Electric_green")), $B$6, 1)* $C21* $D21</f>
        <v>0.16504419359999997</v>
      </c>
      <c r="M21" s="158" cm="1">
        <f t="array" ref="M21">INDEX(LCI!N$2:N$73, MATCH($E21&amp;$F21, LCI!$B$2:$B$73&amp;LCI!$D$2:$D$73, 0))* IF(AND($E21="Truck", OR($F21="Electric", $F21="Electric_green")), $B$6, 1)* $C21* $D21</f>
        <v>2.6111275319999998</v>
      </c>
      <c r="N21" s="158" cm="1">
        <f t="array" ref="N21">INDEX(LCI!O$2:O$73, MATCH($E21&amp;$F21, LCI!$B$2:$B$73&amp;LCI!$D$2:$D$73, 0))* IF(AND($E21="Truck", OR($F21="Electric", $F21="Electric_green")), $B$6, 1)* $C21* $D21</f>
        <v>4.4676000000000002E-6</v>
      </c>
      <c r="O21" s="158" cm="1">
        <f t="array" ref="O21">INDEX(LCI!P$2:P$73, MATCH($E21&amp;$F21, LCI!$B$2:$B$73&amp;LCI!$D$2:$D$73, 0))* IF(AND($E21="Truck", OR($F21="Electric", $F21="Electric_green")), $B$6, 1)* $C21* $D21</f>
        <v>1.9062479999999997E-4</v>
      </c>
      <c r="P21" s="158" cm="1">
        <f t="array" ref="P21">INDEX(LCI!Q$2:Q$73, MATCH($E21&amp;$F21, LCI!$B$2:$B$73&amp;LCI!$D$2:$D$73, 0))* IF(AND($E21="Truck", OR($F21="Electric", $F21="Electric_green")), $B$6, 1)* $C21* $D21</f>
        <v>2.0794259999999997E-3</v>
      </c>
      <c r="Q21" s="158" cm="1">
        <f t="array" ref="Q21">INDEX(LCI!R$2:R$73, MATCH($E21&amp;$F21, LCI!$B$2:$B$73&amp;LCI!$D$2:$D$73, 0))* IF(AND($E21="Truck", OR($F21="Electric", $F21="Electric_green")), $B$6, 1)* $C21* $D21</f>
        <v>1.8152519999999997E-11</v>
      </c>
      <c r="R21" s="158" cm="1">
        <f t="array" ref="R21">INDEX(LCI!S$2:S$73, MATCH($E21&amp;$F21, LCI!$B$2:$B$73&amp;LCI!$D$2:$D$73, 0))* IF(AND($E21="Truck", OR($F21="Electric", $F21="Electric_green")), $B$6, 1)* $C21* $D21</f>
        <v>1.3918199999999999E-9</v>
      </c>
      <c r="S21" s="158" cm="1">
        <f t="array" ref="S21">INDEX(LCI!T$2:T$73, MATCH($E21&amp;$F21, LCI!$B$2:$B$73&amp;LCI!$D$2:$D$73, 0))* IF(AND($E21="Truck", OR($F21="Electric", $F21="Electric_green")), $B$6, 1)* $C21* $D21</f>
        <v>1.1755536E-3</v>
      </c>
      <c r="T21" s="158" cm="1">
        <f t="array" ref="T21">INDEX(LCI!U$2:U$73, MATCH($E21&amp;$F21, LCI!$B$2:$B$73&amp;LCI!$D$2:$D$73, 0))* IF(AND($E21="Truck", OR($F21="Electric", $F21="Electric_green")), $B$6, 1)* $C21* $D21</f>
        <v>0.163850208</v>
      </c>
      <c r="U21" s="158" cm="1">
        <f t="array" ref="U21">INDEX(LCI!V$2:V$73, MATCH($E21&amp;$F21, LCI!$B$2:$B$73&amp;LCI!$D$2:$D$73, 0))* IF(AND($E21="Truck", OR($F21="Electric", $F21="Electric_green")), $B$6, 1)* $C21* $D21</f>
        <v>2.1050519999999998E-7</v>
      </c>
      <c r="V21" s="158" cm="1">
        <f t="array" ref="V21">INDEX(LCI!W$2:W$73, MATCH($E21&amp;$F21, LCI!$B$2:$B$73&amp;LCI!$D$2:$D$73, 0))* IF(AND($E21="Truck", OR($F21="Electric", $F21="Electric_green")), $B$6, 1)* $C21* $D21</f>
        <v>4.3198319999999994E-9</v>
      </c>
      <c r="W21" s="158" cm="1">
        <f t="array" ref="W21">INDEX(LCI!X$2:X$73, MATCH($E21&amp;$F21, LCI!$B$2:$B$73&amp;LCI!$D$2:$D$73, 0))* IF(AND($E21="Truck", OR($F21="Electric", $F21="Electric_green")), $B$6, 1)* $C21* $D21</f>
        <v>1.31316E-8</v>
      </c>
      <c r="X21" s="158" cm="1">
        <f t="array" ref="X21">INDEX(LCI!Y$2:Y$73, MATCH($E21&amp;$F21, LCI!$B$2:$B$73&amp;LCI!$D$2:$D$73, 0))* IF(AND($E21="Truck", OR($F21="Electric", $F21="Electric_green")), $B$6, 1)* $C21* $D21</f>
        <v>8.3646600000000012E-4</v>
      </c>
      <c r="Y21" s="158" cm="1">
        <f t="array" ref="Y21">INDEX(LCI!Z$2:Z$73, MATCH($E21&amp;$F21, LCI!$B$2:$B$73&amp;LCI!$D$2:$D$73, 0))* IF(AND($E21="Truck", OR($F21="Electric", $F21="Electric_green")), $B$6, 1)* $C21* $D21</f>
        <v>5.8934903999999996E-3</v>
      </c>
    </row>
    <row r="22" spans="1:25" ht="13.9" customHeight="1" x14ac:dyDescent="0.25">
      <c r="A22" s="385"/>
      <c r="B22" s="158" t="str">
        <f>Input!A46</f>
        <v>Virgin natural fine aggregate 1 (≤2 mm)</v>
      </c>
      <c r="C22" s="158">
        <f>+Input!B46</f>
        <v>0.02</v>
      </c>
      <c r="D22" s="158">
        <f>Input!$L46</f>
        <v>22</v>
      </c>
      <c r="E22" s="158" t="str">
        <f>Input!$J46</f>
        <v>Train</v>
      </c>
      <c r="F22" s="158" t="str">
        <f>Input!$K46</f>
        <v>Electric</v>
      </c>
      <c r="G22" s="158" cm="1">
        <f t="array" ref="G22">INDEX(LCI!H$2:H$73, MATCH($E22&amp;$F22, LCI!$B$2:$B$73&amp;LCI!$D$2:$D$73, 0))* IF(AND($E22="Truck", OR($F22="Electric", $F22="Electric_green")), $B$6, 1)* $C22* $D22</f>
        <v>8.7140663746770216E-5</v>
      </c>
      <c r="H22" s="158" cm="1">
        <f t="array" ref="H22">INDEX(LCI!I$2:I$73, MATCH($E22&amp;$F22, LCI!$B$2:$B$73&amp;LCI!$D$2:$D$73, 0))* IF(AND($E22="Truck", OR($F22="Electric", $F22="Electric_green")), $B$6, 1)* $C22* $D22</f>
        <v>1.5896150320181705E-2</v>
      </c>
      <c r="I22" s="158" cm="1">
        <f t="array" ref="I22">INDEX(LCI!J$2:J$73, MATCH($E22&amp;$F22, LCI!$B$2:$B$73&amp;LCI!$D$2:$D$73, 0))* IF(AND($E22="Truck", OR($F22="Electric", $F22="Electric_green")), $B$6, 1)* $C22* $D22</f>
        <v>2.1558908388251605E-5</v>
      </c>
      <c r="J22" s="158" cm="1">
        <f t="array" ref="J22">INDEX(LCI!K$2:K$73, MATCH($E22&amp;$F22, LCI!$B$2:$B$73&amp;LCI!$D$2:$D$73, 0))* IF(AND($E22="Truck", OR($F22="Electric", $F22="Electric_green")), $B$6, 1)* $C22* $D22</f>
        <v>1.5839286930890404E-2</v>
      </c>
      <c r="K22" s="158" cm="1">
        <f t="array" ref="K22">INDEX(LCI!L$2:L$73, MATCH($E22&amp;$F22, LCI!$B$2:$B$73&amp;LCI!$D$2:$D$73, 0))* IF(AND($E22="Truck", OR($F22="Electric", $F22="Electric_green")), $B$6, 1)* $C22* $D22</f>
        <v>3.530448090305374E-5</v>
      </c>
      <c r="L22" s="158" cm="1">
        <f t="array" ref="L22">INDEX(LCI!M$2:M$73, MATCH($E22&amp;$F22, LCI!$B$2:$B$73&amp;LCI!$D$2:$D$73, 0))* IF(AND($E22="Truck", OR($F22="Electric", $F22="Electric_green")), $B$6, 1)* $C22* $D22</f>
        <v>7.37148426505011E-2</v>
      </c>
      <c r="M22" s="158" cm="1">
        <f t="array" ref="M22">INDEX(LCI!N$2:N$73, MATCH($E22&amp;$F22, LCI!$B$2:$B$73&amp;LCI!$D$2:$D$73, 0))* IF(AND($E22="Truck", OR($F22="Electric", $F22="Electric_green")), $B$6, 1)* $C22* $D22</f>
        <v>0.26720180917130604</v>
      </c>
      <c r="N22" s="158" cm="1">
        <f t="array" ref="N22">INDEX(LCI!O$2:O$73, MATCH($E22&amp;$F22, LCI!$B$2:$B$73&amp;LCI!$D$2:$D$73, 0))* IF(AND($E22="Truck", OR($F22="Electric", $F22="Electric_green")), $B$6, 1)* $C22* $D22</f>
        <v>9.4585231839261171E-6</v>
      </c>
      <c r="O22" s="158" cm="1">
        <f t="array" ref="O22">INDEX(LCI!P$2:P$73, MATCH($E22&amp;$F22, LCI!$B$2:$B$73&amp;LCI!$D$2:$D$73, 0))* IF(AND($E22="Truck", OR($F22="Electric", $F22="Electric_green")), $B$6, 1)* $C22* $D22</f>
        <v>2.1335507731224046E-5</v>
      </c>
      <c r="P22" s="158" cm="1">
        <f t="array" ref="P22">INDEX(LCI!Q$2:Q$73, MATCH($E22&amp;$F22, LCI!$B$2:$B$73&amp;LCI!$D$2:$D$73, 0))* IF(AND($E22="Truck", OR($F22="Electric", $F22="Electric_green")), $B$6, 1)* $C22* $D22</f>
        <v>2.1618292709688747E-4</v>
      </c>
      <c r="Q22" s="158" cm="1">
        <f t="array" ref="Q22">INDEX(LCI!R$2:R$73, MATCH($E22&amp;$F22, LCI!$B$2:$B$73&amp;LCI!$D$2:$D$73, 0))* IF(AND($E22="Truck", OR($F22="Electric", $F22="Electric_green")), $B$6, 1)* $C22* $D22</f>
        <v>5.9013891064235139E-12</v>
      </c>
      <c r="R22" s="158" cm="1">
        <f t="array" ref="R22">INDEX(LCI!S$2:S$73, MATCH($E22&amp;$F22, LCI!$B$2:$B$73&amp;LCI!$D$2:$D$73, 0))* IF(AND($E22="Truck", OR($F22="Electric", $F22="Electric_green")), $B$6, 1)* $C22* $D22</f>
        <v>1.6299028329041659E-10</v>
      </c>
      <c r="S22" s="158" cm="1">
        <f t="array" ref="S22">INDEX(LCI!T$2:T$73, MATCH($E22&amp;$F22, LCI!$B$2:$B$73&amp;LCI!$D$2:$D$73, 0))* IF(AND($E22="Truck", OR($F22="Electric", $F22="Electric_green")), $B$6, 1)* $C22* $D22</f>
        <v>5.0481189868311965E-3</v>
      </c>
      <c r="T22" s="158" cm="1">
        <f t="array" ref="T22">INDEX(LCI!U$2:U$73, MATCH($E22&amp;$F22, LCI!$B$2:$B$73&amp;LCI!$D$2:$D$73, 0))* IF(AND($E22="Truck", OR($F22="Electric", $F22="Electric_green")), $B$6, 1)* $C22* $D22</f>
        <v>0.18962466916526807</v>
      </c>
      <c r="U22" s="158" cm="1">
        <f t="array" ref="U22">INDEX(LCI!V$2:V$73, MATCH($E22&amp;$F22, LCI!$B$2:$B$73&amp;LCI!$D$2:$D$73, 0))* IF(AND($E22="Truck", OR($F22="Electric", $F22="Electric_green")), $B$6, 1)* $C22* $D22</f>
        <v>6.4091811127731144E-8</v>
      </c>
      <c r="V22" s="158" cm="1">
        <f t="array" ref="V22">INDEX(LCI!W$2:W$73, MATCH($E22&amp;$F22, LCI!$B$2:$B$73&amp;LCI!$D$2:$D$73, 0))* IF(AND($E22="Truck", OR($F22="Electric", $F22="Electric_green")), $B$6, 1)* $C22* $D22</f>
        <v>1.9519199944785647E-10</v>
      </c>
      <c r="W22" s="158" cm="1">
        <f t="array" ref="W22">INDEX(LCI!X$2:X$73, MATCH($E22&amp;$F22, LCI!$B$2:$B$73&amp;LCI!$D$2:$D$73, 0))* IF(AND($E22="Truck", OR($F22="Electric", $F22="Electric_green")), $B$6, 1)* $C22* $D22</f>
        <v>9.8395813637772209E-10</v>
      </c>
      <c r="X22" s="158" cm="1">
        <f t="array" ref="X22">INDEX(LCI!Y$2:Y$73, MATCH($E22&amp;$F22, LCI!$B$2:$B$73&amp;LCI!$D$2:$D$73, 0))* IF(AND($E22="Truck", OR($F22="Electric", $F22="Electric_green")), $B$6, 1)* $C22* $D22</f>
        <v>6.700102994123366E-5</v>
      </c>
      <c r="Y22" s="158" cm="1">
        <f t="array" ref="Y22">INDEX(LCI!Z$2:Z$73, MATCH($E22&amp;$F22, LCI!$B$2:$B$73&amp;LCI!$D$2:$D$73, 0))* IF(AND($E22="Truck", OR($F22="Electric", $F22="Electric_green")), $B$6, 1)* $C22* $D22</f>
        <v>6.5600897331972554E-3</v>
      </c>
    </row>
    <row r="23" spans="1:25" ht="13.9" customHeight="1" x14ac:dyDescent="0.25">
      <c r="A23" s="385"/>
      <c r="B23" s="158" t="str">
        <f>Input!A47</f>
        <v>Virgin natural fine aggregate 2 (≤2 mm)</v>
      </c>
      <c r="C23" s="158">
        <f>+Input!B47</f>
        <v>0.02</v>
      </c>
      <c r="D23" s="158">
        <f>Input!$L47</f>
        <v>30</v>
      </c>
      <c r="E23" s="158" t="str">
        <f>Input!$J47</f>
        <v>Train</v>
      </c>
      <c r="F23" s="158" t="str">
        <f>Input!$K47</f>
        <v>Diesel</v>
      </c>
      <c r="G23" s="158" cm="1">
        <f t="array" ref="G23">INDEX(LCI!H$2:H$73, MATCH($E23&amp;$F23, LCI!$B$2:$B$73&amp;LCI!$D$2:$D$73, 0))* IF(AND($E23="Truck", OR($F23="Electric", $F23="Electric_green")), $B$6, 1)* $C23* $D23</f>
        <v>3.4383282872339657E-4</v>
      </c>
      <c r="H23" s="158" cm="1">
        <f t="array" ref="H23">INDEX(LCI!I$2:I$73, MATCH($E23&amp;$F23, LCI!$B$2:$B$73&amp;LCI!$D$2:$D$73, 0))* IF(AND($E23="Truck", OR($F23="Electric", $F23="Electric_green")), $B$6, 1)* $C23* $D23</f>
        <v>3.6450600445617647E-2</v>
      </c>
      <c r="I23" s="158" cm="1">
        <f t="array" ref="I23">INDEX(LCI!J$2:J$73, MATCH($E23&amp;$F23, LCI!$B$2:$B$73&amp;LCI!$D$2:$D$73, 0))* IF(AND($E23="Truck", OR($F23="Electric", $F23="Electric_green")), $B$6, 1)* $C23* $D23</f>
        <v>1.0859078753036096E-5</v>
      </c>
      <c r="J23" s="158" cm="1">
        <f t="array" ref="J23">INDEX(LCI!K$2:K$73, MATCH($E23&amp;$F23, LCI!$B$2:$B$73&amp;LCI!$D$2:$D$73, 0))* IF(AND($E23="Truck", OR($F23="Electric", $F23="Electric_green")), $B$6, 1)* $C23* $D23</f>
        <v>3.641893737114664E-2</v>
      </c>
      <c r="K23" s="158" cm="1">
        <f t="array" ref="K23">INDEX(LCI!L$2:L$73, MATCH($E23&amp;$F23, LCI!$B$2:$B$73&amp;LCI!$D$2:$D$73, 0))* IF(AND($E23="Truck", OR($F23="Electric", $F23="Electric_green")), $B$6, 1)* $C23* $D23</f>
        <v>2.0803995717966602E-5</v>
      </c>
      <c r="L23" s="158" cm="1">
        <f t="array" ref="L23">INDEX(LCI!M$2:M$73, MATCH($E23&amp;$F23, LCI!$B$2:$B$73&amp;LCI!$D$2:$D$73, 0))* IF(AND($E23="Truck", OR($F23="Electric", $F23="Electric_green")), $B$6, 1)* $C23* $D23</f>
        <v>9.1105759113148319E-2</v>
      </c>
      <c r="M23" s="158" cm="1">
        <f t="array" ref="M23">INDEX(LCI!N$2:N$73, MATCH($E23&amp;$F23, LCI!$B$2:$B$73&amp;LCI!$D$2:$D$73, 0))* IF(AND($E23="Truck", OR($F23="Electric", $F23="Electric_green")), $B$6, 1)* $C23* $D23</f>
        <v>0.45731692960260795</v>
      </c>
      <c r="N23" s="158" cm="1">
        <f t="array" ref="N23">INDEX(LCI!O$2:O$73, MATCH($E23&amp;$F23, LCI!$B$2:$B$73&amp;LCI!$D$2:$D$73, 0))* IF(AND($E23="Truck", OR($F23="Electric", $F23="Electric_green")), $B$6, 1)* $C23* $D23</f>
        <v>4.4229219907123792E-6</v>
      </c>
      <c r="O23" s="158" cm="1">
        <f t="array" ref="O23">INDEX(LCI!P$2:P$73, MATCH($E23&amp;$F23, LCI!$B$2:$B$73&amp;LCI!$D$2:$D$73, 0))* IF(AND($E23="Truck", OR($F23="Electric", $F23="Electric_green")), $B$6, 1)* $C23* $D23</f>
        <v>1.5273339852979814E-4</v>
      </c>
      <c r="P23" s="158" cm="1">
        <f t="array" ref="P23">INDEX(LCI!Q$2:Q$73, MATCH($E23&amp;$F23, LCI!$B$2:$B$73&amp;LCI!$D$2:$D$73, 0))* IF(AND($E23="Truck", OR($F23="Electric", $F23="Electric_green")), $B$6, 1)* $C23* $D23</f>
        <v>1.6687655176532868E-3</v>
      </c>
      <c r="Q23" s="158" cm="1">
        <f t="array" ref="Q23">INDEX(LCI!R$2:R$73, MATCH($E23&amp;$F23, LCI!$B$2:$B$73&amp;LCI!$D$2:$D$73, 0))* IF(AND($E23="Truck", OR($F23="Electric", $F23="Electric_green")), $B$6, 1)* $C23* $D23</f>
        <v>7.5184253373450357E-12</v>
      </c>
      <c r="R23" s="158" cm="1">
        <f t="array" ref="R23">INDEX(LCI!S$2:S$73, MATCH($E23&amp;$F23, LCI!$B$2:$B$73&amp;LCI!$D$2:$D$73, 0))* IF(AND($E23="Truck", OR($F23="Electric", $F23="Electric_green")), $B$6, 1)* $C23* $D23</f>
        <v>1.8795230316726212E-10</v>
      </c>
      <c r="S23" s="158" cm="1">
        <f t="array" ref="S23">INDEX(LCI!T$2:T$73, MATCH($E23&amp;$F23, LCI!$B$2:$B$73&amp;LCI!$D$2:$D$73, 0))* IF(AND($E23="Truck", OR($F23="Electric", $F23="Electric_green")), $B$6, 1)* $C23* $D23</f>
        <v>7.4359377237456835E-4</v>
      </c>
      <c r="T23" s="158" cm="1">
        <f t="array" ref="T23">INDEX(LCI!U$2:U$73, MATCH($E23&amp;$F23, LCI!$B$2:$B$73&amp;LCI!$D$2:$D$73, 0))* IF(AND($E23="Truck", OR($F23="Electric", $F23="Electric_green")), $B$6, 1)* $C23* $D23</f>
        <v>0.24394115114596795</v>
      </c>
      <c r="U23" s="158" cm="1">
        <f t="array" ref="U23">INDEX(LCI!V$2:V$73, MATCH($E23&amp;$F23, LCI!$B$2:$B$73&amp;LCI!$D$2:$D$73, 0))* IF(AND($E23="Truck", OR($F23="Electric", $F23="Electric_green")), $B$6, 1)* $C23* $D23</f>
        <v>8.1646749528371641E-8</v>
      </c>
      <c r="V23" s="158" cm="1">
        <f t="array" ref="V23">INDEX(LCI!W$2:W$73, MATCH($E23&amp;$F23, LCI!$B$2:$B$73&amp;LCI!$D$2:$D$73, 0))* IF(AND($E23="Truck", OR($F23="Electric", $F23="Electric_green")), $B$6, 1)* $C23* $D23</f>
        <v>6.5569075336817468E-10</v>
      </c>
      <c r="W23" s="158" cm="1">
        <f t="array" ref="W23">INDEX(LCI!X$2:X$73, MATCH($E23&amp;$F23, LCI!$B$2:$B$73&amp;LCI!$D$2:$D$73, 0))* IF(AND($E23="Truck", OR($F23="Electric", $F23="Electric_green")), $B$6, 1)* $C23* $D23</f>
        <v>3.7817906472434792E-9</v>
      </c>
      <c r="X23" s="158" cm="1">
        <f t="array" ref="X23">INDEX(LCI!Y$2:Y$73, MATCH($E23&amp;$F23, LCI!$B$2:$B$73&amp;LCI!$D$2:$D$73, 0))* IF(AND($E23="Truck", OR($F23="Electric", $F23="Electric_green")), $B$6, 1)* $C23* $D23</f>
        <v>4.8217018903038604E-4</v>
      </c>
      <c r="Y23" s="158" cm="1">
        <f t="array" ref="Y23">INDEX(LCI!Z$2:Z$73, MATCH($E23&amp;$F23, LCI!$B$2:$B$73&amp;LCI!$D$2:$D$73, 0))* IF(AND($E23="Truck", OR($F23="Electric", $F23="Electric_green")), $B$6, 1)* $C23* $D23</f>
        <v>3.6389378282648223E-3</v>
      </c>
    </row>
    <row r="24" spans="1:25" ht="13.9" customHeight="1" x14ac:dyDescent="0.25">
      <c r="A24" s="386"/>
      <c r="B24" s="158" t="str">
        <f>Input!A48</f>
        <v>Virgin natural fine aggregate 3 (≤2 mm)</v>
      </c>
      <c r="C24" s="158">
        <f>+Input!B48</f>
        <v>0.02</v>
      </c>
      <c r="D24" s="158">
        <f>Input!$L48</f>
        <v>30</v>
      </c>
      <c r="E24" s="158" t="str">
        <f>Input!$J48</f>
        <v>Train</v>
      </c>
      <c r="F24" s="158" t="str">
        <f>Input!$K48</f>
        <v>Diesel</v>
      </c>
      <c r="G24" s="158" cm="1">
        <f t="array" ref="G24">INDEX(LCI!H$2:H$73, MATCH($E24&amp;$F24, LCI!$B$2:$B$73&amp;LCI!$D$2:$D$73, 0))* IF(AND($E24="Truck", OR($F24="Electric", $F24="Electric_green")), $B$6, 1)* $C24* $D24</f>
        <v>3.4383282872339657E-4</v>
      </c>
      <c r="H24" s="158" cm="1">
        <f t="array" ref="H24">INDEX(LCI!I$2:I$73, MATCH($E24&amp;$F24, LCI!$B$2:$B$73&amp;LCI!$D$2:$D$73, 0))* IF(AND($E24="Truck", OR($F24="Electric", $F24="Electric_green")), $B$6, 1)* $C24* $D24</f>
        <v>3.6450600445617647E-2</v>
      </c>
      <c r="I24" s="158" cm="1">
        <f t="array" ref="I24">INDEX(LCI!J$2:J$73, MATCH($E24&amp;$F24, LCI!$B$2:$B$73&amp;LCI!$D$2:$D$73, 0))* IF(AND($E24="Truck", OR($F24="Electric", $F24="Electric_green")), $B$6, 1)* $C24* $D24</f>
        <v>1.0859078753036096E-5</v>
      </c>
      <c r="J24" s="158" cm="1">
        <f t="array" ref="J24">INDEX(LCI!K$2:K$73, MATCH($E24&amp;$F24, LCI!$B$2:$B$73&amp;LCI!$D$2:$D$73, 0))* IF(AND($E24="Truck", OR($F24="Electric", $F24="Electric_green")), $B$6, 1)* $C24* $D24</f>
        <v>3.641893737114664E-2</v>
      </c>
      <c r="K24" s="158" cm="1">
        <f t="array" ref="K24">INDEX(LCI!L$2:L$73, MATCH($E24&amp;$F24, LCI!$B$2:$B$73&amp;LCI!$D$2:$D$73, 0))* IF(AND($E24="Truck", OR($F24="Electric", $F24="Electric_green")), $B$6, 1)* $C24* $D24</f>
        <v>2.0803995717966602E-5</v>
      </c>
      <c r="L24" s="158" cm="1">
        <f t="array" ref="L24">INDEX(LCI!M$2:M$73, MATCH($E24&amp;$F24, LCI!$B$2:$B$73&amp;LCI!$D$2:$D$73, 0))* IF(AND($E24="Truck", OR($F24="Electric", $F24="Electric_green")), $B$6, 1)* $C24* $D24</f>
        <v>9.1105759113148319E-2</v>
      </c>
      <c r="M24" s="158" cm="1">
        <f t="array" ref="M24">INDEX(LCI!N$2:N$73, MATCH($E24&amp;$F24, LCI!$B$2:$B$73&amp;LCI!$D$2:$D$73, 0))* IF(AND($E24="Truck", OR($F24="Electric", $F24="Electric_green")), $B$6, 1)* $C24* $D24</f>
        <v>0.45731692960260795</v>
      </c>
      <c r="N24" s="158" cm="1">
        <f t="array" ref="N24">INDEX(LCI!O$2:O$73, MATCH($E24&amp;$F24, LCI!$B$2:$B$73&amp;LCI!$D$2:$D$73, 0))* IF(AND($E24="Truck", OR($F24="Electric", $F24="Electric_green")), $B$6, 1)* $C24* $D24</f>
        <v>4.4229219907123792E-6</v>
      </c>
      <c r="O24" s="158" cm="1">
        <f t="array" ref="O24">INDEX(LCI!P$2:P$73, MATCH($E24&amp;$F24, LCI!$B$2:$B$73&amp;LCI!$D$2:$D$73, 0))* IF(AND($E24="Truck", OR($F24="Electric", $F24="Electric_green")), $B$6, 1)* $C24* $D24</f>
        <v>1.5273339852979814E-4</v>
      </c>
      <c r="P24" s="158" cm="1">
        <f t="array" ref="P24">INDEX(LCI!Q$2:Q$73, MATCH($E24&amp;$F24, LCI!$B$2:$B$73&amp;LCI!$D$2:$D$73, 0))* IF(AND($E24="Truck", OR($F24="Electric", $F24="Electric_green")), $B$6, 1)* $C24* $D24</f>
        <v>1.6687655176532868E-3</v>
      </c>
      <c r="Q24" s="158" cm="1">
        <f t="array" ref="Q24">INDEX(LCI!R$2:R$73, MATCH($E24&amp;$F24, LCI!$B$2:$B$73&amp;LCI!$D$2:$D$73, 0))* IF(AND($E24="Truck", OR($F24="Electric", $F24="Electric_green")), $B$6, 1)* $C24* $D24</f>
        <v>7.5184253373450357E-12</v>
      </c>
      <c r="R24" s="158" cm="1">
        <f t="array" ref="R24">INDEX(LCI!S$2:S$73, MATCH($E24&amp;$F24, LCI!$B$2:$B$73&amp;LCI!$D$2:$D$73, 0))* IF(AND($E24="Truck", OR($F24="Electric", $F24="Electric_green")), $B$6, 1)* $C24* $D24</f>
        <v>1.8795230316726212E-10</v>
      </c>
      <c r="S24" s="158" cm="1">
        <f t="array" ref="S24">INDEX(LCI!T$2:T$73, MATCH($E24&amp;$F24, LCI!$B$2:$B$73&amp;LCI!$D$2:$D$73, 0))* IF(AND($E24="Truck", OR($F24="Electric", $F24="Electric_green")), $B$6, 1)* $C24* $D24</f>
        <v>7.4359377237456835E-4</v>
      </c>
      <c r="T24" s="158" cm="1">
        <f t="array" ref="T24">INDEX(LCI!U$2:U$73, MATCH($E24&amp;$F24, LCI!$B$2:$B$73&amp;LCI!$D$2:$D$73, 0))* IF(AND($E24="Truck", OR($F24="Electric", $F24="Electric_green")), $B$6, 1)* $C24* $D24</f>
        <v>0.24394115114596795</v>
      </c>
      <c r="U24" s="158" cm="1">
        <f t="array" ref="U24">INDEX(LCI!V$2:V$73, MATCH($E24&amp;$F24, LCI!$B$2:$B$73&amp;LCI!$D$2:$D$73, 0))* IF(AND($E24="Truck", OR($F24="Electric", $F24="Electric_green")), $B$6, 1)* $C24* $D24</f>
        <v>8.1646749528371641E-8</v>
      </c>
      <c r="V24" s="158" cm="1">
        <f t="array" ref="V24">INDEX(LCI!W$2:W$73, MATCH($E24&amp;$F24, LCI!$B$2:$B$73&amp;LCI!$D$2:$D$73, 0))* IF(AND($E24="Truck", OR($F24="Electric", $F24="Electric_green")), $B$6, 1)* $C24* $D24</f>
        <v>6.5569075336817468E-10</v>
      </c>
      <c r="W24" s="158" cm="1">
        <f t="array" ref="W24">INDEX(LCI!X$2:X$73, MATCH($E24&amp;$F24, LCI!$B$2:$B$73&amp;LCI!$D$2:$D$73, 0))* IF(AND($E24="Truck", OR($F24="Electric", $F24="Electric_green")), $B$6, 1)* $C24* $D24</f>
        <v>3.7817906472434792E-9</v>
      </c>
      <c r="X24" s="158" cm="1">
        <f t="array" ref="X24">INDEX(LCI!Y$2:Y$73, MATCH($E24&amp;$F24, LCI!$B$2:$B$73&amp;LCI!$D$2:$D$73, 0))* IF(AND($E24="Truck", OR($F24="Electric", $F24="Electric_green")), $B$6, 1)* $C24* $D24</f>
        <v>4.8217018903038604E-4</v>
      </c>
      <c r="Y24" s="158" cm="1">
        <f t="array" ref="Y24">INDEX(LCI!Z$2:Z$73, MATCH($E24&amp;$F24, LCI!$B$2:$B$73&amp;LCI!$D$2:$D$73, 0))* IF(AND($E24="Truck", OR($F24="Electric", $F24="Electric_green")), $B$6, 1)* $C24* $D24</f>
        <v>3.6389378282648223E-3</v>
      </c>
    </row>
    <row r="25" spans="1:25" x14ac:dyDescent="0.25">
      <c r="A25" s="387" t="s">
        <v>233</v>
      </c>
      <c r="B25" s="158" t="str">
        <f>Input!A49</f>
        <v>Filler 1</v>
      </c>
      <c r="C25" s="158">
        <f>+Input!B49</f>
        <v>0.01</v>
      </c>
      <c r="D25" s="158">
        <f>Input!$L49</f>
        <v>20</v>
      </c>
      <c r="E25" s="158" t="str">
        <f>Input!$J49</f>
        <v>Truck</v>
      </c>
      <c r="F25" s="158" t="str">
        <f>Input!$K49</f>
        <v>Biodiesel_4.5%</v>
      </c>
      <c r="G25" s="158" cm="1">
        <f t="array" ref="G25">INDEX(LCI!H$2:H$73, MATCH($E25&amp;$F25, LCI!$B$2:$B$73&amp;LCI!$D$2:$D$73, 0))* IF(AND($E25="Truck", OR($F25="Electric", $F25="Electric_green")), $B$6, 1)* $C25* $D25</f>
        <v>1.1092508999999999E-4</v>
      </c>
      <c r="H25" s="158" cm="1">
        <f t="array" ref="H25">INDEX(LCI!I$2:I$73, MATCH($E25&amp;$F25, LCI!$B$2:$B$73&amp;LCI!$D$2:$D$73, 0))* IF(AND($E25="Truck", OR($F25="Electric", $F25="Electric_green")), $B$6, 1)* $C25* $D25</f>
        <v>3.1780238815999999E-2</v>
      </c>
      <c r="I25" s="158" cm="1">
        <f t="array" ref="I25">INDEX(LCI!J$2:J$73, MATCH($E25&amp;$F25, LCI!$B$2:$B$73&amp;LCI!$D$2:$D$73, 0))* IF(AND($E25="Truck", OR($F25="Electric", $F25="Electric_green")), $B$6, 1)* $C25* $D25</f>
        <v>4.41705398E-5</v>
      </c>
      <c r="J25" s="158" cm="1">
        <f t="array" ref="J25">INDEX(LCI!K$2:K$73, MATCH($E25&amp;$F25, LCI!$B$2:$B$73&amp;LCI!$D$2:$D$73, 0))* IF(AND($E25="Truck", OR($F25="Electric", $F25="Electric_green")), $B$6, 1)* $C25* $D25</f>
        <v>3.1733202549999999E-2</v>
      </c>
      <c r="K25" s="158" cm="1">
        <f t="array" ref="K25">INDEX(LCI!L$2:L$73, MATCH($E25&amp;$F25, LCI!$B$2:$B$73&amp;LCI!$D$2:$D$73, 0))* IF(AND($E25="Truck", OR($F25="Electric", $F25="Electric_green")), $B$6, 1)* $C25* $D25</f>
        <v>2.8656715999999998E-6</v>
      </c>
      <c r="L25" s="158" cm="1">
        <f t="array" ref="L25">INDEX(LCI!M$2:M$73, MATCH($E25&amp;$F25, LCI!$B$2:$B$73&amp;LCI!$D$2:$D$73, 0))* IF(AND($E25="Truck", OR($F25="Electric", $F25="Electric_green")), $B$6, 1)* $C25* $D25</f>
        <v>5.7410277817999997E-2</v>
      </c>
      <c r="M25" s="158" cm="1">
        <f t="array" ref="M25">INDEX(LCI!N$2:N$73, MATCH($E25&amp;$F25, LCI!$B$2:$B$73&amp;LCI!$D$2:$D$73, 0))* IF(AND($E25="Truck", OR($F25="Electric", $F25="Electric_green")), $B$6, 1)* $C25* $D25</f>
        <v>0.42416852792899995</v>
      </c>
      <c r="N25" s="158" cm="1">
        <f t="array" ref="N25">INDEX(LCI!O$2:O$73, MATCH($E25&amp;$F25, LCI!$B$2:$B$73&amp;LCI!$D$2:$D$73, 0))* IF(AND($E25="Truck", OR($F25="Electric", $F25="Electric_green")), $B$6, 1)* $C25* $D25</f>
        <v>9.3698310000000009E-7</v>
      </c>
      <c r="O25" s="158" cm="1">
        <f t="array" ref="O25">INDEX(LCI!P$2:P$73, MATCH($E25&amp;$F25, LCI!$B$2:$B$73&amp;LCI!$D$2:$D$73, 0))* IF(AND($E25="Truck", OR($F25="Electric", $F25="Electric_green")), $B$6, 1)* $C25* $D25</f>
        <v>5.3594765000000002E-5</v>
      </c>
      <c r="P25" s="158" cm="1">
        <f t="array" ref="P25">INDEX(LCI!Q$2:Q$73, MATCH($E25&amp;$F25, LCI!$B$2:$B$73&amp;LCI!$D$2:$D$73, 0))* IF(AND($E25="Truck", OR($F25="Electric", $F25="Electric_green")), $B$6, 1)* $C25* $D25</f>
        <v>4.5601878499999999E-4</v>
      </c>
      <c r="Q25" s="158" cm="1">
        <f t="array" ref="Q25">INDEX(LCI!R$2:R$73, MATCH($E25&amp;$F25, LCI!$B$2:$B$73&amp;LCI!$D$2:$D$73, 0))* IF(AND($E25="Truck", OR($F25="Electric", $F25="Electric_green")), $B$6, 1)* $C25* $D25</f>
        <v>3.7854798999999997E-12</v>
      </c>
      <c r="R25" s="158" cm="1">
        <f t="array" ref="R25">INDEX(LCI!S$2:S$73, MATCH($E25&amp;$F25, LCI!$B$2:$B$73&amp;LCI!$D$2:$D$73, 0))* IF(AND($E25="Truck", OR($F25="Electric", $F25="Electric_green")), $B$6, 1)* $C25* $D25</f>
        <v>3.1949455000000005E-10</v>
      </c>
      <c r="S25" s="158" cm="1">
        <f t="array" ref="S25">INDEX(LCI!T$2:T$73, MATCH($E25&amp;$F25, LCI!$B$2:$B$73&amp;LCI!$D$2:$D$73, 0))* IF(AND($E25="Truck", OR($F25="Electric", $F25="Electric_green")), $B$6, 1)* $C25* $D25</f>
        <v>2.3737222899999997E-4</v>
      </c>
      <c r="T25" s="158" cm="1">
        <f t="array" ref="T25">INDEX(LCI!U$2:U$73, MATCH($E25&amp;$F25, LCI!$B$2:$B$73&amp;LCI!$D$2:$D$73, 0))* IF(AND($E25="Truck", OR($F25="Electric", $F25="Electric_green")), $B$6, 1)* $C25* $D25</f>
        <v>8.9625083797000002E-2</v>
      </c>
      <c r="U25" s="158" cm="1">
        <f t="array" ref="U25">INDEX(LCI!V$2:V$73, MATCH($E25&amp;$F25, LCI!$B$2:$B$73&amp;LCI!$D$2:$D$73, 0))* IF(AND($E25="Truck", OR($F25="Electric", $F25="Electric_green")), $B$6, 1)* $C25* $D25</f>
        <v>3.9101178999999995E-8</v>
      </c>
      <c r="V25" s="158" cm="1">
        <f t="array" ref="V25">INDEX(LCI!W$2:W$73, MATCH($E25&amp;$F25, LCI!$B$2:$B$73&amp;LCI!$D$2:$D$73, 0))* IF(AND($E25="Truck", OR($F25="Electric", $F25="Electric_green")), $B$6, 1)* $C25* $D25</f>
        <v>7.3779667999999997E-10</v>
      </c>
      <c r="W25" s="158" cm="1">
        <f t="array" ref="W25">INDEX(LCI!X$2:X$73, MATCH($E25&amp;$F25, LCI!$B$2:$B$73&amp;LCI!$D$2:$D$73, 0))* IF(AND($E25="Truck", OR($F25="Electric", $F25="Electric_green")), $B$6, 1)* $C25* $D25</f>
        <v>2.3595801999999999E-9</v>
      </c>
      <c r="X25" s="158" cm="1">
        <f t="array" ref="X25">INDEX(LCI!Y$2:Y$73, MATCH($E25&amp;$F25, LCI!$B$2:$B$73&amp;LCI!$D$2:$D$73, 0))* IF(AND($E25="Truck", OR($F25="Electric", $F25="Electric_green")), $B$6, 1)* $C25* $D25</f>
        <v>1.47636964E-4</v>
      </c>
      <c r="Y25" s="158" cm="1">
        <f t="array" ref="Y25">INDEX(LCI!Z$2:Z$73, MATCH($E25&amp;$F25, LCI!$B$2:$B$73&amp;LCI!$D$2:$D$73, 0))* IF(AND($E25="Truck", OR($F25="Electric", $F25="Electric_green")), $B$6, 1)* $C25* $D25</f>
        <v>2.2649063049999998E-3</v>
      </c>
    </row>
    <row r="26" spans="1:25" ht="13.9" customHeight="1" x14ac:dyDescent="0.25">
      <c r="A26" s="388"/>
      <c r="B26" s="158" t="str">
        <f>Input!A50</f>
        <v>Filler 2</v>
      </c>
      <c r="C26" s="158">
        <f>+Input!B50</f>
        <v>0.01</v>
      </c>
      <c r="D26" s="158">
        <f>Input!$L50</f>
        <v>23</v>
      </c>
      <c r="E26" s="158" t="str">
        <f>Input!$J50</f>
        <v>Truck</v>
      </c>
      <c r="F26" s="158" t="str">
        <f>Input!$K50</f>
        <v>Diesel_Euro5</v>
      </c>
      <c r="G26" s="158" cm="1">
        <f t="array" ref="G26">INDEX(LCI!H$2:H$73, MATCH($E26&amp;$F26, LCI!$B$2:$B$73&amp;LCI!$D$2:$D$73, 0))* IF(AND($E26="Truck", OR($F26="Electric", $F26="Electric_green")), $B$6, 1)* $C26* $D26</f>
        <v>1.0182951000000001E-4</v>
      </c>
      <c r="H26" s="158" cm="1">
        <f t="array" ref="H26">INDEX(LCI!I$2:I$73, MATCH($E26&amp;$F26, LCI!$B$2:$B$73&amp;LCI!$D$2:$D$73, 0))* IF(AND($E26="Truck", OR($F26="Electric", $F26="Electric_green")), $B$6, 1)* $C26* $D26</f>
        <v>3.7222268270000004E-2</v>
      </c>
      <c r="I26" s="158" cm="1">
        <f t="array" ref="I26">INDEX(LCI!J$2:J$73, MATCH($E26&amp;$F26, LCI!$B$2:$B$73&amp;LCI!$D$2:$D$73, 0))* IF(AND($E26="Truck", OR($F26="Electric", $F26="Electric_green")), $B$6, 1)* $C26* $D26</f>
        <v>1.7203723999999998E-5</v>
      </c>
      <c r="J26" s="158" cm="1">
        <f t="array" ref="J26">INDEX(LCI!K$2:K$73, MATCH($E26&amp;$F26, LCI!$B$2:$B$73&amp;LCI!$D$2:$D$73, 0))* IF(AND($E26="Truck", OR($F26="Electric", $F26="Electric_green")), $B$6, 1)* $C26* $D26</f>
        <v>3.7202137750000003E-2</v>
      </c>
      <c r="K26" s="158" cm="1">
        <f t="array" ref="K26">INDEX(LCI!L$2:L$73, MATCH($E26&amp;$F26, LCI!$B$2:$B$73&amp;LCI!$D$2:$D$73, 0))* IF(AND($E26="Truck", OR($F26="Electric", $F26="Electric_green")), $B$6, 1)* $C26* $D26</f>
        <v>2.926727E-6</v>
      </c>
      <c r="L26" s="158" cm="1">
        <f t="array" ref="L26">INDEX(LCI!M$2:M$73, MATCH($E26&amp;$F26, LCI!$B$2:$B$73&amp;LCI!$D$2:$D$73, 0))* IF(AND($E26="Truck", OR($F26="Electric", $F26="Electric_green")), $B$6, 1)* $C26* $D26</f>
        <v>3.1633470439999999E-2</v>
      </c>
      <c r="M26" s="158" cm="1">
        <f t="array" ref="M26">INDEX(LCI!N$2:N$73, MATCH($E26&amp;$F26, LCI!$B$2:$B$73&amp;LCI!$D$2:$D$73, 0))* IF(AND($E26="Truck", OR($F26="Electric", $F26="Electric_green")), $B$6, 1)* $C26* $D26</f>
        <v>0.50046611029999999</v>
      </c>
      <c r="N26" s="158" cm="1">
        <f t="array" ref="N26">INDEX(LCI!O$2:O$73, MATCH($E26&amp;$F26, LCI!$B$2:$B$73&amp;LCI!$D$2:$D$73, 0))* IF(AND($E26="Truck", OR($F26="Electric", $F26="Electric_green")), $B$6, 1)* $C26* $D26</f>
        <v>8.5629000000000011E-7</v>
      </c>
      <c r="O26" s="158" cm="1">
        <f t="array" ref="O26">INDEX(LCI!P$2:P$73, MATCH($E26&amp;$F26, LCI!$B$2:$B$73&amp;LCI!$D$2:$D$73, 0))* IF(AND($E26="Truck", OR($F26="Electric", $F26="Electric_green")), $B$6, 1)* $C26* $D26</f>
        <v>3.6536419999999999E-5</v>
      </c>
      <c r="P26" s="158" cm="1">
        <f t="array" ref="P26">INDEX(LCI!Q$2:Q$73, MATCH($E26&amp;$F26, LCI!$B$2:$B$73&amp;LCI!$D$2:$D$73, 0))* IF(AND($E26="Truck", OR($F26="Electric", $F26="Electric_green")), $B$6, 1)* $C26* $D26</f>
        <v>3.9855664999999995E-4</v>
      </c>
      <c r="Q26" s="158" cm="1">
        <f t="array" ref="Q26">INDEX(LCI!R$2:R$73, MATCH($E26&amp;$F26, LCI!$B$2:$B$73&amp;LCI!$D$2:$D$73, 0))* IF(AND($E26="Truck", OR($F26="Electric", $F26="Electric_green")), $B$6, 1)* $C26* $D26</f>
        <v>3.4792329999999996E-12</v>
      </c>
      <c r="R26" s="158" cm="1">
        <f t="array" ref="R26">INDEX(LCI!S$2:S$73, MATCH($E26&amp;$F26, LCI!$B$2:$B$73&amp;LCI!$D$2:$D$73, 0))* IF(AND($E26="Truck", OR($F26="Electric", $F26="Electric_green")), $B$6, 1)* $C26* $D26</f>
        <v>2.6676550000000001E-10</v>
      </c>
      <c r="S26" s="158" cm="1">
        <f t="array" ref="S26">INDEX(LCI!T$2:T$73, MATCH($E26&amp;$F26, LCI!$B$2:$B$73&amp;LCI!$D$2:$D$73, 0))* IF(AND($E26="Truck", OR($F26="Electric", $F26="Electric_green")), $B$6, 1)* $C26* $D26</f>
        <v>2.2531444000000001E-4</v>
      </c>
      <c r="T26" s="158" cm="1">
        <f t="array" ref="T26">INDEX(LCI!U$2:U$73, MATCH($E26&amp;$F26, LCI!$B$2:$B$73&amp;LCI!$D$2:$D$73, 0))* IF(AND($E26="Truck", OR($F26="Electric", $F26="Electric_green")), $B$6, 1)* $C26* $D26</f>
        <v>3.1404623200000002E-2</v>
      </c>
      <c r="U26" s="158" cm="1">
        <f t="array" ref="U26">INDEX(LCI!V$2:V$73, MATCH($E26&amp;$F26, LCI!$B$2:$B$73&amp;LCI!$D$2:$D$73, 0))* IF(AND($E26="Truck", OR($F26="Electric", $F26="Electric_green")), $B$6, 1)* $C26* $D26</f>
        <v>4.0346829999999996E-8</v>
      </c>
      <c r="V26" s="158" cm="1">
        <f t="array" ref="V26">INDEX(LCI!W$2:W$73, MATCH($E26&amp;$F26, LCI!$B$2:$B$73&amp;LCI!$D$2:$D$73, 0))* IF(AND($E26="Truck", OR($F26="Electric", $F26="Electric_green")), $B$6, 1)* $C26* $D26</f>
        <v>8.279677999999999E-10</v>
      </c>
      <c r="W26" s="158" cm="1">
        <f t="array" ref="W26">INDEX(LCI!X$2:X$73, MATCH($E26&amp;$F26, LCI!$B$2:$B$73&amp;LCI!$D$2:$D$73, 0))* IF(AND($E26="Truck", OR($F26="Electric", $F26="Electric_green")), $B$6, 1)* $C26* $D26</f>
        <v>2.51689E-9</v>
      </c>
      <c r="X26" s="158" cm="1">
        <f t="array" ref="X26">INDEX(LCI!Y$2:Y$73, MATCH($E26&amp;$F26, LCI!$B$2:$B$73&amp;LCI!$D$2:$D$73, 0))* IF(AND($E26="Truck", OR($F26="Electric", $F26="Electric_green")), $B$6, 1)* $C26* $D26</f>
        <v>1.6032265000000002E-4</v>
      </c>
      <c r="Y26" s="158" cm="1">
        <f t="array" ref="Y26">INDEX(LCI!Z$2:Z$73, MATCH($E26&amp;$F26, LCI!$B$2:$B$73&amp;LCI!$D$2:$D$73, 0))* IF(AND($E26="Truck", OR($F26="Electric", $F26="Electric_green")), $B$6, 1)* $C26* $D26</f>
        <v>1.12958566E-3</v>
      </c>
    </row>
    <row r="27" spans="1:25" x14ac:dyDescent="0.25">
      <c r="A27" s="389" t="s">
        <v>322</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3.9" customHeight="1" x14ac:dyDescent="0.25">
      <c r="A28" s="389"/>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25">
      <c r="A29" s="390" t="s">
        <v>323</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3.9" customHeight="1" x14ac:dyDescent="0.25">
      <c r="A30" s="390"/>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25">
      <c r="A31" s="390" t="s">
        <v>324</v>
      </c>
      <c r="B31" s="158" t="str">
        <f>Input!A55</f>
        <v>Additive 1</v>
      </c>
      <c r="C31" s="158">
        <f>+Input!B55</f>
        <v>0.02</v>
      </c>
      <c r="D31" s="158">
        <f>Input!$L55</f>
        <v>23</v>
      </c>
      <c r="E31" s="158" t="str">
        <f>Input!$J55</f>
        <v>Barge</v>
      </c>
      <c r="F31" s="158" t="str">
        <f>Input!$K55</f>
        <v>Diesel</v>
      </c>
      <c r="G31" s="158" cm="1">
        <f t="array" ref="G31">INDEX(LCI!H$2:H$73, MATCH($E31&amp;$F31, LCI!$B$2:$B$73&amp;LCI!$D$2:$D$73, 0))* IF(AND($E31="Truck", OR($F31="Electric", $F31="Electric_green")), $B$6, 1)* $C31* $D31</f>
        <v>2.0354075863738722E-4</v>
      </c>
      <c r="H31" s="158" cm="1">
        <f t="array" ref="H31">INDEX(LCI!I$2:I$73, MATCH($E31&amp;$F31, LCI!$B$2:$B$73&amp;LCI!$D$2:$D$73, 0))* IF(AND($E31="Truck", OR($F31="Electric", $F31="Electric_green")), $B$6, 1)* $C31* $D31</f>
        <v>2.3200163889611054E-2</v>
      </c>
      <c r="I31" s="158" cm="1">
        <f t="array" ref="I31">INDEX(LCI!J$2:J$73, MATCH($E31&amp;$F31, LCI!$B$2:$B$73&amp;LCI!$D$2:$D$73, 0))* IF(AND($E31="Truck", OR($F31="Electric", $F31="Electric_green")), $B$6, 1)* $C31* $D31</f>
        <v>6.3903270347093385E-6</v>
      </c>
      <c r="J31" s="158" cm="1">
        <f t="array" ref="J31">INDEX(LCI!K$2:K$73, MATCH($E31&amp;$F31, LCI!$B$2:$B$73&amp;LCI!$D$2:$D$73, 0))* IF(AND($E31="Truck", OR($F31="Electric", $F31="Electric_green")), $B$6, 1)* $C31* $D31</f>
        <v>2.317225610193031E-2</v>
      </c>
      <c r="K31" s="158" cm="1">
        <f t="array" ref="K31">INDEX(LCI!L$2:L$73, MATCH($E31&amp;$F31, LCI!$B$2:$B$73&amp;LCI!$D$2:$D$73, 0))* IF(AND($E31="Truck", OR($F31="Electric", $F31="Electric_green")), $B$6, 1)* $C31* $D31</f>
        <v>2.1517460646035718E-5</v>
      </c>
      <c r="L31" s="158" cm="1">
        <f t="array" ref="L31">INDEX(LCI!M$2:M$73, MATCH($E31&amp;$F31, LCI!$B$2:$B$73&amp;LCI!$D$2:$D$73, 0))* IF(AND($E31="Truck", OR($F31="Electric", $F31="Electric_green")), $B$6, 1)* $C31* $D31</f>
        <v>2.3488621077211114E-2</v>
      </c>
      <c r="M31" s="158" cm="1">
        <f t="array" ref="M31">INDEX(LCI!N$2:N$73, MATCH($E31&amp;$F31, LCI!$B$2:$B$73&amp;LCI!$D$2:$D$73, 0))* IF(AND($E31="Truck", OR($F31="Electric", $F31="Electric_green")), $B$6, 1)* $C31* $D31</f>
        <v>0.28457003075272336</v>
      </c>
      <c r="N31" s="158" cm="1">
        <f t="array" ref="N31">INDEX(LCI!O$2:O$73, MATCH($E31&amp;$F31, LCI!$B$2:$B$73&amp;LCI!$D$2:$D$73, 0))* IF(AND($E31="Truck", OR($F31="Electric", $F31="Electric_green")), $B$6, 1)* $C31* $D31</f>
        <v>2.0920059823019113E-6</v>
      </c>
      <c r="O31" s="158" cm="1">
        <f t="array" ref="O31">INDEX(LCI!P$2:P$73, MATCH($E31&amp;$F31, LCI!$B$2:$B$73&amp;LCI!$D$2:$D$73, 0))* IF(AND($E31="Truck", OR($F31="Electric", $F31="Electric_green")), $B$6, 1)* $C31* $D31</f>
        <v>9.2278047607958902E-5</v>
      </c>
      <c r="P31" s="158" cm="1">
        <f t="array" ref="P31">INDEX(LCI!Q$2:Q$73, MATCH($E31&amp;$F31, LCI!$B$2:$B$73&amp;LCI!$D$2:$D$73, 0))* IF(AND($E31="Truck", OR($F31="Electric", $F31="Electric_green")), $B$6, 1)* $C31* $D31</f>
        <v>1.0089533581977871E-3</v>
      </c>
      <c r="Q31" s="158" cm="1">
        <f t="array" ref="Q31">INDEX(LCI!R$2:R$73, MATCH($E31&amp;$F31, LCI!$B$2:$B$73&amp;LCI!$D$2:$D$73, 0))* IF(AND($E31="Truck", OR($F31="Electric", $F31="Electric_green")), $B$6, 1)* $C31* $D31</f>
        <v>3.1319550075450163E-12</v>
      </c>
      <c r="R31" s="158" cm="1">
        <f t="array" ref="R31">INDEX(LCI!S$2:S$73, MATCH($E31&amp;$F31, LCI!$B$2:$B$73&amp;LCI!$D$2:$D$73, 0))* IF(AND($E31="Truck", OR($F31="Electric", $F31="Electric_green")), $B$6, 1)* $C31* $D31</f>
        <v>6.9173663041902534E-11</v>
      </c>
      <c r="S31" s="158" cm="1">
        <f t="array" ref="S31">INDEX(LCI!T$2:T$73, MATCH($E31&amp;$F31, LCI!$B$2:$B$73&amp;LCI!$D$2:$D$73, 0))* IF(AND($E31="Truck", OR($F31="Electric", $F31="Electric_green")), $B$6, 1)* $C31* $D31</f>
        <v>7.7841521372920227E-4</v>
      </c>
      <c r="T31" s="158" cm="1">
        <f t="array" ref="T31">INDEX(LCI!U$2:U$73, MATCH($E31&amp;$F31, LCI!$B$2:$B$73&amp;LCI!$D$2:$D$73, 0))* IF(AND($E31="Truck", OR($F31="Electric", $F31="Electric_green")), $B$6, 1)* $C31* $D31</f>
        <v>0.18994018431011478</v>
      </c>
      <c r="U31" s="158" cm="1">
        <f t="array" ref="U31">INDEX(LCI!V$2:V$73, MATCH($E31&amp;$F31, LCI!$B$2:$B$73&amp;LCI!$D$2:$D$73, 0))* IF(AND($E31="Truck", OR($F31="Electric", $F31="Electric_green")), $B$6, 1)* $C31* $D31</f>
        <v>3.1964343743608386E-8</v>
      </c>
      <c r="V31" s="158" cm="1">
        <f t="array" ref="V31">INDEX(LCI!W$2:W$73, MATCH($E31&amp;$F31, LCI!$B$2:$B$73&amp;LCI!$D$2:$D$73, 0))* IF(AND($E31="Truck", OR($F31="Electric", $F31="Electric_green")), $B$6, 1)* $C31* $D31</f>
        <v>4.2953041931506537E-10</v>
      </c>
      <c r="W31" s="158" cm="1">
        <f t="array" ref="W31">INDEX(LCI!X$2:X$73, MATCH($E31&amp;$F31, LCI!$B$2:$B$73&amp;LCI!$D$2:$D$73, 0))* IF(AND($E31="Truck", OR($F31="Electric", $F31="Electric_green")), $B$6, 1)* $C31* $D31</f>
        <v>4.8984642195443308E-10</v>
      </c>
      <c r="X31" s="158" cm="1">
        <f t="array" ref="X31">INDEX(LCI!Y$2:Y$73, MATCH($E31&amp;$F31, LCI!$B$2:$B$73&amp;LCI!$D$2:$D$73, 0))* IF(AND($E31="Truck", OR($F31="Electric", $F31="Electric_green")), $B$6, 1)* $C31* $D31</f>
        <v>2.8208483919839658E-4</v>
      </c>
      <c r="Y31" s="158" cm="1">
        <f t="array" ref="Y31">INDEX(LCI!Z$2:Z$73, MATCH($E31&amp;$F31, LCI!$B$2:$B$73&amp;LCI!$D$2:$D$73, 0))* IF(AND($E31="Truck", OR($F31="Electric", $F31="Electric_green")), $B$6, 1)* $C31* $D31</f>
        <v>2.2001175445316669E-3</v>
      </c>
    </row>
    <row r="32" spans="1:25" ht="13.9" customHeight="1" x14ac:dyDescent="0.25">
      <c r="A32" s="390"/>
      <c r="B32" s="158" t="str">
        <f>Input!A56</f>
        <v>Additive 2</v>
      </c>
      <c r="C32" s="158">
        <f>+Input!B56</f>
        <v>0.02</v>
      </c>
      <c r="D32" s="158">
        <f>Input!$L56</f>
        <v>21</v>
      </c>
      <c r="E32" s="158" t="str">
        <f>Input!$J56</f>
        <v>Truck</v>
      </c>
      <c r="F32" s="158" t="str">
        <f>Input!$K56</f>
        <v>Diesel_Euro6</v>
      </c>
      <c r="G32" s="158" cm="1">
        <f t="array" ref="G32">INDEX(LCI!H$2:H$73, MATCH($E32&amp;$F32, LCI!$B$2:$B$73&amp;LCI!$D$2:$D$73, 0))* IF(AND($E32="Truck", OR($F32="Electric", $F32="Electric_green")), $B$6, 1)* $C32* $D32</f>
        <v>9.9423240000000003E-5</v>
      </c>
      <c r="H32" s="158" cm="1">
        <f t="array" ref="H32">INDEX(LCI!I$2:I$73, MATCH($E32&amp;$F32, LCI!$B$2:$B$73&amp;LCI!$D$2:$D$73, 0))* IF(AND($E32="Truck", OR($F32="Electric", $F32="Electric_green")), $B$6, 1)* $C32* $D32</f>
        <v>6.6672840780000006E-2</v>
      </c>
      <c r="I32" s="158" cm="1">
        <f t="array" ref="I32">INDEX(LCI!J$2:J$73, MATCH($E32&amp;$F32, LCI!$B$2:$B$73&amp;LCI!$D$2:$D$73, 0))* IF(AND($E32="Truck", OR($F32="Electric", $F32="Electric_green")), $B$6, 1)* $C32* $D32</f>
        <v>3.1159926000000004E-5</v>
      </c>
      <c r="J32" s="158" cm="1">
        <f t="array" ref="J32">INDEX(LCI!K$2:K$73, MATCH($E32&amp;$F32, LCI!$B$2:$B$73&amp;LCI!$D$2:$D$73, 0))* IF(AND($E32="Truck", OR($F32="Electric", $F32="Electric_green")), $B$6, 1)* $C32* $D32</f>
        <v>6.6636377640000008E-2</v>
      </c>
      <c r="K32" s="158" cm="1">
        <f t="array" ref="K32">INDEX(LCI!L$2:L$73, MATCH($E32&amp;$F32, LCI!$B$2:$B$73&amp;LCI!$D$2:$D$73, 0))* IF(AND($E32="Truck", OR($F32="Electric", $F32="Electric_green")), $B$6, 1)* $C32* $D32</f>
        <v>5.3031299999999997E-6</v>
      </c>
      <c r="L32" s="158" cm="1">
        <f t="array" ref="L32">INDEX(LCI!M$2:M$73, MATCH($E32&amp;$F32, LCI!$B$2:$B$73&amp;LCI!$D$2:$D$73, 0))* IF(AND($E32="Truck", OR($F32="Electric", $F32="Electric_green")), $B$6, 1)* $C32* $D32</f>
        <v>5.7264458579999997E-2</v>
      </c>
      <c r="M32" s="158" cm="1">
        <f t="array" ref="M32">INDEX(LCI!N$2:N$73, MATCH($E32&amp;$F32, LCI!$B$2:$B$73&amp;LCI!$D$2:$D$73, 0))* IF(AND($E32="Truck", OR($F32="Electric", $F32="Electric_green")), $B$6, 1)* $C32* $D32</f>
        <v>0.89734711919999999</v>
      </c>
      <c r="N32" s="158" cm="1">
        <f t="array" ref="N32">INDEX(LCI!O$2:O$73, MATCH($E32&amp;$F32, LCI!$B$2:$B$73&amp;LCI!$D$2:$D$73, 0))* IF(AND($E32="Truck", OR($F32="Electric", $F32="Electric_green")), $B$6, 1)* $C32* $D32</f>
        <v>1.5551298E-6</v>
      </c>
      <c r="O32" s="158" cm="1">
        <f t="array" ref="O32">INDEX(LCI!P$2:P$73, MATCH($E32&amp;$F32, LCI!$B$2:$B$73&amp;LCI!$D$2:$D$73, 0))* IF(AND($E32="Truck", OR($F32="Electric", $F32="Electric_green")), $B$6, 1)* $C32* $D32</f>
        <v>2.1670823999999998E-5</v>
      </c>
      <c r="P32" s="158" cm="1">
        <f t="array" ref="P32">INDEX(LCI!Q$2:Q$73, MATCH($E32&amp;$F32, LCI!$B$2:$B$73&amp;LCI!$D$2:$D$73, 0))* IF(AND($E32="Truck", OR($F32="Electric", $F32="Electric_green")), $B$6, 1)* $C32* $D32</f>
        <v>2.3456706000000001E-4</v>
      </c>
      <c r="Q32" s="158" cm="1">
        <f t="array" ref="Q32">INDEX(LCI!R$2:R$73, MATCH($E32&amp;$F32, LCI!$B$2:$B$73&amp;LCI!$D$2:$D$73, 0))* IF(AND($E32="Truck", OR($F32="Electric", $F32="Electric_green")), $B$6, 1)* $C32* $D32</f>
        <v>5.9092740000000006E-12</v>
      </c>
      <c r="R32" s="158" cm="1">
        <f t="array" ref="R32">INDEX(LCI!S$2:S$73, MATCH($E32&amp;$F32, LCI!$B$2:$B$73&amp;LCI!$D$2:$D$73, 0))* IF(AND($E32="Truck", OR($F32="Electric", $F32="Electric_green")), $B$6, 1)* $C32* $D32</f>
        <v>4.8080760000000008E-10</v>
      </c>
      <c r="S32" s="158" cm="1">
        <f t="array" ref="S32">INDEX(LCI!T$2:T$73, MATCH($E32&amp;$F32, LCI!$B$2:$B$73&amp;LCI!$D$2:$D$73, 0))* IF(AND($E32="Truck", OR($F32="Electric", $F32="Electric_green")), $B$6, 1)* $C32* $D32</f>
        <v>4.0689852000000003E-4</v>
      </c>
      <c r="T32" s="158" cm="1">
        <f t="array" ref="T32">INDEX(LCI!U$2:U$73, MATCH($E32&amp;$F32, LCI!$B$2:$B$73&amp;LCI!$D$2:$D$73, 0))* IF(AND($E32="Truck", OR($F32="Electric", $F32="Electric_green")), $B$6, 1)* $C32* $D32</f>
        <v>5.6601935880000009E-2</v>
      </c>
      <c r="U32" s="158" cm="1">
        <f t="array" ref="U32">INDEX(LCI!V$2:V$73, MATCH($E32&amp;$F32, LCI!$B$2:$B$73&amp;LCI!$D$2:$D$73, 0))* IF(AND($E32="Truck", OR($F32="Electric", $F32="Electric_green")), $B$6, 1)* $C32* $D32</f>
        <v>7.3557540000000002E-8</v>
      </c>
      <c r="V32" s="158" cm="1">
        <f t="array" ref="V32">INDEX(LCI!W$2:W$73, MATCH($E32&amp;$F32, LCI!$B$2:$B$73&amp;LCI!$D$2:$D$73, 0))* IF(AND($E32="Truck", OR($F32="Electric", $F32="Electric_green")), $B$6, 1)* $C32* $D32</f>
        <v>1.4825244000000001E-9</v>
      </c>
      <c r="W32" s="158" cm="1">
        <f t="array" ref="W32">INDEX(LCI!X$2:X$73, MATCH($E32&amp;$F32, LCI!$B$2:$B$73&amp;LCI!$D$2:$D$73, 0))* IF(AND($E32="Truck", OR($F32="Electric", $F32="Electric_green")), $B$6, 1)* $C32* $D32</f>
        <v>4.1326194E-9</v>
      </c>
      <c r="X32" s="158" cm="1">
        <f t="array" ref="X32">INDEX(LCI!Y$2:Y$73, MATCH($E32&amp;$F32, LCI!$B$2:$B$73&amp;LCI!$D$2:$D$73, 0))* IF(AND($E32="Truck", OR($F32="Electric", $F32="Electric_green")), $B$6, 1)* $C32* $D32</f>
        <v>1.7334071999999999E-4</v>
      </c>
      <c r="Y32" s="158" cm="1">
        <f t="array" ref="Y32">INDEX(LCI!Z$2:Z$73, MATCH($E32&amp;$F32, LCI!$B$2:$B$73&amp;LCI!$D$2:$D$73, 0))* IF(AND($E32="Truck", OR($F32="Electric", $F32="Electric_green")), $B$6, 1)* $C32* $D32</f>
        <v>2.04379938E-3</v>
      </c>
    </row>
    <row r="33" spans="1:25" ht="13.9" customHeight="1" x14ac:dyDescent="0.25">
      <c r="A33" s="390"/>
      <c r="B33" s="158" t="str">
        <f>Input!A57</f>
        <v>Additive 3</v>
      </c>
      <c r="C33" s="158">
        <f>+Input!B57</f>
        <v>0.02</v>
      </c>
      <c r="D33" s="158">
        <f>Input!$L57</f>
        <v>24</v>
      </c>
      <c r="E33" s="158" t="str">
        <f>Input!$J57</f>
        <v>Truck</v>
      </c>
      <c r="F33" s="158" t="str">
        <f>Input!$K57</f>
        <v>Diesel_Euro6</v>
      </c>
      <c r="G33" s="158" cm="1">
        <f t="array" ref="G33">INDEX(LCI!H$2:H$73, MATCH($E33&amp;$F33, LCI!$B$2:$B$73&amp;LCI!$D$2:$D$73, 0))* IF(AND($E33="Truck", OR($F33="Electric", $F33="Electric_green")), $B$6, 1)* $C33* $D33</f>
        <v>1.1362656000000001E-4</v>
      </c>
      <c r="H33" s="158" cm="1">
        <f t="array" ref="H33">INDEX(LCI!I$2:I$73, MATCH($E33&amp;$F33, LCI!$B$2:$B$73&amp;LCI!$D$2:$D$73, 0))* IF(AND($E33="Truck", OR($F33="Electric", $F33="Electric_green")), $B$6, 1)* $C33* $D33</f>
        <v>7.6197532319999997E-2</v>
      </c>
      <c r="I33" s="158" cm="1">
        <f t="array" ref="I33">INDEX(LCI!J$2:J$73, MATCH($E33&amp;$F33, LCI!$B$2:$B$73&amp;LCI!$D$2:$D$73, 0))* IF(AND($E33="Truck", OR($F33="Electric", $F33="Electric_green")), $B$6, 1)* $C33* $D33</f>
        <v>3.5611344000000003E-5</v>
      </c>
      <c r="J33" s="158" cm="1">
        <f t="array" ref="J33">INDEX(LCI!K$2:K$73, MATCH($E33&amp;$F33, LCI!$B$2:$B$73&amp;LCI!$D$2:$D$73, 0))* IF(AND($E33="Truck", OR($F33="Electric", $F33="Electric_green")), $B$6, 1)* $C33* $D33</f>
        <v>7.6155860160000005E-2</v>
      </c>
      <c r="K33" s="158" cm="1">
        <f t="array" ref="K33">INDEX(LCI!L$2:L$73, MATCH($E33&amp;$F33, LCI!$B$2:$B$73&amp;LCI!$D$2:$D$73, 0))* IF(AND($E33="Truck", OR($F33="Electric", $F33="Electric_green")), $B$6, 1)* $C33* $D33</f>
        <v>6.06072E-6</v>
      </c>
      <c r="L33" s="158" cm="1">
        <f t="array" ref="L33">INDEX(LCI!M$2:M$73, MATCH($E33&amp;$F33, LCI!$B$2:$B$73&amp;LCI!$D$2:$D$73, 0))* IF(AND($E33="Truck", OR($F33="Electric", $F33="Electric_green")), $B$6, 1)* $C33* $D33</f>
        <v>6.5445095519999996E-2</v>
      </c>
      <c r="M33" s="158" cm="1">
        <f t="array" ref="M33">INDEX(LCI!N$2:N$73, MATCH($E33&amp;$F33, LCI!$B$2:$B$73&amp;LCI!$D$2:$D$73, 0))* IF(AND($E33="Truck", OR($F33="Electric", $F33="Electric_green")), $B$6, 1)* $C33* $D33</f>
        <v>1.0255395648000001</v>
      </c>
      <c r="N33" s="158" cm="1">
        <f t="array" ref="N33">INDEX(LCI!O$2:O$73, MATCH($E33&amp;$F33, LCI!$B$2:$B$73&amp;LCI!$D$2:$D$73, 0))* IF(AND($E33="Truck", OR($F33="Electric", $F33="Electric_green")), $B$6, 1)* $C33* $D33</f>
        <v>1.7772912E-6</v>
      </c>
      <c r="O33" s="158" cm="1">
        <f t="array" ref="O33">INDEX(LCI!P$2:P$73, MATCH($E33&amp;$F33, LCI!$B$2:$B$73&amp;LCI!$D$2:$D$73, 0))* IF(AND($E33="Truck", OR($F33="Electric", $F33="Electric_green")), $B$6, 1)* $C33* $D33</f>
        <v>2.4766656000000001E-5</v>
      </c>
      <c r="P33" s="158" cm="1">
        <f t="array" ref="P33">INDEX(LCI!Q$2:Q$73, MATCH($E33&amp;$F33, LCI!$B$2:$B$73&amp;LCI!$D$2:$D$73, 0))* IF(AND($E33="Truck", OR($F33="Electric", $F33="Electric_green")), $B$6, 1)* $C33* $D33</f>
        <v>2.6807664E-4</v>
      </c>
      <c r="Q33" s="158" cm="1">
        <f t="array" ref="Q33">INDEX(LCI!R$2:R$73, MATCH($E33&amp;$F33, LCI!$B$2:$B$73&amp;LCI!$D$2:$D$73, 0))* IF(AND($E33="Truck", OR($F33="Electric", $F33="Electric_green")), $B$6, 1)* $C33* $D33</f>
        <v>6.7534560000000007E-12</v>
      </c>
      <c r="R33" s="158" cm="1">
        <f t="array" ref="R33">INDEX(LCI!S$2:S$73, MATCH($E33&amp;$F33, LCI!$B$2:$B$73&amp;LCI!$D$2:$D$73, 0))* IF(AND($E33="Truck", OR($F33="Electric", $F33="Electric_green")), $B$6, 1)* $C33* $D33</f>
        <v>5.4949440000000009E-10</v>
      </c>
      <c r="S33" s="158" cm="1">
        <f t="array" ref="S33">INDEX(LCI!T$2:T$73, MATCH($E33&amp;$F33, LCI!$B$2:$B$73&amp;LCI!$D$2:$D$73, 0))* IF(AND($E33="Truck", OR($F33="Electric", $F33="Electric_green")), $B$6, 1)* $C33* $D33</f>
        <v>4.6502688000000001E-4</v>
      </c>
      <c r="T33" s="158" cm="1">
        <f t="array" ref="T33">INDEX(LCI!U$2:U$73, MATCH($E33&amp;$F33, LCI!$B$2:$B$73&amp;LCI!$D$2:$D$73, 0))* IF(AND($E33="Truck", OR($F33="Electric", $F33="Electric_green")), $B$6, 1)* $C33* $D33</f>
        <v>6.4687926720000011E-2</v>
      </c>
      <c r="U33" s="158" cm="1">
        <f t="array" ref="U33">INDEX(LCI!V$2:V$73, MATCH($E33&amp;$F33, LCI!$B$2:$B$73&amp;LCI!$D$2:$D$73, 0))* IF(AND($E33="Truck", OR($F33="Electric", $F33="Electric_green")), $B$6, 1)* $C33* $D33</f>
        <v>8.4065759999999996E-8</v>
      </c>
      <c r="V33" s="158" cm="1">
        <f t="array" ref="V33">INDEX(LCI!W$2:W$73, MATCH($E33&amp;$F33, LCI!$B$2:$B$73&amp;LCI!$D$2:$D$73, 0))* IF(AND($E33="Truck", OR($F33="Electric", $F33="Electric_green")), $B$6, 1)* $C33* $D33</f>
        <v>1.6943136000000002E-9</v>
      </c>
      <c r="W33" s="158" cm="1">
        <f t="array" ref="W33">INDEX(LCI!X$2:X$73, MATCH($E33&amp;$F33, LCI!$B$2:$B$73&amp;LCI!$D$2:$D$73, 0))* IF(AND($E33="Truck", OR($F33="Electric", $F33="Electric_green")), $B$6, 1)* $C33* $D33</f>
        <v>4.7229936E-9</v>
      </c>
      <c r="X33" s="158" cm="1">
        <f t="array" ref="X33">INDEX(LCI!Y$2:Y$73, MATCH($E33&amp;$F33, LCI!$B$2:$B$73&amp;LCI!$D$2:$D$73, 0))* IF(AND($E33="Truck", OR($F33="Electric", $F33="Electric_green")), $B$6, 1)* $C33* $D33</f>
        <v>1.9810367999999998E-4</v>
      </c>
      <c r="Y33" s="158" cm="1">
        <f t="array" ref="Y33">INDEX(LCI!Z$2:Z$73, MATCH($E33&amp;$F33, LCI!$B$2:$B$73&amp;LCI!$D$2:$D$73, 0))* IF(AND($E33="Truck", OR($F33="Electric", $F33="Electric_green")), $B$6, 1)* $C33* $D33</f>
        <v>2.3357707200000002E-3</v>
      </c>
    </row>
    <row r="34" spans="1:25" x14ac:dyDescent="0.25">
      <c r="A34" s="395" t="s">
        <v>558</v>
      </c>
      <c r="B34" s="395"/>
      <c r="C34" s="395"/>
      <c r="D34" s="395"/>
      <c r="E34" s="395"/>
      <c r="F34" s="395"/>
      <c r="G34" s="139">
        <f t="shared" ref="G34:Y34" si="0">SUM(G15:G33)</f>
        <v>6.2219581776834267E-3</v>
      </c>
      <c r="H34" s="139">
        <f t="shared" si="0"/>
        <v>0.91808843463289613</v>
      </c>
      <c r="I34" s="139">
        <f t="shared" si="0"/>
        <v>4.1477229164531618E-4</v>
      </c>
      <c r="J34" s="139">
        <f t="shared" si="0"/>
        <v>0.91745497657345343</v>
      </c>
      <c r="K34" s="139">
        <f t="shared" si="0"/>
        <v>2.1868462819729331E-4</v>
      </c>
      <c r="L34" s="139">
        <f t="shared" si="0"/>
        <v>0.99850791593007193</v>
      </c>
      <c r="M34" s="139">
        <f t="shared" si="0"/>
        <v>12.155593578531084</v>
      </c>
      <c r="N34" s="139">
        <f t="shared" si="0"/>
        <v>4.0730373999815931E-5</v>
      </c>
      <c r="O34" s="139">
        <f t="shared" si="0"/>
        <v>1.8747360816376765E-3</v>
      </c>
      <c r="P34" s="139">
        <f t="shared" si="0"/>
        <v>2.048522827932275E-2</v>
      </c>
      <c r="Q34" s="139">
        <f t="shared" si="0"/>
        <v>1.1372347409621067E-10</v>
      </c>
      <c r="R34" s="139">
        <f t="shared" si="0"/>
        <v>5.9687508667022179E-9</v>
      </c>
      <c r="S34" s="139">
        <f t="shared" si="0"/>
        <v>1.2154228475524635E-2</v>
      </c>
      <c r="T34" s="139">
        <f t="shared" si="0"/>
        <v>1.6169021935991585</v>
      </c>
      <c r="U34" s="139">
        <f t="shared" si="0"/>
        <v>1.1329393195145674E-6</v>
      </c>
      <c r="V34" s="139">
        <f t="shared" si="0"/>
        <v>1.8895048904378911E-8</v>
      </c>
      <c r="W34" s="139">
        <f t="shared" si="0"/>
        <v>5.7904481916902576E-8</v>
      </c>
      <c r="X34" s="139">
        <f t="shared" si="0"/>
        <v>6.6214910231785886E-3</v>
      </c>
      <c r="Y34" s="139">
        <f t="shared" si="0"/>
        <v>4.246547410265223E-2</v>
      </c>
    </row>
    <row r="37" spans="1:25" ht="24" x14ac:dyDescent="0.4">
      <c r="A37" s="100" t="s">
        <v>559</v>
      </c>
    </row>
    <row r="39" spans="1:25" ht="105" x14ac:dyDescent="0.25">
      <c r="A39" s="104" t="s">
        <v>300</v>
      </c>
      <c r="B39" s="104" t="s">
        <v>301</v>
      </c>
      <c r="C39" s="103" t="s">
        <v>302</v>
      </c>
      <c r="D39" s="103" t="s">
        <v>60</v>
      </c>
      <c r="E39" s="103" t="s">
        <v>556</v>
      </c>
      <c r="F39" s="103" t="s">
        <v>557</v>
      </c>
      <c r="G39" s="103" t="s">
        <v>303</v>
      </c>
      <c r="H39" s="103" t="s">
        <v>304</v>
      </c>
      <c r="I39" s="103" t="s">
        <v>305</v>
      </c>
      <c r="J39" s="103" t="s">
        <v>306</v>
      </c>
      <c r="K39" s="103" t="s">
        <v>307</v>
      </c>
      <c r="L39" s="103" t="s">
        <v>308</v>
      </c>
      <c r="M39" s="103" t="s">
        <v>309</v>
      </c>
      <c r="N39" s="103" t="s">
        <v>310</v>
      </c>
      <c r="O39" s="103" t="s">
        <v>311</v>
      </c>
      <c r="P39" s="103" t="s">
        <v>312</v>
      </c>
      <c r="Q39" s="103" t="s">
        <v>313</v>
      </c>
      <c r="R39" s="103" t="s">
        <v>314</v>
      </c>
      <c r="S39" s="103" t="s">
        <v>315</v>
      </c>
      <c r="T39" s="103" t="s">
        <v>316</v>
      </c>
      <c r="U39" s="103" t="s">
        <v>317</v>
      </c>
      <c r="V39" s="103" t="s">
        <v>318</v>
      </c>
      <c r="W39" s="103" t="s">
        <v>319</v>
      </c>
      <c r="X39" s="103" t="s">
        <v>320</v>
      </c>
      <c r="Y39" s="103" t="s">
        <v>321</v>
      </c>
    </row>
    <row r="40" spans="1:25" x14ac:dyDescent="0.25">
      <c r="A40" s="6" t="s">
        <v>287</v>
      </c>
      <c r="B40" s="154" t="str">
        <f>Input!A39</f>
        <v>Virgin binder</v>
      </c>
      <c r="C40" s="158">
        <f>+Input!B39</f>
        <v>0.02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3.9" customHeight="1" x14ac:dyDescent="0.25">
      <c r="A41" s="384" t="s">
        <v>232</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3.9" customHeight="1" x14ac:dyDescent="0.25">
      <c r="A42" s="385"/>
      <c r="B42" s="154" t="str">
        <f>Input!A41</f>
        <v>Virgin crushed coarse aggregate 2 (&gt;2 mm)</v>
      </c>
      <c r="C42" s="158">
        <f>+Input!B41</f>
        <v>0.2</v>
      </c>
      <c r="D42" s="154">
        <f>Input!$O41</f>
        <v>40</v>
      </c>
      <c r="E42" s="154" t="str">
        <f>Input!$M41</f>
        <v>Ship</v>
      </c>
      <c r="F42" s="154" t="str">
        <f>Input!$N41</f>
        <v>Heavy_fuel_oil</v>
      </c>
      <c r="G42" s="154" cm="1">
        <f t="array" ref="G42">INDEX(LCI!H$2:H$73,MATCH($E42&amp;$F42,LCI!$B$2:$B$73&amp;LCI!$D$2:$D$73,0))*IF(AND($E42="Truck", OR($F42="Electric", $F42="Electric_green")), $B$6, 1)*$D42*$C42</f>
        <v>2.4049471052349832E-3</v>
      </c>
      <c r="H42" s="154" cm="1">
        <f t="array" ref="H42">INDEX(LCI!I$2:I$73,MATCH($E42&amp;$F42,LCI!$B$2:$B$73&amp;LCI!$D$2:$D$73,0))*IF(AND($E42="Truck", OR($F42="Electric", $F42="Electric_green")), $B$6, 1)*$D42*$C42</f>
        <v>8.192900284391201E-2</v>
      </c>
      <c r="I42" s="154" cm="1">
        <f t="array" ref="I42">INDEX(LCI!J$2:J$73,MATCH($E42&amp;$F42,LCI!$B$2:$B$73&amp;LCI!$D$2:$D$73,0))*IF(AND($E42="Truck", OR($F42="Electric", $F42="Electric_green")), $B$6, 1)*$D42*$C42</f>
        <v>1.2526845944188729E-5</v>
      </c>
      <c r="J42" s="154" cm="1">
        <f t="array" ref="J42">INDEX(LCI!K$2:K$73,MATCH($E42&amp;$F42,LCI!$B$2:$B$73&amp;LCI!$D$2:$D$73,0))*IF(AND($E42="Truck", OR($F42="Electric", $F42="Electric_green")), $B$6, 1)*$D42*$C42</f>
        <v>8.1872488598892956E-2</v>
      </c>
      <c r="K42" s="154" cm="1">
        <f t="array" ref="K42">INDEX(LCI!L$2:L$73,MATCH($E42&amp;$F42,LCI!$B$2:$B$73&amp;LCI!$D$2:$D$73,0))*IF(AND($E42="Truck", OR($F42="Electric", $F42="Electric_green")), $B$6, 1)*$D42*$C42</f>
        <v>4.3987399074847066E-5</v>
      </c>
      <c r="L42" s="154" cm="1">
        <f t="array" ref="L42">INDEX(LCI!M$2:M$73,MATCH($E42&amp;$F42,LCI!$B$2:$B$73&amp;LCI!$D$2:$D$73,0))*IF(AND($E42="Truck", OR($F42="Electric", $F42="Electric_green")), $B$6, 1)*$D42*$C42</f>
        <v>7.0806163638708758E-2</v>
      </c>
      <c r="M42" s="154" cm="1">
        <f t="array" ref="M42">INDEX(LCI!N$2:N$73,MATCH($E42&amp;$F42,LCI!$B$2:$B$73&amp;LCI!$D$2:$D$73,0))*IF(AND($E42="Truck", OR($F42="Electric", $F42="Electric_green")), $B$6, 1)*$D42*$C42</f>
        <v>1.0024549573152255</v>
      </c>
      <c r="N42" s="154" cm="1">
        <f t="array" ref="N42">INDEX(LCI!O$2:O$73,MATCH($E42&amp;$F42,LCI!$B$2:$B$73&amp;LCI!$D$2:$D$73,0))*IF(AND($E42="Truck", OR($F42="Electric", $F42="Electric_green")), $B$6, 1)*$D42*$C42</f>
        <v>2.8968471681087632E-6</v>
      </c>
      <c r="O42" s="154" cm="1">
        <f t="array" ref="O42">INDEX(LCI!P$2:P$73,MATCH($E42&amp;$F42,LCI!$B$2:$B$73&amp;LCI!$D$2:$D$73,0))*IF(AND($E42="Truck", OR($F42="Electric", $F42="Electric_green")), $B$6, 1)*$D42*$C42</f>
        <v>5.9875740282593157E-4</v>
      </c>
      <c r="P42" s="154" cm="1">
        <f t="array" ref="P42">INDEX(LCI!Q$2:Q$73,MATCH($E42&amp;$F42,LCI!$B$2:$B$73&amp;LCI!$D$2:$D$73,0))*IF(AND($E42="Truck", OR($F42="Electric", $F42="Electric_green")), $B$6, 1)*$D42*$C42</f>
        <v>6.6501000158143324E-3</v>
      </c>
      <c r="Q42" s="154" cm="1">
        <f t="array" ref="Q42">INDEX(LCI!R$2:R$73,MATCH($E42&amp;$F42,LCI!$B$2:$B$73&amp;LCI!$D$2:$D$73,0))*IF(AND($E42="Truck", OR($F42="Electric", $F42="Electric_green")), $B$6, 1)*$D42*$C42</f>
        <v>1.731844293836804E-11</v>
      </c>
      <c r="R42" s="154" cm="1">
        <f t="array" ref="R42">INDEX(LCI!S$2:S$73,MATCH($E42&amp;$F42,LCI!$B$2:$B$73&amp;LCI!$D$2:$D$73,0))*IF(AND($E42="Truck", OR($F42="Electric", $F42="Electric_green")), $B$6, 1)*$D42*$C42</f>
        <v>2.4225750935691662E-10</v>
      </c>
      <c r="S42" s="154" cm="1">
        <f t="array" ref="S42">INDEX(LCI!T$2:T$73,MATCH($E42&amp;$F42,LCI!$B$2:$B$73&amp;LCI!$D$2:$D$73,0))*IF(AND($E42="Truck", OR($F42="Electric", $F42="Electric_green")), $B$6, 1)*$D42*$C42</f>
        <v>4.3313980081006683E-4</v>
      </c>
      <c r="T42" s="154" cm="1">
        <f t="array" ref="T42">INDEX(LCI!U$2:U$73,MATCH($E42&amp;$F42,LCI!$B$2:$B$73&amp;LCI!$D$2:$D$73,0))*IF(AND($E42="Truck", OR($F42="Electric", $F42="Electric_green")), $B$6, 1)*$D42*$C42</f>
        <v>7.2762283889893059E-2</v>
      </c>
      <c r="U42" s="154" cm="1">
        <f t="array" ref="U42">INDEX(LCI!V$2:V$73,MATCH($E42&amp;$F42,LCI!$B$2:$B$73&amp;LCI!$D$2:$D$73,0))*IF(AND($E42="Truck", OR($F42="Electric", $F42="Electric_green")), $B$6, 1)*$D42*$C42</f>
        <v>8.2935091057656481E-8</v>
      </c>
      <c r="V42" s="154" cm="1">
        <f t="array" ref="V42">INDEX(LCI!W$2:W$73,MATCH($E42&amp;$F42,LCI!$B$2:$B$73&amp;LCI!$D$2:$D$73,0))*IF(AND($E42="Truck", OR($F42="Electric", $F42="Electric_green")), $B$6, 1)*$D42*$C42</f>
        <v>1.1551781992530954E-9</v>
      </c>
      <c r="W42" s="154" cm="1">
        <f t="array" ref="W42">INDEX(LCI!X$2:X$73,MATCH($E42&amp;$F42,LCI!$B$2:$B$73&amp;LCI!$D$2:$D$73,0))*IF(AND($E42="Truck", OR($F42="Electric", $F42="Electric_green")), $B$6, 1)*$D42*$C42</f>
        <v>2.4152165760556438E-9</v>
      </c>
      <c r="X42" s="154" cm="1">
        <f t="array" ref="X42">INDEX(LCI!Y$2:Y$73,MATCH($E42&amp;$F42,LCI!$B$2:$B$73&amp;LCI!$D$2:$D$73,0))*IF(AND($E42="Truck", OR($F42="Electric", $F42="Electric_green")), $B$6, 1)*$D42*$C42</f>
        <v>1.8046638413187913E-3</v>
      </c>
      <c r="Y42" s="154" cm="1">
        <f t="array" ref="Y42">INDEX(LCI!Z$2:Z$73,MATCH($E42&amp;$F42,LCI!$B$2:$B$73&amp;LCI!$D$2:$D$73,0))*IF(AND($E42="Truck", OR($F42="Electric", $F42="Electric_green")), $B$6, 1)*$D42*$C42</f>
        <v>2.8870157755957766E-3</v>
      </c>
    </row>
    <row r="43" spans="1:25" ht="13.9" customHeight="1" x14ac:dyDescent="0.25">
      <c r="A43" s="385"/>
      <c r="B43" s="154" t="str">
        <f>Input!A42</f>
        <v>Virgin crushed coarse aggregate 3 (&gt;2 mm)</v>
      </c>
      <c r="C43" s="158">
        <f>+Input!B42</f>
        <v>0.1</v>
      </c>
      <c r="D43" s="154">
        <f>Input!$O42</f>
        <v>40</v>
      </c>
      <c r="E43" s="154" t="str">
        <f>Input!$M42</f>
        <v>Ship</v>
      </c>
      <c r="F43" s="154" t="str">
        <f>Input!$N42</f>
        <v>Heavy_fuel_oil</v>
      </c>
      <c r="G43" s="154" cm="1">
        <f t="array" ref="G43">INDEX(LCI!H$2:H$73,MATCH($E43&amp;$F43,LCI!$B$2:$B$73&amp;LCI!$D$2:$D$73,0))*IF(AND($E43="Truck", OR($F43="Electric", $F43="Electric_green")), $B$6, 1)*$D43*$C43</f>
        <v>1.2024735526174916E-3</v>
      </c>
      <c r="H43" s="154" cm="1">
        <f t="array" ref="H43">INDEX(LCI!I$2:I$73,MATCH($E43&amp;$F43,LCI!$B$2:$B$73&amp;LCI!$D$2:$D$73,0))*IF(AND($E43="Truck", OR($F43="Electric", $F43="Electric_green")), $B$6, 1)*$D43*$C43</f>
        <v>4.0964501421956005E-2</v>
      </c>
      <c r="I43" s="154" cm="1">
        <f t="array" ref="I43">INDEX(LCI!J$2:J$73,MATCH($E43&amp;$F43,LCI!$B$2:$B$73&amp;LCI!$D$2:$D$73,0))*IF(AND($E43="Truck", OR($F43="Electric", $F43="Electric_green")), $B$6, 1)*$D43*$C43</f>
        <v>6.2634229720943645E-6</v>
      </c>
      <c r="J43" s="154" cm="1">
        <f t="array" ref="J43">INDEX(LCI!K$2:K$73,MATCH($E43&amp;$F43,LCI!$B$2:$B$73&amp;LCI!$D$2:$D$73,0))*IF(AND($E43="Truck", OR($F43="Electric", $F43="Electric_green")), $B$6, 1)*$D43*$C43</f>
        <v>4.0936244299446478E-2</v>
      </c>
      <c r="K43" s="154" cm="1">
        <f t="array" ref="K43">INDEX(LCI!L$2:L$73,MATCH($E43&amp;$F43,LCI!$B$2:$B$73&amp;LCI!$D$2:$D$73,0))*IF(AND($E43="Truck", OR($F43="Electric", $F43="Electric_green")), $B$6, 1)*$D43*$C43</f>
        <v>2.1993699537423533E-5</v>
      </c>
      <c r="L43" s="154" cm="1">
        <f t="array" ref="L43">INDEX(LCI!M$2:M$73,MATCH($E43&amp;$F43,LCI!$B$2:$B$73&amp;LCI!$D$2:$D$73,0))*IF(AND($E43="Truck", OR($F43="Electric", $F43="Electric_green")), $B$6, 1)*$D43*$C43</f>
        <v>3.5403081819354379E-2</v>
      </c>
      <c r="M43" s="154" cm="1">
        <f t="array" ref="M43">INDEX(LCI!N$2:N$73,MATCH($E43&amp;$F43,LCI!$B$2:$B$73&amp;LCI!$D$2:$D$73,0))*IF(AND($E43="Truck", OR($F43="Electric", $F43="Electric_green")), $B$6, 1)*$D43*$C43</f>
        <v>0.50122747865761275</v>
      </c>
      <c r="N43" s="154" cm="1">
        <f t="array" ref="N43">INDEX(LCI!O$2:O$73,MATCH($E43&amp;$F43,LCI!$B$2:$B$73&amp;LCI!$D$2:$D$73,0))*IF(AND($E43="Truck", OR($F43="Electric", $F43="Electric_green")), $B$6, 1)*$D43*$C43</f>
        <v>1.4484235840543816E-6</v>
      </c>
      <c r="O43" s="154" cm="1">
        <f t="array" ref="O43">INDEX(LCI!P$2:P$73,MATCH($E43&amp;$F43,LCI!$B$2:$B$73&amp;LCI!$D$2:$D$73,0))*IF(AND($E43="Truck", OR($F43="Electric", $F43="Electric_green")), $B$6, 1)*$D43*$C43</f>
        <v>2.9937870141296579E-4</v>
      </c>
      <c r="P43" s="154" cm="1">
        <f t="array" ref="P43">INDEX(LCI!Q$2:Q$73,MATCH($E43&amp;$F43,LCI!$B$2:$B$73&amp;LCI!$D$2:$D$73,0))*IF(AND($E43="Truck", OR($F43="Electric", $F43="Electric_green")), $B$6, 1)*$D43*$C43</f>
        <v>3.3250500079071662E-3</v>
      </c>
      <c r="Q43" s="154" cm="1">
        <f t="array" ref="Q43">INDEX(LCI!R$2:R$73,MATCH($E43&amp;$F43,LCI!$B$2:$B$73&amp;LCI!$D$2:$D$73,0))*IF(AND($E43="Truck", OR($F43="Electric", $F43="Electric_green")), $B$6, 1)*$D43*$C43</f>
        <v>8.65922146918402E-12</v>
      </c>
      <c r="R43" s="154" cm="1">
        <f t="array" ref="R43">INDEX(LCI!S$2:S$73,MATCH($E43&amp;$F43,LCI!$B$2:$B$73&amp;LCI!$D$2:$D$73,0))*IF(AND($E43="Truck", OR($F43="Electric", $F43="Electric_green")), $B$6, 1)*$D43*$C43</f>
        <v>1.2112875467845831E-10</v>
      </c>
      <c r="S43" s="154" cm="1">
        <f t="array" ref="S43">INDEX(LCI!T$2:T$73,MATCH($E43&amp;$F43,LCI!$B$2:$B$73&amp;LCI!$D$2:$D$73,0))*IF(AND($E43="Truck", OR($F43="Electric", $F43="Electric_green")), $B$6, 1)*$D43*$C43</f>
        <v>2.1656990040503342E-4</v>
      </c>
      <c r="T43" s="154" cm="1">
        <f t="array" ref="T43">INDEX(LCI!U$2:U$73,MATCH($E43&amp;$F43,LCI!$B$2:$B$73&amp;LCI!$D$2:$D$73,0))*IF(AND($E43="Truck", OR($F43="Electric", $F43="Electric_green")), $B$6, 1)*$D43*$C43</f>
        <v>3.638114194494653E-2</v>
      </c>
      <c r="U43" s="154" cm="1">
        <f t="array" ref="U43">INDEX(LCI!V$2:V$73,MATCH($E43&amp;$F43,LCI!$B$2:$B$73&amp;LCI!$D$2:$D$73,0))*IF(AND($E43="Truck", OR($F43="Electric", $F43="Electric_green")), $B$6, 1)*$D43*$C43</f>
        <v>4.146754552882824E-8</v>
      </c>
      <c r="V43" s="154" cm="1">
        <f t="array" ref="V43">INDEX(LCI!W$2:W$73,MATCH($E43&amp;$F43,LCI!$B$2:$B$73&amp;LCI!$D$2:$D$73,0))*IF(AND($E43="Truck", OR($F43="Electric", $F43="Electric_green")), $B$6, 1)*$D43*$C43</f>
        <v>5.7758909962654769E-10</v>
      </c>
      <c r="W43" s="154" cm="1">
        <f t="array" ref="W43">INDEX(LCI!X$2:X$73,MATCH($E43&amp;$F43,LCI!$B$2:$B$73&amp;LCI!$D$2:$D$73,0))*IF(AND($E43="Truck", OR($F43="Electric", $F43="Electric_green")), $B$6, 1)*$D43*$C43</f>
        <v>1.2076082880278219E-9</v>
      </c>
      <c r="X43" s="154" cm="1">
        <f t="array" ref="X43">INDEX(LCI!Y$2:Y$73,MATCH($E43&amp;$F43,LCI!$B$2:$B$73&amp;LCI!$D$2:$D$73,0))*IF(AND($E43="Truck", OR($F43="Electric", $F43="Electric_green")), $B$6, 1)*$D43*$C43</f>
        <v>9.0233192065939565E-4</v>
      </c>
      <c r="Y43" s="154" cm="1">
        <f t="array" ref="Y43">INDEX(LCI!Z$2:Z$73,MATCH($E43&amp;$F43,LCI!$B$2:$B$73&amp;LCI!$D$2:$D$73,0))*IF(AND($E43="Truck", OR($F43="Electric", $F43="Electric_green")), $B$6, 1)*$D43*$C43</f>
        <v>1.4435078877978883E-3</v>
      </c>
    </row>
    <row r="44" spans="1:25" ht="13.9" customHeight="1" x14ac:dyDescent="0.25">
      <c r="A44" s="385"/>
      <c r="B44" s="154" t="str">
        <f>Input!A43</f>
        <v>Virgin crushed fine aggregate 1 (≤2 mm)</v>
      </c>
      <c r="C44" s="158">
        <f>+Input!B43</f>
        <v>0.06</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3.9" customHeight="1" x14ac:dyDescent="0.25">
      <c r="A45" s="385"/>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3.9" customHeight="1" x14ac:dyDescent="0.25">
      <c r="A46" s="385"/>
      <c r="B46" s="154" t="str">
        <f>Input!A45</f>
        <v>Virgin crushed fine aggregate 3 (≤2 mm)</v>
      </c>
      <c r="C46" s="158">
        <f>+Input!B45</f>
        <v>0.03</v>
      </c>
      <c r="D46" s="154">
        <f>Input!$O45</f>
        <v>40</v>
      </c>
      <c r="E46" s="154" t="str">
        <f>Input!$M45</f>
        <v>Truck</v>
      </c>
      <c r="F46" s="154" t="str">
        <f>Input!$N45</f>
        <v>Diesel_Euro5</v>
      </c>
      <c r="G46" s="154" cm="1">
        <f t="array" ref="G46">INDEX(LCI!H$2:H$73,MATCH($E46&amp;$F46,LCI!$B$2:$B$73&amp;LCI!$D$2:$D$73,0))*IF(AND($E46="Truck", OR($F46="Electric", $F46="Electric_green")), $B$6, 1)*$D46*$C46</f>
        <v>5.3128439999999995E-4</v>
      </c>
      <c r="H46" s="154" cm="1">
        <f t="array" ref="H46">INDEX(LCI!I$2:I$73,MATCH($E46&amp;$F46,LCI!$B$2:$B$73&amp;LCI!$D$2:$D$73,0))*IF(AND($E46="Truck", OR($F46="Electric", $F46="Electric_green")), $B$6, 1)*$D46*$C46</f>
        <v>0.19420313880000001</v>
      </c>
      <c r="I46" s="154" cm="1">
        <f t="array" ref="I46">INDEX(LCI!J$2:J$73,MATCH($E46&amp;$F46,LCI!$B$2:$B$73&amp;LCI!$D$2:$D$73,0))*IF(AND($E46="Truck", OR($F46="Electric", $F46="Electric_green")), $B$6, 1)*$D46*$C46</f>
        <v>8.9758560000000002E-5</v>
      </c>
      <c r="J46" s="154" cm="1">
        <f t="array" ref="J46">INDEX(LCI!K$2:K$73,MATCH($E46&amp;$F46,LCI!$B$2:$B$73&amp;LCI!$D$2:$D$73,0))*IF(AND($E46="Truck", OR($F46="Electric", $F46="Electric_green")), $B$6, 1)*$D46*$C46</f>
        <v>0.19409810999999999</v>
      </c>
      <c r="K46" s="154" cm="1">
        <f t="array" ref="K46">INDEX(LCI!L$2:L$73,MATCH($E46&amp;$F46,LCI!$B$2:$B$73&amp;LCI!$D$2:$D$73,0))*IF(AND($E46="Truck", OR($F46="Electric", $F46="Electric_green")), $B$6, 1)*$D46*$C46</f>
        <v>1.526988E-5</v>
      </c>
      <c r="L46" s="154" cm="1">
        <f t="array" ref="L46">INDEX(LCI!M$2:M$73,MATCH($E46&amp;$F46,LCI!$B$2:$B$73&amp;LCI!$D$2:$D$73,0))*IF(AND($E46="Truck", OR($F46="Electric", $F46="Electric_green")), $B$6, 1)*$D46*$C46</f>
        <v>0.1650441936</v>
      </c>
      <c r="M46" s="154" cm="1">
        <f t="array" ref="M46">INDEX(LCI!N$2:N$73,MATCH($E46&amp;$F46,LCI!$B$2:$B$73&amp;LCI!$D$2:$D$73,0))*IF(AND($E46="Truck", OR($F46="Electric", $F46="Electric_green")), $B$6, 1)*$D46*$C46</f>
        <v>2.6111275319999998</v>
      </c>
      <c r="N46" s="154" cm="1">
        <f t="array" ref="N46">INDEX(LCI!O$2:O$73,MATCH($E46&amp;$F46,LCI!$B$2:$B$73&amp;LCI!$D$2:$D$73,0))*IF(AND($E46="Truck", OR($F46="Electric", $F46="Electric_green")), $B$6, 1)*$D46*$C46</f>
        <v>4.4676000000000002E-6</v>
      </c>
      <c r="O46" s="154" cm="1">
        <f t="array" ref="O46">INDEX(LCI!P$2:P$73,MATCH($E46&amp;$F46,LCI!$B$2:$B$73&amp;LCI!$D$2:$D$73,0))*IF(AND($E46="Truck", OR($F46="Electric", $F46="Electric_green")), $B$6, 1)*$D46*$C46</f>
        <v>1.9062479999999997E-4</v>
      </c>
      <c r="P46" s="154" cm="1">
        <f t="array" ref="P46">INDEX(LCI!Q$2:Q$73,MATCH($E46&amp;$F46,LCI!$B$2:$B$73&amp;LCI!$D$2:$D$73,0))*IF(AND($E46="Truck", OR($F46="Electric", $F46="Electric_green")), $B$6, 1)*$D46*$C46</f>
        <v>2.0794259999999997E-3</v>
      </c>
      <c r="Q46" s="154" cm="1">
        <f t="array" ref="Q46">INDEX(LCI!R$2:R$73,MATCH($E46&amp;$F46,LCI!$B$2:$B$73&amp;LCI!$D$2:$D$73,0))*IF(AND($E46="Truck", OR($F46="Electric", $F46="Electric_green")), $B$6, 1)*$D46*$C46</f>
        <v>1.8152519999999997E-11</v>
      </c>
      <c r="R46" s="154" cm="1">
        <f t="array" ref="R46">INDEX(LCI!S$2:S$73,MATCH($E46&amp;$F46,LCI!$B$2:$B$73&amp;LCI!$D$2:$D$73,0))*IF(AND($E46="Truck", OR($F46="Electric", $F46="Electric_green")), $B$6, 1)*$D46*$C46</f>
        <v>1.3918200000000001E-9</v>
      </c>
      <c r="S46" s="154" cm="1">
        <f t="array" ref="S46">INDEX(LCI!T$2:T$73,MATCH($E46&amp;$F46,LCI!$B$2:$B$73&amp;LCI!$D$2:$D$73,0))*IF(AND($E46="Truck", OR($F46="Electric", $F46="Electric_green")), $B$6, 1)*$D46*$C46</f>
        <v>1.1755536E-3</v>
      </c>
      <c r="T46" s="154" cm="1">
        <f t="array" ref="T46">INDEX(LCI!U$2:U$73,MATCH($E46&amp;$F46,LCI!$B$2:$B$73&amp;LCI!$D$2:$D$73,0))*IF(AND($E46="Truck", OR($F46="Electric", $F46="Electric_green")), $B$6, 1)*$D46*$C46</f>
        <v>0.163850208</v>
      </c>
      <c r="U46" s="154" cm="1">
        <f t="array" ref="U46">INDEX(LCI!V$2:V$73,MATCH($E46&amp;$F46,LCI!$B$2:$B$73&amp;LCI!$D$2:$D$73,0))*IF(AND($E46="Truck", OR($F46="Electric", $F46="Electric_green")), $B$6, 1)*$D46*$C46</f>
        <v>2.1050519999999998E-7</v>
      </c>
      <c r="V46" s="154" cm="1">
        <f t="array" ref="V46">INDEX(LCI!W$2:W$73,MATCH($E46&amp;$F46,LCI!$B$2:$B$73&amp;LCI!$D$2:$D$73,0))*IF(AND($E46="Truck", OR($F46="Electric", $F46="Electric_green")), $B$6, 1)*$D46*$C46</f>
        <v>4.3198320000000002E-9</v>
      </c>
      <c r="W46" s="154" cm="1">
        <f t="array" ref="W46">INDEX(LCI!X$2:X$73,MATCH($E46&amp;$F46,LCI!$B$2:$B$73&amp;LCI!$D$2:$D$73,0))*IF(AND($E46="Truck", OR($F46="Electric", $F46="Electric_green")), $B$6, 1)*$D46*$C46</f>
        <v>1.3131600000000001E-8</v>
      </c>
      <c r="X46" s="154" cm="1">
        <f t="array" ref="X46">INDEX(LCI!Y$2:Y$73,MATCH($E46&amp;$F46,LCI!$B$2:$B$73&amp;LCI!$D$2:$D$73,0))*IF(AND($E46="Truck", OR($F46="Electric", $F46="Electric_green")), $B$6, 1)*$D46*$C46</f>
        <v>8.3646600000000001E-4</v>
      </c>
      <c r="Y46" s="154" cm="1">
        <f t="array" ref="Y46">INDEX(LCI!Z$2:Z$73,MATCH($E46&amp;$F46,LCI!$B$2:$B$73&amp;LCI!$D$2:$D$73,0))*IF(AND($E46="Truck", OR($F46="Electric", $F46="Electric_green")), $B$6, 1)*$D46*$C46</f>
        <v>5.8934903999999996E-3</v>
      </c>
    </row>
    <row r="47" spans="1:25" ht="13.9" customHeight="1" x14ac:dyDescent="0.25">
      <c r="A47" s="385"/>
      <c r="B47" s="154" t="str">
        <f>Input!A46</f>
        <v>Virgin natural fine aggregate 1 (≤2 mm)</v>
      </c>
      <c r="C47" s="158">
        <f>+Input!B46</f>
        <v>0.02</v>
      </c>
      <c r="D47" s="154">
        <f>Input!$O46</f>
        <v>30</v>
      </c>
      <c r="E47" s="154" t="str">
        <f>Input!$M46</f>
        <v>Train</v>
      </c>
      <c r="F47" s="154" t="str">
        <f>Input!$N46</f>
        <v>Diesel</v>
      </c>
      <c r="G47" s="154" cm="1">
        <f t="array" ref="G47">INDEX(LCI!H$2:H$73,MATCH($E47&amp;$F47,LCI!$B$2:$B$73&amp;LCI!$D$2:$D$73,0))*IF(AND($E47="Truck", OR($F47="Electric", $F47="Electric_green")), $B$6, 1)*$D47*$C47</f>
        <v>3.4383282872339652E-4</v>
      </c>
      <c r="H47" s="154" cm="1">
        <f t="array" ref="H47">INDEX(LCI!I$2:I$73,MATCH($E47&amp;$F47,LCI!$B$2:$B$73&amp;LCI!$D$2:$D$73,0))*IF(AND($E47="Truck", OR($F47="Electric", $F47="Electric_green")), $B$6, 1)*$D47*$C47</f>
        <v>3.6450600445617647E-2</v>
      </c>
      <c r="I47" s="154" cm="1">
        <f t="array" ref="I47">INDEX(LCI!J$2:J$73,MATCH($E47&amp;$F47,LCI!$B$2:$B$73&amp;LCI!$D$2:$D$73,0))*IF(AND($E47="Truck", OR($F47="Electric", $F47="Electric_green")), $B$6, 1)*$D47*$C47</f>
        <v>1.0859078753036094E-5</v>
      </c>
      <c r="J47" s="154" cm="1">
        <f t="array" ref="J47">INDEX(LCI!K$2:K$73,MATCH($E47&amp;$F47,LCI!$B$2:$B$73&amp;LCI!$D$2:$D$73,0))*IF(AND($E47="Truck", OR($F47="Electric", $F47="Electric_green")), $B$6, 1)*$D47*$C47</f>
        <v>3.641893737114664E-2</v>
      </c>
      <c r="K47" s="154" cm="1">
        <f t="array" ref="K47">INDEX(LCI!L$2:L$73,MATCH($E47&amp;$F47,LCI!$B$2:$B$73&amp;LCI!$D$2:$D$73,0))*IF(AND($E47="Truck", OR($F47="Electric", $F47="Electric_green")), $B$6, 1)*$D47*$C47</f>
        <v>2.0803995717966606E-5</v>
      </c>
      <c r="L47" s="154" cm="1">
        <f t="array" ref="L47">INDEX(LCI!M$2:M$73,MATCH($E47&amp;$F47,LCI!$B$2:$B$73&amp;LCI!$D$2:$D$73,0))*IF(AND($E47="Truck", OR($F47="Electric", $F47="Electric_green")), $B$6, 1)*$D47*$C47</f>
        <v>9.1105759113148319E-2</v>
      </c>
      <c r="M47" s="154" cm="1">
        <f t="array" ref="M47">INDEX(LCI!N$2:N$73,MATCH($E47&amp;$F47,LCI!$B$2:$B$73&amp;LCI!$D$2:$D$73,0))*IF(AND($E47="Truck", OR($F47="Electric", $F47="Electric_green")), $B$6, 1)*$D47*$C47</f>
        <v>0.45731692960260795</v>
      </c>
      <c r="N47" s="154" cm="1">
        <f t="array" ref="N47">INDEX(LCI!O$2:O$73,MATCH($E47&amp;$F47,LCI!$B$2:$B$73&amp;LCI!$D$2:$D$73,0))*IF(AND($E47="Truck", OR($F47="Electric", $F47="Electric_green")), $B$6, 1)*$D47*$C47</f>
        <v>4.4229219907123792E-6</v>
      </c>
      <c r="O47" s="154" cm="1">
        <f t="array" ref="O47">INDEX(LCI!P$2:P$73,MATCH($E47&amp;$F47,LCI!$B$2:$B$73&amp;LCI!$D$2:$D$73,0))*IF(AND($E47="Truck", OR($F47="Electric", $F47="Electric_green")), $B$6, 1)*$D47*$C47</f>
        <v>1.5273339852979811E-4</v>
      </c>
      <c r="P47" s="154" cm="1">
        <f t="array" ref="P47">INDEX(LCI!Q$2:Q$73,MATCH($E47&amp;$F47,LCI!$B$2:$B$73&amp;LCI!$D$2:$D$73,0))*IF(AND($E47="Truck", OR($F47="Electric", $F47="Electric_green")), $B$6, 1)*$D47*$C47</f>
        <v>1.6687655176532868E-3</v>
      </c>
      <c r="Q47" s="154" cm="1">
        <f t="array" ref="Q47">INDEX(LCI!R$2:R$73,MATCH($E47&amp;$F47,LCI!$B$2:$B$73&amp;LCI!$D$2:$D$73,0))*IF(AND($E47="Truck", OR($F47="Electric", $F47="Electric_green")), $B$6, 1)*$D47*$C47</f>
        <v>7.5184253373450357E-12</v>
      </c>
      <c r="R47" s="154" cm="1">
        <f t="array" ref="R47">INDEX(LCI!S$2:S$73,MATCH($E47&amp;$F47,LCI!$B$2:$B$73&amp;LCI!$D$2:$D$73,0))*IF(AND($E47="Truck", OR($F47="Electric", $F47="Electric_green")), $B$6, 1)*$D47*$C47</f>
        <v>1.879523031672621E-10</v>
      </c>
      <c r="S47" s="154" cm="1">
        <f t="array" ref="S47">INDEX(LCI!T$2:T$73,MATCH($E47&amp;$F47,LCI!$B$2:$B$73&amp;LCI!$D$2:$D$73,0))*IF(AND($E47="Truck", OR($F47="Electric", $F47="Electric_green")), $B$6, 1)*$D47*$C47</f>
        <v>7.4359377237456835E-4</v>
      </c>
      <c r="T47" s="154" cm="1">
        <f t="array" ref="T47">INDEX(LCI!U$2:U$73,MATCH($E47&amp;$F47,LCI!$B$2:$B$73&amp;LCI!$D$2:$D$73,0))*IF(AND($E47="Truck", OR($F47="Electric", $F47="Electric_green")), $B$6, 1)*$D47*$C47</f>
        <v>0.24394115114596795</v>
      </c>
      <c r="U47" s="154" cm="1">
        <f t="array" ref="U47">INDEX(LCI!V$2:V$73,MATCH($E47&amp;$F47,LCI!$B$2:$B$73&amp;LCI!$D$2:$D$73,0))*IF(AND($E47="Truck", OR($F47="Electric", $F47="Electric_green")), $B$6, 1)*$D47*$C47</f>
        <v>8.1646749528371654E-8</v>
      </c>
      <c r="V47" s="154" cm="1">
        <f t="array" ref="V47">INDEX(LCI!W$2:W$73,MATCH($E47&amp;$F47,LCI!$B$2:$B$73&amp;LCI!$D$2:$D$73,0))*IF(AND($E47="Truck", OR($F47="Electric", $F47="Electric_green")), $B$6, 1)*$D47*$C47</f>
        <v>6.5569075336817468E-10</v>
      </c>
      <c r="W47" s="154" cm="1">
        <f t="array" ref="W47">INDEX(LCI!X$2:X$73,MATCH($E47&amp;$F47,LCI!$B$2:$B$73&amp;LCI!$D$2:$D$73,0))*IF(AND($E47="Truck", OR($F47="Electric", $F47="Electric_green")), $B$6, 1)*$D47*$C47</f>
        <v>3.78179064724348E-9</v>
      </c>
      <c r="X47" s="154" cm="1">
        <f t="array" ref="X47">INDEX(LCI!Y$2:Y$73,MATCH($E47&amp;$F47,LCI!$B$2:$B$73&amp;LCI!$D$2:$D$73,0))*IF(AND($E47="Truck", OR($F47="Electric", $F47="Electric_green")), $B$6, 1)*$D47*$C47</f>
        <v>4.8217018903038604E-4</v>
      </c>
      <c r="Y47" s="154" cm="1">
        <f t="array" ref="Y47">INDEX(LCI!Z$2:Z$73,MATCH($E47&amp;$F47,LCI!$B$2:$B$73&amp;LCI!$D$2:$D$73,0))*IF(AND($E47="Truck", OR($F47="Electric", $F47="Electric_green")), $B$6, 1)*$D47*$C47</f>
        <v>3.6389378282648223E-3</v>
      </c>
    </row>
    <row r="48" spans="1:25" ht="13.9" customHeight="1" x14ac:dyDescent="0.25">
      <c r="A48" s="385"/>
      <c r="B48" s="154" t="str">
        <f>Input!A47</f>
        <v>Virgin natural fine aggregate 2 (≤2 mm)</v>
      </c>
      <c r="C48" s="158">
        <f>+Input!B47</f>
        <v>0.02</v>
      </c>
      <c r="D48" s="154">
        <f>Input!$O47</f>
        <v>30</v>
      </c>
      <c r="E48" s="154" t="str">
        <f>Input!$M47</f>
        <v>Train</v>
      </c>
      <c r="F48" s="154" t="str">
        <f>Input!$N47</f>
        <v>Diesel</v>
      </c>
      <c r="G48" s="154" cm="1">
        <f t="array" ref="G48">INDEX(LCI!H$2:H$73,MATCH($E48&amp;$F48,LCI!$B$2:$B$73&amp;LCI!$D$2:$D$73,0))*IF(AND($E48="Truck", OR($F48="Electric", $F48="Electric_green")), $B$6, 1)*$D48*$C48</f>
        <v>3.4383282872339652E-4</v>
      </c>
      <c r="H48" s="154" cm="1">
        <f t="array" ref="H48">INDEX(LCI!I$2:I$73,MATCH($E48&amp;$F48,LCI!$B$2:$B$73&amp;LCI!$D$2:$D$73,0))*IF(AND($E48="Truck", OR($F48="Electric", $F48="Electric_green")), $B$6, 1)*$D48*$C48</f>
        <v>3.6450600445617647E-2</v>
      </c>
      <c r="I48" s="154" cm="1">
        <f t="array" ref="I48">INDEX(LCI!J$2:J$73,MATCH($E48&amp;$F48,LCI!$B$2:$B$73&amp;LCI!$D$2:$D$73,0))*IF(AND($E48="Truck", OR($F48="Electric", $F48="Electric_green")), $B$6, 1)*$D48*$C48</f>
        <v>1.0859078753036094E-5</v>
      </c>
      <c r="J48" s="154" cm="1">
        <f t="array" ref="J48">INDEX(LCI!K$2:K$73,MATCH($E48&amp;$F48,LCI!$B$2:$B$73&amp;LCI!$D$2:$D$73,0))*IF(AND($E48="Truck", OR($F48="Electric", $F48="Electric_green")), $B$6, 1)*$D48*$C48</f>
        <v>3.641893737114664E-2</v>
      </c>
      <c r="K48" s="154" cm="1">
        <f t="array" ref="K48">INDEX(LCI!L$2:L$73,MATCH($E48&amp;$F48,LCI!$B$2:$B$73&amp;LCI!$D$2:$D$73,0))*IF(AND($E48="Truck", OR($F48="Electric", $F48="Electric_green")), $B$6, 1)*$D48*$C48</f>
        <v>2.0803995717966606E-5</v>
      </c>
      <c r="L48" s="154" cm="1">
        <f t="array" ref="L48">INDEX(LCI!M$2:M$73,MATCH($E48&amp;$F48,LCI!$B$2:$B$73&amp;LCI!$D$2:$D$73,0))*IF(AND($E48="Truck", OR($F48="Electric", $F48="Electric_green")), $B$6, 1)*$D48*$C48</f>
        <v>9.1105759113148319E-2</v>
      </c>
      <c r="M48" s="154" cm="1">
        <f t="array" ref="M48">INDEX(LCI!N$2:N$73,MATCH($E48&amp;$F48,LCI!$B$2:$B$73&amp;LCI!$D$2:$D$73,0))*IF(AND($E48="Truck", OR($F48="Electric", $F48="Electric_green")), $B$6, 1)*$D48*$C48</f>
        <v>0.45731692960260795</v>
      </c>
      <c r="N48" s="154" cm="1">
        <f t="array" ref="N48">INDEX(LCI!O$2:O$73,MATCH($E48&amp;$F48,LCI!$B$2:$B$73&amp;LCI!$D$2:$D$73,0))*IF(AND($E48="Truck", OR($F48="Electric", $F48="Electric_green")), $B$6, 1)*$D48*$C48</f>
        <v>4.4229219907123792E-6</v>
      </c>
      <c r="O48" s="154" cm="1">
        <f t="array" ref="O48">INDEX(LCI!P$2:P$73,MATCH($E48&amp;$F48,LCI!$B$2:$B$73&amp;LCI!$D$2:$D$73,0))*IF(AND($E48="Truck", OR($F48="Electric", $F48="Electric_green")), $B$6, 1)*$D48*$C48</f>
        <v>1.5273339852979811E-4</v>
      </c>
      <c r="P48" s="154" cm="1">
        <f t="array" ref="P48">INDEX(LCI!Q$2:Q$73,MATCH($E48&amp;$F48,LCI!$B$2:$B$73&amp;LCI!$D$2:$D$73,0))*IF(AND($E48="Truck", OR($F48="Electric", $F48="Electric_green")), $B$6, 1)*$D48*$C48</f>
        <v>1.6687655176532868E-3</v>
      </c>
      <c r="Q48" s="154" cm="1">
        <f t="array" ref="Q48">INDEX(LCI!R$2:R$73,MATCH($E48&amp;$F48,LCI!$B$2:$B$73&amp;LCI!$D$2:$D$73,0))*IF(AND($E48="Truck", OR($F48="Electric", $F48="Electric_green")), $B$6, 1)*$D48*$C48</f>
        <v>7.5184253373450357E-12</v>
      </c>
      <c r="R48" s="154" cm="1">
        <f t="array" ref="R48">INDEX(LCI!S$2:S$73,MATCH($E48&amp;$F48,LCI!$B$2:$B$73&amp;LCI!$D$2:$D$73,0))*IF(AND($E48="Truck", OR($F48="Electric", $F48="Electric_green")), $B$6, 1)*$D48*$C48</f>
        <v>1.879523031672621E-10</v>
      </c>
      <c r="S48" s="154" cm="1">
        <f t="array" ref="S48">INDEX(LCI!T$2:T$73,MATCH($E48&amp;$F48,LCI!$B$2:$B$73&amp;LCI!$D$2:$D$73,0))*IF(AND($E48="Truck", OR($F48="Electric", $F48="Electric_green")), $B$6, 1)*$D48*$C48</f>
        <v>7.4359377237456835E-4</v>
      </c>
      <c r="T48" s="154" cm="1">
        <f t="array" ref="T48">INDEX(LCI!U$2:U$73,MATCH($E48&amp;$F48,LCI!$B$2:$B$73&amp;LCI!$D$2:$D$73,0))*IF(AND($E48="Truck", OR($F48="Electric", $F48="Electric_green")), $B$6, 1)*$D48*$C48</f>
        <v>0.24394115114596795</v>
      </c>
      <c r="U48" s="154" cm="1">
        <f t="array" ref="U48">INDEX(LCI!V$2:V$73,MATCH($E48&amp;$F48,LCI!$B$2:$B$73&amp;LCI!$D$2:$D$73,0))*IF(AND($E48="Truck", OR($F48="Electric", $F48="Electric_green")), $B$6, 1)*$D48*$C48</f>
        <v>8.1646749528371654E-8</v>
      </c>
      <c r="V48" s="154" cm="1">
        <f t="array" ref="V48">INDEX(LCI!W$2:W$73,MATCH($E48&amp;$F48,LCI!$B$2:$B$73&amp;LCI!$D$2:$D$73,0))*IF(AND($E48="Truck", OR($F48="Electric", $F48="Electric_green")), $B$6, 1)*$D48*$C48</f>
        <v>6.5569075336817468E-10</v>
      </c>
      <c r="W48" s="154" cm="1">
        <f t="array" ref="W48">INDEX(LCI!X$2:X$73,MATCH($E48&amp;$F48,LCI!$B$2:$B$73&amp;LCI!$D$2:$D$73,0))*IF(AND($E48="Truck", OR($F48="Electric", $F48="Electric_green")), $B$6, 1)*$D48*$C48</f>
        <v>3.78179064724348E-9</v>
      </c>
      <c r="X48" s="154" cm="1">
        <f t="array" ref="X48">INDEX(LCI!Y$2:Y$73,MATCH($E48&amp;$F48,LCI!$B$2:$B$73&amp;LCI!$D$2:$D$73,0))*IF(AND($E48="Truck", OR($F48="Electric", $F48="Electric_green")), $B$6, 1)*$D48*$C48</f>
        <v>4.8217018903038604E-4</v>
      </c>
      <c r="Y48" s="154" cm="1">
        <f t="array" ref="Y48">INDEX(LCI!Z$2:Z$73,MATCH($E48&amp;$F48,LCI!$B$2:$B$73&amp;LCI!$D$2:$D$73,0))*IF(AND($E48="Truck", OR($F48="Electric", $F48="Electric_green")), $B$6, 1)*$D48*$C48</f>
        <v>3.6389378282648223E-3</v>
      </c>
    </row>
    <row r="49" spans="1:25" ht="13.9" customHeight="1" x14ac:dyDescent="0.25">
      <c r="A49" s="386"/>
      <c r="B49" s="154" t="str">
        <f>Input!A48</f>
        <v>Virgin natural fine aggregate 3 (≤2 mm)</v>
      </c>
      <c r="C49" s="158">
        <f>+Input!B48</f>
        <v>0.02</v>
      </c>
      <c r="D49" s="154">
        <f>Input!$O48</f>
        <v>30</v>
      </c>
      <c r="E49" s="154" t="str">
        <f>Input!$M48</f>
        <v>Train</v>
      </c>
      <c r="F49" s="154" t="str">
        <f>Input!$N48</f>
        <v>Diesel</v>
      </c>
      <c r="G49" s="154" cm="1">
        <f t="array" ref="G49">INDEX(LCI!H$2:H$73,MATCH($E49&amp;$F49,LCI!$B$2:$B$73&amp;LCI!$D$2:$D$73,0))*IF(AND($E49="Truck", OR($F49="Electric", $F49="Electric_green")), $B$6, 1)*$D49*$C49</f>
        <v>3.4383282872339652E-4</v>
      </c>
      <c r="H49" s="154" cm="1">
        <f t="array" ref="H49">INDEX(LCI!I$2:I$73,MATCH($E49&amp;$F49,LCI!$B$2:$B$73&amp;LCI!$D$2:$D$73,0))*IF(AND($E49="Truck", OR($F49="Electric", $F49="Electric_green")), $B$6, 1)*$D49*$C49</f>
        <v>3.6450600445617647E-2</v>
      </c>
      <c r="I49" s="154" cm="1">
        <f t="array" ref="I49">INDEX(LCI!J$2:J$73,MATCH($E49&amp;$F49,LCI!$B$2:$B$73&amp;LCI!$D$2:$D$73,0))*IF(AND($E49="Truck", OR($F49="Electric", $F49="Electric_green")), $B$6, 1)*$D49*$C49</f>
        <v>1.0859078753036094E-5</v>
      </c>
      <c r="J49" s="154" cm="1">
        <f t="array" ref="J49">INDEX(LCI!K$2:K$73,MATCH($E49&amp;$F49,LCI!$B$2:$B$73&amp;LCI!$D$2:$D$73,0))*IF(AND($E49="Truck", OR($F49="Electric", $F49="Electric_green")), $B$6, 1)*$D49*$C49</f>
        <v>3.641893737114664E-2</v>
      </c>
      <c r="K49" s="154" cm="1">
        <f t="array" ref="K49">INDEX(LCI!L$2:L$73,MATCH($E49&amp;$F49,LCI!$B$2:$B$73&amp;LCI!$D$2:$D$73,0))*IF(AND($E49="Truck", OR($F49="Electric", $F49="Electric_green")), $B$6, 1)*$D49*$C49</f>
        <v>2.0803995717966606E-5</v>
      </c>
      <c r="L49" s="154" cm="1">
        <f t="array" ref="L49">INDEX(LCI!M$2:M$73,MATCH($E49&amp;$F49,LCI!$B$2:$B$73&amp;LCI!$D$2:$D$73,0))*IF(AND($E49="Truck", OR($F49="Electric", $F49="Electric_green")), $B$6, 1)*$D49*$C49</f>
        <v>9.1105759113148319E-2</v>
      </c>
      <c r="M49" s="154" cm="1">
        <f t="array" ref="M49">INDEX(LCI!N$2:N$73,MATCH($E49&amp;$F49,LCI!$B$2:$B$73&amp;LCI!$D$2:$D$73,0))*IF(AND($E49="Truck", OR($F49="Electric", $F49="Electric_green")), $B$6, 1)*$D49*$C49</f>
        <v>0.45731692960260795</v>
      </c>
      <c r="N49" s="154" cm="1">
        <f t="array" ref="N49">INDEX(LCI!O$2:O$73,MATCH($E49&amp;$F49,LCI!$B$2:$B$73&amp;LCI!$D$2:$D$73,0))*IF(AND($E49="Truck", OR($F49="Electric", $F49="Electric_green")), $B$6, 1)*$D49*$C49</f>
        <v>4.4229219907123792E-6</v>
      </c>
      <c r="O49" s="154" cm="1">
        <f t="array" ref="O49">INDEX(LCI!P$2:P$73,MATCH($E49&amp;$F49,LCI!$B$2:$B$73&amp;LCI!$D$2:$D$73,0))*IF(AND($E49="Truck", OR($F49="Electric", $F49="Electric_green")), $B$6, 1)*$D49*$C49</f>
        <v>1.5273339852979811E-4</v>
      </c>
      <c r="P49" s="154" cm="1">
        <f t="array" ref="P49">INDEX(LCI!Q$2:Q$73,MATCH($E49&amp;$F49,LCI!$B$2:$B$73&amp;LCI!$D$2:$D$73,0))*IF(AND($E49="Truck", OR($F49="Electric", $F49="Electric_green")), $B$6, 1)*$D49*$C49</f>
        <v>1.6687655176532868E-3</v>
      </c>
      <c r="Q49" s="154" cm="1">
        <f t="array" ref="Q49">INDEX(LCI!R$2:R$73,MATCH($E49&amp;$F49,LCI!$B$2:$B$73&amp;LCI!$D$2:$D$73,0))*IF(AND($E49="Truck", OR($F49="Electric", $F49="Electric_green")), $B$6, 1)*$D49*$C49</f>
        <v>7.5184253373450357E-12</v>
      </c>
      <c r="R49" s="154" cm="1">
        <f t="array" ref="R49">INDEX(LCI!S$2:S$73,MATCH($E49&amp;$F49,LCI!$B$2:$B$73&amp;LCI!$D$2:$D$73,0))*IF(AND($E49="Truck", OR($F49="Electric", $F49="Electric_green")), $B$6, 1)*$D49*$C49</f>
        <v>1.879523031672621E-10</v>
      </c>
      <c r="S49" s="154" cm="1">
        <f t="array" ref="S49">INDEX(LCI!T$2:T$73,MATCH($E49&amp;$F49,LCI!$B$2:$B$73&amp;LCI!$D$2:$D$73,0))*IF(AND($E49="Truck", OR($F49="Electric", $F49="Electric_green")), $B$6, 1)*$D49*$C49</f>
        <v>7.4359377237456835E-4</v>
      </c>
      <c r="T49" s="154" cm="1">
        <f t="array" ref="T49">INDEX(LCI!U$2:U$73,MATCH($E49&amp;$F49,LCI!$B$2:$B$73&amp;LCI!$D$2:$D$73,0))*IF(AND($E49="Truck", OR($F49="Electric", $F49="Electric_green")), $B$6, 1)*$D49*$C49</f>
        <v>0.24394115114596795</v>
      </c>
      <c r="U49" s="154" cm="1">
        <f t="array" ref="U49">INDEX(LCI!V$2:V$73,MATCH($E49&amp;$F49,LCI!$B$2:$B$73&amp;LCI!$D$2:$D$73,0))*IF(AND($E49="Truck", OR($F49="Electric", $F49="Electric_green")), $B$6, 1)*$D49*$C49</f>
        <v>8.1646749528371654E-8</v>
      </c>
      <c r="V49" s="154" cm="1">
        <f t="array" ref="V49">INDEX(LCI!W$2:W$73,MATCH($E49&amp;$F49,LCI!$B$2:$B$73&amp;LCI!$D$2:$D$73,0))*IF(AND($E49="Truck", OR($F49="Electric", $F49="Electric_green")), $B$6, 1)*$D49*$C49</f>
        <v>6.5569075336817468E-10</v>
      </c>
      <c r="W49" s="154" cm="1">
        <f t="array" ref="W49">INDEX(LCI!X$2:X$73,MATCH($E49&amp;$F49,LCI!$B$2:$B$73&amp;LCI!$D$2:$D$73,0))*IF(AND($E49="Truck", OR($F49="Electric", $F49="Electric_green")), $B$6, 1)*$D49*$C49</f>
        <v>3.78179064724348E-9</v>
      </c>
      <c r="X49" s="154" cm="1">
        <f t="array" ref="X49">INDEX(LCI!Y$2:Y$73,MATCH($E49&amp;$F49,LCI!$B$2:$B$73&amp;LCI!$D$2:$D$73,0))*IF(AND($E49="Truck", OR($F49="Electric", $F49="Electric_green")), $B$6, 1)*$D49*$C49</f>
        <v>4.8217018903038604E-4</v>
      </c>
      <c r="Y49" s="154" cm="1">
        <f t="array" ref="Y49">INDEX(LCI!Z$2:Z$73,MATCH($E49&amp;$F49,LCI!$B$2:$B$73&amp;LCI!$D$2:$D$73,0))*IF(AND($E49="Truck", OR($F49="Electric", $F49="Electric_green")), $B$6, 1)*$D49*$C49</f>
        <v>3.6389378282648223E-3</v>
      </c>
    </row>
    <row r="50" spans="1:25" x14ac:dyDescent="0.25">
      <c r="A50" s="387" t="s">
        <v>233</v>
      </c>
      <c r="B50" s="154" t="str">
        <f>Input!A49</f>
        <v>Filler 1</v>
      </c>
      <c r="C50" s="158">
        <f>+Input!B49</f>
        <v>0.01</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3.9" customHeight="1" x14ac:dyDescent="0.25">
      <c r="A51" s="388"/>
      <c r="B51" s="154" t="str">
        <f>Input!A50</f>
        <v>Filler 2</v>
      </c>
      <c r="C51" s="158">
        <f>+Input!B50</f>
        <v>0.01</v>
      </c>
      <c r="D51" s="154">
        <f>Input!$O50</f>
        <v>24</v>
      </c>
      <c r="E51" s="154" t="str">
        <f>Input!$M50</f>
        <v>Truck</v>
      </c>
      <c r="F51" s="154" t="str">
        <f>Input!$N50</f>
        <v>Diesel_Euro6</v>
      </c>
      <c r="G51" s="154" cm="1">
        <f t="array" ref="G51">INDEX(LCI!H$2:H$73,MATCH($E51&amp;$F51,LCI!$B$2:$B$73&amp;LCI!$D$2:$D$73,0))*IF(AND($E51="Truck", OR($F51="Electric", $F51="Electric_green")), $B$6, 1)*$D51*$C51</f>
        <v>5.6813280000000006E-5</v>
      </c>
      <c r="H51" s="154" cm="1">
        <f t="array" ref="H51">INDEX(LCI!I$2:I$73,MATCH($E51&amp;$F51,LCI!$B$2:$B$73&amp;LCI!$D$2:$D$73,0))*IF(AND($E51="Truck", OR($F51="Electric", $F51="Electric_green")), $B$6, 1)*$D51*$C51</f>
        <v>3.8098766159999999E-2</v>
      </c>
      <c r="I51" s="154" cm="1">
        <f t="array" ref="I51">INDEX(LCI!J$2:J$73,MATCH($E51&amp;$F51,LCI!$B$2:$B$73&amp;LCI!$D$2:$D$73,0))*IF(AND($E51="Truck", OR($F51="Electric", $F51="Electric_green")), $B$6, 1)*$D51*$C51</f>
        <v>1.7805671999999998E-5</v>
      </c>
      <c r="J51" s="154" cm="1">
        <f t="array" ref="J51">INDEX(LCI!K$2:K$73,MATCH($E51&amp;$F51,LCI!$B$2:$B$73&amp;LCI!$D$2:$D$73,0))*IF(AND($E51="Truck", OR($F51="Electric", $F51="Electric_green")), $B$6, 1)*$D51*$C51</f>
        <v>3.8077930080000003E-2</v>
      </c>
      <c r="K51" s="154" cm="1">
        <f t="array" ref="K51">INDEX(LCI!L$2:L$73,MATCH($E51&amp;$F51,LCI!$B$2:$B$73&amp;LCI!$D$2:$D$73,0))*IF(AND($E51="Truck", OR($F51="Electric", $F51="Electric_green")), $B$6, 1)*$D51*$C51</f>
        <v>3.0303600000000004E-6</v>
      </c>
      <c r="L51" s="154" cm="1">
        <f t="array" ref="L51">INDEX(LCI!M$2:M$73,MATCH($E51&amp;$F51,LCI!$B$2:$B$73&amp;LCI!$D$2:$D$73,0))*IF(AND($E51="Truck", OR($F51="Electric", $F51="Electric_green")), $B$6, 1)*$D51*$C51</f>
        <v>3.2722547759999998E-2</v>
      </c>
      <c r="M51" s="154" cm="1">
        <f t="array" ref="M51">INDEX(LCI!N$2:N$73,MATCH($E51&amp;$F51,LCI!$B$2:$B$73&amp;LCI!$D$2:$D$73,0))*IF(AND($E51="Truck", OR($F51="Electric", $F51="Electric_green")), $B$6, 1)*$D51*$C51</f>
        <v>0.51276978240000004</v>
      </c>
      <c r="N51" s="154" cm="1">
        <f t="array" ref="N51">INDEX(LCI!O$2:O$73,MATCH($E51&amp;$F51,LCI!$B$2:$B$73&amp;LCI!$D$2:$D$73,0))*IF(AND($E51="Truck", OR($F51="Electric", $F51="Electric_green")), $B$6, 1)*$D51*$C51</f>
        <v>8.8864559999999998E-7</v>
      </c>
      <c r="O51" s="154" cm="1">
        <f t="array" ref="O51">INDEX(LCI!P$2:P$73,MATCH($E51&amp;$F51,LCI!$B$2:$B$73&amp;LCI!$D$2:$D$73,0))*IF(AND($E51="Truck", OR($F51="Electric", $F51="Electric_green")), $B$6, 1)*$D51*$C51</f>
        <v>1.2383328E-5</v>
      </c>
      <c r="P51" s="154" cm="1">
        <f t="array" ref="P51">INDEX(LCI!Q$2:Q$73,MATCH($E51&amp;$F51,LCI!$B$2:$B$73&amp;LCI!$D$2:$D$73,0))*IF(AND($E51="Truck", OR($F51="Electric", $F51="Electric_green")), $B$6, 1)*$D51*$C51</f>
        <v>1.3403832E-4</v>
      </c>
      <c r="Q51" s="154" cm="1">
        <f t="array" ref="Q51">INDEX(LCI!R$2:R$73,MATCH($E51&amp;$F51,LCI!$B$2:$B$73&amp;LCI!$D$2:$D$73,0))*IF(AND($E51="Truck", OR($F51="Electric", $F51="Electric_green")), $B$6, 1)*$D51*$C51</f>
        <v>3.3767279999999999E-12</v>
      </c>
      <c r="R51" s="154" cm="1">
        <f t="array" ref="R51">INDEX(LCI!S$2:S$73,MATCH($E51&amp;$F51,LCI!$B$2:$B$73&amp;LCI!$D$2:$D$73,0))*IF(AND($E51="Truck", OR($F51="Electric", $F51="Electric_green")), $B$6, 1)*$D51*$C51</f>
        <v>2.7474720000000005E-10</v>
      </c>
      <c r="S51" s="154" cm="1">
        <f t="array" ref="S51">INDEX(LCI!T$2:T$73,MATCH($E51&amp;$F51,LCI!$B$2:$B$73&amp;LCI!$D$2:$D$73,0))*IF(AND($E51="Truck", OR($F51="Electric", $F51="Electric_green")), $B$6, 1)*$D51*$C51</f>
        <v>2.3251344000000001E-4</v>
      </c>
      <c r="T51" s="154" cm="1">
        <f t="array" ref="T51">INDEX(LCI!U$2:U$73,MATCH($E51&amp;$F51,LCI!$B$2:$B$73&amp;LCI!$D$2:$D$73,0))*IF(AND($E51="Truck", OR($F51="Electric", $F51="Electric_green")), $B$6, 1)*$D51*$C51</f>
        <v>3.2343963359999998E-2</v>
      </c>
      <c r="U51" s="154" cm="1">
        <f t="array" ref="U51">INDEX(LCI!V$2:V$73,MATCH($E51&amp;$F51,LCI!$B$2:$B$73&amp;LCI!$D$2:$D$73,0))*IF(AND($E51="Truck", OR($F51="Electric", $F51="Electric_green")), $B$6, 1)*$D51*$C51</f>
        <v>4.2032879999999998E-8</v>
      </c>
      <c r="V51" s="154" cm="1">
        <f t="array" ref="V51">INDEX(LCI!W$2:W$73,MATCH($E51&amp;$F51,LCI!$B$2:$B$73&amp;LCI!$D$2:$D$73,0))*IF(AND($E51="Truck", OR($F51="Electric", $F51="Electric_green")), $B$6, 1)*$D51*$C51</f>
        <v>8.4715680000000012E-10</v>
      </c>
      <c r="W51" s="154" cm="1">
        <f t="array" ref="W51">INDEX(LCI!X$2:X$73,MATCH($E51&amp;$F51,LCI!$B$2:$B$73&amp;LCI!$D$2:$D$73,0))*IF(AND($E51="Truck", OR($F51="Electric", $F51="Electric_green")), $B$6, 1)*$D51*$C51</f>
        <v>2.3614968E-9</v>
      </c>
      <c r="X51" s="154" cm="1">
        <f t="array" ref="X51">INDEX(LCI!Y$2:Y$73,MATCH($E51&amp;$F51,LCI!$B$2:$B$73&amp;LCI!$D$2:$D$73,0))*IF(AND($E51="Truck", OR($F51="Electric", $F51="Electric_green")), $B$6, 1)*$D51*$C51</f>
        <v>9.9051839999999988E-5</v>
      </c>
      <c r="Y51" s="154" cm="1">
        <f t="array" ref="Y51">INDEX(LCI!Z$2:Z$73,MATCH($E51&amp;$F51,LCI!$B$2:$B$73&amp;LCI!$D$2:$D$73,0))*IF(AND($E51="Truck", OR($F51="Electric", $F51="Electric_green")), $B$6, 1)*$D51*$C51</f>
        <v>1.1678853600000001E-3</v>
      </c>
    </row>
    <row r="52" spans="1:25" x14ac:dyDescent="0.25">
      <c r="A52" s="389" t="s">
        <v>322</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3.9" customHeight="1" x14ac:dyDescent="0.25">
      <c r="A53" s="389"/>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25">
      <c r="A54" s="390" t="s">
        <v>323</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3.9" customHeight="1" x14ac:dyDescent="0.25">
      <c r="A55" s="390"/>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25">
      <c r="A56" s="390" t="s">
        <v>324</v>
      </c>
      <c r="B56" s="154" t="str">
        <f>Input!A55</f>
        <v>Additive 1</v>
      </c>
      <c r="C56" s="158">
        <f>+Input!B55</f>
        <v>0.02</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3.9" customHeight="1" x14ac:dyDescent="0.25">
      <c r="A57" s="390"/>
      <c r="B57" s="154" t="str">
        <f>Input!A56</f>
        <v>Additive 2</v>
      </c>
      <c r="C57" s="158">
        <f>+Input!B56</f>
        <v>0.02</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3.9" customHeight="1" x14ac:dyDescent="0.25">
      <c r="A58" s="390"/>
      <c r="B58" s="154" t="str">
        <f>Input!A57</f>
        <v>Additive 3</v>
      </c>
      <c r="C58" s="158">
        <f>+Input!B57</f>
        <v>0.02</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25">
      <c r="A59" s="395" t="s">
        <v>560</v>
      </c>
      <c r="B59" s="395"/>
      <c r="C59" s="395"/>
      <c r="D59" s="395"/>
      <c r="E59" s="395"/>
      <c r="F59" s="395"/>
      <c r="G59" s="140">
        <f t="shared" ref="G59:Y59" si="1">SUM(G40:G58)</f>
        <v>5.2270168240226653E-3</v>
      </c>
      <c r="H59" s="140">
        <f t="shared" si="1"/>
        <v>0.46454721056272102</v>
      </c>
      <c r="I59" s="140">
        <f t="shared" si="1"/>
        <v>1.5893173717539138E-4</v>
      </c>
      <c r="J59" s="140">
        <f t="shared" si="1"/>
        <v>0.46424158509177937</v>
      </c>
      <c r="K59" s="140">
        <f t="shared" si="1"/>
        <v>1.4669332576617043E-4</v>
      </c>
      <c r="L59" s="140">
        <f t="shared" si="1"/>
        <v>0.57729326415750815</v>
      </c>
      <c r="M59" s="140">
        <f t="shared" si="1"/>
        <v>5.9995305391806619</v>
      </c>
      <c r="N59" s="140">
        <f t="shared" si="1"/>
        <v>2.2970282324300286E-5</v>
      </c>
      <c r="O59" s="140">
        <f t="shared" si="1"/>
        <v>1.5593444278282915E-3</v>
      </c>
      <c r="P59" s="140">
        <f t="shared" si="1"/>
        <v>1.7194910896681362E-2</v>
      </c>
      <c r="Q59" s="140">
        <f t="shared" si="1"/>
        <v>7.0062188419587183E-11</v>
      </c>
      <c r="R59" s="140">
        <f t="shared" si="1"/>
        <v>2.5938103735371612E-9</v>
      </c>
      <c r="S59" s="140">
        <f t="shared" si="1"/>
        <v>4.2885580583388056E-3</v>
      </c>
      <c r="T59" s="140">
        <f t="shared" si="1"/>
        <v>1.0371610506327436</v>
      </c>
      <c r="U59" s="140">
        <f t="shared" si="1"/>
        <v>6.2188096517159968E-7</v>
      </c>
      <c r="V59" s="140">
        <f t="shared" si="1"/>
        <v>8.8668283589841658E-9</v>
      </c>
      <c r="W59" s="140">
        <f t="shared" si="1"/>
        <v>3.0461293605813913E-8</v>
      </c>
      <c r="X59" s="140">
        <f t="shared" si="1"/>
        <v>5.0890241690693455E-3</v>
      </c>
      <c r="Y59" s="140">
        <f t="shared" si="1"/>
        <v>2.2308712908188134E-2</v>
      </c>
    </row>
    <row r="60" spans="1:25" x14ac:dyDescent="0.2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4" x14ac:dyDescent="0.4">
      <c r="A62" s="100" t="s">
        <v>561</v>
      </c>
    </row>
    <row r="64" spans="1:25" ht="105" x14ac:dyDescent="0.25">
      <c r="A64" s="104" t="s">
        <v>300</v>
      </c>
      <c r="B64" s="104" t="s">
        <v>301</v>
      </c>
      <c r="C64" s="103" t="s">
        <v>302</v>
      </c>
      <c r="D64" s="103" t="s">
        <v>60</v>
      </c>
      <c r="E64" s="103" t="s">
        <v>556</v>
      </c>
      <c r="F64" s="103" t="s">
        <v>557</v>
      </c>
      <c r="G64" s="103" t="s">
        <v>303</v>
      </c>
      <c r="H64" s="103" t="s">
        <v>304</v>
      </c>
      <c r="I64" s="103" t="s">
        <v>305</v>
      </c>
      <c r="J64" s="103" t="s">
        <v>306</v>
      </c>
      <c r="K64" s="103" t="s">
        <v>307</v>
      </c>
      <c r="L64" s="103" t="s">
        <v>308</v>
      </c>
      <c r="M64" s="103" t="s">
        <v>309</v>
      </c>
      <c r="N64" s="103" t="s">
        <v>310</v>
      </c>
      <c r="O64" s="103" t="s">
        <v>311</v>
      </c>
      <c r="P64" s="103" t="s">
        <v>312</v>
      </c>
      <c r="Q64" s="103" t="s">
        <v>313</v>
      </c>
      <c r="R64" s="103" t="s">
        <v>314</v>
      </c>
      <c r="S64" s="103" t="s">
        <v>315</v>
      </c>
      <c r="T64" s="103" t="s">
        <v>316</v>
      </c>
      <c r="U64" s="103" t="s">
        <v>317</v>
      </c>
      <c r="V64" s="103" t="s">
        <v>318</v>
      </c>
      <c r="W64" s="103" t="s">
        <v>319</v>
      </c>
      <c r="X64" s="103" t="s">
        <v>320</v>
      </c>
      <c r="Y64" s="103" t="s">
        <v>321</v>
      </c>
    </row>
    <row r="65" spans="1:25" x14ac:dyDescent="0.25">
      <c r="A65" s="6" t="s">
        <v>287</v>
      </c>
      <c r="B65" s="154" t="str">
        <f>Input!A39</f>
        <v>Virgin binder</v>
      </c>
      <c r="C65" s="154">
        <f>+Input!B39</f>
        <v>0.02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25">
      <c r="A66" s="384" t="s">
        <v>232</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25">
      <c r="A67" s="385"/>
      <c r="B67" s="154" t="str">
        <f>Input!A41</f>
        <v>Virgin crushed coarse aggregate 2 (&gt;2 mm)</v>
      </c>
      <c r="C67" s="154">
        <f>+Input!B41</f>
        <v>0.2</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25">
      <c r="A68" s="385"/>
      <c r="B68" s="154" t="str">
        <f>Input!A42</f>
        <v>Virgin crushed coarse aggregate 3 (&gt;2 mm)</v>
      </c>
      <c r="C68" s="154">
        <f>+Input!B42</f>
        <v>0.1</v>
      </c>
      <c r="D68" s="154">
        <f>Input!$R42</f>
        <v>40</v>
      </c>
      <c r="E68" s="154" t="str">
        <f>Input!$P42</f>
        <v>Ship</v>
      </c>
      <c r="F68" s="154" t="str">
        <f>Input!$Q42</f>
        <v>Heavy_fuel_oil</v>
      </c>
      <c r="G68" s="154" cm="1">
        <f t="array" ref="G68">INDEX(LCI!H$2:H$73,MATCH($E68&amp;$F68,LCI!$B$2:$B$73&amp;LCI!$D$2:$D$73,0))*IF(AND($E68="Truck", OR($F68="Electric", $F68="Electric_green")), $B$6, 1)*$D68*$C68</f>
        <v>1.2024735526174916E-3</v>
      </c>
      <c r="H68" s="154" cm="1">
        <f t="array" ref="H68">INDEX(LCI!I$2:I$73,MATCH($E68&amp;$F68,LCI!$B$2:$B$73&amp;LCI!$D$2:$D$73,0))*IF(AND($E68="Truck", OR($F68="Electric", $F68="Electric_green")), $B$6, 1)*$D68*$C68</f>
        <v>4.0964501421956005E-2</v>
      </c>
      <c r="I68" s="154" cm="1">
        <f t="array" ref="I68">INDEX(LCI!J$2:J$73,MATCH($E68&amp;$F68,LCI!$B$2:$B$73&amp;LCI!$D$2:$D$73,0))*IF(AND($E68="Truck", OR($F68="Electric", $F68="Electric_green")), $B$6, 1)*$D68*$C68</f>
        <v>6.2634229720943645E-6</v>
      </c>
      <c r="J68" s="154" cm="1">
        <f t="array" ref="J68">INDEX(LCI!K$2:K$73,MATCH($E68&amp;$F68,LCI!$B$2:$B$73&amp;LCI!$D$2:$D$73,0))*IF(AND($E68="Truck", OR($F68="Electric", $F68="Electric_green")), $B$6, 1)*$D68*$C68</f>
        <v>4.0936244299446478E-2</v>
      </c>
      <c r="K68" s="154" cm="1">
        <f t="array" ref="K68">INDEX(LCI!L$2:L$73,MATCH($E68&amp;$F68,LCI!$B$2:$B$73&amp;LCI!$D$2:$D$73,0))*IF(AND($E68="Truck", OR($F68="Electric", $F68="Electric_green")), $B$6, 1)*$D68*$C68</f>
        <v>2.1993699537423533E-5</v>
      </c>
      <c r="L68" s="154" cm="1">
        <f t="array" ref="L68">INDEX(LCI!M$2:M$73,MATCH($E68&amp;$F68,LCI!$B$2:$B$73&amp;LCI!$D$2:$D$73,0))*IF(AND($E68="Truck", OR($F68="Electric", $F68="Electric_green")), $B$6, 1)*$D68*$C68</f>
        <v>3.5403081819354379E-2</v>
      </c>
      <c r="M68" s="154" cm="1">
        <f t="array" ref="M68">INDEX(LCI!N$2:N$73,MATCH($E68&amp;$F68,LCI!$B$2:$B$73&amp;LCI!$D$2:$D$73,0))*IF(AND($E68="Truck", OR($F68="Electric", $F68="Electric_green")), $B$6, 1)*$D68*$C68</f>
        <v>0.50122747865761275</v>
      </c>
      <c r="N68" s="154" cm="1">
        <f t="array" ref="N68">INDEX(LCI!O$2:O$73,MATCH($E68&amp;$F68,LCI!$B$2:$B$73&amp;LCI!$D$2:$D$73,0))*IF(AND($E68="Truck", OR($F68="Electric", $F68="Electric_green")), $B$6, 1)*$D68*$C68</f>
        <v>1.4484235840543816E-6</v>
      </c>
      <c r="O68" s="154" cm="1">
        <f t="array" ref="O68">INDEX(LCI!P$2:P$73,MATCH($E68&amp;$F68,LCI!$B$2:$B$73&amp;LCI!$D$2:$D$73,0))*IF(AND($E68="Truck", OR($F68="Electric", $F68="Electric_green")), $B$6, 1)*$D68*$C68</f>
        <v>2.9937870141296579E-4</v>
      </c>
      <c r="P68" s="154" cm="1">
        <f t="array" ref="P68">INDEX(LCI!Q$2:Q$73,MATCH($E68&amp;$F68,LCI!$B$2:$B$73&amp;LCI!$D$2:$D$73,0))*IF(AND($E68="Truck", OR($F68="Electric", $F68="Electric_green")), $B$6, 1)*$D68*$C68</f>
        <v>3.3250500079071662E-3</v>
      </c>
      <c r="Q68" s="154" cm="1">
        <f t="array" ref="Q68">INDEX(LCI!R$2:R$73,MATCH($E68&amp;$F68,LCI!$B$2:$B$73&amp;LCI!$D$2:$D$73,0))*IF(AND($E68="Truck", OR($F68="Electric", $F68="Electric_green")), $B$6, 1)*$D68*$C68</f>
        <v>8.65922146918402E-12</v>
      </c>
      <c r="R68" s="154" cm="1">
        <f t="array" ref="R68">INDEX(LCI!S$2:S$73,MATCH($E68&amp;$F68,LCI!$B$2:$B$73&amp;LCI!$D$2:$D$73,0))*IF(AND($E68="Truck", OR($F68="Electric", $F68="Electric_green")), $B$6, 1)*$D68*$C68</f>
        <v>1.2112875467845831E-10</v>
      </c>
      <c r="S68" s="154" cm="1">
        <f t="array" ref="S68">INDEX(LCI!T$2:T$73,MATCH($E68&amp;$F68,LCI!$B$2:$B$73&amp;LCI!$D$2:$D$73,0))*IF(AND($E68="Truck", OR($F68="Electric", $F68="Electric_green")), $B$6, 1)*$D68*$C68</f>
        <v>2.1656990040503342E-4</v>
      </c>
      <c r="T68" s="154" cm="1">
        <f t="array" ref="T68">INDEX(LCI!U$2:U$73,MATCH($E68&amp;$F68,LCI!$B$2:$B$73&amp;LCI!$D$2:$D$73,0))*IF(AND($E68="Truck", OR($F68="Electric", $F68="Electric_green")), $B$6, 1)*$D68*$C68</f>
        <v>3.638114194494653E-2</v>
      </c>
      <c r="U68" s="154" cm="1">
        <f t="array" ref="U68">INDEX(LCI!V$2:V$73,MATCH($E68&amp;$F68,LCI!$B$2:$B$73&amp;LCI!$D$2:$D$73,0))*IF(AND($E68="Truck", OR($F68="Electric", $F68="Electric_green")), $B$6, 1)*$D68*$C68</f>
        <v>4.146754552882824E-8</v>
      </c>
      <c r="V68" s="154" cm="1">
        <f t="array" ref="V68">INDEX(LCI!W$2:W$73,MATCH($E68&amp;$F68,LCI!$B$2:$B$73&amp;LCI!$D$2:$D$73,0))*IF(AND($E68="Truck", OR($F68="Electric", $F68="Electric_green")), $B$6, 1)*$D68*$C68</f>
        <v>5.7758909962654769E-10</v>
      </c>
      <c r="W68" s="154" cm="1">
        <f t="array" ref="W68">INDEX(LCI!X$2:X$73,MATCH($E68&amp;$F68,LCI!$B$2:$B$73&amp;LCI!$D$2:$D$73,0))*IF(AND($E68="Truck", OR($F68="Electric", $F68="Electric_green")), $B$6, 1)*$D68*$C68</f>
        <v>1.2076082880278219E-9</v>
      </c>
      <c r="X68" s="154" cm="1">
        <f t="array" ref="X68">INDEX(LCI!Y$2:Y$73,MATCH($E68&amp;$F68,LCI!$B$2:$B$73&amp;LCI!$D$2:$D$73,0))*IF(AND($E68="Truck", OR($F68="Electric", $F68="Electric_green")), $B$6, 1)*$D68*$C68</f>
        <v>9.0233192065939565E-4</v>
      </c>
      <c r="Y68" s="154" cm="1">
        <f t="array" ref="Y68">INDEX(LCI!Z$2:Z$73,MATCH($E68&amp;$F68,LCI!$B$2:$B$73&amp;LCI!$D$2:$D$73,0))*IF(AND($E68="Truck", OR($F68="Electric", $F68="Electric_green")), $B$6, 1)*$D68*$C68</f>
        <v>1.4435078877978883E-3</v>
      </c>
    </row>
    <row r="69" spans="1:25" x14ac:dyDescent="0.25">
      <c r="A69" s="385"/>
      <c r="B69" s="154" t="str">
        <f>Input!A43</f>
        <v>Virgin crushed fine aggregate 1 (≤2 mm)</v>
      </c>
      <c r="C69" s="154">
        <f>+Input!B43</f>
        <v>0.06</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25">
      <c r="A70" s="385"/>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25">
      <c r="A71" s="385"/>
      <c r="B71" s="154" t="str">
        <f>Input!A45</f>
        <v>Virgin crushed fine aggregate 3 (≤2 mm)</v>
      </c>
      <c r="C71" s="154">
        <f>+Input!B45</f>
        <v>0.03</v>
      </c>
      <c r="D71" s="154">
        <f>Input!$R45</f>
        <v>40</v>
      </c>
      <c r="E71" s="154" t="str">
        <f>Input!$P45</f>
        <v>Truck</v>
      </c>
      <c r="F71" s="154" t="str">
        <f>Input!$Q45</f>
        <v>Diesel_Euro5</v>
      </c>
      <c r="G71" s="154" cm="1">
        <f t="array" ref="G71">INDEX(LCI!H$2:H$73,MATCH($E71&amp;$F71,LCI!$B$2:$B$73&amp;LCI!$D$2:$D$73,0))*IF(AND($E71="Truck", OR($F71="Electric", $F71="Electric_green")), $B$6, 1)*$D71*$C71</f>
        <v>5.3128439999999995E-4</v>
      </c>
      <c r="H71" s="154" cm="1">
        <f t="array" ref="H71">INDEX(LCI!I$2:I$73,MATCH($E71&amp;$F71,LCI!$B$2:$B$73&amp;LCI!$D$2:$D$73,0))*IF(AND($E71="Truck", OR($F71="Electric", $F71="Electric_green")), $B$6, 1)*$D71*$C71</f>
        <v>0.19420313880000001</v>
      </c>
      <c r="I71" s="154" cm="1">
        <f t="array" ref="I71">INDEX(LCI!J$2:J$73,MATCH($E71&amp;$F71,LCI!$B$2:$B$73&amp;LCI!$D$2:$D$73,0))*IF(AND($E71="Truck", OR($F71="Electric", $F71="Electric_green")), $B$6, 1)*$D71*$C71</f>
        <v>8.9758560000000002E-5</v>
      </c>
      <c r="J71" s="154" cm="1">
        <f t="array" ref="J71">INDEX(LCI!K$2:K$73,MATCH($E71&amp;$F71,LCI!$B$2:$B$73&amp;LCI!$D$2:$D$73,0))*IF(AND($E71="Truck", OR($F71="Electric", $F71="Electric_green")), $B$6, 1)*$D71*$C71</f>
        <v>0.19409810999999999</v>
      </c>
      <c r="K71" s="154" cm="1">
        <f t="array" ref="K71">INDEX(LCI!L$2:L$73,MATCH($E71&amp;$F71,LCI!$B$2:$B$73&amp;LCI!$D$2:$D$73,0))*IF(AND($E71="Truck", OR($F71="Electric", $F71="Electric_green")), $B$6, 1)*$D71*$C71</f>
        <v>1.526988E-5</v>
      </c>
      <c r="L71" s="154" cm="1">
        <f t="array" ref="L71">INDEX(LCI!M$2:M$73,MATCH($E71&amp;$F71,LCI!$B$2:$B$73&amp;LCI!$D$2:$D$73,0))*IF(AND($E71="Truck", OR($F71="Electric", $F71="Electric_green")), $B$6, 1)*$D71*$C71</f>
        <v>0.1650441936</v>
      </c>
      <c r="M71" s="154" cm="1">
        <f t="array" ref="M71">INDEX(LCI!N$2:N$73,MATCH($E71&amp;$F71,LCI!$B$2:$B$73&amp;LCI!$D$2:$D$73,0))*IF(AND($E71="Truck", OR($F71="Electric", $F71="Electric_green")), $B$6, 1)*$D71*$C71</f>
        <v>2.6111275319999998</v>
      </c>
      <c r="N71" s="154" cm="1">
        <f t="array" ref="N71">INDEX(LCI!O$2:O$73,MATCH($E71&amp;$F71,LCI!$B$2:$B$73&amp;LCI!$D$2:$D$73,0))*IF(AND($E71="Truck", OR($F71="Electric", $F71="Electric_green")), $B$6, 1)*$D71*$C71</f>
        <v>4.4676000000000002E-6</v>
      </c>
      <c r="O71" s="154" cm="1">
        <f t="array" ref="O71">INDEX(LCI!P$2:P$73,MATCH($E71&amp;$F71,LCI!$B$2:$B$73&amp;LCI!$D$2:$D$73,0))*IF(AND($E71="Truck", OR($F71="Electric", $F71="Electric_green")), $B$6, 1)*$D71*$C71</f>
        <v>1.9062479999999997E-4</v>
      </c>
      <c r="P71" s="154" cm="1">
        <f t="array" ref="P71">INDEX(LCI!Q$2:Q$73,MATCH($E71&amp;$F71,LCI!$B$2:$B$73&amp;LCI!$D$2:$D$73,0))*IF(AND($E71="Truck", OR($F71="Electric", $F71="Electric_green")), $B$6, 1)*$D71*$C71</f>
        <v>2.0794259999999997E-3</v>
      </c>
      <c r="Q71" s="154" cm="1">
        <f t="array" ref="Q71">INDEX(LCI!R$2:R$73,MATCH($E71&amp;$F71,LCI!$B$2:$B$73&amp;LCI!$D$2:$D$73,0))*IF(AND($E71="Truck", OR($F71="Electric", $F71="Electric_green")), $B$6, 1)*$D71*$C71</f>
        <v>1.8152519999999997E-11</v>
      </c>
      <c r="R71" s="154" cm="1">
        <f t="array" ref="R71">INDEX(LCI!S$2:S$73,MATCH($E71&amp;$F71,LCI!$B$2:$B$73&amp;LCI!$D$2:$D$73,0))*IF(AND($E71="Truck", OR($F71="Electric", $F71="Electric_green")), $B$6, 1)*$D71*$C71</f>
        <v>1.3918200000000001E-9</v>
      </c>
      <c r="S71" s="154" cm="1">
        <f t="array" ref="S71">INDEX(LCI!T$2:T$73,MATCH($E71&amp;$F71,LCI!$B$2:$B$73&amp;LCI!$D$2:$D$73,0))*IF(AND($E71="Truck", OR($F71="Electric", $F71="Electric_green")), $B$6, 1)*$D71*$C71</f>
        <v>1.1755536E-3</v>
      </c>
      <c r="T71" s="154" cm="1">
        <f t="array" ref="T71">INDEX(LCI!U$2:U$73,MATCH($E71&amp;$F71,LCI!$B$2:$B$73&amp;LCI!$D$2:$D$73,0))*IF(AND($E71="Truck", OR($F71="Electric", $F71="Electric_green")), $B$6, 1)*$D71*$C71</f>
        <v>0.163850208</v>
      </c>
      <c r="U71" s="154" cm="1">
        <f t="array" ref="U71">INDEX(LCI!V$2:V$73,MATCH($E71&amp;$F71,LCI!$B$2:$B$73&amp;LCI!$D$2:$D$73,0))*IF(AND($E71="Truck", OR($F71="Electric", $F71="Electric_green")), $B$6, 1)*$D71*$C71</f>
        <v>2.1050519999999998E-7</v>
      </c>
      <c r="V71" s="154" cm="1">
        <f t="array" ref="V71">INDEX(LCI!W$2:W$73,MATCH($E71&amp;$F71,LCI!$B$2:$B$73&amp;LCI!$D$2:$D$73,0))*IF(AND($E71="Truck", OR($F71="Electric", $F71="Electric_green")), $B$6, 1)*$D71*$C71</f>
        <v>4.3198320000000002E-9</v>
      </c>
      <c r="W71" s="154" cm="1">
        <f t="array" ref="W71">INDEX(LCI!X$2:X$73,MATCH($E71&amp;$F71,LCI!$B$2:$B$73&amp;LCI!$D$2:$D$73,0))*IF(AND($E71="Truck", OR($F71="Electric", $F71="Electric_green")), $B$6, 1)*$D71*$C71</f>
        <v>1.3131600000000001E-8</v>
      </c>
      <c r="X71" s="154" cm="1">
        <f t="array" ref="X71">INDEX(LCI!Y$2:Y$73,MATCH($E71&amp;$F71,LCI!$B$2:$B$73&amp;LCI!$D$2:$D$73,0))*IF(AND($E71="Truck", OR($F71="Electric", $F71="Electric_green")), $B$6, 1)*$D71*$C71</f>
        <v>8.3646600000000001E-4</v>
      </c>
      <c r="Y71" s="154" cm="1">
        <f t="array" ref="Y71">INDEX(LCI!Z$2:Z$73,MATCH($E71&amp;$F71,LCI!$B$2:$B$73&amp;LCI!$D$2:$D$73,0))*IF(AND($E71="Truck", OR($F71="Electric", $F71="Electric_green")), $B$6, 1)*$D71*$C71</f>
        <v>5.8934903999999996E-3</v>
      </c>
    </row>
    <row r="72" spans="1:25" x14ac:dyDescent="0.25">
      <c r="A72" s="385"/>
      <c r="B72" s="154" t="str">
        <f>Input!A46</f>
        <v>Virgin natural fine aggregate 1 (≤2 mm)</v>
      </c>
      <c r="C72" s="154">
        <f>+Input!B46</f>
        <v>0.02</v>
      </c>
      <c r="D72" s="154">
        <f>Input!$R46</f>
        <v>30</v>
      </c>
      <c r="E72" s="154" t="str">
        <f>Input!$P46</f>
        <v>Train</v>
      </c>
      <c r="F72" s="154" t="str">
        <f>Input!$Q46</f>
        <v>Diesel</v>
      </c>
      <c r="G72" s="154" cm="1">
        <f t="array" ref="G72">INDEX(LCI!H$2:H$73,MATCH($E72&amp;$F72,LCI!$B$2:$B$73&amp;LCI!$D$2:$D$73,0))*IF(AND($E72="Truck", OR($F72="Electric", $F72="Electric_green")), $B$6, 1)*$D72*$C72</f>
        <v>3.4383282872339652E-4</v>
      </c>
      <c r="H72" s="154" cm="1">
        <f t="array" ref="H72">INDEX(LCI!I$2:I$73,MATCH($E72&amp;$F72,LCI!$B$2:$B$73&amp;LCI!$D$2:$D$73,0))*IF(AND($E72="Truck", OR($F72="Electric", $F72="Electric_green")), $B$6, 1)*$D72*$C72</f>
        <v>3.6450600445617647E-2</v>
      </c>
      <c r="I72" s="154" cm="1">
        <f t="array" ref="I72">INDEX(LCI!J$2:J$73,MATCH($E72&amp;$F72,LCI!$B$2:$B$73&amp;LCI!$D$2:$D$73,0))*IF(AND($E72="Truck", OR($F72="Electric", $F72="Electric_green")), $B$6, 1)*$D72*$C72</f>
        <v>1.0859078753036094E-5</v>
      </c>
      <c r="J72" s="154" cm="1">
        <f t="array" ref="J72">INDEX(LCI!K$2:K$73,MATCH($E72&amp;$F72,LCI!$B$2:$B$73&amp;LCI!$D$2:$D$73,0))*IF(AND($E72="Truck", OR($F72="Electric", $F72="Electric_green")), $B$6, 1)*$D72*$C72</f>
        <v>3.641893737114664E-2</v>
      </c>
      <c r="K72" s="154" cm="1">
        <f t="array" ref="K72">INDEX(LCI!L$2:L$73,MATCH($E72&amp;$F72,LCI!$B$2:$B$73&amp;LCI!$D$2:$D$73,0))*IF(AND($E72="Truck", OR($F72="Electric", $F72="Electric_green")), $B$6, 1)*$D72*$C72</f>
        <v>2.0803995717966606E-5</v>
      </c>
      <c r="L72" s="154" cm="1">
        <f t="array" ref="L72">INDEX(LCI!M$2:M$73,MATCH($E72&amp;$F72,LCI!$B$2:$B$73&amp;LCI!$D$2:$D$73,0))*IF(AND($E72="Truck", OR($F72="Electric", $F72="Electric_green")), $B$6, 1)*$D72*$C72</f>
        <v>9.1105759113148319E-2</v>
      </c>
      <c r="M72" s="154" cm="1">
        <f t="array" ref="M72">INDEX(LCI!N$2:N$73,MATCH($E72&amp;$F72,LCI!$B$2:$B$73&amp;LCI!$D$2:$D$73,0))*IF(AND($E72="Truck", OR($F72="Electric", $F72="Electric_green")), $B$6, 1)*$D72*$C72</f>
        <v>0.45731692960260795</v>
      </c>
      <c r="N72" s="154" cm="1">
        <f t="array" ref="N72">INDEX(LCI!O$2:O$73,MATCH($E72&amp;$F72,LCI!$B$2:$B$73&amp;LCI!$D$2:$D$73,0))*IF(AND($E72="Truck", OR($F72="Electric", $F72="Electric_green")), $B$6, 1)*$D72*$C72</f>
        <v>4.4229219907123792E-6</v>
      </c>
      <c r="O72" s="154" cm="1">
        <f t="array" ref="O72">INDEX(LCI!P$2:P$73,MATCH($E72&amp;$F72,LCI!$B$2:$B$73&amp;LCI!$D$2:$D$73,0))*IF(AND($E72="Truck", OR($F72="Electric", $F72="Electric_green")), $B$6, 1)*$D72*$C72</f>
        <v>1.5273339852979811E-4</v>
      </c>
      <c r="P72" s="154" cm="1">
        <f t="array" ref="P72">INDEX(LCI!Q$2:Q$73,MATCH($E72&amp;$F72,LCI!$B$2:$B$73&amp;LCI!$D$2:$D$73,0))*IF(AND($E72="Truck", OR($F72="Electric", $F72="Electric_green")), $B$6, 1)*$D72*$C72</f>
        <v>1.6687655176532868E-3</v>
      </c>
      <c r="Q72" s="154" cm="1">
        <f t="array" ref="Q72">INDEX(LCI!R$2:R$73,MATCH($E72&amp;$F72,LCI!$B$2:$B$73&amp;LCI!$D$2:$D$73,0))*IF(AND($E72="Truck", OR($F72="Electric", $F72="Electric_green")), $B$6, 1)*$D72*$C72</f>
        <v>7.5184253373450357E-12</v>
      </c>
      <c r="R72" s="154" cm="1">
        <f t="array" ref="R72">INDEX(LCI!S$2:S$73,MATCH($E72&amp;$F72,LCI!$B$2:$B$73&amp;LCI!$D$2:$D$73,0))*IF(AND($E72="Truck", OR($F72="Electric", $F72="Electric_green")), $B$6, 1)*$D72*$C72</f>
        <v>1.879523031672621E-10</v>
      </c>
      <c r="S72" s="154" cm="1">
        <f t="array" ref="S72">INDEX(LCI!T$2:T$73,MATCH($E72&amp;$F72,LCI!$B$2:$B$73&amp;LCI!$D$2:$D$73,0))*IF(AND($E72="Truck", OR($F72="Electric", $F72="Electric_green")), $B$6, 1)*$D72*$C72</f>
        <v>7.4359377237456835E-4</v>
      </c>
      <c r="T72" s="154" cm="1">
        <f t="array" ref="T72">INDEX(LCI!U$2:U$73,MATCH($E72&amp;$F72,LCI!$B$2:$B$73&amp;LCI!$D$2:$D$73,0))*IF(AND($E72="Truck", OR($F72="Electric", $F72="Electric_green")), $B$6, 1)*$D72*$C72</f>
        <v>0.24394115114596795</v>
      </c>
      <c r="U72" s="154" cm="1">
        <f t="array" ref="U72">INDEX(LCI!V$2:V$73,MATCH($E72&amp;$F72,LCI!$B$2:$B$73&amp;LCI!$D$2:$D$73,0))*IF(AND($E72="Truck", OR($F72="Electric", $F72="Electric_green")), $B$6, 1)*$D72*$C72</f>
        <v>8.1646749528371654E-8</v>
      </c>
      <c r="V72" s="154" cm="1">
        <f t="array" ref="V72">INDEX(LCI!W$2:W$73,MATCH($E72&amp;$F72,LCI!$B$2:$B$73&amp;LCI!$D$2:$D$73,0))*IF(AND($E72="Truck", OR($F72="Electric", $F72="Electric_green")), $B$6, 1)*$D72*$C72</f>
        <v>6.5569075336817468E-10</v>
      </c>
      <c r="W72" s="154" cm="1">
        <f t="array" ref="W72">INDEX(LCI!X$2:X$73,MATCH($E72&amp;$F72,LCI!$B$2:$B$73&amp;LCI!$D$2:$D$73,0))*IF(AND($E72="Truck", OR($F72="Electric", $F72="Electric_green")), $B$6, 1)*$D72*$C72</f>
        <v>3.78179064724348E-9</v>
      </c>
      <c r="X72" s="154" cm="1">
        <f t="array" ref="X72">INDEX(LCI!Y$2:Y$73,MATCH($E72&amp;$F72,LCI!$B$2:$B$73&amp;LCI!$D$2:$D$73,0))*IF(AND($E72="Truck", OR($F72="Electric", $F72="Electric_green")), $B$6, 1)*$D72*$C72</f>
        <v>4.8217018903038604E-4</v>
      </c>
      <c r="Y72" s="154" cm="1">
        <f t="array" ref="Y72">INDEX(LCI!Z$2:Z$73,MATCH($E72&amp;$F72,LCI!$B$2:$B$73&amp;LCI!$D$2:$D$73,0))*IF(AND($E72="Truck", OR($F72="Electric", $F72="Electric_green")), $B$6, 1)*$D72*$C72</f>
        <v>3.6389378282648223E-3</v>
      </c>
    </row>
    <row r="73" spans="1:25" x14ac:dyDescent="0.25">
      <c r="A73" s="385"/>
      <c r="B73" s="154" t="str">
        <f>Input!A47</f>
        <v>Virgin natural fine aggregate 2 (≤2 mm)</v>
      </c>
      <c r="C73" s="154">
        <f>+Input!B47</f>
        <v>0.02</v>
      </c>
      <c r="D73" s="154">
        <f>Input!$R47</f>
        <v>30</v>
      </c>
      <c r="E73" s="154" t="str">
        <f>Input!$P47</f>
        <v>Train</v>
      </c>
      <c r="F73" s="154" t="str">
        <f>Input!$Q47</f>
        <v>Diesel</v>
      </c>
      <c r="G73" s="154" cm="1">
        <f t="array" ref="G73">INDEX(LCI!H$2:H$73,MATCH($E73&amp;$F73,LCI!$B$2:$B$73&amp;LCI!$D$2:$D$73,0))*IF(AND($E73="Truck", OR($F73="Electric", $F73="Electric_green")), $B$6, 1)*$D73*$C73</f>
        <v>3.4383282872339652E-4</v>
      </c>
      <c r="H73" s="154" cm="1">
        <f t="array" ref="H73">INDEX(LCI!I$2:I$73,MATCH($E73&amp;$F73,LCI!$B$2:$B$73&amp;LCI!$D$2:$D$73,0))*IF(AND($E73="Truck", OR($F73="Electric", $F73="Electric_green")), $B$6, 1)*$D73*$C73</f>
        <v>3.6450600445617647E-2</v>
      </c>
      <c r="I73" s="154" cm="1">
        <f t="array" ref="I73">INDEX(LCI!J$2:J$73,MATCH($E73&amp;$F73,LCI!$B$2:$B$73&amp;LCI!$D$2:$D$73,0))*IF(AND($E73="Truck", OR($F73="Electric", $F73="Electric_green")), $B$6, 1)*$D73*$C73</f>
        <v>1.0859078753036094E-5</v>
      </c>
      <c r="J73" s="154" cm="1">
        <f t="array" ref="J73">INDEX(LCI!K$2:K$73,MATCH($E73&amp;$F73,LCI!$B$2:$B$73&amp;LCI!$D$2:$D$73,0))*IF(AND($E73="Truck", OR($F73="Electric", $F73="Electric_green")), $B$6, 1)*$D73*$C73</f>
        <v>3.641893737114664E-2</v>
      </c>
      <c r="K73" s="154" cm="1">
        <f t="array" ref="K73">INDEX(LCI!L$2:L$73,MATCH($E73&amp;$F73,LCI!$B$2:$B$73&amp;LCI!$D$2:$D$73,0))*IF(AND($E73="Truck", OR($F73="Electric", $F73="Electric_green")), $B$6, 1)*$D73*$C73</f>
        <v>2.0803995717966606E-5</v>
      </c>
      <c r="L73" s="154" cm="1">
        <f t="array" ref="L73">INDEX(LCI!M$2:M$73,MATCH($E73&amp;$F73,LCI!$B$2:$B$73&amp;LCI!$D$2:$D$73,0))*IF(AND($E73="Truck", OR($F73="Electric", $F73="Electric_green")), $B$6, 1)*$D73*$C73</f>
        <v>9.1105759113148319E-2</v>
      </c>
      <c r="M73" s="154" cm="1">
        <f t="array" ref="M73">INDEX(LCI!N$2:N$73,MATCH($E73&amp;$F73,LCI!$B$2:$B$73&amp;LCI!$D$2:$D$73,0))*IF(AND($E73="Truck", OR($F73="Electric", $F73="Electric_green")), $B$6, 1)*$D73*$C73</f>
        <v>0.45731692960260795</v>
      </c>
      <c r="N73" s="154" cm="1">
        <f t="array" ref="N73">INDEX(LCI!O$2:O$73,MATCH($E73&amp;$F73,LCI!$B$2:$B$73&amp;LCI!$D$2:$D$73,0))*IF(AND($E73="Truck", OR($F73="Electric", $F73="Electric_green")), $B$6, 1)*$D73*$C73</f>
        <v>4.4229219907123792E-6</v>
      </c>
      <c r="O73" s="154" cm="1">
        <f t="array" ref="O73">INDEX(LCI!P$2:P$73,MATCH($E73&amp;$F73,LCI!$B$2:$B$73&amp;LCI!$D$2:$D$73,0))*IF(AND($E73="Truck", OR($F73="Electric", $F73="Electric_green")), $B$6, 1)*$D73*$C73</f>
        <v>1.5273339852979811E-4</v>
      </c>
      <c r="P73" s="154" cm="1">
        <f t="array" ref="P73">INDEX(LCI!Q$2:Q$73,MATCH($E73&amp;$F73,LCI!$B$2:$B$73&amp;LCI!$D$2:$D$73,0))*IF(AND($E73="Truck", OR($F73="Electric", $F73="Electric_green")), $B$6, 1)*$D73*$C73</f>
        <v>1.6687655176532868E-3</v>
      </c>
      <c r="Q73" s="154" cm="1">
        <f t="array" ref="Q73">INDEX(LCI!R$2:R$73,MATCH($E73&amp;$F73,LCI!$B$2:$B$73&amp;LCI!$D$2:$D$73,0))*IF(AND($E73="Truck", OR($F73="Electric", $F73="Electric_green")), $B$6, 1)*$D73*$C73</f>
        <v>7.5184253373450357E-12</v>
      </c>
      <c r="R73" s="154" cm="1">
        <f t="array" ref="R73">INDEX(LCI!S$2:S$73,MATCH($E73&amp;$F73,LCI!$B$2:$B$73&amp;LCI!$D$2:$D$73,0))*IF(AND($E73="Truck", OR($F73="Electric", $F73="Electric_green")), $B$6, 1)*$D73*$C73</f>
        <v>1.879523031672621E-10</v>
      </c>
      <c r="S73" s="154" cm="1">
        <f t="array" ref="S73">INDEX(LCI!T$2:T$73,MATCH($E73&amp;$F73,LCI!$B$2:$B$73&amp;LCI!$D$2:$D$73,0))*IF(AND($E73="Truck", OR($F73="Electric", $F73="Electric_green")), $B$6, 1)*$D73*$C73</f>
        <v>7.4359377237456835E-4</v>
      </c>
      <c r="T73" s="154" cm="1">
        <f t="array" ref="T73">INDEX(LCI!U$2:U$73,MATCH($E73&amp;$F73,LCI!$B$2:$B$73&amp;LCI!$D$2:$D$73,0))*IF(AND($E73="Truck", OR($F73="Electric", $F73="Electric_green")), $B$6, 1)*$D73*$C73</f>
        <v>0.24394115114596795</v>
      </c>
      <c r="U73" s="154" cm="1">
        <f t="array" ref="U73">INDEX(LCI!V$2:V$73,MATCH($E73&amp;$F73,LCI!$B$2:$B$73&amp;LCI!$D$2:$D$73,0))*IF(AND($E73="Truck", OR($F73="Electric", $F73="Electric_green")), $B$6, 1)*$D73*$C73</f>
        <v>8.1646749528371654E-8</v>
      </c>
      <c r="V73" s="154" cm="1">
        <f t="array" ref="V73">INDEX(LCI!W$2:W$73,MATCH($E73&amp;$F73,LCI!$B$2:$B$73&amp;LCI!$D$2:$D$73,0))*IF(AND($E73="Truck", OR($F73="Electric", $F73="Electric_green")), $B$6, 1)*$D73*$C73</f>
        <v>6.5569075336817468E-10</v>
      </c>
      <c r="W73" s="154" cm="1">
        <f t="array" ref="W73">INDEX(LCI!X$2:X$73,MATCH($E73&amp;$F73,LCI!$B$2:$B$73&amp;LCI!$D$2:$D$73,0))*IF(AND($E73="Truck", OR($F73="Electric", $F73="Electric_green")), $B$6, 1)*$D73*$C73</f>
        <v>3.78179064724348E-9</v>
      </c>
      <c r="X73" s="154" cm="1">
        <f t="array" ref="X73">INDEX(LCI!Y$2:Y$73,MATCH($E73&amp;$F73,LCI!$B$2:$B$73&amp;LCI!$D$2:$D$73,0))*IF(AND($E73="Truck", OR($F73="Electric", $F73="Electric_green")), $B$6, 1)*$D73*$C73</f>
        <v>4.8217018903038604E-4</v>
      </c>
      <c r="Y73" s="154" cm="1">
        <f t="array" ref="Y73">INDEX(LCI!Z$2:Z$73,MATCH($E73&amp;$F73,LCI!$B$2:$B$73&amp;LCI!$D$2:$D$73,0))*IF(AND($E73="Truck", OR($F73="Electric", $F73="Electric_green")), $B$6, 1)*$D73*$C73</f>
        <v>3.6389378282648223E-3</v>
      </c>
    </row>
    <row r="74" spans="1:25" x14ac:dyDescent="0.25">
      <c r="A74" s="386"/>
      <c r="B74" s="154" t="str">
        <f>Input!A48</f>
        <v>Virgin natural fine aggregate 3 (≤2 mm)</v>
      </c>
      <c r="C74" s="154">
        <f>+Input!B48</f>
        <v>0.02</v>
      </c>
      <c r="D74" s="154">
        <f>Input!$R48</f>
        <v>30</v>
      </c>
      <c r="E74" s="154" t="str">
        <f>Input!$P48</f>
        <v>Train</v>
      </c>
      <c r="F74" s="154" t="str">
        <f>Input!$Q48</f>
        <v>Diesel</v>
      </c>
      <c r="G74" s="154" cm="1">
        <f t="array" ref="G74">INDEX(LCI!H$2:H$73,MATCH($E74&amp;$F74,LCI!$B$2:$B$73&amp;LCI!$D$2:$D$73,0))*IF(AND($E74="Truck", OR($F74="Electric", $F74="Electric_green")), $B$6, 1)*$D74*$C74</f>
        <v>3.4383282872339652E-4</v>
      </c>
      <c r="H74" s="154" cm="1">
        <f t="array" ref="H74">INDEX(LCI!I$2:I$73,MATCH($E74&amp;$F74,LCI!$B$2:$B$73&amp;LCI!$D$2:$D$73,0))*IF(AND($E74="Truck", OR($F74="Electric", $F74="Electric_green")), $B$6, 1)*$D74*$C74</f>
        <v>3.6450600445617647E-2</v>
      </c>
      <c r="I74" s="154" cm="1">
        <f t="array" ref="I74">INDEX(LCI!J$2:J$73,MATCH($E74&amp;$F74,LCI!$B$2:$B$73&amp;LCI!$D$2:$D$73,0))*IF(AND($E74="Truck", OR($F74="Electric", $F74="Electric_green")), $B$6, 1)*$D74*$C74</f>
        <v>1.0859078753036094E-5</v>
      </c>
      <c r="J74" s="154" cm="1">
        <f t="array" ref="J74">INDEX(LCI!K$2:K$73,MATCH($E74&amp;$F74,LCI!$B$2:$B$73&amp;LCI!$D$2:$D$73,0))*IF(AND($E74="Truck", OR($F74="Electric", $F74="Electric_green")), $B$6, 1)*$D74*$C74</f>
        <v>3.641893737114664E-2</v>
      </c>
      <c r="K74" s="154" cm="1">
        <f t="array" ref="K74">INDEX(LCI!L$2:L$73,MATCH($E74&amp;$F74,LCI!$B$2:$B$73&amp;LCI!$D$2:$D$73,0))*IF(AND($E74="Truck", OR($F74="Electric", $F74="Electric_green")), $B$6, 1)*$D74*$C74</f>
        <v>2.0803995717966606E-5</v>
      </c>
      <c r="L74" s="154" cm="1">
        <f t="array" ref="L74">INDEX(LCI!M$2:M$73,MATCH($E74&amp;$F74,LCI!$B$2:$B$73&amp;LCI!$D$2:$D$73,0))*IF(AND($E74="Truck", OR($F74="Electric", $F74="Electric_green")), $B$6, 1)*$D74*$C74</f>
        <v>9.1105759113148319E-2</v>
      </c>
      <c r="M74" s="154" cm="1">
        <f t="array" ref="M74">INDEX(LCI!N$2:N$73,MATCH($E74&amp;$F74,LCI!$B$2:$B$73&amp;LCI!$D$2:$D$73,0))*IF(AND($E74="Truck", OR($F74="Electric", $F74="Electric_green")), $B$6, 1)*$D74*$C74</f>
        <v>0.45731692960260795</v>
      </c>
      <c r="N74" s="154" cm="1">
        <f t="array" ref="N74">INDEX(LCI!O$2:O$73,MATCH($E74&amp;$F74,LCI!$B$2:$B$73&amp;LCI!$D$2:$D$73,0))*IF(AND($E74="Truck", OR($F74="Electric", $F74="Electric_green")), $B$6, 1)*$D74*$C74</f>
        <v>4.4229219907123792E-6</v>
      </c>
      <c r="O74" s="154" cm="1">
        <f t="array" ref="O74">INDEX(LCI!P$2:P$73,MATCH($E74&amp;$F74,LCI!$B$2:$B$73&amp;LCI!$D$2:$D$73,0))*IF(AND($E74="Truck", OR($F74="Electric", $F74="Electric_green")), $B$6, 1)*$D74*$C74</f>
        <v>1.5273339852979811E-4</v>
      </c>
      <c r="P74" s="154" cm="1">
        <f t="array" ref="P74">INDEX(LCI!Q$2:Q$73,MATCH($E74&amp;$F74,LCI!$B$2:$B$73&amp;LCI!$D$2:$D$73,0))*IF(AND($E74="Truck", OR($F74="Electric", $F74="Electric_green")), $B$6, 1)*$D74*$C74</f>
        <v>1.6687655176532868E-3</v>
      </c>
      <c r="Q74" s="154" cm="1">
        <f t="array" ref="Q74">INDEX(LCI!R$2:R$73,MATCH($E74&amp;$F74,LCI!$B$2:$B$73&amp;LCI!$D$2:$D$73,0))*IF(AND($E74="Truck", OR($F74="Electric", $F74="Electric_green")), $B$6, 1)*$D74*$C74</f>
        <v>7.5184253373450357E-12</v>
      </c>
      <c r="R74" s="154" cm="1">
        <f t="array" ref="R74">INDEX(LCI!S$2:S$73,MATCH($E74&amp;$F74,LCI!$B$2:$B$73&amp;LCI!$D$2:$D$73,0))*IF(AND($E74="Truck", OR($F74="Electric", $F74="Electric_green")), $B$6, 1)*$D74*$C74</f>
        <v>1.879523031672621E-10</v>
      </c>
      <c r="S74" s="154" cm="1">
        <f t="array" ref="S74">INDEX(LCI!T$2:T$73,MATCH($E74&amp;$F74,LCI!$B$2:$B$73&amp;LCI!$D$2:$D$73,0))*IF(AND($E74="Truck", OR($F74="Electric", $F74="Electric_green")), $B$6, 1)*$D74*$C74</f>
        <v>7.4359377237456835E-4</v>
      </c>
      <c r="T74" s="154" cm="1">
        <f t="array" ref="T74">INDEX(LCI!U$2:U$73,MATCH($E74&amp;$F74,LCI!$B$2:$B$73&amp;LCI!$D$2:$D$73,0))*IF(AND($E74="Truck", OR($F74="Electric", $F74="Electric_green")), $B$6, 1)*$D74*$C74</f>
        <v>0.24394115114596795</v>
      </c>
      <c r="U74" s="154" cm="1">
        <f t="array" ref="U74">INDEX(LCI!V$2:V$73,MATCH($E74&amp;$F74,LCI!$B$2:$B$73&amp;LCI!$D$2:$D$73,0))*IF(AND($E74="Truck", OR($F74="Electric", $F74="Electric_green")), $B$6, 1)*$D74*$C74</f>
        <v>8.1646749528371654E-8</v>
      </c>
      <c r="V74" s="154" cm="1">
        <f t="array" ref="V74">INDEX(LCI!W$2:W$73,MATCH($E74&amp;$F74,LCI!$B$2:$B$73&amp;LCI!$D$2:$D$73,0))*IF(AND($E74="Truck", OR($F74="Electric", $F74="Electric_green")), $B$6, 1)*$D74*$C74</f>
        <v>6.5569075336817468E-10</v>
      </c>
      <c r="W74" s="154" cm="1">
        <f t="array" ref="W74">INDEX(LCI!X$2:X$73,MATCH($E74&amp;$F74,LCI!$B$2:$B$73&amp;LCI!$D$2:$D$73,0))*IF(AND($E74="Truck", OR($F74="Electric", $F74="Electric_green")), $B$6, 1)*$D74*$C74</f>
        <v>3.78179064724348E-9</v>
      </c>
      <c r="X74" s="154" cm="1">
        <f t="array" ref="X74">INDEX(LCI!Y$2:Y$73,MATCH($E74&amp;$F74,LCI!$B$2:$B$73&amp;LCI!$D$2:$D$73,0))*IF(AND($E74="Truck", OR($F74="Electric", $F74="Electric_green")), $B$6, 1)*$D74*$C74</f>
        <v>4.8217018903038604E-4</v>
      </c>
      <c r="Y74" s="154" cm="1">
        <f t="array" ref="Y74">INDEX(LCI!Z$2:Z$73,MATCH($E74&amp;$F74,LCI!$B$2:$B$73&amp;LCI!$D$2:$D$73,0))*IF(AND($E74="Truck", OR($F74="Electric", $F74="Electric_green")), $B$6, 1)*$D74*$C74</f>
        <v>3.6389378282648223E-3</v>
      </c>
    </row>
    <row r="75" spans="1:25" x14ac:dyDescent="0.25">
      <c r="A75" s="387" t="s">
        <v>233</v>
      </c>
      <c r="B75" s="154" t="str">
        <f>Input!A49</f>
        <v>Filler 1</v>
      </c>
      <c r="C75" s="154">
        <f>+Input!B49</f>
        <v>0.01</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3.9" customHeight="1" x14ac:dyDescent="0.25">
      <c r="A76" s="388"/>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25">
      <c r="A77" s="389" t="s">
        <v>322</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25">
      <c r="A78" s="389"/>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25">
      <c r="A79" s="390" t="s">
        <v>323</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25">
      <c r="A80" s="390"/>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25">
      <c r="A81" s="390" t="s">
        <v>324</v>
      </c>
      <c r="B81" s="154" t="str">
        <f>Input!A55</f>
        <v>Additive 1</v>
      </c>
      <c r="C81" s="154">
        <f>+Input!B55</f>
        <v>0.02</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25">
      <c r="A82" s="390"/>
      <c r="B82" s="154" t="str">
        <f>Input!A56</f>
        <v>Additive 2</v>
      </c>
      <c r="C82" s="154">
        <f>+Input!B56</f>
        <v>0.02</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25">
      <c r="A83" s="390"/>
      <c r="B83" s="154" t="str">
        <f>Input!A57</f>
        <v>Additive 3</v>
      </c>
      <c r="C83" s="154">
        <f>+Input!B57</f>
        <v>0.02</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25">
      <c r="A84" s="395" t="s">
        <v>562</v>
      </c>
      <c r="B84" s="395"/>
      <c r="C84" s="395"/>
      <c r="D84" s="395"/>
      <c r="E84" s="395"/>
      <c r="F84" s="395"/>
      <c r="G84" s="139">
        <f t="shared" ref="G84:Y84" si="2">SUM(G65:G83)</f>
        <v>2.7652564387876809E-3</v>
      </c>
      <c r="H84" s="139">
        <f t="shared" si="2"/>
        <v>0.34451944155880898</v>
      </c>
      <c r="I84" s="139">
        <f t="shared" si="2"/>
        <v>1.2859921923120266E-4</v>
      </c>
      <c r="J84" s="139">
        <f t="shared" si="2"/>
        <v>0.34429116641288643</v>
      </c>
      <c r="K84" s="139">
        <f t="shared" si="2"/>
        <v>9.967556669132334E-5</v>
      </c>
      <c r="L84" s="139">
        <f t="shared" si="2"/>
        <v>0.47376455275879936</v>
      </c>
      <c r="M84" s="139">
        <f t="shared" si="2"/>
        <v>4.4843057994654361</v>
      </c>
      <c r="N84" s="139">
        <f t="shared" si="2"/>
        <v>1.918478955619152E-5</v>
      </c>
      <c r="O84" s="139">
        <f t="shared" si="2"/>
        <v>9.4820369700236002E-4</v>
      </c>
      <c r="P84" s="139">
        <f t="shared" si="2"/>
        <v>1.0410772560867027E-2</v>
      </c>
      <c r="Q84" s="139">
        <f t="shared" si="2"/>
        <v>4.9367017481219123E-11</v>
      </c>
      <c r="R84" s="139">
        <f t="shared" si="2"/>
        <v>2.0768056641802446E-9</v>
      </c>
      <c r="S84" s="139">
        <f t="shared" si="2"/>
        <v>3.622904817528738E-3</v>
      </c>
      <c r="T84" s="139">
        <f t="shared" si="2"/>
        <v>0.93205480338285029</v>
      </c>
      <c r="U84" s="139">
        <f t="shared" si="2"/>
        <v>4.9691299411394317E-7</v>
      </c>
      <c r="V84" s="139">
        <f t="shared" si="2"/>
        <v>6.8644933597310714E-9</v>
      </c>
      <c r="W84" s="139">
        <f t="shared" si="2"/>
        <v>2.5684580229758266E-8</v>
      </c>
      <c r="X84" s="139">
        <f t="shared" si="2"/>
        <v>3.1853084877505539E-3</v>
      </c>
      <c r="Y84" s="139">
        <f t="shared" si="2"/>
        <v>1.8253811772592356E-2</v>
      </c>
    </row>
    <row r="85" spans="1:25" x14ac:dyDescent="0.25">
      <c r="A85" s="109"/>
      <c r="B85" s="109"/>
      <c r="C85" s="109"/>
      <c r="D85" s="109"/>
      <c r="E85" s="109"/>
      <c r="F85" s="109"/>
    </row>
    <row r="86" spans="1:25" x14ac:dyDescent="0.25">
      <c r="A86" s="109"/>
      <c r="B86" s="109"/>
      <c r="C86" s="109"/>
      <c r="D86" s="109"/>
      <c r="E86" s="109"/>
      <c r="F86" s="109"/>
    </row>
    <row r="88" spans="1:25" ht="24" x14ac:dyDescent="0.4">
      <c r="A88" s="100" t="s">
        <v>563</v>
      </c>
      <c r="B88" s="37"/>
      <c r="C88" s="37"/>
      <c r="D88" s="37"/>
      <c r="E88" s="37"/>
      <c r="F88" s="37"/>
      <c r="G88" s="3"/>
      <c r="H88" s="3"/>
      <c r="I88" s="3"/>
      <c r="J88" s="3"/>
      <c r="K88" s="3"/>
      <c r="L88" s="3"/>
      <c r="M88" s="3"/>
      <c r="N88" s="3"/>
      <c r="O88" s="3"/>
      <c r="P88" s="3"/>
      <c r="Q88" s="3"/>
      <c r="R88" s="3"/>
      <c r="S88" s="3"/>
      <c r="T88" s="3"/>
      <c r="U88" s="3"/>
      <c r="V88" s="3"/>
      <c r="W88" s="3"/>
      <c r="X88" s="3"/>
      <c r="Y88" s="3"/>
    </row>
    <row r="90" spans="1:25" ht="100.15" customHeight="1" x14ac:dyDescent="0.25">
      <c r="A90" s="104" t="s">
        <v>300</v>
      </c>
      <c r="B90" s="104" t="s">
        <v>301</v>
      </c>
      <c r="C90" s="103" t="s">
        <v>302</v>
      </c>
      <c r="D90" s="103" t="s">
        <v>60</v>
      </c>
      <c r="E90" s="103" t="s">
        <v>556</v>
      </c>
      <c r="F90" s="103" t="s">
        <v>557</v>
      </c>
      <c r="G90" s="103" t="s">
        <v>303</v>
      </c>
      <c r="H90" s="103" t="s">
        <v>304</v>
      </c>
      <c r="I90" s="103" t="s">
        <v>305</v>
      </c>
      <c r="J90" s="103" t="s">
        <v>306</v>
      </c>
      <c r="K90" s="103" t="s">
        <v>307</v>
      </c>
      <c r="L90" s="103" t="s">
        <v>308</v>
      </c>
      <c r="M90" s="103" t="s">
        <v>309</v>
      </c>
      <c r="N90" s="103" t="s">
        <v>310</v>
      </c>
      <c r="O90" s="103" t="s">
        <v>311</v>
      </c>
      <c r="P90" s="103" t="s">
        <v>312</v>
      </c>
      <c r="Q90" s="103" t="s">
        <v>313</v>
      </c>
      <c r="R90" s="103" t="s">
        <v>314</v>
      </c>
      <c r="S90" s="103" t="s">
        <v>315</v>
      </c>
      <c r="T90" s="103" t="s">
        <v>316</v>
      </c>
      <c r="U90" s="103" t="s">
        <v>317</v>
      </c>
      <c r="V90" s="103" t="s">
        <v>318</v>
      </c>
      <c r="W90" s="103" t="s">
        <v>319</v>
      </c>
      <c r="X90" s="103" t="s">
        <v>320</v>
      </c>
      <c r="Y90" s="103" t="s">
        <v>321</v>
      </c>
    </row>
    <row r="91" spans="1:25" x14ac:dyDescent="0.25">
      <c r="A91" s="6" t="s">
        <v>287</v>
      </c>
      <c r="B91" s="1" t="str">
        <f>Input!A39</f>
        <v>Virgin binder</v>
      </c>
      <c r="C91" s="154">
        <f>+Input!B39</f>
        <v>0.02</v>
      </c>
      <c r="D91" s="158">
        <f t="shared" ref="D91:D102" si="3">D15+D40+D65</f>
        <v>20</v>
      </c>
      <c r="E91" s="154" t="s">
        <v>564</v>
      </c>
      <c r="F91" s="154" t="s">
        <v>564</v>
      </c>
      <c r="G91" s="154">
        <f t="shared" ref="G91:Y91" si="4">G15+G40+G65</f>
        <v>9.46888E-5</v>
      </c>
      <c r="H91" s="154">
        <f t="shared" si="4"/>
        <v>6.3497943599999995E-2</v>
      </c>
      <c r="I91" s="154">
        <f t="shared" si="4"/>
        <v>2.967612E-5</v>
      </c>
      <c r="J91" s="154">
        <f t="shared" si="4"/>
        <v>6.34632168E-2</v>
      </c>
      <c r="K91" s="154">
        <f t="shared" si="4"/>
        <v>5.0506000000000004E-6</v>
      </c>
      <c r="L91" s="154">
        <f t="shared" si="4"/>
        <v>5.4537579599999997E-2</v>
      </c>
      <c r="M91" s="154">
        <f t="shared" si="4"/>
        <v>0.85461630399999999</v>
      </c>
      <c r="N91" s="154">
        <f t="shared" si="4"/>
        <v>1.4810759999999999E-6</v>
      </c>
      <c r="O91" s="154">
        <f t="shared" si="4"/>
        <v>2.0638879999999998E-5</v>
      </c>
      <c r="P91" s="154">
        <f t="shared" si="4"/>
        <v>2.233972E-4</v>
      </c>
      <c r="Q91" s="154">
        <f t="shared" si="4"/>
        <v>5.62788E-12</v>
      </c>
      <c r="R91" s="154">
        <f t="shared" si="4"/>
        <v>4.5791200000000004E-10</v>
      </c>
      <c r="S91" s="154">
        <f t="shared" si="4"/>
        <v>3.8752239999999998E-4</v>
      </c>
      <c r="T91" s="154">
        <f t="shared" si="4"/>
        <v>5.3906605600000004E-2</v>
      </c>
      <c r="U91" s="154">
        <f t="shared" si="4"/>
        <v>7.005479999999999E-8</v>
      </c>
      <c r="V91" s="154">
        <f t="shared" si="4"/>
        <v>1.4119280000000003E-9</v>
      </c>
      <c r="W91" s="154">
        <f t="shared" si="4"/>
        <v>3.9358279999999994E-9</v>
      </c>
      <c r="X91" s="154">
        <f t="shared" si="4"/>
        <v>1.650864E-4</v>
      </c>
      <c r="Y91" s="154">
        <f t="shared" si="4"/>
        <v>1.9464756E-3</v>
      </c>
    </row>
    <row r="92" spans="1:25" ht="13.9" customHeight="1" x14ac:dyDescent="0.25">
      <c r="A92" s="384" t="s">
        <v>232</v>
      </c>
      <c r="B92" s="1" t="str">
        <f>Input!A40</f>
        <v>Virgin crushed coarse aggregate 1 (&gt;2 mm)</v>
      </c>
      <c r="C92" s="154">
        <f>+Input!B40</f>
        <v>0</v>
      </c>
      <c r="D92" s="158">
        <f t="shared" si="3"/>
        <v>0</v>
      </c>
      <c r="E92" s="154" t="s">
        <v>564</v>
      </c>
      <c r="F92" s="154" t="s">
        <v>564</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3.9" customHeight="1" x14ac:dyDescent="0.25">
      <c r="A93" s="385"/>
      <c r="B93" s="1" t="str">
        <f>Input!A41</f>
        <v>Virgin crushed coarse aggregate 2 (&gt;2 mm)</v>
      </c>
      <c r="C93" s="154">
        <f>+Input!B41</f>
        <v>0.2</v>
      </c>
      <c r="D93" s="158">
        <f t="shared" si="3"/>
        <v>80</v>
      </c>
      <c r="E93" s="154" t="s">
        <v>564</v>
      </c>
      <c r="F93" s="154" t="s">
        <v>564</v>
      </c>
      <c r="G93" s="154">
        <f t="shared" ref="G93:Y93" si="6">G17+G42+G67</f>
        <v>4.8098942104699664E-3</v>
      </c>
      <c r="H93" s="154">
        <f t="shared" si="6"/>
        <v>0.16385800568782399</v>
      </c>
      <c r="I93" s="154">
        <f t="shared" si="6"/>
        <v>2.5053691888377455E-5</v>
      </c>
      <c r="J93" s="154">
        <f t="shared" si="6"/>
        <v>0.16374497719778591</v>
      </c>
      <c r="K93" s="154">
        <f t="shared" si="6"/>
        <v>8.7974798149694145E-5</v>
      </c>
      <c r="L93" s="154">
        <f t="shared" si="6"/>
        <v>0.14161232727741752</v>
      </c>
      <c r="M93" s="154">
        <f t="shared" si="6"/>
        <v>2.004909914630451</v>
      </c>
      <c r="N93" s="154">
        <f t="shared" si="6"/>
        <v>5.7936943362175264E-6</v>
      </c>
      <c r="O93" s="154">
        <f t="shared" si="6"/>
        <v>1.1975148056518631E-3</v>
      </c>
      <c r="P93" s="154">
        <f t="shared" si="6"/>
        <v>1.3300200031628667E-2</v>
      </c>
      <c r="Q93" s="154">
        <f t="shared" si="6"/>
        <v>3.4636885876736086E-11</v>
      </c>
      <c r="R93" s="154">
        <f t="shared" si="6"/>
        <v>4.8451501871383325E-10</v>
      </c>
      <c r="S93" s="154">
        <f t="shared" si="6"/>
        <v>8.6627960162013367E-4</v>
      </c>
      <c r="T93" s="154">
        <f t="shared" si="6"/>
        <v>0.14552456777978612</v>
      </c>
      <c r="U93" s="154">
        <f t="shared" si="6"/>
        <v>1.6587018211531296E-7</v>
      </c>
      <c r="V93" s="154">
        <f t="shared" si="6"/>
        <v>2.3103563985061904E-9</v>
      </c>
      <c r="W93" s="154">
        <f t="shared" si="6"/>
        <v>4.8304331521112867E-9</v>
      </c>
      <c r="X93" s="154">
        <f t="shared" si="6"/>
        <v>3.6093276826375826E-3</v>
      </c>
      <c r="Y93" s="154">
        <f t="shared" si="6"/>
        <v>5.7740315511915531E-3</v>
      </c>
    </row>
    <row r="94" spans="1:25" ht="13.9" customHeight="1" x14ac:dyDescent="0.25">
      <c r="A94" s="385"/>
      <c r="B94" s="1" t="str">
        <f>Input!A42</f>
        <v>Virgin crushed coarse aggregate 3 (&gt;2 mm)</v>
      </c>
      <c r="C94" s="154">
        <f>+Input!B42</f>
        <v>0.1</v>
      </c>
      <c r="D94" s="158">
        <f t="shared" si="3"/>
        <v>120</v>
      </c>
      <c r="E94" s="154" t="s">
        <v>564</v>
      </c>
      <c r="F94" s="154" t="s">
        <v>564</v>
      </c>
      <c r="G94" s="154">
        <f t="shared" ref="G94:Y94" si="7">G18+G43+G68</f>
        <v>3.6074206578524748E-3</v>
      </c>
      <c r="H94" s="154">
        <f t="shared" si="7"/>
        <v>0.12289350426586801</v>
      </c>
      <c r="I94" s="154">
        <f t="shared" si="7"/>
        <v>1.8790268916283093E-5</v>
      </c>
      <c r="J94" s="154">
        <f t="shared" si="7"/>
        <v>0.12280873289833943</v>
      </c>
      <c r="K94" s="154">
        <f t="shared" si="7"/>
        <v>6.5981098612270602E-5</v>
      </c>
      <c r="L94" s="154">
        <f t="shared" si="7"/>
        <v>0.10620924545806314</v>
      </c>
      <c r="M94" s="154">
        <f t="shared" si="7"/>
        <v>1.5036824359728382</v>
      </c>
      <c r="N94" s="154">
        <f t="shared" si="7"/>
        <v>4.3452707521631448E-6</v>
      </c>
      <c r="O94" s="154">
        <f t="shared" si="7"/>
        <v>8.9813610423889736E-4</v>
      </c>
      <c r="P94" s="154">
        <f t="shared" si="7"/>
        <v>9.9751500237214991E-3</v>
      </c>
      <c r="Q94" s="154">
        <f t="shared" si="7"/>
        <v>2.5977664407552062E-11</v>
      </c>
      <c r="R94" s="154">
        <f t="shared" si="7"/>
        <v>3.6338626403537493E-10</v>
      </c>
      <c r="S94" s="154">
        <f t="shared" si="7"/>
        <v>6.4970970121510025E-4</v>
      </c>
      <c r="T94" s="154">
        <f t="shared" si="7"/>
        <v>0.10914342583483959</v>
      </c>
      <c r="U94" s="154">
        <f t="shared" si="7"/>
        <v>1.2440263658648472E-7</v>
      </c>
      <c r="V94" s="154">
        <f t="shared" si="7"/>
        <v>1.732767298879643E-9</v>
      </c>
      <c r="W94" s="154">
        <f t="shared" si="7"/>
        <v>3.6228248640834654E-9</v>
      </c>
      <c r="X94" s="154">
        <f t="shared" si="7"/>
        <v>2.7069957619781869E-3</v>
      </c>
      <c r="Y94" s="154">
        <f t="shared" si="7"/>
        <v>4.3305236633936648E-3</v>
      </c>
    </row>
    <row r="95" spans="1:25" ht="13.9" customHeight="1" x14ac:dyDescent="0.25">
      <c r="A95" s="385"/>
      <c r="B95" s="1" t="str">
        <f>Input!A43</f>
        <v>Virgin crushed fine aggregate 1 (≤2 mm)</v>
      </c>
      <c r="C95" s="154">
        <f>+Input!B43</f>
        <v>0.06</v>
      </c>
      <c r="D95" s="158">
        <f t="shared" si="3"/>
        <v>22</v>
      </c>
      <c r="E95" s="154" t="s">
        <v>564</v>
      </c>
      <c r="F95" s="154" t="s">
        <v>564</v>
      </c>
      <c r="G95" s="154">
        <f t="shared" ref="G95:Y95" si="8">G19+G44+G69</f>
        <v>5.8441283999999998E-4</v>
      </c>
      <c r="H95" s="154">
        <f t="shared" si="8"/>
        <v>0.21362345268000002</v>
      </c>
      <c r="I95" s="154">
        <f t="shared" si="8"/>
        <v>9.8734415999999998E-5</v>
      </c>
      <c r="J95" s="154">
        <f t="shared" si="8"/>
        <v>0.21350792099999999</v>
      </c>
      <c r="K95" s="154">
        <f t="shared" si="8"/>
        <v>1.6796868000000001E-5</v>
      </c>
      <c r="L95" s="154">
        <f t="shared" si="8"/>
        <v>0.18154861295999997</v>
      </c>
      <c r="M95" s="154">
        <f t="shared" si="8"/>
        <v>2.8722402851999997</v>
      </c>
      <c r="N95" s="154">
        <f t="shared" si="8"/>
        <v>4.9143600000000005E-6</v>
      </c>
      <c r="O95" s="154">
        <f t="shared" si="8"/>
        <v>2.0968727999999998E-4</v>
      </c>
      <c r="P95" s="154">
        <f t="shared" si="8"/>
        <v>2.2873685999999999E-3</v>
      </c>
      <c r="Q95" s="154">
        <f t="shared" si="8"/>
        <v>1.9967772E-11</v>
      </c>
      <c r="R95" s="154">
        <f t="shared" si="8"/>
        <v>1.531002E-9</v>
      </c>
      <c r="S95" s="154">
        <f t="shared" si="8"/>
        <v>1.2931089599999999E-3</v>
      </c>
      <c r="T95" s="154">
        <f t="shared" si="8"/>
        <v>0.18023522880000001</v>
      </c>
      <c r="U95" s="154">
        <f t="shared" si="8"/>
        <v>2.3155571999999998E-7</v>
      </c>
      <c r="V95" s="154">
        <f t="shared" si="8"/>
        <v>4.7518152E-9</v>
      </c>
      <c r="W95" s="154">
        <f t="shared" si="8"/>
        <v>1.4444760000000001E-8</v>
      </c>
      <c r="X95" s="154">
        <f t="shared" si="8"/>
        <v>9.2011260000000004E-4</v>
      </c>
      <c r="Y95" s="154">
        <f t="shared" si="8"/>
        <v>6.4828394399999989E-3</v>
      </c>
    </row>
    <row r="96" spans="1:25" ht="13.9" customHeight="1" x14ac:dyDescent="0.25">
      <c r="A96" s="385"/>
      <c r="B96" s="1" t="str">
        <f>Input!A44</f>
        <v>Virgin crushed fine aggregate 2 (≤2 mm)</v>
      </c>
      <c r="C96" s="154">
        <f>+Input!B44</f>
        <v>0</v>
      </c>
      <c r="D96" s="158">
        <f t="shared" si="3"/>
        <v>0</v>
      </c>
      <c r="E96" s="154" t="s">
        <v>564</v>
      </c>
      <c r="F96" s="154" t="s">
        <v>564</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3.9" customHeight="1" x14ac:dyDescent="0.25">
      <c r="A97" s="385"/>
      <c r="B97" s="1" t="str">
        <f>Input!A45</f>
        <v>Virgin crushed fine aggregate 3 (≤2 mm)</v>
      </c>
      <c r="C97" s="154">
        <f>+Input!B45</f>
        <v>0.03</v>
      </c>
      <c r="D97" s="158">
        <f t="shared" si="3"/>
        <v>120</v>
      </c>
      <c r="E97" s="154" t="s">
        <v>564</v>
      </c>
      <c r="F97" s="154" t="s">
        <v>564</v>
      </c>
      <c r="G97" s="154">
        <f t="shared" ref="G97:Y97" si="10">G21+G46+G71</f>
        <v>1.5938532000000002E-3</v>
      </c>
      <c r="H97" s="154">
        <f t="shared" si="10"/>
        <v>0.58260941639999997</v>
      </c>
      <c r="I97" s="154">
        <f t="shared" si="10"/>
        <v>2.6927567999999997E-4</v>
      </c>
      <c r="J97" s="154">
        <f t="shared" si="10"/>
        <v>0.58229432999999997</v>
      </c>
      <c r="K97" s="154">
        <f t="shared" si="10"/>
        <v>4.5809639999999999E-5</v>
      </c>
      <c r="L97" s="154">
        <f t="shared" si="10"/>
        <v>0.4951325808</v>
      </c>
      <c r="M97" s="154">
        <f t="shared" si="10"/>
        <v>7.8333825959999999</v>
      </c>
      <c r="N97" s="154">
        <f t="shared" si="10"/>
        <v>1.34028E-5</v>
      </c>
      <c r="O97" s="154">
        <f t="shared" si="10"/>
        <v>5.7187439999999991E-4</v>
      </c>
      <c r="P97" s="154">
        <f t="shared" si="10"/>
        <v>6.238277999999999E-3</v>
      </c>
      <c r="Q97" s="154">
        <f t="shared" si="10"/>
        <v>5.4457559999999992E-11</v>
      </c>
      <c r="R97" s="154">
        <f t="shared" si="10"/>
        <v>4.1754599999999996E-9</v>
      </c>
      <c r="S97" s="154">
        <f t="shared" si="10"/>
        <v>3.5266607999999999E-3</v>
      </c>
      <c r="T97" s="154">
        <f t="shared" si="10"/>
        <v>0.49155062399999999</v>
      </c>
      <c r="U97" s="154">
        <f t="shared" si="10"/>
        <v>6.3151559999999995E-7</v>
      </c>
      <c r="V97" s="154">
        <f t="shared" si="10"/>
        <v>1.2959496E-8</v>
      </c>
      <c r="W97" s="154">
        <f t="shared" si="10"/>
        <v>3.9394799999999999E-8</v>
      </c>
      <c r="X97" s="154">
        <f t="shared" si="10"/>
        <v>2.5093980000000004E-3</v>
      </c>
      <c r="Y97" s="154">
        <f t="shared" si="10"/>
        <v>1.7680471199999999E-2</v>
      </c>
    </row>
    <row r="98" spans="1:25" ht="13.9" customHeight="1" x14ac:dyDescent="0.25">
      <c r="A98" s="385"/>
      <c r="B98" s="1" t="str">
        <f>Input!A46</f>
        <v>Virgin natural fine aggregate 1 (≤2 mm)</v>
      </c>
      <c r="C98" s="154">
        <f>+Input!B46</f>
        <v>0.02</v>
      </c>
      <c r="D98" s="158">
        <f t="shared" si="3"/>
        <v>82</v>
      </c>
      <c r="E98" s="154" t="s">
        <v>564</v>
      </c>
      <c r="F98" s="154" t="s">
        <v>564</v>
      </c>
      <c r="G98" s="154">
        <f t="shared" ref="G98:Y98" si="11">G22+G47+G72</f>
        <v>7.7480632119356324E-4</v>
      </c>
      <c r="H98" s="154">
        <f t="shared" si="11"/>
        <v>8.8797351211416992E-2</v>
      </c>
      <c r="I98" s="154">
        <f t="shared" si="11"/>
        <v>4.327706589432379E-5</v>
      </c>
      <c r="J98" s="154">
        <f t="shared" si="11"/>
        <v>8.867716167318368E-2</v>
      </c>
      <c r="K98" s="154">
        <f t="shared" si="11"/>
        <v>7.6912472338986959E-5</v>
      </c>
      <c r="L98" s="154">
        <f t="shared" si="11"/>
        <v>0.25592636087679776</v>
      </c>
      <c r="M98" s="154">
        <f t="shared" si="11"/>
        <v>1.1818356683765221</v>
      </c>
      <c r="N98" s="154">
        <f t="shared" si="11"/>
        <v>1.8304367165350877E-5</v>
      </c>
      <c r="O98" s="154">
        <f t="shared" si="11"/>
        <v>3.2680230479082025E-4</v>
      </c>
      <c r="P98" s="154">
        <f t="shared" si="11"/>
        <v>3.5537139624034608E-3</v>
      </c>
      <c r="Q98" s="154">
        <f t="shared" si="11"/>
        <v>2.0938239781113585E-11</v>
      </c>
      <c r="R98" s="154">
        <f t="shared" si="11"/>
        <v>5.3889488962494075E-10</v>
      </c>
      <c r="S98" s="154">
        <f t="shared" si="11"/>
        <v>6.5353065315803338E-3</v>
      </c>
      <c r="T98" s="154">
        <f t="shared" si="11"/>
        <v>0.67750697145720395</v>
      </c>
      <c r="U98" s="154">
        <f t="shared" si="11"/>
        <v>2.2738531018447447E-7</v>
      </c>
      <c r="V98" s="154">
        <f t="shared" si="11"/>
        <v>1.5065735061842057E-9</v>
      </c>
      <c r="W98" s="154">
        <f t="shared" si="11"/>
        <v>8.5475394308646831E-9</v>
      </c>
      <c r="X98" s="154">
        <f t="shared" si="11"/>
        <v>1.0313414080020057E-3</v>
      </c>
      <c r="Y98" s="154">
        <f t="shared" si="11"/>
        <v>1.3837965389726901E-2</v>
      </c>
    </row>
    <row r="99" spans="1:25" ht="13.9" customHeight="1" x14ac:dyDescent="0.25">
      <c r="A99" s="385"/>
      <c r="B99" s="1" t="str">
        <f>Input!A47</f>
        <v>Virgin natural fine aggregate 2 (≤2 mm)</v>
      </c>
      <c r="C99" s="154">
        <f>+Input!B47</f>
        <v>0.02</v>
      </c>
      <c r="D99" s="158">
        <f t="shared" si="3"/>
        <v>90</v>
      </c>
      <c r="E99" s="154" t="s">
        <v>564</v>
      </c>
      <c r="F99" s="154" t="s">
        <v>564</v>
      </c>
      <c r="G99" s="154">
        <f t="shared" ref="G99:Y99" si="12">G23+G48+G73</f>
        <v>1.0314984861701897E-3</v>
      </c>
      <c r="H99" s="154">
        <f t="shared" si="12"/>
        <v>0.10935180133685293</v>
      </c>
      <c r="I99" s="154">
        <f t="shared" si="12"/>
        <v>3.2577236259108282E-5</v>
      </c>
      <c r="J99" s="154">
        <f t="shared" si="12"/>
        <v>0.10925681211343992</v>
      </c>
      <c r="K99" s="154">
        <f t="shared" si="12"/>
        <v>6.2411987153899811E-5</v>
      </c>
      <c r="L99" s="154">
        <f t="shared" si="12"/>
        <v>0.27331727733944494</v>
      </c>
      <c r="M99" s="154">
        <f t="shared" si="12"/>
        <v>1.371950788807824</v>
      </c>
      <c r="N99" s="154">
        <f t="shared" si="12"/>
        <v>1.3268765972137137E-5</v>
      </c>
      <c r="O99" s="154">
        <f t="shared" si="12"/>
        <v>4.5820019558939437E-4</v>
      </c>
      <c r="P99" s="154">
        <f t="shared" si="12"/>
        <v>5.0062965529598605E-3</v>
      </c>
      <c r="Q99" s="154">
        <f t="shared" si="12"/>
        <v>2.2555276012035107E-11</v>
      </c>
      <c r="R99" s="154">
        <f t="shared" si="12"/>
        <v>5.6385690950178637E-10</v>
      </c>
      <c r="S99" s="154">
        <f t="shared" si="12"/>
        <v>2.2307813171237052E-3</v>
      </c>
      <c r="T99" s="154">
        <f t="shared" si="12"/>
        <v>0.73182345343790389</v>
      </c>
      <c r="U99" s="154">
        <f t="shared" si="12"/>
        <v>2.4494024858511492E-7</v>
      </c>
      <c r="V99" s="154">
        <f t="shared" si="12"/>
        <v>1.9670722601045242E-9</v>
      </c>
      <c r="W99" s="154">
        <f t="shared" si="12"/>
        <v>1.1345371941730439E-8</v>
      </c>
      <c r="X99" s="154">
        <f t="shared" si="12"/>
        <v>1.4465105670911581E-3</v>
      </c>
      <c r="Y99" s="154">
        <f t="shared" si="12"/>
        <v>1.0916813484794466E-2</v>
      </c>
    </row>
    <row r="100" spans="1:25" ht="13.9" customHeight="1" x14ac:dyDescent="0.25">
      <c r="A100" s="386"/>
      <c r="B100" s="1" t="str">
        <f>Input!A48</f>
        <v>Virgin natural fine aggregate 3 (≤2 mm)</v>
      </c>
      <c r="C100" s="154">
        <f>+Input!B48</f>
        <v>0.02</v>
      </c>
      <c r="D100" s="158">
        <f t="shared" si="3"/>
        <v>90</v>
      </c>
      <c r="E100" s="154" t="s">
        <v>564</v>
      </c>
      <c r="F100" s="154" t="s">
        <v>564</v>
      </c>
      <c r="G100" s="154">
        <f t="shared" ref="G100:Y100" si="13">G24+G49+G74</f>
        <v>1.0314984861701897E-3</v>
      </c>
      <c r="H100" s="154">
        <f t="shared" si="13"/>
        <v>0.10935180133685293</v>
      </c>
      <c r="I100" s="154">
        <f t="shared" si="13"/>
        <v>3.2577236259108282E-5</v>
      </c>
      <c r="J100" s="154">
        <f t="shared" si="13"/>
        <v>0.10925681211343992</v>
      </c>
      <c r="K100" s="154">
        <f t="shared" si="13"/>
        <v>6.2411987153899811E-5</v>
      </c>
      <c r="L100" s="154">
        <f t="shared" si="13"/>
        <v>0.27331727733944494</v>
      </c>
      <c r="M100" s="154">
        <f t="shared" si="13"/>
        <v>1.371950788807824</v>
      </c>
      <c r="N100" s="154">
        <f t="shared" si="13"/>
        <v>1.3268765972137137E-5</v>
      </c>
      <c r="O100" s="154">
        <f t="shared" si="13"/>
        <v>4.5820019558939437E-4</v>
      </c>
      <c r="P100" s="154">
        <f t="shared" si="13"/>
        <v>5.0062965529598605E-3</v>
      </c>
      <c r="Q100" s="154">
        <f t="shared" si="13"/>
        <v>2.2555276012035107E-11</v>
      </c>
      <c r="R100" s="154">
        <f t="shared" si="13"/>
        <v>5.6385690950178637E-10</v>
      </c>
      <c r="S100" s="154">
        <f t="shared" si="13"/>
        <v>2.2307813171237052E-3</v>
      </c>
      <c r="T100" s="154">
        <f t="shared" si="13"/>
        <v>0.73182345343790389</v>
      </c>
      <c r="U100" s="154">
        <f t="shared" si="13"/>
        <v>2.4494024858511492E-7</v>
      </c>
      <c r="V100" s="154">
        <f t="shared" si="13"/>
        <v>1.9670722601045242E-9</v>
      </c>
      <c r="W100" s="154">
        <f t="shared" si="13"/>
        <v>1.1345371941730439E-8</v>
      </c>
      <c r="X100" s="154">
        <f t="shared" si="13"/>
        <v>1.4465105670911581E-3</v>
      </c>
      <c r="Y100" s="154">
        <f t="shared" si="13"/>
        <v>1.0916813484794466E-2</v>
      </c>
    </row>
    <row r="101" spans="1:25" x14ac:dyDescent="0.25">
      <c r="A101" s="387" t="s">
        <v>233</v>
      </c>
      <c r="B101" s="1" t="str">
        <f>Input!A49</f>
        <v>Filler 1</v>
      </c>
      <c r="C101" s="154">
        <f>+Input!B49</f>
        <v>0.01</v>
      </c>
      <c r="D101" s="158">
        <f t="shared" si="3"/>
        <v>20</v>
      </c>
      <c r="E101" s="154" t="s">
        <v>564</v>
      </c>
      <c r="F101" s="154" t="s">
        <v>564</v>
      </c>
      <c r="G101" s="154">
        <f t="shared" ref="G101:Y101" si="14">G25+G50+G75</f>
        <v>1.1092508999999999E-4</v>
      </c>
      <c r="H101" s="154">
        <f t="shared" si="14"/>
        <v>3.1780238815999999E-2</v>
      </c>
      <c r="I101" s="154">
        <f t="shared" si="14"/>
        <v>4.41705398E-5</v>
      </c>
      <c r="J101" s="154">
        <f t="shared" si="14"/>
        <v>3.1733202549999999E-2</v>
      </c>
      <c r="K101" s="154">
        <f t="shared" si="14"/>
        <v>2.8656715999999998E-6</v>
      </c>
      <c r="L101" s="154">
        <f t="shared" si="14"/>
        <v>5.7410277817999997E-2</v>
      </c>
      <c r="M101" s="154">
        <f t="shared" si="14"/>
        <v>0.42416852792899995</v>
      </c>
      <c r="N101" s="154">
        <f t="shared" si="14"/>
        <v>9.3698310000000009E-7</v>
      </c>
      <c r="O101" s="154">
        <f t="shared" si="14"/>
        <v>5.3594765000000002E-5</v>
      </c>
      <c r="P101" s="154">
        <f t="shared" si="14"/>
        <v>4.5601878499999999E-4</v>
      </c>
      <c r="Q101" s="154">
        <f t="shared" si="14"/>
        <v>3.7854798999999997E-12</v>
      </c>
      <c r="R101" s="154">
        <f t="shared" si="14"/>
        <v>3.1949455000000005E-10</v>
      </c>
      <c r="S101" s="154">
        <f t="shared" si="14"/>
        <v>2.3737222899999997E-4</v>
      </c>
      <c r="T101" s="154">
        <f t="shared" si="14"/>
        <v>8.9625083797000002E-2</v>
      </c>
      <c r="U101" s="154">
        <f t="shared" si="14"/>
        <v>3.9101178999999995E-8</v>
      </c>
      <c r="V101" s="154">
        <f t="shared" si="14"/>
        <v>7.3779667999999997E-10</v>
      </c>
      <c r="W101" s="154">
        <f t="shared" si="14"/>
        <v>2.3595801999999999E-9</v>
      </c>
      <c r="X101" s="154">
        <f t="shared" si="14"/>
        <v>1.47636964E-4</v>
      </c>
      <c r="Y101" s="154">
        <f t="shared" si="14"/>
        <v>2.2649063049999998E-3</v>
      </c>
    </row>
    <row r="102" spans="1:25" ht="13.9" customHeight="1" x14ac:dyDescent="0.25">
      <c r="A102" s="388"/>
      <c r="B102" s="1" t="str">
        <f>Input!A50</f>
        <v>Filler 2</v>
      </c>
      <c r="C102" s="154">
        <f>+Input!B50</f>
        <v>0.01</v>
      </c>
      <c r="D102" s="158">
        <f t="shared" si="3"/>
        <v>47</v>
      </c>
      <c r="E102" s="154" t="s">
        <v>564</v>
      </c>
      <c r="F102" s="154" t="s">
        <v>564</v>
      </c>
      <c r="G102" s="154">
        <f t="shared" ref="G102:Y102" si="15">G26+G51+G76</f>
        <v>1.5864279E-4</v>
      </c>
      <c r="H102" s="154">
        <f t="shared" si="15"/>
        <v>7.5321034430000003E-2</v>
      </c>
      <c r="I102" s="154">
        <f t="shared" si="15"/>
        <v>3.5009395999999993E-5</v>
      </c>
      <c r="J102" s="154">
        <f t="shared" si="15"/>
        <v>7.5280067830000005E-2</v>
      </c>
      <c r="K102" s="154">
        <f t="shared" si="15"/>
        <v>5.9570870000000004E-6</v>
      </c>
      <c r="L102" s="154">
        <f t="shared" si="15"/>
        <v>6.4356018200000004E-2</v>
      </c>
      <c r="M102" s="154">
        <f t="shared" si="15"/>
        <v>1.0132358927</v>
      </c>
      <c r="N102" s="154">
        <f t="shared" si="15"/>
        <v>1.7449356E-6</v>
      </c>
      <c r="O102" s="154">
        <f t="shared" si="15"/>
        <v>4.8919748000000003E-5</v>
      </c>
      <c r="P102" s="154">
        <f t="shared" si="15"/>
        <v>5.3259496999999998E-4</v>
      </c>
      <c r="Q102" s="154">
        <f t="shared" si="15"/>
        <v>6.8559609999999992E-12</v>
      </c>
      <c r="R102" s="154">
        <f t="shared" si="15"/>
        <v>5.4151270000000006E-10</v>
      </c>
      <c r="S102" s="154">
        <f t="shared" si="15"/>
        <v>4.5782788000000001E-4</v>
      </c>
      <c r="T102" s="154">
        <f t="shared" si="15"/>
        <v>6.3748586560000001E-2</v>
      </c>
      <c r="U102" s="154">
        <f t="shared" si="15"/>
        <v>8.2379709999999994E-8</v>
      </c>
      <c r="V102" s="154">
        <f t="shared" si="15"/>
        <v>1.6751246000000001E-9</v>
      </c>
      <c r="W102" s="154">
        <f t="shared" si="15"/>
        <v>4.8783868E-9</v>
      </c>
      <c r="X102" s="154">
        <f t="shared" si="15"/>
        <v>2.5937449000000003E-4</v>
      </c>
      <c r="Y102" s="154">
        <f t="shared" si="15"/>
        <v>2.2974710200000001E-3</v>
      </c>
    </row>
    <row r="103" spans="1:25" x14ac:dyDescent="0.25">
      <c r="A103" s="389" t="s">
        <v>322</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3.9" customHeight="1" x14ac:dyDescent="0.25">
      <c r="A104" s="389"/>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25">
      <c r="A105" s="390" t="s">
        <v>323</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3.9" customHeight="1" x14ac:dyDescent="0.25">
      <c r="A106" s="390"/>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25">
      <c r="A107" s="390" t="s">
        <v>324</v>
      </c>
      <c r="B107" s="1" t="str">
        <f>Input!A55</f>
        <v>Additive 1</v>
      </c>
      <c r="C107" s="154">
        <f>+Input!B55</f>
        <v>0.02</v>
      </c>
      <c r="D107" s="158">
        <f>D31+D56+D81</f>
        <v>23</v>
      </c>
      <c r="E107" s="154" t="s">
        <v>564</v>
      </c>
      <c r="F107" s="154" t="s">
        <v>564</v>
      </c>
      <c r="G107" s="154">
        <f t="shared" ref="G107:Y107" si="16">G31+G56+G81</f>
        <v>2.0354075863738722E-4</v>
      </c>
      <c r="H107" s="154">
        <f t="shared" si="16"/>
        <v>2.3200163889611054E-2</v>
      </c>
      <c r="I107" s="154">
        <f t="shared" si="16"/>
        <v>6.3903270347093385E-6</v>
      </c>
      <c r="J107" s="154">
        <f t="shared" si="16"/>
        <v>2.317225610193031E-2</v>
      </c>
      <c r="K107" s="154">
        <f t="shared" si="16"/>
        <v>2.1517460646035718E-5</v>
      </c>
      <c r="L107" s="154">
        <f t="shared" si="16"/>
        <v>2.3488621077211114E-2</v>
      </c>
      <c r="M107" s="154">
        <f t="shared" si="16"/>
        <v>0.28457003075272336</v>
      </c>
      <c r="N107" s="154">
        <f t="shared" si="16"/>
        <v>2.0920059823019113E-6</v>
      </c>
      <c r="O107" s="154">
        <f t="shared" si="16"/>
        <v>9.2278047607958902E-5</v>
      </c>
      <c r="P107" s="154">
        <f t="shared" si="16"/>
        <v>1.0089533581977871E-3</v>
      </c>
      <c r="Q107" s="154">
        <f t="shared" si="16"/>
        <v>3.1319550075450163E-12</v>
      </c>
      <c r="R107" s="154">
        <f t="shared" si="16"/>
        <v>6.9173663041902534E-11</v>
      </c>
      <c r="S107" s="154">
        <f t="shared" si="16"/>
        <v>7.7841521372920227E-4</v>
      </c>
      <c r="T107" s="154">
        <f t="shared" si="16"/>
        <v>0.18994018431011478</v>
      </c>
      <c r="U107" s="154">
        <f t="shared" si="16"/>
        <v>3.1964343743608386E-8</v>
      </c>
      <c r="V107" s="154">
        <f t="shared" si="16"/>
        <v>4.2953041931506537E-10</v>
      </c>
      <c r="W107" s="154">
        <f t="shared" si="16"/>
        <v>4.8984642195443308E-10</v>
      </c>
      <c r="X107" s="154">
        <f t="shared" si="16"/>
        <v>2.8208483919839658E-4</v>
      </c>
      <c r="Y107" s="154">
        <f t="shared" si="16"/>
        <v>2.2001175445316669E-3</v>
      </c>
    </row>
    <row r="108" spans="1:25" ht="13.9" customHeight="1" x14ac:dyDescent="0.25">
      <c r="A108" s="390"/>
      <c r="B108" s="1" t="str">
        <f>Input!A56</f>
        <v>Additive 2</v>
      </c>
      <c r="C108" s="154">
        <f>+Input!B56</f>
        <v>0.02</v>
      </c>
      <c r="D108" s="158">
        <f>D32+D57+D82</f>
        <v>21</v>
      </c>
      <c r="E108" s="154" t="s">
        <v>564</v>
      </c>
      <c r="F108" s="154" t="s">
        <v>564</v>
      </c>
      <c r="G108" s="154">
        <f t="shared" ref="G108:Y108" si="17">G32+G57+G82</f>
        <v>9.9423240000000003E-5</v>
      </c>
      <c r="H108" s="154">
        <f t="shared" si="17"/>
        <v>6.6672840780000006E-2</v>
      </c>
      <c r="I108" s="154">
        <f t="shared" si="17"/>
        <v>3.1159926000000004E-5</v>
      </c>
      <c r="J108" s="154">
        <f t="shared" si="17"/>
        <v>6.6636377640000008E-2</v>
      </c>
      <c r="K108" s="154">
        <f t="shared" si="17"/>
        <v>5.3031299999999997E-6</v>
      </c>
      <c r="L108" s="154">
        <f t="shared" si="17"/>
        <v>5.7264458579999997E-2</v>
      </c>
      <c r="M108" s="154">
        <f t="shared" si="17"/>
        <v>0.89734711919999999</v>
      </c>
      <c r="N108" s="154">
        <f t="shared" si="17"/>
        <v>1.5551298E-6</v>
      </c>
      <c r="O108" s="154">
        <f t="shared" si="17"/>
        <v>2.1670823999999998E-5</v>
      </c>
      <c r="P108" s="154">
        <f t="shared" si="17"/>
        <v>2.3456706000000001E-4</v>
      </c>
      <c r="Q108" s="154">
        <f t="shared" si="17"/>
        <v>5.9092740000000006E-12</v>
      </c>
      <c r="R108" s="154">
        <f t="shared" si="17"/>
        <v>4.8080760000000008E-10</v>
      </c>
      <c r="S108" s="154">
        <f t="shared" si="17"/>
        <v>4.0689852000000003E-4</v>
      </c>
      <c r="T108" s="154">
        <f t="shared" si="17"/>
        <v>5.6601935880000009E-2</v>
      </c>
      <c r="U108" s="154">
        <f t="shared" si="17"/>
        <v>7.3557540000000002E-8</v>
      </c>
      <c r="V108" s="154">
        <f t="shared" si="17"/>
        <v>1.4825244000000001E-9</v>
      </c>
      <c r="W108" s="154">
        <f t="shared" si="17"/>
        <v>4.1326194E-9</v>
      </c>
      <c r="X108" s="154">
        <f t="shared" si="17"/>
        <v>1.7334071999999999E-4</v>
      </c>
      <c r="Y108" s="154">
        <f t="shared" si="17"/>
        <v>2.04379938E-3</v>
      </c>
    </row>
    <row r="109" spans="1:25" ht="13.9" customHeight="1" x14ac:dyDescent="0.25">
      <c r="A109" s="390"/>
      <c r="B109" s="1" t="str">
        <f>Input!A57</f>
        <v>Additive 3</v>
      </c>
      <c r="C109" s="154">
        <f>+Input!B57</f>
        <v>0.02</v>
      </c>
      <c r="D109" s="158">
        <f>D33+D58+D83</f>
        <v>24</v>
      </c>
      <c r="E109" s="154" t="s">
        <v>564</v>
      </c>
      <c r="F109" s="154" t="s">
        <v>564</v>
      </c>
      <c r="G109" s="154">
        <f t="shared" ref="G109:Y109" si="18">G33+G58+G83</f>
        <v>1.1362656000000001E-4</v>
      </c>
      <c r="H109" s="154">
        <f t="shared" si="18"/>
        <v>7.6197532319999997E-2</v>
      </c>
      <c r="I109" s="154">
        <f t="shared" si="18"/>
        <v>3.5611344000000003E-5</v>
      </c>
      <c r="J109" s="154">
        <f t="shared" si="18"/>
        <v>7.6155860160000005E-2</v>
      </c>
      <c r="K109" s="154">
        <f t="shared" si="18"/>
        <v>6.06072E-6</v>
      </c>
      <c r="L109" s="154">
        <f t="shared" si="18"/>
        <v>6.5445095519999996E-2</v>
      </c>
      <c r="M109" s="154">
        <f t="shared" si="18"/>
        <v>1.0255395648000001</v>
      </c>
      <c r="N109" s="154">
        <f t="shared" si="18"/>
        <v>1.7772912E-6</v>
      </c>
      <c r="O109" s="154">
        <f t="shared" si="18"/>
        <v>2.4766656000000001E-5</v>
      </c>
      <c r="P109" s="154">
        <f t="shared" si="18"/>
        <v>2.6807664E-4</v>
      </c>
      <c r="Q109" s="154">
        <f t="shared" si="18"/>
        <v>6.7534560000000007E-12</v>
      </c>
      <c r="R109" s="154">
        <f t="shared" si="18"/>
        <v>5.4949440000000009E-10</v>
      </c>
      <c r="S109" s="154">
        <f t="shared" si="18"/>
        <v>4.6502688000000001E-4</v>
      </c>
      <c r="T109" s="154">
        <f t="shared" si="18"/>
        <v>6.4687926720000011E-2</v>
      </c>
      <c r="U109" s="154">
        <f t="shared" si="18"/>
        <v>8.4065759999999996E-8</v>
      </c>
      <c r="V109" s="154">
        <f t="shared" si="18"/>
        <v>1.6943136000000002E-9</v>
      </c>
      <c r="W109" s="154">
        <f t="shared" si="18"/>
        <v>4.7229936E-9</v>
      </c>
      <c r="X109" s="154">
        <f t="shared" si="18"/>
        <v>1.9810367999999998E-4</v>
      </c>
      <c r="Y109" s="154">
        <f t="shared" si="18"/>
        <v>2.3357707200000002E-3</v>
      </c>
    </row>
    <row r="110" spans="1:25" x14ac:dyDescent="0.25">
      <c r="A110" s="395" t="s">
        <v>565</v>
      </c>
      <c r="B110" s="395"/>
      <c r="C110" s="396"/>
      <c r="D110" s="396"/>
      <c r="E110" s="396"/>
      <c r="F110" s="396"/>
      <c r="G110" s="139">
        <f t="shared" ref="G110:Y110" si="19">SUM(G91:G109)</f>
        <v>1.4214231440493771E-2</v>
      </c>
      <c r="H110" s="139">
        <f t="shared" si="19"/>
        <v>1.7271550867544256</v>
      </c>
      <c r="I110" s="139">
        <f t="shared" si="19"/>
        <v>7.0230324805191011E-4</v>
      </c>
      <c r="J110" s="139">
        <f t="shared" si="19"/>
        <v>1.7259877280781191</v>
      </c>
      <c r="K110" s="139">
        <f t="shared" si="19"/>
        <v>4.6505352065478702E-4</v>
      </c>
      <c r="L110" s="139">
        <f t="shared" si="19"/>
        <v>2.0495657328463794</v>
      </c>
      <c r="M110" s="139">
        <f t="shared" si="19"/>
        <v>22.639429917177175</v>
      </c>
      <c r="N110" s="139">
        <f t="shared" si="19"/>
        <v>8.2885445880307736E-5</v>
      </c>
      <c r="O110" s="139">
        <f t="shared" si="19"/>
        <v>4.3822842064683279E-3</v>
      </c>
      <c r="P110" s="139">
        <f t="shared" si="19"/>
        <v>4.8090911736871134E-2</v>
      </c>
      <c r="Q110" s="139">
        <f t="shared" si="19"/>
        <v>2.3315267999701694E-10</v>
      </c>
      <c r="R110" s="139">
        <f t="shared" si="19"/>
        <v>1.0639366904419622E-8</v>
      </c>
      <c r="S110" s="139">
        <f t="shared" si="19"/>
        <v>2.0065691351392183E-2</v>
      </c>
      <c r="T110" s="139">
        <f t="shared" si="19"/>
        <v>3.5861180476147521</v>
      </c>
      <c r="U110" s="139">
        <f t="shared" si="19"/>
        <v>2.2517332788001105E-6</v>
      </c>
      <c r="V110" s="139">
        <f t="shared" si="19"/>
        <v>3.4626370623094159E-8</v>
      </c>
      <c r="W110" s="139">
        <f t="shared" si="19"/>
        <v>1.1405035575247475E-7</v>
      </c>
      <c r="X110" s="139">
        <f t="shared" si="19"/>
        <v>1.4895823679998491E-2</v>
      </c>
      <c r="Y110" s="139">
        <f t="shared" si="19"/>
        <v>8.3027998783432713E-2</v>
      </c>
    </row>
    <row r="112" spans="1:25" x14ac:dyDescent="0.25">
      <c r="A112" t="s">
        <v>566</v>
      </c>
    </row>
    <row r="114" spans="1:28" x14ac:dyDescent="0.25">
      <c r="A114" s="32"/>
    </row>
    <row r="115" spans="1:28" ht="24" x14ac:dyDescent="0.4">
      <c r="A115" s="100" t="s">
        <v>567</v>
      </c>
    </row>
    <row r="117" spans="1:28" ht="49.9" customHeight="1" x14ac:dyDescent="0.25">
      <c r="A117" s="104" t="s">
        <v>223</v>
      </c>
      <c r="B117" s="104" t="s">
        <v>287</v>
      </c>
      <c r="C117" s="103" t="s">
        <v>69</v>
      </c>
      <c r="D117" s="103" t="s">
        <v>71</v>
      </c>
      <c r="E117" s="103" t="s">
        <v>74</v>
      </c>
      <c r="F117" s="103" t="s">
        <v>75</v>
      </c>
      <c r="G117" s="103" t="s">
        <v>78</v>
      </c>
      <c r="H117" s="103" t="s">
        <v>79</v>
      </c>
      <c r="I117" s="103" t="s">
        <v>80</v>
      </c>
      <c r="J117" s="103" t="s">
        <v>84</v>
      </c>
      <c r="K117" s="103" t="s">
        <v>85</v>
      </c>
      <c r="L117" s="103" t="s">
        <v>335</v>
      </c>
      <c r="M117" s="108" t="s">
        <v>336</v>
      </c>
      <c r="N117" s="108" t="s">
        <v>337</v>
      </c>
      <c r="O117" s="103" t="s">
        <v>568</v>
      </c>
      <c r="P117" s="103" t="s">
        <v>92</v>
      </c>
      <c r="Q117" s="108" t="s">
        <v>93</v>
      </c>
      <c r="R117" s="103" t="s">
        <v>339</v>
      </c>
      <c r="S117" s="103" t="s">
        <v>340</v>
      </c>
      <c r="T117" s="103" t="s">
        <v>341</v>
      </c>
      <c r="U117" s="103" t="s">
        <v>342</v>
      </c>
      <c r="V117" s="103" t="s">
        <v>100</v>
      </c>
      <c r="W117" s="103" t="s">
        <v>104</v>
      </c>
      <c r="X117" s="103" t="s">
        <v>106</v>
      </c>
      <c r="Y117" s="103" t="s">
        <v>343</v>
      </c>
      <c r="Z117" s="103" t="s">
        <v>569</v>
      </c>
    </row>
    <row r="118" spans="1:28" x14ac:dyDescent="0.25">
      <c r="A118" s="1" t="s">
        <v>344</v>
      </c>
      <c r="B118" s="154">
        <f>'A2 - Transport'!G91</f>
        <v>9.46888E-5</v>
      </c>
      <c r="C118" s="154">
        <f>G16+G41+G66</f>
        <v>0</v>
      </c>
      <c r="D118" s="154">
        <f>G17+G42+G67</f>
        <v>4.8098942104699664E-3</v>
      </c>
      <c r="E118" s="154">
        <f>G18+G43+G68</f>
        <v>3.6074206578524748E-3</v>
      </c>
      <c r="F118" s="154">
        <f>G19+G44+G69</f>
        <v>5.8441283999999998E-4</v>
      </c>
      <c r="G118" s="154">
        <f>G20+G45+G70</f>
        <v>0</v>
      </c>
      <c r="H118" s="154">
        <f>G21+G46+G71</f>
        <v>1.5938532000000002E-3</v>
      </c>
      <c r="I118" s="154">
        <f>G22+G47+G72</f>
        <v>7.7480632119356324E-4</v>
      </c>
      <c r="J118" s="154">
        <f>G23+G48+G73</f>
        <v>1.0314984861701897E-3</v>
      </c>
      <c r="K118" s="154">
        <f>G24+G49+G74</f>
        <v>1.0314984861701897E-3</v>
      </c>
      <c r="L118" s="154">
        <f>SUM(C118:K118)</f>
        <v>1.3433384201856382E-2</v>
      </c>
      <c r="M118" s="154">
        <f>'A2 - Transport'!G101</f>
        <v>1.1092508999999999E-4</v>
      </c>
      <c r="N118" s="154">
        <f>'A2 - Transport'!G102</f>
        <v>1.5864279E-4</v>
      </c>
      <c r="O118" s="154">
        <f t="shared" ref="O118:O136" si="20">SUM(M118:N118)</f>
        <v>2.6956788000000002E-4</v>
      </c>
      <c r="P118" s="154">
        <f>'A2 - Transport'!G103</f>
        <v>0</v>
      </c>
      <c r="Q118" s="154">
        <f>'A2 - Transport'!G104</f>
        <v>0</v>
      </c>
      <c r="R118" s="154">
        <f>SUM(P118:Q118)</f>
        <v>0</v>
      </c>
      <c r="S118" s="154">
        <f>'A2 - Transport'!G105</f>
        <v>0</v>
      </c>
      <c r="T118" s="154">
        <f>'A2 - Transport'!G106</f>
        <v>0</v>
      </c>
      <c r="U118" s="154">
        <f>SUM(S118:T118)</f>
        <v>0</v>
      </c>
      <c r="V118" s="154">
        <f>'A2 - Transport'!G107</f>
        <v>2.0354075863738722E-4</v>
      </c>
      <c r="W118" s="154">
        <f>'A2 - Transport'!G108</f>
        <v>9.9423240000000003E-5</v>
      </c>
      <c r="X118" s="154">
        <f>'A2 - Transport'!G109</f>
        <v>1.1362656000000001E-4</v>
      </c>
      <c r="Y118" s="154">
        <f>SUM(V118:X118)</f>
        <v>4.1659055863738727E-4</v>
      </c>
      <c r="Z118" s="154">
        <f>+SUM(B118+L118+O118+Y118)</f>
        <v>1.4214231440493769E-2</v>
      </c>
      <c r="AB118" s="87"/>
    </row>
    <row r="119" spans="1:28" x14ac:dyDescent="0.25">
      <c r="A119" s="1" t="s">
        <v>304</v>
      </c>
      <c r="B119" s="154">
        <f>'A2 - Transport'!H91</f>
        <v>6.3497943599999995E-2</v>
      </c>
      <c r="C119" s="154">
        <f>H16+H41+H66</f>
        <v>0</v>
      </c>
      <c r="D119" s="154">
        <f>H17+H42+H67</f>
        <v>0.16385800568782399</v>
      </c>
      <c r="E119" s="154">
        <f>H18+H43+H68</f>
        <v>0.12289350426586801</v>
      </c>
      <c r="F119" s="154">
        <f>H19+H44+H69</f>
        <v>0.21362345268000002</v>
      </c>
      <c r="G119" s="154">
        <f>H20+H45+H70</f>
        <v>0</v>
      </c>
      <c r="H119" s="154">
        <f>H21+H46+H71</f>
        <v>0.58260941639999997</v>
      </c>
      <c r="I119" s="154">
        <f>H22+H47+H72</f>
        <v>8.8797351211416992E-2</v>
      </c>
      <c r="J119" s="154">
        <f>H23+H48+H73</f>
        <v>0.10935180133685293</v>
      </c>
      <c r="K119" s="154">
        <f>H24+H49+H74</f>
        <v>0.10935180133685293</v>
      </c>
      <c r="L119" s="154">
        <f t="shared" ref="L119:L136" si="21">SUM(C119:K119)</f>
        <v>1.3904853329188149</v>
      </c>
      <c r="M119" s="154">
        <f>'A2 - Transport'!H101</f>
        <v>3.1780238815999999E-2</v>
      </c>
      <c r="N119" s="154">
        <f>'A2 - Transport'!H102</f>
        <v>7.5321034430000003E-2</v>
      </c>
      <c r="O119" s="154">
        <f t="shared" si="20"/>
        <v>0.10710127324599999</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2.3200163889611054E-2</v>
      </c>
      <c r="W119" s="154">
        <f>'A2 - Transport'!H108</f>
        <v>6.6672840780000006E-2</v>
      </c>
      <c r="X119" s="154">
        <f>'A2 - Transport'!H109</f>
        <v>7.6197532319999997E-2</v>
      </c>
      <c r="Y119" s="154">
        <f t="shared" ref="Y119:Y136" si="24">SUM(V119:X119)</f>
        <v>0.16607053698961105</v>
      </c>
      <c r="Z119" s="154">
        <f t="shared" ref="Z119:Z136" si="25">+SUM(B119+L119+O119+Y119)</f>
        <v>1.7271550867544261</v>
      </c>
      <c r="AB119" s="87"/>
    </row>
    <row r="120" spans="1:28" x14ac:dyDescent="0.25">
      <c r="A120" s="1" t="s">
        <v>305</v>
      </c>
      <c r="B120" s="154">
        <f>'A2 - Transport'!I91</f>
        <v>2.967612E-5</v>
      </c>
      <c r="C120" s="154">
        <f>I16+I41+I66</f>
        <v>0</v>
      </c>
      <c r="D120" s="154">
        <f>I17+I42+I67</f>
        <v>2.5053691888377455E-5</v>
      </c>
      <c r="E120" s="154">
        <f>I18+I43+I68</f>
        <v>1.8790268916283093E-5</v>
      </c>
      <c r="F120" s="154">
        <f>I19+I44+I69</f>
        <v>9.8734415999999998E-5</v>
      </c>
      <c r="G120" s="154">
        <f>I20+I45+I70</f>
        <v>0</v>
      </c>
      <c r="H120" s="154">
        <f>I21+I46+I71</f>
        <v>2.6927567999999997E-4</v>
      </c>
      <c r="I120" s="154">
        <f>I22+I47+I72</f>
        <v>4.327706589432379E-5</v>
      </c>
      <c r="J120" s="154">
        <f>I23+I48+I73</f>
        <v>3.2577236259108282E-5</v>
      </c>
      <c r="K120" s="154">
        <f>I24+I49+I74</f>
        <v>3.2577236259108282E-5</v>
      </c>
      <c r="L120" s="154">
        <f t="shared" si="21"/>
        <v>5.2028559521720083E-4</v>
      </c>
      <c r="M120" s="154">
        <f>'A2 - Transport'!I101</f>
        <v>4.41705398E-5</v>
      </c>
      <c r="N120" s="154">
        <f>'A2 - Transport'!I102</f>
        <v>3.5009395999999993E-5</v>
      </c>
      <c r="O120" s="154">
        <f t="shared" si="20"/>
        <v>7.9179935799999986E-5</v>
      </c>
      <c r="P120" s="154">
        <f>'A2 - Transport'!I103</f>
        <v>0</v>
      </c>
      <c r="Q120" s="154">
        <f>'A2 - Transport'!I104</f>
        <v>0</v>
      </c>
      <c r="R120" s="154">
        <f t="shared" si="22"/>
        <v>0</v>
      </c>
      <c r="S120" s="154">
        <f>'A2 - Transport'!I105</f>
        <v>0</v>
      </c>
      <c r="T120" s="154">
        <f>'A2 - Transport'!I106</f>
        <v>0</v>
      </c>
      <c r="U120" s="154">
        <f t="shared" si="23"/>
        <v>0</v>
      </c>
      <c r="V120" s="154">
        <f>'A2 - Transport'!I107</f>
        <v>6.3903270347093385E-6</v>
      </c>
      <c r="W120" s="154">
        <f>'A2 - Transport'!I108</f>
        <v>3.1159926000000004E-5</v>
      </c>
      <c r="X120" s="154">
        <f>'A2 - Transport'!I109</f>
        <v>3.5611344000000003E-5</v>
      </c>
      <c r="Y120" s="154">
        <f t="shared" si="24"/>
        <v>7.316159703470935E-5</v>
      </c>
      <c r="Z120" s="154">
        <f t="shared" si="25"/>
        <v>7.0230324805191022E-4</v>
      </c>
      <c r="AB120" s="87"/>
    </row>
    <row r="121" spans="1:28" x14ac:dyDescent="0.25">
      <c r="A121" s="1" t="s">
        <v>306</v>
      </c>
      <c r="B121" s="154">
        <f>'A2 - Transport'!J91</f>
        <v>6.34632168E-2</v>
      </c>
      <c r="C121" s="154">
        <f>J16+J41+J66</f>
        <v>0</v>
      </c>
      <c r="D121" s="154">
        <f>J17+J42+J67</f>
        <v>0.16374497719778591</v>
      </c>
      <c r="E121" s="154">
        <f>J18+J43+J68</f>
        <v>0.12280873289833943</v>
      </c>
      <c r="F121" s="154">
        <f>J19+J44+J69</f>
        <v>0.21350792099999999</v>
      </c>
      <c r="G121" s="154">
        <f>J20+J45+J70</f>
        <v>0</v>
      </c>
      <c r="H121" s="154">
        <f>J21+J46+J71</f>
        <v>0.58229432999999997</v>
      </c>
      <c r="I121" s="154">
        <f>J22+J47+J72</f>
        <v>8.867716167318368E-2</v>
      </c>
      <c r="J121" s="154">
        <f>J23+J48+J73</f>
        <v>0.10925681211343992</v>
      </c>
      <c r="K121" s="154">
        <f>J24+J49+J74</f>
        <v>0.10925681211343992</v>
      </c>
      <c r="L121" s="154">
        <f t="shared" si="21"/>
        <v>1.3895467469961886</v>
      </c>
      <c r="M121" s="154">
        <f>'A2 - Transport'!J101</f>
        <v>3.1733202549999999E-2</v>
      </c>
      <c r="N121" s="154">
        <f>'A2 - Transport'!J102</f>
        <v>7.5280067830000005E-2</v>
      </c>
      <c r="O121" s="154">
        <f t="shared" si="20"/>
        <v>0.10701327038</v>
      </c>
      <c r="P121" s="154">
        <f>'A2 - Transport'!J103</f>
        <v>0</v>
      </c>
      <c r="Q121" s="154">
        <f>'A2 - Transport'!J104</f>
        <v>0</v>
      </c>
      <c r="R121" s="154">
        <f t="shared" si="22"/>
        <v>0</v>
      </c>
      <c r="S121" s="154">
        <f>'A2 - Transport'!J105</f>
        <v>0</v>
      </c>
      <c r="T121" s="154">
        <f>'A2 - Transport'!J106</f>
        <v>0</v>
      </c>
      <c r="U121" s="154">
        <f t="shared" si="23"/>
        <v>0</v>
      </c>
      <c r="V121" s="154">
        <f>'A2 - Transport'!J107</f>
        <v>2.317225610193031E-2</v>
      </c>
      <c r="W121" s="154">
        <f>'A2 - Transport'!J108</f>
        <v>6.6636377640000008E-2</v>
      </c>
      <c r="X121" s="154">
        <f>'A2 - Transport'!J109</f>
        <v>7.6155860160000005E-2</v>
      </c>
      <c r="Y121" s="154">
        <f t="shared" si="24"/>
        <v>0.16596449390193033</v>
      </c>
      <c r="Z121" s="154">
        <f t="shared" si="25"/>
        <v>1.7259877280781188</v>
      </c>
      <c r="AB121" s="87"/>
    </row>
    <row r="122" spans="1:28" x14ac:dyDescent="0.25">
      <c r="A122" s="1" t="s">
        <v>307</v>
      </c>
      <c r="B122" s="154">
        <f>'A2 - Transport'!K91</f>
        <v>5.0506000000000004E-6</v>
      </c>
      <c r="C122" s="154">
        <f>K16+K41+K66</f>
        <v>0</v>
      </c>
      <c r="D122" s="154">
        <f>K17+K42+K67</f>
        <v>8.7974798149694145E-5</v>
      </c>
      <c r="E122" s="154">
        <f>K18+K43+K68</f>
        <v>6.5981098612270602E-5</v>
      </c>
      <c r="F122" s="154">
        <f>K19+K44+K69</f>
        <v>1.6796868000000001E-5</v>
      </c>
      <c r="G122" s="154">
        <f>K20+K45+K70</f>
        <v>0</v>
      </c>
      <c r="H122" s="154">
        <f>K21+K46+K71</f>
        <v>4.5809639999999999E-5</v>
      </c>
      <c r="I122" s="154">
        <f>K22+K47+K72</f>
        <v>7.6912472338986959E-5</v>
      </c>
      <c r="J122" s="154">
        <f>K23+K48+K73</f>
        <v>6.2411987153899811E-5</v>
      </c>
      <c r="K122" s="154">
        <f>K24+K49+K74</f>
        <v>6.2411987153899811E-5</v>
      </c>
      <c r="L122" s="154">
        <f t="shared" si="21"/>
        <v>4.1829885140875133E-4</v>
      </c>
      <c r="M122" s="154">
        <f>'A2 - Transport'!K101</f>
        <v>2.8656715999999998E-6</v>
      </c>
      <c r="N122" s="154">
        <f>'A2 - Transport'!K102</f>
        <v>5.9570870000000004E-6</v>
      </c>
      <c r="O122" s="154">
        <f t="shared" si="20"/>
        <v>8.8227586000000011E-6</v>
      </c>
      <c r="P122" s="154">
        <f>'A2 - Transport'!K103</f>
        <v>0</v>
      </c>
      <c r="Q122" s="154">
        <f>'A2 - Transport'!K104</f>
        <v>0</v>
      </c>
      <c r="R122" s="154">
        <f t="shared" si="22"/>
        <v>0</v>
      </c>
      <c r="S122" s="154">
        <f>'A2 - Transport'!K105</f>
        <v>0</v>
      </c>
      <c r="T122" s="154">
        <f>'A2 - Transport'!K106</f>
        <v>0</v>
      </c>
      <c r="U122" s="154">
        <f t="shared" si="23"/>
        <v>0</v>
      </c>
      <c r="V122" s="154">
        <f>'A2 - Transport'!K107</f>
        <v>2.1517460646035718E-5</v>
      </c>
      <c r="W122" s="154">
        <f>'A2 - Transport'!K108</f>
        <v>5.3031299999999997E-6</v>
      </c>
      <c r="X122" s="154">
        <f>'A2 - Transport'!K109</f>
        <v>6.06072E-6</v>
      </c>
      <c r="Y122" s="154">
        <f t="shared" si="24"/>
        <v>3.2881310646035716E-5</v>
      </c>
      <c r="Z122" s="154">
        <f t="shared" si="25"/>
        <v>4.6505352065478702E-4</v>
      </c>
      <c r="AB122" s="87"/>
    </row>
    <row r="123" spans="1:28" x14ac:dyDescent="0.25">
      <c r="A123" s="1" t="s">
        <v>308</v>
      </c>
      <c r="B123" s="154">
        <f>'A2 - Transport'!L91</f>
        <v>5.4537579599999997E-2</v>
      </c>
      <c r="C123" s="154">
        <f>L16+L41+L66</f>
        <v>0</v>
      </c>
      <c r="D123" s="154">
        <f>L17+L42+L67</f>
        <v>0.14161232727741752</v>
      </c>
      <c r="E123" s="154">
        <f>L18+L43+L68</f>
        <v>0.10620924545806314</v>
      </c>
      <c r="F123" s="154">
        <f>L19+L44+L69</f>
        <v>0.18154861295999997</v>
      </c>
      <c r="G123" s="154">
        <f>L20+L45+L70</f>
        <v>0</v>
      </c>
      <c r="H123" s="154">
        <f>L21+L46+L71</f>
        <v>0.4951325808</v>
      </c>
      <c r="I123" s="154">
        <f>L22+L47+L72</f>
        <v>0.25592636087679776</v>
      </c>
      <c r="J123" s="154">
        <f>L23+L48+L73</f>
        <v>0.27331727733944494</v>
      </c>
      <c r="K123" s="154">
        <f>L24+L49+L74</f>
        <v>0.27331727733944494</v>
      </c>
      <c r="L123" s="154">
        <f t="shared" si="21"/>
        <v>1.7270636820511682</v>
      </c>
      <c r="M123" s="154">
        <f>'A2 - Transport'!L101</f>
        <v>5.7410277817999997E-2</v>
      </c>
      <c r="N123" s="154">
        <f>'A2 - Transport'!L102</f>
        <v>6.4356018200000004E-2</v>
      </c>
      <c r="O123" s="154">
        <f t="shared" si="20"/>
        <v>0.121766296018</v>
      </c>
      <c r="P123" s="154">
        <f>'A2 - Transport'!L103</f>
        <v>0</v>
      </c>
      <c r="Q123" s="154">
        <f>'A2 - Transport'!L104</f>
        <v>0</v>
      </c>
      <c r="R123" s="154">
        <f t="shared" si="22"/>
        <v>0</v>
      </c>
      <c r="S123" s="154">
        <f>'A2 - Transport'!L105</f>
        <v>0</v>
      </c>
      <c r="T123" s="154">
        <f>'A2 - Transport'!L106</f>
        <v>0</v>
      </c>
      <c r="U123" s="154">
        <f t="shared" si="23"/>
        <v>0</v>
      </c>
      <c r="V123" s="154">
        <f>'A2 - Transport'!L107</f>
        <v>2.3488621077211114E-2</v>
      </c>
      <c r="W123" s="154">
        <f>'A2 - Transport'!L108</f>
        <v>5.7264458579999997E-2</v>
      </c>
      <c r="X123" s="154">
        <f>'A2 - Transport'!L109</f>
        <v>6.5445095519999996E-2</v>
      </c>
      <c r="Y123" s="154">
        <f t="shared" si="24"/>
        <v>0.14619817517721112</v>
      </c>
      <c r="Z123" s="154">
        <f t="shared" si="25"/>
        <v>2.0495657328463794</v>
      </c>
      <c r="AB123" s="87"/>
    </row>
    <row r="124" spans="1:28" x14ac:dyDescent="0.25">
      <c r="A124" s="1" t="s">
        <v>309</v>
      </c>
      <c r="B124" s="154">
        <f>'A2 - Transport'!M91</f>
        <v>0.85461630399999999</v>
      </c>
      <c r="C124" s="154">
        <f>M16+M41+M66</f>
        <v>0</v>
      </c>
      <c r="D124" s="154">
        <f>M17+M42+M67</f>
        <v>2.004909914630451</v>
      </c>
      <c r="E124" s="154">
        <f>M18+M43+M68</f>
        <v>1.5036824359728382</v>
      </c>
      <c r="F124" s="154">
        <f>M19+M44+M69</f>
        <v>2.8722402851999997</v>
      </c>
      <c r="G124" s="154">
        <f>M20+M45+M70</f>
        <v>0</v>
      </c>
      <c r="H124" s="154">
        <f>M21+M46+M71</f>
        <v>7.8333825959999999</v>
      </c>
      <c r="I124" s="154">
        <f>M22+M47+M72</f>
        <v>1.1818356683765221</v>
      </c>
      <c r="J124" s="154">
        <f>M23+M48+M73</f>
        <v>1.371950788807824</v>
      </c>
      <c r="K124" s="154">
        <f>M24+M49+M74</f>
        <v>1.371950788807824</v>
      </c>
      <c r="L124" s="154">
        <f t="shared" si="21"/>
        <v>18.139952477795457</v>
      </c>
      <c r="M124" s="154">
        <f>'A2 - Transport'!M101</f>
        <v>0.42416852792899995</v>
      </c>
      <c r="N124" s="154">
        <f>'A2 - Transport'!M102</f>
        <v>1.0132358927</v>
      </c>
      <c r="O124" s="154">
        <f t="shared" si="20"/>
        <v>1.437404420629</v>
      </c>
      <c r="P124" s="154">
        <f>'A2 - Transport'!M103</f>
        <v>0</v>
      </c>
      <c r="Q124" s="154">
        <f>'A2 - Transport'!M104</f>
        <v>0</v>
      </c>
      <c r="R124" s="154">
        <f t="shared" si="22"/>
        <v>0</v>
      </c>
      <c r="S124" s="154">
        <f>'A2 - Transport'!M105</f>
        <v>0</v>
      </c>
      <c r="T124" s="154">
        <f>'A2 - Transport'!M106</f>
        <v>0</v>
      </c>
      <c r="U124" s="154">
        <f t="shared" si="23"/>
        <v>0</v>
      </c>
      <c r="V124" s="154">
        <f>'A2 - Transport'!M107</f>
        <v>0.28457003075272336</v>
      </c>
      <c r="W124" s="154">
        <f>'A2 - Transport'!M108</f>
        <v>0.89734711919999999</v>
      </c>
      <c r="X124" s="154">
        <f>'A2 - Transport'!M109</f>
        <v>1.0255395648000001</v>
      </c>
      <c r="Y124" s="154">
        <f t="shared" si="24"/>
        <v>2.2074567147527233</v>
      </c>
      <c r="Z124" s="154">
        <f t="shared" si="25"/>
        <v>22.639429917177182</v>
      </c>
      <c r="AB124" s="87"/>
    </row>
    <row r="125" spans="1:28" x14ac:dyDescent="0.25">
      <c r="A125" s="1" t="s">
        <v>310</v>
      </c>
      <c r="B125" s="154">
        <f>'A2 - Transport'!N91</f>
        <v>1.4810759999999999E-6</v>
      </c>
      <c r="C125" s="154">
        <f>N16+N41+N66</f>
        <v>0</v>
      </c>
      <c r="D125" s="154">
        <f>N17+N42+N67</f>
        <v>5.7936943362175264E-6</v>
      </c>
      <c r="E125" s="154">
        <f>N18+N43+N68</f>
        <v>4.3452707521631448E-6</v>
      </c>
      <c r="F125" s="154">
        <f>N19+N44+N69</f>
        <v>4.9143600000000005E-6</v>
      </c>
      <c r="G125" s="154">
        <f>N20+N45+N70</f>
        <v>0</v>
      </c>
      <c r="H125" s="154">
        <f>N21+N46+N71</f>
        <v>1.34028E-5</v>
      </c>
      <c r="I125" s="154">
        <f>N22+N47+N72</f>
        <v>1.8304367165350877E-5</v>
      </c>
      <c r="J125" s="154">
        <f>N23+N48+N73</f>
        <v>1.3268765972137137E-5</v>
      </c>
      <c r="K125" s="154">
        <f>N24+N49+N74</f>
        <v>1.3268765972137137E-5</v>
      </c>
      <c r="L125" s="154">
        <f t="shared" si="21"/>
        <v>7.3298024198005824E-5</v>
      </c>
      <c r="M125" s="154">
        <f>'A2 - Transport'!N101</f>
        <v>9.3698310000000009E-7</v>
      </c>
      <c r="N125" s="154">
        <f>'A2 - Transport'!N102</f>
        <v>1.7449356E-6</v>
      </c>
      <c r="O125" s="154">
        <f t="shared" si="20"/>
        <v>2.6819187000000002E-6</v>
      </c>
      <c r="P125" s="154">
        <f>'A2 - Transport'!N103</f>
        <v>0</v>
      </c>
      <c r="Q125" s="154">
        <f>'A2 - Transport'!N104</f>
        <v>0</v>
      </c>
      <c r="R125" s="154">
        <f t="shared" si="22"/>
        <v>0</v>
      </c>
      <c r="S125" s="154">
        <f>'A2 - Transport'!N105</f>
        <v>0</v>
      </c>
      <c r="T125" s="154">
        <f>'A2 - Transport'!N106</f>
        <v>0</v>
      </c>
      <c r="U125" s="154">
        <f t="shared" si="23"/>
        <v>0</v>
      </c>
      <c r="V125" s="154">
        <f>'A2 - Transport'!N107</f>
        <v>2.0920059823019113E-6</v>
      </c>
      <c r="W125" s="154">
        <f>'A2 - Transport'!N108</f>
        <v>1.5551298E-6</v>
      </c>
      <c r="X125" s="154">
        <f>'A2 - Transport'!N109</f>
        <v>1.7772912E-6</v>
      </c>
      <c r="Y125" s="154">
        <f t="shared" si="24"/>
        <v>5.4244269823019113E-6</v>
      </c>
      <c r="Z125" s="154">
        <f t="shared" si="25"/>
        <v>8.2885445880307736E-5</v>
      </c>
      <c r="AB125" s="87"/>
    </row>
    <row r="126" spans="1:28" x14ac:dyDescent="0.25">
      <c r="A126" s="1" t="s">
        <v>311</v>
      </c>
      <c r="B126" s="154">
        <f>'A2 - Transport'!O91</f>
        <v>2.0638879999999998E-5</v>
      </c>
      <c r="C126" s="154">
        <f>O16+O41+O66</f>
        <v>0</v>
      </c>
      <c r="D126" s="154">
        <f>O17+O42+O67</f>
        <v>1.1975148056518631E-3</v>
      </c>
      <c r="E126" s="154">
        <f>O18+O43+O68</f>
        <v>8.9813610423889736E-4</v>
      </c>
      <c r="F126" s="154">
        <f>O19+O44+O69</f>
        <v>2.0968727999999998E-4</v>
      </c>
      <c r="G126" s="154">
        <f>O20+O45+O70</f>
        <v>0</v>
      </c>
      <c r="H126" s="154">
        <f>O21+O46+O71</f>
        <v>5.7187439999999991E-4</v>
      </c>
      <c r="I126" s="154">
        <f>O22+O47+O72</f>
        <v>3.2680230479082025E-4</v>
      </c>
      <c r="J126" s="154">
        <f>O23+O48+O73</f>
        <v>4.5820019558939437E-4</v>
      </c>
      <c r="K126" s="154">
        <f>O24+O49+O74</f>
        <v>4.5820019558939437E-4</v>
      </c>
      <c r="L126" s="154">
        <f t="shared" si="21"/>
        <v>4.1204152858603689E-3</v>
      </c>
      <c r="M126" s="154">
        <f>'A2 - Transport'!O101</f>
        <v>5.3594765000000002E-5</v>
      </c>
      <c r="N126" s="154">
        <f>'A2 - Transport'!O102</f>
        <v>4.8919748000000003E-5</v>
      </c>
      <c r="O126" s="154">
        <f t="shared" si="20"/>
        <v>1.0251451300000001E-4</v>
      </c>
      <c r="P126" s="154">
        <f>'A2 - Transport'!O103</f>
        <v>0</v>
      </c>
      <c r="Q126" s="154">
        <f>'A2 - Transport'!O104</f>
        <v>0</v>
      </c>
      <c r="R126" s="154">
        <f t="shared" si="22"/>
        <v>0</v>
      </c>
      <c r="S126" s="154">
        <f>'A2 - Transport'!O105</f>
        <v>0</v>
      </c>
      <c r="T126" s="154">
        <f>'A2 - Transport'!O106</f>
        <v>0</v>
      </c>
      <c r="U126" s="154">
        <f t="shared" si="23"/>
        <v>0</v>
      </c>
      <c r="V126" s="154">
        <f>'A2 - Transport'!O107</f>
        <v>9.2278047607958902E-5</v>
      </c>
      <c r="W126" s="154">
        <f>'A2 - Transport'!O108</f>
        <v>2.1670823999999998E-5</v>
      </c>
      <c r="X126" s="154">
        <f>'A2 - Transport'!O109</f>
        <v>2.4766656000000001E-5</v>
      </c>
      <c r="Y126" s="154">
        <f t="shared" si="24"/>
        <v>1.387155276079589E-4</v>
      </c>
      <c r="Z126" s="154">
        <f t="shared" si="25"/>
        <v>4.3822842064683279E-3</v>
      </c>
      <c r="AB126" s="87"/>
    </row>
    <row r="127" spans="1:28" x14ac:dyDescent="0.25">
      <c r="A127" s="1" t="s">
        <v>312</v>
      </c>
      <c r="B127" s="154">
        <f>'A2 - Transport'!P91</f>
        <v>2.233972E-4</v>
      </c>
      <c r="C127" s="154">
        <f>P16+P41+P66</f>
        <v>0</v>
      </c>
      <c r="D127" s="154">
        <f>P17+P42+P67</f>
        <v>1.3300200031628667E-2</v>
      </c>
      <c r="E127" s="154">
        <f>P18+P43+P68</f>
        <v>9.9751500237214991E-3</v>
      </c>
      <c r="F127" s="154">
        <f>P19+P44+P69</f>
        <v>2.2873685999999999E-3</v>
      </c>
      <c r="G127" s="154">
        <f>P20+P45+P70</f>
        <v>0</v>
      </c>
      <c r="H127" s="154">
        <f>P21+P46+P71</f>
        <v>6.238277999999999E-3</v>
      </c>
      <c r="I127" s="154">
        <f>P22+P47+P72</f>
        <v>3.5537139624034608E-3</v>
      </c>
      <c r="J127" s="154">
        <f>P23+P48+P73</f>
        <v>5.0062965529598605E-3</v>
      </c>
      <c r="K127" s="154">
        <f>P24+P49+P74</f>
        <v>5.0062965529598605E-3</v>
      </c>
      <c r="L127" s="154">
        <f t="shared" si="21"/>
        <v>4.5367303723673341E-2</v>
      </c>
      <c r="M127" s="154">
        <f>'A2 - Transport'!P101</f>
        <v>4.5601878499999999E-4</v>
      </c>
      <c r="N127" s="154">
        <f>'A2 - Transport'!P102</f>
        <v>5.3259496999999998E-4</v>
      </c>
      <c r="O127" s="154">
        <f t="shared" si="20"/>
        <v>9.8861375499999997E-4</v>
      </c>
      <c r="P127" s="154">
        <f>'A2 - Transport'!P103</f>
        <v>0</v>
      </c>
      <c r="Q127" s="154">
        <f>'A2 - Transport'!P104</f>
        <v>0</v>
      </c>
      <c r="R127" s="154">
        <f t="shared" si="22"/>
        <v>0</v>
      </c>
      <c r="S127" s="154">
        <f>'A2 - Transport'!P105</f>
        <v>0</v>
      </c>
      <c r="T127" s="154">
        <f>'A2 - Transport'!P106</f>
        <v>0</v>
      </c>
      <c r="U127" s="154">
        <f t="shared" si="23"/>
        <v>0</v>
      </c>
      <c r="V127" s="154">
        <f>'A2 - Transport'!P107</f>
        <v>1.0089533581977871E-3</v>
      </c>
      <c r="W127" s="154">
        <f>'A2 - Transport'!P108</f>
        <v>2.3456706000000001E-4</v>
      </c>
      <c r="X127" s="154">
        <f>'A2 - Transport'!P109</f>
        <v>2.6807664E-4</v>
      </c>
      <c r="Y127" s="154">
        <f t="shared" si="24"/>
        <v>1.511597058197787E-3</v>
      </c>
      <c r="Z127" s="154">
        <f t="shared" si="25"/>
        <v>4.8090911736871134E-2</v>
      </c>
      <c r="AB127" s="87"/>
    </row>
    <row r="128" spans="1:28" x14ac:dyDescent="0.25">
      <c r="A128" s="1" t="s">
        <v>313</v>
      </c>
      <c r="B128" s="154">
        <f>'A2 - Transport'!Q91</f>
        <v>5.62788E-12</v>
      </c>
      <c r="C128" s="154">
        <f>Q16+Q41+Q66</f>
        <v>0</v>
      </c>
      <c r="D128" s="154">
        <f>Q17+Q42+Q67</f>
        <v>3.4636885876736086E-11</v>
      </c>
      <c r="E128" s="154">
        <f>Q18+Q43+Q68</f>
        <v>2.5977664407552062E-11</v>
      </c>
      <c r="F128" s="154">
        <f>Q19+Q44+Q69</f>
        <v>1.9967772E-11</v>
      </c>
      <c r="G128" s="154">
        <f>Q20+Q45+Q70</f>
        <v>0</v>
      </c>
      <c r="H128" s="154">
        <f>Q21+Q46+Q71</f>
        <v>5.4457559999999992E-11</v>
      </c>
      <c r="I128" s="154">
        <f>Q22+Q47+Q72</f>
        <v>2.0938239781113585E-11</v>
      </c>
      <c r="J128" s="154">
        <f>Q23+Q48+Q73</f>
        <v>2.2555276012035107E-11</v>
      </c>
      <c r="K128" s="154">
        <f>Q24+Q49+Q74</f>
        <v>2.2555276012035107E-11</v>
      </c>
      <c r="L128" s="154">
        <f t="shared" si="21"/>
        <v>2.0108867408947194E-10</v>
      </c>
      <c r="M128" s="154">
        <f>'A2 - Transport'!Q101</f>
        <v>3.7854798999999997E-12</v>
      </c>
      <c r="N128" s="154">
        <f>'A2 - Transport'!Q102</f>
        <v>6.8559609999999992E-12</v>
      </c>
      <c r="O128" s="154">
        <f t="shared" si="20"/>
        <v>1.06414409E-11</v>
      </c>
      <c r="P128" s="154">
        <f>'A2 - Transport'!Q103</f>
        <v>0</v>
      </c>
      <c r="Q128" s="154">
        <f>'A2 - Transport'!Q104</f>
        <v>0</v>
      </c>
      <c r="R128" s="154">
        <f t="shared" si="22"/>
        <v>0</v>
      </c>
      <c r="S128" s="154">
        <f>'A2 - Transport'!Q105</f>
        <v>0</v>
      </c>
      <c r="T128" s="154">
        <f>'A2 - Transport'!Q106</f>
        <v>0</v>
      </c>
      <c r="U128" s="154">
        <f t="shared" si="23"/>
        <v>0</v>
      </c>
      <c r="V128" s="154">
        <f>'A2 - Transport'!Q107</f>
        <v>3.1319550075450163E-12</v>
      </c>
      <c r="W128" s="154">
        <f>'A2 - Transport'!Q108</f>
        <v>5.9092740000000006E-12</v>
      </c>
      <c r="X128" s="154">
        <f>'A2 - Transport'!Q109</f>
        <v>6.7534560000000007E-12</v>
      </c>
      <c r="Y128" s="154">
        <f t="shared" si="24"/>
        <v>1.5794685007545019E-11</v>
      </c>
      <c r="Z128" s="154">
        <f t="shared" si="25"/>
        <v>2.3315267999701694E-10</v>
      </c>
      <c r="AB128" s="87"/>
    </row>
    <row r="129" spans="1:28" x14ac:dyDescent="0.25">
      <c r="A129" s="1" t="s">
        <v>345</v>
      </c>
      <c r="B129" s="154">
        <f>'A2 - Transport'!R91</f>
        <v>4.5791200000000004E-10</v>
      </c>
      <c r="C129" s="154">
        <f>R16+R41+R66</f>
        <v>0</v>
      </c>
      <c r="D129" s="154">
        <f>R17+R42+R67</f>
        <v>4.8451501871383325E-10</v>
      </c>
      <c r="E129" s="154">
        <f>R18+R43+R68</f>
        <v>3.6338626403537493E-10</v>
      </c>
      <c r="F129" s="154">
        <f>R19+R44+R69</f>
        <v>1.531002E-9</v>
      </c>
      <c r="G129" s="154">
        <f>R20+R45+R70</f>
        <v>0</v>
      </c>
      <c r="H129" s="154">
        <f>R21+R46+R71</f>
        <v>4.1754599999999996E-9</v>
      </c>
      <c r="I129" s="154">
        <f>R22+R47+R72</f>
        <v>5.3889488962494075E-10</v>
      </c>
      <c r="J129" s="154">
        <f>R23+R48+R73</f>
        <v>5.6385690950178637E-10</v>
      </c>
      <c r="K129" s="154">
        <f>R24+R49+R74</f>
        <v>5.6385690950178637E-10</v>
      </c>
      <c r="L129" s="154">
        <f t="shared" si="21"/>
        <v>8.2209719913777214E-9</v>
      </c>
      <c r="M129" s="154">
        <f>'A2 - Transport'!R101</f>
        <v>3.1949455000000005E-10</v>
      </c>
      <c r="N129" s="154">
        <f>'A2 - Transport'!R102</f>
        <v>5.4151270000000006E-10</v>
      </c>
      <c r="O129" s="154">
        <f t="shared" si="20"/>
        <v>8.6100725000000006E-10</v>
      </c>
      <c r="P129" s="154">
        <f>'A2 - Transport'!R103</f>
        <v>0</v>
      </c>
      <c r="Q129" s="154">
        <f>'A2 - Transport'!R104</f>
        <v>0</v>
      </c>
      <c r="R129" s="154">
        <f t="shared" si="22"/>
        <v>0</v>
      </c>
      <c r="S129" s="154">
        <f>'A2 - Transport'!R105</f>
        <v>0</v>
      </c>
      <c r="T129" s="154">
        <f>'A2 - Transport'!R106</f>
        <v>0</v>
      </c>
      <c r="U129" s="154">
        <f t="shared" si="23"/>
        <v>0</v>
      </c>
      <c r="V129" s="154">
        <f>'A2 - Transport'!R107</f>
        <v>6.9173663041902534E-11</v>
      </c>
      <c r="W129" s="154">
        <f>'A2 - Transport'!R108</f>
        <v>4.8080760000000008E-10</v>
      </c>
      <c r="X129" s="154">
        <f>'A2 - Transport'!R109</f>
        <v>5.4949440000000009E-10</v>
      </c>
      <c r="Y129" s="154">
        <f t="shared" si="24"/>
        <v>1.0994756630419026E-9</v>
      </c>
      <c r="Z129" s="154">
        <f t="shared" si="25"/>
        <v>1.0639366904419624E-8</v>
      </c>
      <c r="AB129" s="87"/>
    </row>
    <row r="130" spans="1:28" x14ac:dyDescent="0.25">
      <c r="A130" s="1" t="s">
        <v>315</v>
      </c>
      <c r="B130" s="154">
        <f>'A2 - Transport'!S91</f>
        <v>3.8752239999999998E-4</v>
      </c>
      <c r="C130" s="154">
        <f>S16+S41+S66</f>
        <v>0</v>
      </c>
      <c r="D130" s="154">
        <f>S17+S42+S67</f>
        <v>8.6627960162013367E-4</v>
      </c>
      <c r="E130" s="154">
        <f>S18+S43+S68</f>
        <v>6.4970970121510025E-4</v>
      </c>
      <c r="F130" s="154">
        <f>S19+S44+S69</f>
        <v>1.2931089599999999E-3</v>
      </c>
      <c r="G130" s="154">
        <f>S20+S45+S70</f>
        <v>0</v>
      </c>
      <c r="H130" s="154">
        <f>S21+S46+S71</f>
        <v>3.5266607999999999E-3</v>
      </c>
      <c r="I130" s="154">
        <f>S22+S47+S72</f>
        <v>6.5353065315803338E-3</v>
      </c>
      <c r="J130" s="154">
        <f>S23+S48+S73</f>
        <v>2.2307813171237052E-3</v>
      </c>
      <c r="K130" s="154">
        <f>S24+S49+S74</f>
        <v>2.2307813171237052E-3</v>
      </c>
      <c r="L130" s="154">
        <f t="shared" si="21"/>
        <v>1.7332628228662977E-2</v>
      </c>
      <c r="M130" s="154">
        <f>'A2 - Transport'!S101</f>
        <v>2.3737222899999997E-4</v>
      </c>
      <c r="N130" s="154">
        <f>'A2 - Transport'!S102</f>
        <v>4.5782788000000001E-4</v>
      </c>
      <c r="O130" s="154">
        <f t="shared" si="20"/>
        <v>6.9520010899999998E-4</v>
      </c>
      <c r="P130" s="154">
        <f>'A2 - Transport'!S103</f>
        <v>0</v>
      </c>
      <c r="Q130" s="154">
        <f>'A2 - Transport'!S104</f>
        <v>0</v>
      </c>
      <c r="R130" s="154">
        <f t="shared" si="22"/>
        <v>0</v>
      </c>
      <c r="S130" s="154">
        <f>'A2 - Transport'!S105</f>
        <v>0</v>
      </c>
      <c r="T130" s="154">
        <f>'A2 - Transport'!S106</f>
        <v>0</v>
      </c>
      <c r="U130" s="154">
        <f t="shared" si="23"/>
        <v>0</v>
      </c>
      <c r="V130" s="154">
        <f>'A2 - Transport'!S107</f>
        <v>7.7841521372920227E-4</v>
      </c>
      <c r="W130" s="154">
        <f>'A2 - Transport'!S108</f>
        <v>4.0689852000000003E-4</v>
      </c>
      <c r="X130" s="154">
        <f>'A2 - Transport'!S109</f>
        <v>4.6502688000000001E-4</v>
      </c>
      <c r="Y130" s="154">
        <f t="shared" si="24"/>
        <v>1.6503406137292024E-3</v>
      </c>
      <c r="Z130" s="154">
        <f t="shared" si="25"/>
        <v>2.0065691351392179E-2</v>
      </c>
      <c r="AB130" s="87"/>
    </row>
    <row r="131" spans="1:28" x14ac:dyDescent="0.25">
      <c r="A131" s="1" t="s">
        <v>316</v>
      </c>
      <c r="B131" s="154">
        <f>'A2 - Transport'!T91</f>
        <v>5.3906605600000004E-2</v>
      </c>
      <c r="C131" s="154">
        <f>T16+T41+T66</f>
        <v>0</v>
      </c>
      <c r="D131" s="154">
        <f>T17+T42+T67</f>
        <v>0.14552456777978612</v>
      </c>
      <c r="E131" s="154">
        <f>T18+T43+T68</f>
        <v>0.10914342583483959</v>
      </c>
      <c r="F131" s="154">
        <f>T19+T44+T69</f>
        <v>0.18023522880000001</v>
      </c>
      <c r="G131" s="154">
        <f>T20+T45+T70</f>
        <v>0</v>
      </c>
      <c r="H131" s="154">
        <f>T21+T46+T71</f>
        <v>0.49155062399999999</v>
      </c>
      <c r="I131" s="154">
        <f>T22+T47+T72</f>
        <v>0.67750697145720395</v>
      </c>
      <c r="J131" s="154">
        <f>T23+T48+T73</f>
        <v>0.73182345343790389</v>
      </c>
      <c r="K131" s="154">
        <f>T24+T49+T74</f>
        <v>0.73182345343790389</v>
      </c>
      <c r="L131" s="154">
        <f t="shared" si="21"/>
        <v>3.0676077247476377</v>
      </c>
      <c r="M131" s="154">
        <f>'A2 - Transport'!T101</f>
        <v>8.9625083797000002E-2</v>
      </c>
      <c r="N131" s="154">
        <f>'A2 - Transport'!T102</f>
        <v>6.3748586560000001E-2</v>
      </c>
      <c r="O131" s="154">
        <f t="shared" si="20"/>
        <v>0.153373670357</v>
      </c>
      <c r="P131" s="154">
        <f>'A2 - Transport'!T103</f>
        <v>0</v>
      </c>
      <c r="Q131" s="154">
        <f>'A2 - Transport'!T104</f>
        <v>0</v>
      </c>
      <c r="R131" s="154">
        <f t="shared" si="22"/>
        <v>0</v>
      </c>
      <c r="S131" s="154">
        <f>'A2 - Transport'!T105</f>
        <v>0</v>
      </c>
      <c r="T131" s="154">
        <f>'A2 - Transport'!T106</f>
        <v>0</v>
      </c>
      <c r="U131" s="154">
        <f t="shared" si="23"/>
        <v>0</v>
      </c>
      <c r="V131" s="154">
        <f>'A2 - Transport'!T107</f>
        <v>0.18994018431011478</v>
      </c>
      <c r="W131" s="154">
        <f>'A2 - Transport'!T108</f>
        <v>5.6601935880000009E-2</v>
      </c>
      <c r="X131" s="154">
        <f>'A2 - Transport'!T109</f>
        <v>6.4687926720000011E-2</v>
      </c>
      <c r="Y131" s="154">
        <f t="shared" si="24"/>
        <v>0.3112300469101148</v>
      </c>
      <c r="Z131" s="154">
        <f t="shared" si="25"/>
        <v>3.5861180476147521</v>
      </c>
      <c r="AB131" s="87"/>
    </row>
    <row r="132" spans="1:28" x14ac:dyDescent="0.25">
      <c r="A132" s="1" t="s">
        <v>317</v>
      </c>
      <c r="B132" s="154">
        <f>'A2 - Transport'!U91</f>
        <v>7.005479999999999E-8</v>
      </c>
      <c r="C132" s="154">
        <f>U16+U41+U66</f>
        <v>0</v>
      </c>
      <c r="D132" s="154">
        <f>U17+U42+U67</f>
        <v>1.6587018211531296E-7</v>
      </c>
      <c r="E132" s="154">
        <f>U18+U43+U68</f>
        <v>1.2440263658648472E-7</v>
      </c>
      <c r="F132" s="154">
        <f>U19+U44+U69</f>
        <v>2.3155571999999998E-7</v>
      </c>
      <c r="G132" s="154">
        <f>U20+U45+U70</f>
        <v>0</v>
      </c>
      <c r="H132" s="154">
        <f>U21+U46+U71</f>
        <v>6.3151559999999995E-7</v>
      </c>
      <c r="I132" s="154">
        <f>U22+U47+U72</f>
        <v>2.2738531018447447E-7</v>
      </c>
      <c r="J132" s="154">
        <f>U23+U48+U73</f>
        <v>2.4494024858511492E-7</v>
      </c>
      <c r="K132" s="154">
        <f>U24+U49+U74</f>
        <v>2.4494024858511492E-7</v>
      </c>
      <c r="L132" s="154">
        <f t="shared" si="21"/>
        <v>1.870609946056502E-6</v>
      </c>
      <c r="M132" s="154">
        <f>'A2 - Transport'!U101</f>
        <v>3.9101178999999995E-8</v>
      </c>
      <c r="N132" s="154">
        <f>'A2 - Transport'!U102</f>
        <v>8.2379709999999994E-8</v>
      </c>
      <c r="O132" s="154">
        <f t="shared" si="20"/>
        <v>1.21480889E-7</v>
      </c>
      <c r="P132" s="154">
        <f>'A2 - Transport'!U103</f>
        <v>0</v>
      </c>
      <c r="Q132" s="154">
        <f>'A2 - Transport'!U104</f>
        <v>0</v>
      </c>
      <c r="R132" s="154">
        <f t="shared" si="22"/>
        <v>0</v>
      </c>
      <c r="S132" s="154">
        <f>'A2 - Transport'!U105</f>
        <v>0</v>
      </c>
      <c r="T132" s="154">
        <f>'A2 - Transport'!U106</f>
        <v>0</v>
      </c>
      <c r="U132" s="154">
        <f t="shared" si="23"/>
        <v>0</v>
      </c>
      <c r="V132" s="154">
        <f>'A2 - Transport'!U107</f>
        <v>3.1964343743608386E-8</v>
      </c>
      <c r="W132" s="154">
        <f>'A2 - Transport'!U108</f>
        <v>7.3557540000000002E-8</v>
      </c>
      <c r="X132" s="154">
        <f>'A2 - Transport'!U109</f>
        <v>8.4065759999999996E-8</v>
      </c>
      <c r="Y132" s="154">
        <f t="shared" si="24"/>
        <v>1.8958764374360839E-7</v>
      </c>
      <c r="Z132" s="154">
        <f t="shared" si="25"/>
        <v>2.2517332788001105E-6</v>
      </c>
      <c r="AB132" s="87"/>
    </row>
    <row r="133" spans="1:28" x14ac:dyDescent="0.25">
      <c r="A133" s="1" t="s">
        <v>318</v>
      </c>
      <c r="B133" s="154">
        <f>'A2 - Transport'!V91</f>
        <v>1.4119280000000003E-9</v>
      </c>
      <c r="C133" s="154">
        <f>V16+V41+V66</f>
        <v>0</v>
      </c>
      <c r="D133" s="154">
        <f>V17+V42+V67</f>
        <v>2.3103563985061904E-9</v>
      </c>
      <c r="E133" s="154">
        <f>V18+V43+V68</f>
        <v>1.732767298879643E-9</v>
      </c>
      <c r="F133" s="154">
        <f>V19+V44+V69</f>
        <v>4.7518152E-9</v>
      </c>
      <c r="G133" s="154">
        <f>V20+V45+V70</f>
        <v>0</v>
      </c>
      <c r="H133" s="154">
        <f>V21+V46+V71</f>
        <v>1.2959496E-8</v>
      </c>
      <c r="I133" s="154">
        <f>V22+V47+V72</f>
        <v>1.5065735061842057E-9</v>
      </c>
      <c r="J133" s="154">
        <f>V23+V48+V73</f>
        <v>1.9670722601045242E-9</v>
      </c>
      <c r="K133" s="154">
        <f>V24+V49+V74</f>
        <v>1.9670722601045242E-9</v>
      </c>
      <c r="L133" s="154">
        <f t="shared" si="21"/>
        <v>2.7195152923779091E-8</v>
      </c>
      <c r="M133" s="154">
        <f>'A2 - Transport'!V101</f>
        <v>7.3779667999999997E-10</v>
      </c>
      <c r="N133" s="154">
        <f>'A2 - Transport'!V102</f>
        <v>1.6751246000000001E-9</v>
      </c>
      <c r="O133" s="154">
        <f t="shared" si="20"/>
        <v>2.4129212799999999E-9</v>
      </c>
      <c r="P133" s="154">
        <f>'A2 - Transport'!V103</f>
        <v>0</v>
      </c>
      <c r="Q133" s="154">
        <f>'A2 - Transport'!V104</f>
        <v>0</v>
      </c>
      <c r="R133" s="154">
        <f t="shared" si="22"/>
        <v>0</v>
      </c>
      <c r="S133" s="154">
        <f>'A2 - Transport'!V105</f>
        <v>0</v>
      </c>
      <c r="T133" s="154">
        <f>'A2 - Transport'!V106</f>
        <v>0</v>
      </c>
      <c r="U133" s="154">
        <f t="shared" si="23"/>
        <v>0</v>
      </c>
      <c r="V133" s="154">
        <f>'A2 - Transport'!V107</f>
        <v>4.2953041931506537E-10</v>
      </c>
      <c r="W133" s="154">
        <f>'A2 - Transport'!V108</f>
        <v>1.4825244000000001E-9</v>
      </c>
      <c r="X133" s="154">
        <f>'A2 - Transport'!V109</f>
        <v>1.6943136000000002E-9</v>
      </c>
      <c r="Y133" s="154">
        <f t="shared" si="24"/>
        <v>3.6063684193150653E-9</v>
      </c>
      <c r="Z133" s="154">
        <f t="shared" si="25"/>
        <v>3.4626370623094152E-8</v>
      </c>
      <c r="AB133" s="87"/>
    </row>
    <row r="134" spans="1:28" x14ac:dyDescent="0.25">
      <c r="A134" s="1" t="s">
        <v>319</v>
      </c>
      <c r="B134" s="154">
        <f>'A2 - Transport'!W91</f>
        <v>3.9358279999999994E-9</v>
      </c>
      <c r="C134" s="154">
        <f>W16+W41+W66</f>
        <v>0</v>
      </c>
      <c r="D134" s="154">
        <f>W17+W42+W67</f>
        <v>4.8304331521112867E-9</v>
      </c>
      <c r="E134" s="154">
        <f>W18+W43+W68</f>
        <v>3.6228248640834654E-9</v>
      </c>
      <c r="F134" s="154">
        <f>W19+W44+W69</f>
        <v>1.4444760000000001E-8</v>
      </c>
      <c r="G134" s="154">
        <f>W20+W45+W70</f>
        <v>0</v>
      </c>
      <c r="H134" s="154">
        <f>W21+W46+W71</f>
        <v>3.9394799999999999E-8</v>
      </c>
      <c r="I134" s="154">
        <f>W22+W47+W72</f>
        <v>8.5475394308646831E-9</v>
      </c>
      <c r="J134" s="154">
        <f>W23+W48+W73</f>
        <v>1.1345371941730439E-8</v>
      </c>
      <c r="K134" s="154">
        <f>W24+W49+W74</f>
        <v>1.1345371941730439E-8</v>
      </c>
      <c r="L134" s="154">
        <f t="shared" si="21"/>
        <v>9.3531101330520317E-8</v>
      </c>
      <c r="M134" s="154">
        <f>'A2 - Transport'!W101</f>
        <v>2.3595801999999999E-9</v>
      </c>
      <c r="N134" s="154">
        <f>'A2 - Transport'!W102</f>
        <v>4.8783868E-9</v>
      </c>
      <c r="O134" s="154">
        <f t="shared" si="20"/>
        <v>7.2379669999999994E-9</v>
      </c>
      <c r="P134" s="154">
        <f>'A2 - Transport'!W103</f>
        <v>0</v>
      </c>
      <c r="Q134" s="154">
        <f>'A2 - Transport'!W104</f>
        <v>0</v>
      </c>
      <c r="R134" s="154">
        <f t="shared" si="22"/>
        <v>0</v>
      </c>
      <c r="S134" s="154">
        <f>'A2 - Transport'!W105</f>
        <v>0</v>
      </c>
      <c r="T134" s="154">
        <f>'A2 - Transport'!W106</f>
        <v>0</v>
      </c>
      <c r="U134" s="154">
        <f t="shared" si="23"/>
        <v>0</v>
      </c>
      <c r="V134" s="154">
        <f>'A2 - Transport'!W107</f>
        <v>4.8984642195443308E-10</v>
      </c>
      <c r="W134" s="154">
        <f>'A2 - Transport'!W108</f>
        <v>4.1326194E-9</v>
      </c>
      <c r="X134" s="154">
        <f>'A2 - Transport'!W109</f>
        <v>4.7229936E-9</v>
      </c>
      <c r="Y134" s="154">
        <f t="shared" si="24"/>
        <v>9.3454594219544334E-9</v>
      </c>
      <c r="Z134" s="154">
        <f t="shared" si="25"/>
        <v>1.1405035575247475E-7</v>
      </c>
      <c r="AB134" s="87"/>
    </row>
    <row r="135" spans="1:28" x14ac:dyDescent="0.25">
      <c r="A135" s="1" t="s">
        <v>320</v>
      </c>
      <c r="B135" s="154">
        <f>'A2 - Transport'!X91</f>
        <v>1.650864E-4</v>
      </c>
      <c r="C135" s="154">
        <f>X16+X41+X66</f>
        <v>0</v>
      </c>
      <c r="D135" s="154">
        <f>X17+X42+X67</f>
        <v>3.6093276826375826E-3</v>
      </c>
      <c r="E135" s="154">
        <f>X18+X43+X68</f>
        <v>2.7069957619781869E-3</v>
      </c>
      <c r="F135" s="154">
        <f>X19+X44+X69</f>
        <v>9.2011260000000004E-4</v>
      </c>
      <c r="G135" s="154">
        <f>X20+X45+X70</f>
        <v>0</v>
      </c>
      <c r="H135" s="154">
        <f>X21+X46+X71</f>
        <v>2.5093980000000004E-3</v>
      </c>
      <c r="I135" s="154">
        <f>X22+X47+X72</f>
        <v>1.0313414080020057E-3</v>
      </c>
      <c r="J135" s="154">
        <f>X23+X48+X73</f>
        <v>1.4465105670911581E-3</v>
      </c>
      <c r="K135" s="154">
        <f>X24+X49+X74</f>
        <v>1.4465105670911581E-3</v>
      </c>
      <c r="L135" s="154">
        <f t="shared" si="21"/>
        <v>1.3670196586800094E-2</v>
      </c>
      <c r="M135" s="154">
        <f>'A2 - Transport'!X101</f>
        <v>1.47636964E-4</v>
      </c>
      <c r="N135" s="154">
        <f>'A2 - Transport'!X102</f>
        <v>2.5937449000000003E-4</v>
      </c>
      <c r="O135" s="154">
        <f t="shared" si="20"/>
        <v>4.0701145400000001E-4</v>
      </c>
      <c r="P135" s="154">
        <f>'A2 - Transport'!X103</f>
        <v>0</v>
      </c>
      <c r="Q135" s="154">
        <f>'A2 - Transport'!X104</f>
        <v>0</v>
      </c>
      <c r="R135" s="154">
        <f t="shared" si="22"/>
        <v>0</v>
      </c>
      <c r="S135" s="154">
        <f>'A2 - Transport'!X105</f>
        <v>0</v>
      </c>
      <c r="T135" s="154">
        <f>'A2 - Transport'!X106</f>
        <v>0</v>
      </c>
      <c r="U135" s="154">
        <f t="shared" si="23"/>
        <v>0</v>
      </c>
      <c r="V135" s="154">
        <f>'A2 - Transport'!X107</f>
        <v>2.8208483919839658E-4</v>
      </c>
      <c r="W135" s="154">
        <f>'A2 - Transport'!X108</f>
        <v>1.7334071999999999E-4</v>
      </c>
      <c r="X135" s="154">
        <f>'A2 - Transport'!X109</f>
        <v>1.9810367999999998E-4</v>
      </c>
      <c r="Y135" s="154">
        <f t="shared" si="24"/>
        <v>6.5352923919839647E-4</v>
      </c>
      <c r="Z135" s="154">
        <f t="shared" si="25"/>
        <v>1.4895823679998491E-2</v>
      </c>
      <c r="AB135" s="87"/>
    </row>
    <row r="136" spans="1:28" x14ac:dyDescent="0.25">
      <c r="A136" s="1" t="s">
        <v>321</v>
      </c>
      <c r="B136" s="154">
        <f>'A2 - Transport'!Y91</f>
        <v>1.9464756E-3</v>
      </c>
      <c r="C136" s="154">
        <f>Y16+Y41+Y66</f>
        <v>0</v>
      </c>
      <c r="D136" s="154">
        <f>Y17+Y42+Y67</f>
        <v>5.7740315511915531E-3</v>
      </c>
      <c r="E136" s="154">
        <f>Y18+Y43+Y68</f>
        <v>4.3305236633936648E-3</v>
      </c>
      <c r="F136" s="154">
        <f>Y19+Y44+Y69</f>
        <v>6.4828394399999989E-3</v>
      </c>
      <c r="G136" s="154">
        <f>Y20+Y45+Y70</f>
        <v>0</v>
      </c>
      <c r="H136" s="154">
        <f>Y21+Y46+Y71</f>
        <v>1.7680471199999999E-2</v>
      </c>
      <c r="I136" s="154">
        <f>Y22+Y47+Y72</f>
        <v>1.3837965389726901E-2</v>
      </c>
      <c r="J136" s="154">
        <f>Y23+Y48+Y73</f>
        <v>1.0916813484794466E-2</v>
      </c>
      <c r="K136" s="154">
        <f>Y24+Y49+Y74</f>
        <v>1.0916813484794466E-2</v>
      </c>
      <c r="L136" s="154">
        <f t="shared" si="21"/>
        <v>6.9939458213901046E-2</v>
      </c>
      <c r="M136" s="154">
        <f>'A2 - Transport'!Y101</f>
        <v>2.2649063049999998E-3</v>
      </c>
      <c r="N136" s="154">
        <f>'A2 - Transport'!Y102</f>
        <v>2.2974710200000001E-3</v>
      </c>
      <c r="O136" s="154">
        <f t="shared" si="20"/>
        <v>4.5623773250000003E-3</v>
      </c>
      <c r="P136" s="154">
        <f>'A2 - Transport'!Y103</f>
        <v>0</v>
      </c>
      <c r="Q136" s="154">
        <f>'A2 - Transport'!Y104</f>
        <v>0</v>
      </c>
      <c r="R136" s="154">
        <f t="shared" si="22"/>
        <v>0</v>
      </c>
      <c r="S136" s="154">
        <f>'A2 - Transport'!Y105</f>
        <v>0</v>
      </c>
      <c r="T136" s="154">
        <f>'A2 - Transport'!Y106</f>
        <v>0</v>
      </c>
      <c r="U136" s="154">
        <f t="shared" si="23"/>
        <v>0</v>
      </c>
      <c r="V136" s="154">
        <f>'A2 - Transport'!Y107</f>
        <v>2.2001175445316669E-3</v>
      </c>
      <c r="W136" s="154">
        <f>'A2 - Transport'!Y108</f>
        <v>2.04379938E-3</v>
      </c>
      <c r="X136" s="154">
        <f>'A2 - Transport'!Y109</f>
        <v>2.3357707200000002E-3</v>
      </c>
      <c r="Y136" s="154">
        <f t="shared" si="24"/>
        <v>6.5796876445316666E-3</v>
      </c>
      <c r="Z136" s="154">
        <f t="shared" si="25"/>
        <v>8.3027998783432713E-2</v>
      </c>
      <c r="AB136" s="87"/>
    </row>
    <row r="140" spans="1:28" x14ac:dyDescent="0.25">
      <c r="B140" t="s">
        <v>570</v>
      </c>
    </row>
    <row r="141" spans="1:28" x14ac:dyDescent="0.25">
      <c r="A141" s="95" t="s">
        <v>351</v>
      </c>
      <c r="B141" s="1">
        <f>SUM(G110:Y110)</f>
        <v>31.914186107166618</v>
      </c>
    </row>
    <row r="142" spans="1:28" x14ac:dyDescent="0.25">
      <c r="A142" s="95" t="s">
        <v>352</v>
      </c>
      <c r="B142" s="1">
        <f>SUM(B118:K136)+SUM(M118:N136)+SUM(P118:Q136)+SUM(S118:T136)+SUM(V118:X136)</f>
        <v>31.914186107166646</v>
      </c>
    </row>
    <row r="143" spans="1:28" x14ac:dyDescent="0.25">
      <c r="A143" s="95" t="s">
        <v>62</v>
      </c>
      <c r="B143" s="204">
        <f>+B141-B142</f>
        <v>-2.8421709430404007E-14</v>
      </c>
    </row>
    <row r="147" spans="1:1" ht="30" x14ac:dyDescent="0.25">
      <c r="A147" s="28" t="s">
        <v>571</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5546875" defaultRowHeight="15" x14ac:dyDescent="0.25"/>
  <cols>
    <col min="1" max="1" width="87.140625" customWidth="1"/>
    <col min="2" max="2" width="40.28515625" customWidth="1"/>
    <col min="3" max="3" width="24.42578125" customWidth="1"/>
    <col min="4" max="4" width="27.42578125" customWidth="1"/>
    <col min="5" max="5" width="19.85546875" customWidth="1"/>
    <col min="6" max="6" width="18.140625" customWidth="1"/>
    <col min="7" max="7" width="21.140625" customWidth="1"/>
    <col min="8" max="8" width="20.85546875" customWidth="1"/>
    <col min="9" max="9" width="21.5703125" customWidth="1"/>
    <col min="10" max="10" width="19" customWidth="1"/>
    <col min="11" max="11" width="20.140625" customWidth="1"/>
    <col min="12" max="12" width="19.140625" customWidth="1"/>
    <col min="13" max="13" width="22.140625" customWidth="1"/>
    <col min="14" max="14" width="23.28515625" customWidth="1"/>
    <col min="15" max="15" width="21.140625" customWidth="1"/>
    <col min="16" max="16" width="18.140625" customWidth="1"/>
    <col min="17" max="17" width="19" customWidth="1"/>
    <col min="18" max="18" width="16.85546875" customWidth="1"/>
    <col min="19" max="19" width="20.28515625" customWidth="1"/>
    <col min="20" max="20" width="20.85546875" customWidth="1"/>
    <col min="21" max="21" width="19" customWidth="1"/>
    <col min="22" max="22" width="20.85546875" customWidth="1"/>
    <col min="23" max="23" width="18.140625" customWidth="1"/>
    <col min="24" max="24" width="19.140625" customWidth="1"/>
    <col min="25" max="25" width="17.42578125" customWidth="1"/>
    <col min="27" max="27" width="8.85546875" customWidth="1"/>
    <col min="28" max="28" width="12.42578125" customWidth="1"/>
  </cols>
  <sheetData>
    <row r="1" spans="1:25" ht="24" x14ac:dyDescent="0.4">
      <c r="A1" s="100" t="s">
        <v>547</v>
      </c>
    </row>
    <row r="3" spans="1:25" x14ac:dyDescent="0.25">
      <c r="A3" s="397" t="s">
        <v>548</v>
      </c>
      <c r="B3" s="397"/>
      <c r="C3" s="62" t="s">
        <v>377</v>
      </c>
      <c r="D3" s="62" t="s">
        <v>378</v>
      </c>
    </row>
    <row r="4" spans="1:25" x14ac:dyDescent="0.25">
      <c r="A4" s="1" t="s">
        <v>549</v>
      </c>
      <c r="B4" s="106">
        <v>1.24</v>
      </c>
      <c r="C4" t="s">
        <v>550</v>
      </c>
      <c r="D4" s="30" t="s">
        <v>551</v>
      </c>
      <c r="E4" s="20"/>
    </row>
    <row r="5" spans="1:25" x14ac:dyDescent="0.25">
      <c r="A5" s="1" t="s">
        <v>552</v>
      </c>
      <c r="B5" s="106">
        <v>36.286999999999999</v>
      </c>
      <c r="C5" s="1"/>
      <c r="D5" s="1"/>
    </row>
    <row r="6" spans="1:25" x14ac:dyDescent="0.25">
      <c r="A6" s="1" t="s">
        <v>553</v>
      </c>
      <c r="B6" s="163">
        <f>B4/B5</f>
        <v>3.417201752693802E-2</v>
      </c>
      <c r="C6" s="1"/>
      <c r="D6" s="1"/>
    </row>
    <row r="10" spans="1:25" x14ac:dyDescent="0.25">
      <c r="A10" t="s">
        <v>554</v>
      </c>
    </row>
    <row r="12" spans="1:25" ht="24" x14ac:dyDescent="0.4">
      <c r="A12" s="100" t="s">
        <v>555</v>
      </c>
    </row>
    <row r="14" spans="1:25" ht="100.15" customHeight="1" x14ac:dyDescent="0.25">
      <c r="A14" s="104" t="s">
        <v>300</v>
      </c>
      <c r="B14" s="104" t="s">
        <v>301</v>
      </c>
      <c r="C14" s="103" t="s">
        <v>302</v>
      </c>
      <c r="D14" s="103" t="s">
        <v>60</v>
      </c>
      <c r="E14" s="103" t="s">
        <v>556</v>
      </c>
      <c r="F14" s="103" t="s">
        <v>557</v>
      </c>
      <c r="G14" s="103" t="s">
        <v>303</v>
      </c>
      <c r="H14" s="103" t="s">
        <v>304</v>
      </c>
      <c r="I14" s="103" t="s">
        <v>305</v>
      </c>
      <c r="J14" s="103" t="s">
        <v>306</v>
      </c>
      <c r="K14" s="103" t="s">
        <v>307</v>
      </c>
      <c r="L14" s="103" t="s">
        <v>308</v>
      </c>
      <c r="M14" s="103" t="s">
        <v>309</v>
      </c>
      <c r="N14" s="103" t="s">
        <v>310</v>
      </c>
      <c r="O14" s="103" t="s">
        <v>311</v>
      </c>
      <c r="P14" s="103" t="s">
        <v>312</v>
      </c>
      <c r="Q14" s="103" t="s">
        <v>313</v>
      </c>
      <c r="R14" s="103" t="s">
        <v>314</v>
      </c>
      <c r="S14" s="103" t="s">
        <v>315</v>
      </c>
      <c r="T14" s="103" t="s">
        <v>316</v>
      </c>
      <c r="U14" s="103" t="s">
        <v>317</v>
      </c>
      <c r="V14" s="103" t="s">
        <v>318</v>
      </c>
      <c r="W14" s="103" t="s">
        <v>319</v>
      </c>
      <c r="X14" s="103" t="s">
        <v>320</v>
      </c>
      <c r="Y14" s="103" t="s">
        <v>321</v>
      </c>
    </row>
    <row r="15" spans="1:25" x14ac:dyDescent="0.25">
      <c r="A15" s="389" t="s">
        <v>322</v>
      </c>
      <c r="B15" s="158" t="str">
        <f>Input!A51</f>
        <v>RAP 1</v>
      </c>
      <c r="C15" s="158">
        <f>+Input!B51</f>
        <v>0.18</v>
      </c>
      <c r="D15" s="158">
        <f>Input!$L51</f>
        <v>20</v>
      </c>
      <c r="E15" s="158" t="str">
        <f>Input!$J51</f>
        <v>Truck</v>
      </c>
      <c r="F15" s="158" t="str">
        <f>Input!$K51</f>
        <v>Electric</v>
      </c>
      <c r="G15" s="158" cm="1">
        <f t="array" ref="G15">INDEX(LCI!H$2:H$73, MATCH($E15&amp;$F15, LCI!$B$2:$B$73&amp;LCI!$D$2:$D$73, 0))* IF(AND($E15="Truck", OR($F15="Electric", $F15="Electric_green")), $B$6, 1)* $C15* $D15</f>
        <v>8.0010941652442193E-5</v>
      </c>
      <c r="H15" s="158" cm="1">
        <f t="array" ref="H15">INDEX(LCI!I$2:I$73, MATCH($E15&amp;$F15, LCI!$B$2:$B$73&amp;LCI!$D$2:$D$73, 0))* IF(AND($E15="Truck", OR($F15="Electric", $F15="Electric_green")), $B$6, 1)* $C15* $D15</f>
        <v>2.2413872464335568E-2</v>
      </c>
      <c r="I15" s="158" cm="1">
        <f t="array" ref="I15">INDEX(LCI!J$2:J$73, MATCH($E15&amp;$F15, LCI!$B$2:$B$73&amp;LCI!$D$2:$D$73, 0))* IF(AND($E15="Truck", OR($F15="Electric", $F15="Electric_green")), $B$6, 1)* $C15* $D15</f>
        <v>4.6857203412270325E-4</v>
      </c>
      <c r="J15" s="158" cm="1">
        <f t="array" ref="J15">INDEX(LCI!K$2:K$73, MATCH($E15&amp;$F15, LCI!$B$2:$B$73&amp;LCI!$D$2:$D$73, 0))* IF(AND($E15="Truck", OR($F15="Electric", $F15="Electric_green")), $B$6, 1)* $C15* $D15</f>
        <v>2.1890182462902599E-2</v>
      </c>
      <c r="K15" s="158" cm="1">
        <f t="array" ref="K15">INDEX(LCI!L$2:L$73, MATCH($E15&amp;$F15, LCI!$B$2:$B$73&amp;LCI!$D$2:$D$73, 0))* IF(AND($E15="Truck", OR($F15="Electric", $F15="Electric_green")), $B$6, 1)* $C15* $D15</f>
        <v>5.5117967310303201E-5</v>
      </c>
      <c r="L15" s="158" cm="1">
        <f t="array" ref="L15">INDEX(LCI!M$2:M$73, MATCH($E15&amp;$F15, LCI!$B$2:$B$73&amp;LCI!$D$2:$D$73, 0))* IF(AND($E15="Truck", OR($F15="Electric", $F15="Electric_green")), $B$6, 1)* $C15* $D15</f>
        <v>8.0363257631971163E-2</v>
      </c>
      <c r="M15" s="158" cm="1">
        <f t="array" ref="M15">INDEX(LCI!N$2:N$73, MATCH($E15&amp;$F15, LCI!$B$2:$B$73&amp;LCI!$D$2:$D$73, 0))* IF(AND($E15="Truck", OR($F15="Electric", $F15="Electric_green")), $B$6, 1)* $C15* $D15</f>
        <v>1.0777259334333591</v>
      </c>
      <c r="N15" s="158" cm="1">
        <f t="array" ref="N15">INDEX(LCI!O$2:O$73, MATCH($E15&amp;$F15, LCI!$B$2:$B$73&amp;LCI!$D$2:$D$73, 0))* IF(AND($E15="Truck", OR($F15="Electric", $F15="Electric_green")), $B$6, 1)* $C15* $D15</f>
        <v>8.2222623467570336E-6</v>
      </c>
      <c r="O15" s="158" cm="1">
        <f t="array" ref="O15">INDEX(LCI!P$2:P$73, MATCH($E15&amp;$F15, LCI!$B$2:$B$73&amp;LCI!$D$2:$D$73, 0))* IF(AND($E15="Truck", OR($F15="Electric", $F15="Electric_green")), $B$6, 1)* $C15* $D15</f>
        <v>1.6431289570547644E-5</v>
      </c>
      <c r="P15" s="158" cm="1">
        <f t="array" ref="P15">INDEX(LCI!Q$2:Q$73, MATCH($E15&amp;$F15, LCI!$B$2:$B$73&amp;LCI!$D$2:$D$73, 0))* IF(AND($E15="Truck", OR($F15="Electric", $F15="Electric_green")), $B$6, 1)* $C15* $D15</f>
        <v>1.5595594631857729E-4</v>
      </c>
      <c r="Q15" s="158" cm="1">
        <f t="array" ref="Q15">INDEX(LCI!R$2:R$73, MATCH($E15&amp;$F15, LCI!$B$2:$B$73&amp;LCI!$D$2:$D$73, 0))* IF(AND($E15="Truck", OR($F15="Electric", $F15="Electric_green")), $B$6, 1)* $C15* $D15</f>
        <v>9.3916120824432347E-12</v>
      </c>
      <c r="R15" s="158" cm="1">
        <f t="array" ref="R15">INDEX(LCI!S$2:S$73, MATCH($E15&amp;$F15, LCI!$B$2:$B$73&amp;LCI!$D$2:$D$73, 0))* IF(AND($E15="Truck", OR($F15="Electric", $F15="Electric_green")), $B$6, 1)* $C15* $D15</f>
        <v>6.0520101287573899E-10</v>
      </c>
      <c r="S15" s="158" cm="1">
        <f t="array" ref="S15">INDEX(LCI!T$2:T$73, MATCH($E15&amp;$F15, LCI!$B$2:$B$73&amp;LCI!$D$2:$D$73, 0))* IF(AND($E15="Truck", OR($F15="Electric", $F15="Electric_green")), $B$6, 1)* $C15* $D15</f>
        <v>4.5271745400356139E-2</v>
      </c>
      <c r="T15" s="158" cm="1">
        <f t="array" ref="T15">INDEX(LCI!U$2:U$73, MATCH($E15&amp;$F15, LCI!$B$2:$B$73&amp;LCI!$D$2:$D$73, 0))* IF(AND($E15="Truck", OR($F15="Electric", $F15="Electric_green")), $B$6, 1)* $C15* $D15</f>
        <v>0.17007010456564253</v>
      </c>
      <c r="U15" s="158" cm="1">
        <f t="array" ref="U15">INDEX(LCI!V$2:V$73, MATCH($E15&amp;$F15, LCI!$B$2:$B$73&amp;LCI!$D$2:$D$73, 0))* IF(AND($E15="Truck", OR($F15="Electric", $F15="Electric_green")), $B$6, 1)* $C15* $D15</f>
        <v>5.8362099499121599E-7</v>
      </c>
      <c r="V15" s="158" cm="1">
        <f t="array" ref="V15">INDEX(LCI!W$2:W$73, MATCH($E15&amp;$F15, LCI!$B$2:$B$73&amp;LCI!$D$2:$D$73, 0))* IF(AND($E15="Truck", OR($F15="Electric", $F15="Electric_green")), $B$6, 1)* $C15* $D15</f>
        <v>6.9984356668859905E-10</v>
      </c>
      <c r="W15" s="158" cm="1">
        <f t="array" ref="W15">INDEX(LCI!X$2:X$73, MATCH($E15&amp;$F15, LCI!$B$2:$B$73&amp;LCI!$D$2:$D$73, 0))* IF(AND($E15="Truck", OR($F15="Electric", $F15="Electric_green")), $B$6, 1)* $C15* $D15</f>
        <v>1.5420326951848381E-9</v>
      </c>
      <c r="X15" s="158" cm="1">
        <f t="array" ref="X15">INDEX(LCI!Y$2:Y$73, MATCH($E15&amp;$F15, LCI!$B$2:$B$73&amp;LCI!$D$2:$D$73, 0))* IF(AND($E15="Truck", OR($F15="Electric", $F15="Electric_green")), $B$6, 1)* $C15* $D15</f>
        <v>4.9829453340702963E-5</v>
      </c>
      <c r="Y15" s="158" cm="1">
        <f t="array" ref="Y15">INDEX(LCI!Z$2:Z$73, MATCH($E15&amp;$F15, LCI!$B$2:$B$73&amp;LCI!$D$2:$D$73, 0))* IF(AND($E15="Truck", OR($F15="Electric", $F15="Electric_green")), $B$6, 1)* $C15* $D15</f>
        <v>1.29468895161861E-2</v>
      </c>
    </row>
    <row r="16" spans="1:25" ht="13.9" customHeight="1" x14ac:dyDescent="0.25">
      <c r="A16" s="389"/>
      <c r="B16" s="158" t="str">
        <f>Input!A52</f>
        <v>RAP 2</v>
      </c>
      <c r="C16" s="158">
        <f>+Input!B52</f>
        <v>0.23</v>
      </c>
      <c r="D16" s="158">
        <f>Input!$L52</f>
        <v>20</v>
      </c>
      <c r="E16" s="158" t="str">
        <f>Input!$J52</f>
        <v>Truck</v>
      </c>
      <c r="F16" s="158" t="str">
        <f>Input!$K52</f>
        <v>Electric</v>
      </c>
      <c r="G16" s="158" cm="1">
        <f t="array" ref="G16">INDEX(LCI!H$2:H$73, MATCH($E16&amp;$F16, LCI!$B$2:$B$73&amp;LCI!$D$2:$D$73, 0))* IF(AND($E16="Truck", OR($F16="Electric", $F16="Electric_green")), $B$6, 1)* $C16* $D16</f>
        <v>1.0223620322256504E-4</v>
      </c>
      <c r="H16" s="158" cm="1">
        <f t="array" ref="H16">INDEX(LCI!I$2:I$73, MATCH($E16&amp;$F16, LCI!$B$2:$B$73&amp;LCI!$D$2:$D$73, 0))* IF(AND($E16="Truck", OR($F16="Electric", $F16="Electric_green")), $B$6, 1)* $C16* $D16</f>
        <v>2.8639948148873225E-2</v>
      </c>
      <c r="I16" s="158" cm="1">
        <f t="array" ref="I16">INDEX(LCI!J$2:J$73, MATCH($E16&amp;$F16, LCI!$B$2:$B$73&amp;LCI!$D$2:$D$73, 0))* IF(AND($E16="Truck", OR($F16="Electric", $F16="Electric_green")), $B$6, 1)* $C16* $D16</f>
        <v>5.9873093249012094E-4</v>
      </c>
      <c r="J16" s="158" cm="1">
        <f t="array" ref="J16">INDEX(LCI!K$2:K$73, MATCH($E16&amp;$F16, LCI!$B$2:$B$73&amp;LCI!$D$2:$D$73, 0))* IF(AND($E16="Truck", OR($F16="Electric", $F16="Electric_green")), $B$6, 1)* $C16* $D16</f>
        <v>2.7970788702597772E-2</v>
      </c>
      <c r="K16" s="158" cm="1">
        <f t="array" ref="K16">INDEX(LCI!L$2:L$73, MATCH($E16&amp;$F16, LCI!$B$2:$B$73&amp;LCI!$D$2:$D$73, 0))* IF(AND($E16="Truck", OR($F16="Electric", $F16="Electric_green")), $B$6, 1)* $C16* $D16</f>
        <v>7.0428513785387428E-5</v>
      </c>
      <c r="L16" s="158" cm="1">
        <f t="array" ref="L16">INDEX(LCI!M$2:M$73, MATCH($E16&amp;$F16, LCI!$B$2:$B$73&amp;LCI!$D$2:$D$73, 0))* IF(AND($E16="Truck", OR($F16="Electric", $F16="Electric_green")), $B$6, 1)* $C16* $D16</f>
        <v>0.10268638475196316</v>
      </c>
      <c r="M16" s="158" cm="1">
        <f t="array" ref="M16">INDEX(LCI!N$2:N$73, MATCH($E16&amp;$F16, LCI!$B$2:$B$73&amp;LCI!$D$2:$D$73, 0))* IF(AND($E16="Truck", OR($F16="Electric", $F16="Electric_green")), $B$6, 1)* $C16* $D16</f>
        <v>1.3770942482759587</v>
      </c>
      <c r="N16" s="158" cm="1">
        <f t="array" ref="N16">INDEX(LCI!O$2:O$73, MATCH($E16&amp;$F16, LCI!$B$2:$B$73&amp;LCI!$D$2:$D$73, 0))* IF(AND($E16="Truck", OR($F16="Electric", $F16="Electric_green")), $B$6, 1)* $C16* $D16</f>
        <v>1.0506224109745099E-5</v>
      </c>
      <c r="O16" s="158" cm="1">
        <f t="array" ref="O16">INDEX(LCI!P$2:P$73, MATCH($E16&amp;$F16, LCI!$B$2:$B$73&amp;LCI!$D$2:$D$73, 0))* IF(AND($E16="Truck", OR($F16="Electric", $F16="Electric_green")), $B$6, 1)* $C16* $D16</f>
        <v>2.0995536673477544E-5</v>
      </c>
      <c r="P16" s="158" cm="1">
        <f t="array" ref="P16">INDEX(LCI!Q$2:Q$73, MATCH($E16&amp;$F16, LCI!$B$2:$B$73&amp;LCI!$D$2:$D$73, 0))* IF(AND($E16="Truck", OR($F16="Electric", $F16="Electric_green")), $B$6, 1)* $C16* $D16</f>
        <v>1.992770425181821E-4</v>
      </c>
      <c r="Q16" s="158" cm="1">
        <f t="array" ref="Q16">INDEX(LCI!R$2:R$73, MATCH($E16&amp;$F16, LCI!$B$2:$B$73&amp;LCI!$D$2:$D$73, 0))* IF(AND($E16="Truck", OR($F16="Electric", $F16="Electric_green")), $B$6, 1)* $C16* $D16</f>
        <v>1.2000393216455246E-11</v>
      </c>
      <c r="R16" s="158" cm="1">
        <f t="array" ref="R16">INDEX(LCI!S$2:S$73, MATCH($E16&amp;$F16, LCI!$B$2:$B$73&amp;LCI!$D$2:$D$73, 0))* IF(AND($E16="Truck", OR($F16="Electric", $F16="Electric_green")), $B$6, 1)* $C16* $D16</f>
        <v>7.7331240534122219E-10</v>
      </c>
      <c r="S16" s="158" cm="1">
        <f t="array" ref="S16">INDEX(LCI!T$2:T$73, MATCH($E16&amp;$F16, LCI!$B$2:$B$73&amp;LCI!$D$2:$D$73, 0))* IF(AND($E16="Truck", OR($F16="Electric", $F16="Electric_green")), $B$6, 1)* $C16* $D16</f>
        <v>5.7847230233788398E-2</v>
      </c>
      <c r="T16" s="158" cm="1">
        <f t="array" ref="T16">INDEX(LCI!U$2:U$73, MATCH($E16&amp;$F16, LCI!$B$2:$B$73&amp;LCI!$D$2:$D$73, 0))* IF(AND($E16="Truck", OR($F16="Electric", $F16="Electric_green")), $B$6, 1)* $C16* $D16</f>
        <v>0.21731180027832103</v>
      </c>
      <c r="U16" s="158" cm="1">
        <f t="array" ref="U16">INDEX(LCI!V$2:V$73, MATCH($E16&amp;$F16, LCI!$B$2:$B$73&amp;LCI!$D$2:$D$73, 0))* IF(AND($E16="Truck", OR($F16="Electric", $F16="Electric_green")), $B$6, 1)* $C16* $D16</f>
        <v>7.4573793804433168E-7</v>
      </c>
      <c r="V16" s="158" cm="1">
        <f t="array" ref="V16">INDEX(LCI!W$2:W$73, MATCH($E16&amp;$F16, LCI!$B$2:$B$73&amp;LCI!$D$2:$D$73, 0))* IF(AND($E16="Truck", OR($F16="Electric", $F16="Electric_green")), $B$6, 1)* $C16* $D16</f>
        <v>8.9424455743543224E-10</v>
      </c>
      <c r="W16" s="158" cm="1">
        <f t="array" ref="W16">INDEX(LCI!X$2:X$73, MATCH($E16&amp;$F16, LCI!$B$2:$B$73&amp;LCI!$D$2:$D$73, 0))* IF(AND($E16="Truck", OR($F16="Electric", $F16="Electric_green")), $B$6, 1)* $C16* $D16</f>
        <v>1.9703751105139599E-9</v>
      </c>
      <c r="X16" s="158" cm="1">
        <f t="array" ref="X16">INDEX(LCI!Y$2:Y$73, MATCH($E16&amp;$F16, LCI!$B$2:$B$73&amp;LCI!$D$2:$D$73, 0))* IF(AND($E16="Truck", OR($F16="Electric", $F16="Electric_green")), $B$6, 1)* $C16* $D16</f>
        <v>6.3670968157564906E-5</v>
      </c>
      <c r="Y16" s="158" cm="1">
        <f t="array" ref="Y16">INDEX(LCI!Z$2:Z$73, MATCH($E16&amp;$F16, LCI!$B$2:$B$73&amp;LCI!$D$2:$D$73, 0))* IF(AND($E16="Truck", OR($F16="Electric", $F16="Electric_green")), $B$6, 1)* $C16* $D16</f>
        <v>1.6543247715126688E-2</v>
      </c>
    </row>
    <row r="17" spans="1:25" ht="13.9" customHeight="1" x14ac:dyDescent="0.25">
      <c r="A17" s="390" t="s">
        <v>323</v>
      </c>
      <c r="B17" s="158" t="str">
        <f>Input!A53</f>
        <v>Other_waste 1</v>
      </c>
      <c r="C17" s="158">
        <f>+Input!B53</f>
        <v>0.02</v>
      </c>
      <c r="D17" s="158">
        <f>Input!$L53</f>
        <v>50</v>
      </c>
      <c r="E17" s="158" t="str">
        <f>Input!$J53</f>
        <v>Truck</v>
      </c>
      <c r="F17" s="158" t="str">
        <f>Input!$K53</f>
        <v>Biodiesel_20%</v>
      </c>
      <c r="G17" s="158" cm="1">
        <f t="array" ref="G17">INDEX(LCI!H$2:H$73, MATCH($E17&amp;$F17, LCI!$B$2:$B$73&amp;LCI!$D$2:$D$73, 0))* IF(AND($E17="Truck", OR($F17="Electric", $F17="Electric_green")), $B$6, 1)* $C17* $D17</f>
        <v>9.4001900000000016E-4</v>
      </c>
      <c r="H17" s="158" cm="1">
        <f t="array" ref="H17">INDEX(LCI!I$2:I$73, MATCH($E17&amp;$F17, LCI!$B$2:$B$73&amp;LCI!$D$2:$D$73, 0))* IF(AND($E17="Truck", OR($F17="Electric", $F17="Electric_green")), $B$6, 1)* $C17* $D17</f>
        <v>0.14879259380000001</v>
      </c>
      <c r="I17" s="158" cm="1">
        <f t="array" ref="I17">INDEX(LCI!J$2:J$73, MATCH($E17&amp;$F17, LCI!$B$2:$B$73&amp;LCI!$D$2:$D$73, 0))* IF(AND($E17="Truck", OR($F17="Electric", $F17="Electric_green")), $B$6, 1)* $C17* $D17</f>
        <v>7.2392723999999999E-4</v>
      </c>
      <c r="J17" s="158" cm="1">
        <f t="array" ref="J17">INDEX(LCI!K$2:K$73, MATCH($E17&amp;$F17, LCI!$B$2:$B$73&amp;LCI!$D$2:$D$73, 0))* IF(AND($E17="Truck", OR($F17="Electric", $F17="Electric_green")), $B$6, 1)* $C17* $D17</f>
        <v>0.148048815</v>
      </c>
      <c r="K17" s="158" cm="1">
        <f t="array" ref="K17">INDEX(LCI!L$2:L$73, MATCH($E17&amp;$F17, LCI!$B$2:$B$73&amp;LCI!$D$2:$D$73, 0))* IF(AND($E17="Truck", OR($F17="Electric", $F17="Electric_green")), $B$6, 1)* $C17* $D17</f>
        <v>1.9851380000000003E-5</v>
      </c>
      <c r="L17" s="158" cm="1">
        <f t="array" ref="L17">INDEX(LCI!M$2:M$73, MATCH($E17&amp;$F17, LCI!$B$2:$B$73&amp;LCI!$D$2:$D$73, 0))* IF(AND($E17="Truck", OR($F17="Electric", $F17="Electric_green")), $B$6, 1)* $C17* $D17</f>
        <v>0.80204598840000008</v>
      </c>
      <c r="M17" s="158" cm="1">
        <f t="array" ref="M17">INDEX(LCI!N$2:N$73, MATCH($E17&amp;$F17, LCI!$B$2:$B$73&amp;LCI!$D$2:$D$73, 0))* IF(AND($E17="Truck", OR($F17="Electric", $F17="Electric_green")), $B$6, 1)* $C17* $D17</f>
        <v>1.9310641862</v>
      </c>
      <c r="N17" s="158" cm="1">
        <f t="array" ref="N17">INDEX(LCI!O$2:O$73, MATCH($E17&amp;$F17, LCI!$B$2:$B$73&amp;LCI!$D$2:$D$73, 0))* IF(AND($E17="Truck", OR($F17="Electric", $F17="Electric_green")), $B$6, 1)* $C17* $D17</f>
        <v>7.9981800000000011E-6</v>
      </c>
      <c r="O17" s="158" cm="1">
        <f t="array" ref="O17">INDEX(LCI!P$2:P$73, MATCH($E17&amp;$F17, LCI!$B$2:$B$73&amp;LCI!$D$2:$D$73, 0))* IF(AND($E17="Truck", OR($F17="Electric", $F17="Electric_green")), $B$6, 1)* $C17* $D17</f>
        <v>6.4383099999999998E-4</v>
      </c>
      <c r="P17" s="158" cm="1">
        <f t="array" ref="P17">INDEX(LCI!Q$2:Q$73, MATCH($E17&amp;$F17, LCI!$B$2:$B$73&amp;LCI!$D$2:$D$73, 0))* IF(AND($E17="Truck", OR($F17="Electric", $F17="Electric_green")), $B$6, 1)* $C17* $D17</f>
        <v>4.1650280000000003E-3</v>
      </c>
      <c r="Q17" s="158" cm="1">
        <f t="array" ref="Q17">INDEX(LCI!R$2:R$73, MATCH($E17&amp;$F17, LCI!$B$2:$B$73&amp;LCI!$D$2:$D$73, 0))* IF(AND($E17="Truck", OR($F17="Electric", $F17="Electric_green")), $B$6, 1)* $C17* $D17</f>
        <v>3.201732E-11</v>
      </c>
      <c r="R17" s="158" cm="1">
        <f t="array" ref="R17">INDEX(LCI!S$2:S$73, MATCH($E17&amp;$F17, LCI!$B$2:$B$73&amp;LCI!$D$2:$D$73, 0))* IF(AND($E17="Truck", OR($F17="Electric", $F17="Electric_green")), $B$6, 1)* $C17* $D17</f>
        <v>3.1048400000000006E-9</v>
      </c>
      <c r="S17" s="158" cm="1">
        <f t="array" ref="S17">INDEX(LCI!T$2:T$73, MATCH($E17&amp;$F17, LCI!$B$2:$B$73&amp;LCI!$D$2:$D$73, 0))* IF(AND($E17="Truck", OR($F17="Electric", $F17="Electric_green")), $B$6, 1)* $C17* $D17</f>
        <v>1.9006642000000001E-3</v>
      </c>
      <c r="T17" s="158" cm="1">
        <f t="array" ref="T17">INDEX(LCI!U$2:U$73, MATCH($E17&amp;$F17, LCI!$B$2:$B$73&amp;LCI!$D$2:$D$73, 0))* IF(AND($E17="Truck", OR($F17="Electric", $F17="Electric_green")), $B$6, 1)* $C17* $D17</f>
        <v>1.5213577466000001</v>
      </c>
      <c r="U17" s="158" cm="1">
        <f t="array" ref="U17">INDEX(LCI!V$2:V$73, MATCH($E17&amp;$F17, LCI!$B$2:$B$73&amp;LCI!$D$2:$D$73, 0))* IF(AND($E17="Truck", OR($F17="Electric", $F17="Electric_green")), $B$6, 1)* $C17* $D17</f>
        <v>2.6468720000000003E-7</v>
      </c>
      <c r="V17" s="158" cm="1">
        <f t="array" ref="V17">INDEX(LCI!W$2:W$73, MATCH($E17&amp;$F17, LCI!$B$2:$B$73&amp;LCI!$D$2:$D$73, 0))* IF(AND($E17="Truck", OR($F17="Electric", $F17="Electric_green")), $B$6, 1)* $C17* $D17</f>
        <v>3.995964E-9</v>
      </c>
      <c r="W17" s="158" cm="1">
        <f t="array" ref="W17">INDEX(LCI!X$2:X$73, MATCH($E17&amp;$F17, LCI!$B$2:$B$73&amp;LCI!$D$2:$D$73, 0))* IF(AND($E17="Truck", OR($F17="Electric", $F17="Electric_green")), $B$6, 1)* $C17* $D17</f>
        <v>1.4742559999999999E-8</v>
      </c>
      <c r="X17" s="158" cm="1">
        <f t="array" ref="X17">INDEX(LCI!Y$2:Y$73, MATCH($E17&amp;$F17, LCI!$B$2:$B$73&amp;LCI!$D$2:$D$73, 0))* IF(AND($E17="Truck", OR($F17="Electric", $F17="Electric_green")), $B$6, 1)* $C17* $D17</f>
        <v>8.7985420000000008E-4</v>
      </c>
      <c r="Y17" s="158" cm="1">
        <f t="array" ref="Y17">INDEX(LCI!Z$2:Z$73, MATCH($E17&amp;$F17, LCI!$B$2:$B$73&amp;LCI!$D$2:$D$73, 0))* IF(AND($E17="Truck", OR($F17="Electric", $F17="Electric_green")), $B$6, 1)* $C17* $D17</f>
        <v>3.3414751000000006E-2</v>
      </c>
    </row>
    <row r="18" spans="1:25" ht="13.9" customHeight="1" x14ac:dyDescent="0.25">
      <c r="A18" s="390"/>
      <c r="B18" s="158" t="str">
        <f>Input!A54</f>
        <v>Other_waste 2</v>
      </c>
      <c r="C18" s="158">
        <f>+Input!B54</f>
        <v>0.02</v>
      </c>
      <c r="D18" s="158">
        <f>Input!$L54</f>
        <v>20</v>
      </c>
      <c r="E18" s="158" t="str">
        <f>Input!$J54</f>
        <v>Truck</v>
      </c>
      <c r="F18" s="158" t="str">
        <f>Input!$K54</f>
        <v>Diesel_Euro5</v>
      </c>
      <c r="G18" s="158" cm="1">
        <f t="array" ref="G18">INDEX(LCI!H$2:H$73, MATCH($E18&amp;$F18, LCI!$B$2:$B$73&amp;LCI!$D$2:$D$73, 0))* IF(AND($E18="Truck", OR($F18="Electric", $F18="Electric_green")), $B$6, 1)* $C18* $D18</f>
        <v>1.7709480000000004E-4</v>
      </c>
      <c r="H18" s="158" cm="1">
        <f t="array" ref="H18">INDEX(LCI!I$2:I$73, MATCH($E18&amp;$F18, LCI!$B$2:$B$73&amp;LCI!$D$2:$D$73, 0))* IF(AND($E18="Truck", OR($F18="Electric", $F18="Electric_green")), $B$6, 1)* $C18* $D18</f>
        <v>6.4734379600000003E-2</v>
      </c>
      <c r="I18" s="158" cm="1">
        <f t="array" ref="I18">INDEX(LCI!J$2:J$73, MATCH($E18&amp;$F18, LCI!$B$2:$B$73&amp;LCI!$D$2:$D$73, 0))* IF(AND($E18="Truck", OR($F18="Electric", $F18="Electric_green")), $B$6, 1)* $C18* $D18</f>
        <v>2.9919519999999998E-5</v>
      </c>
      <c r="J18" s="158" cm="1">
        <f t="array" ref="J18">INDEX(LCI!K$2:K$73, MATCH($E18&amp;$F18, LCI!$B$2:$B$73&amp;LCI!$D$2:$D$73, 0))* IF(AND($E18="Truck", OR($F18="Electric", $F18="Electric_green")), $B$6, 1)* $C18* $D18</f>
        <v>6.4699370000000006E-2</v>
      </c>
      <c r="K18" s="158" cm="1">
        <f t="array" ref="K18">INDEX(LCI!L$2:L$73, MATCH($E18&amp;$F18, LCI!$B$2:$B$73&amp;LCI!$D$2:$D$73, 0))* IF(AND($E18="Truck", OR($F18="Electric", $F18="Electric_green")), $B$6, 1)* $C18* $D18</f>
        <v>5.0899600000000001E-6</v>
      </c>
      <c r="L18" s="158" cm="1">
        <f t="array" ref="L18">INDEX(LCI!M$2:M$73, MATCH($E18&amp;$F18, LCI!$B$2:$B$73&amp;LCI!$D$2:$D$73, 0))* IF(AND($E18="Truck", OR($F18="Electric", $F18="Electric_green")), $B$6, 1)* $C18* $D18</f>
        <v>5.50147312E-2</v>
      </c>
      <c r="M18" s="158" cm="1">
        <f t="array" ref="M18">INDEX(LCI!N$2:N$73, MATCH($E18&amp;$F18, LCI!$B$2:$B$73&amp;LCI!$D$2:$D$73, 0))* IF(AND($E18="Truck", OR($F18="Electric", $F18="Electric_green")), $B$6, 1)* $C18* $D18</f>
        <v>0.8703758439999999</v>
      </c>
      <c r="N18" s="158" cm="1">
        <f t="array" ref="N18">INDEX(LCI!O$2:O$73, MATCH($E18&amp;$F18, LCI!$B$2:$B$73&amp;LCI!$D$2:$D$73, 0))* IF(AND($E18="Truck", OR($F18="Electric", $F18="Electric_green")), $B$6, 1)* $C18* $D18</f>
        <v>1.4892000000000001E-6</v>
      </c>
      <c r="O18" s="158" cm="1">
        <f t="array" ref="O18">INDEX(LCI!P$2:P$73, MATCH($E18&amp;$F18, LCI!$B$2:$B$73&amp;LCI!$D$2:$D$73, 0))* IF(AND($E18="Truck", OR($F18="Electric", $F18="Electric_green")), $B$6, 1)* $C18* $D18</f>
        <v>6.3541599999999995E-5</v>
      </c>
      <c r="P18" s="158" cm="1">
        <f t="array" ref="P18">INDEX(LCI!Q$2:Q$73, MATCH($E18&amp;$F18, LCI!$B$2:$B$73&amp;LCI!$D$2:$D$73, 0))* IF(AND($E18="Truck", OR($F18="Electric", $F18="Electric_green")), $B$6, 1)* $C18* $D18</f>
        <v>6.9314199999999989E-4</v>
      </c>
      <c r="Q18" s="158" cm="1">
        <f t="array" ref="Q18">INDEX(LCI!R$2:R$73, MATCH($E18&amp;$F18, LCI!$B$2:$B$73&amp;LCI!$D$2:$D$73, 0))* IF(AND($E18="Truck", OR($F18="Electric", $F18="Electric_green")), $B$6, 1)* $C18* $D18</f>
        <v>6.0508399999999997E-12</v>
      </c>
      <c r="R18" s="158" cm="1">
        <f t="array" ref="R18">INDEX(LCI!S$2:S$73, MATCH($E18&amp;$F18, LCI!$B$2:$B$73&amp;LCI!$D$2:$D$73, 0))* IF(AND($E18="Truck", OR($F18="Electric", $F18="Electric_green")), $B$6, 1)* $C18* $D18</f>
        <v>4.6394000000000005E-10</v>
      </c>
      <c r="S18" s="158" cm="1">
        <f t="array" ref="S18">INDEX(LCI!T$2:T$73, MATCH($E18&amp;$F18, LCI!$B$2:$B$73&amp;LCI!$D$2:$D$73, 0))* IF(AND($E18="Truck", OR($F18="Electric", $F18="Electric_green")), $B$6, 1)* $C18* $D18</f>
        <v>3.9185119999999999E-4</v>
      </c>
      <c r="T18" s="158" cm="1">
        <f t="array" ref="T18">INDEX(LCI!U$2:U$73, MATCH($E18&amp;$F18, LCI!$B$2:$B$73&amp;LCI!$D$2:$D$73, 0))* IF(AND($E18="Truck", OR($F18="Electric", $F18="Electric_green")), $B$6, 1)* $C18* $D18</f>
        <v>5.4616736000000006E-2</v>
      </c>
      <c r="U18" s="158" cm="1">
        <f t="array" ref="U18">INDEX(LCI!V$2:V$73, MATCH($E18&amp;$F18, LCI!$B$2:$B$73&amp;LCI!$D$2:$D$73, 0))* IF(AND($E18="Truck", OR($F18="Electric", $F18="Electric_green")), $B$6, 1)* $C18* $D18</f>
        <v>7.0168399999999992E-8</v>
      </c>
      <c r="V18" s="158" cm="1">
        <f t="array" ref="V18">INDEX(LCI!W$2:W$73, MATCH($E18&amp;$F18, LCI!$B$2:$B$73&amp;LCI!$D$2:$D$73, 0))* IF(AND($E18="Truck", OR($F18="Electric", $F18="Electric_green")), $B$6, 1)* $C18* $D18</f>
        <v>1.4399439999999999E-9</v>
      </c>
      <c r="W18" s="158" cm="1">
        <f t="array" ref="W18">INDEX(LCI!X$2:X$73, MATCH($E18&amp;$F18, LCI!$B$2:$B$73&amp;LCI!$D$2:$D$73, 0))* IF(AND($E18="Truck", OR($F18="Electric", $F18="Electric_green")), $B$6, 1)* $C18* $D18</f>
        <v>4.3772000000000001E-9</v>
      </c>
      <c r="X18" s="158" cm="1">
        <f t="array" ref="X18">INDEX(LCI!Y$2:Y$73, MATCH($E18&amp;$F18, LCI!$B$2:$B$73&amp;LCI!$D$2:$D$73, 0))* IF(AND($E18="Truck", OR($F18="Electric", $F18="Electric_green")), $B$6, 1)* $C18* $D18</f>
        <v>2.7882200000000002E-4</v>
      </c>
      <c r="Y18" s="158" cm="1">
        <f t="array" ref="Y18">INDEX(LCI!Z$2:Z$73, MATCH($E18&amp;$F18, LCI!$B$2:$B$73&amp;LCI!$D$2:$D$73, 0))* IF(AND($E18="Truck", OR($F18="Electric", $F18="Electric_green")), $B$6, 1)* $C18* $D18</f>
        <v>1.9644967999999999E-3</v>
      </c>
    </row>
    <row r="19" spans="1:25" ht="13.9" customHeight="1" x14ac:dyDescent="0.25">
      <c r="A19" s="395" t="s">
        <v>558</v>
      </c>
      <c r="B19" s="395"/>
      <c r="C19" s="395"/>
      <c r="D19" s="395"/>
      <c r="E19" s="395"/>
      <c r="F19" s="395"/>
      <c r="G19" s="139">
        <f t="shared" ref="G19:Y19" si="0">SUM(G15:G18)</f>
        <v>1.2993609448750075E-3</v>
      </c>
      <c r="H19" s="139">
        <f t="shared" si="0"/>
        <v>0.26458079401320878</v>
      </c>
      <c r="I19" s="139">
        <f t="shared" si="0"/>
        <v>1.8211497266128242E-3</v>
      </c>
      <c r="J19" s="139">
        <f t="shared" si="0"/>
        <v>0.2626091561655004</v>
      </c>
      <c r="K19" s="139">
        <f t="shared" si="0"/>
        <v>1.5048782109569064E-4</v>
      </c>
      <c r="L19" s="139">
        <f t="shared" si="0"/>
        <v>1.0401103619839345</v>
      </c>
      <c r="M19" s="139">
        <f t="shared" si="0"/>
        <v>5.2562602119093178</v>
      </c>
      <c r="N19" s="139">
        <f t="shared" si="0"/>
        <v>2.8215866456502134E-5</v>
      </c>
      <c r="O19" s="139">
        <f t="shared" si="0"/>
        <v>7.4479942624402508E-4</v>
      </c>
      <c r="P19" s="139">
        <f t="shared" si="0"/>
        <v>5.2134029888367597E-3</v>
      </c>
      <c r="Q19" s="139">
        <f t="shared" si="0"/>
        <v>5.9460165298898476E-11</v>
      </c>
      <c r="R19" s="139">
        <f t="shared" si="0"/>
        <v>4.9472934182169619E-9</v>
      </c>
      <c r="S19" s="139">
        <f t="shared" si="0"/>
        <v>0.10541149103414454</v>
      </c>
      <c r="T19" s="139">
        <f t="shared" si="0"/>
        <v>1.9633563874439637</v>
      </c>
      <c r="U19" s="139">
        <f t="shared" si="0"/>
        <v>1.6642145330355476E-6</v>
      </c>
      <c r="V19" s="139">
        <f t="shared" si="0"/>
        <v>7.0299961241240305E-9</v>
      </c>
      <c r="W19" s="139">
        <f t="shared" si="0"/>
        <v>2.2632167805698799E-8</v>
      </c>
      <c r="X19" s="139">
        <f t="shared" si="0"/>
        <v>1.2721766214982679E-3</v>
      </c>
      <c r="Y19" s="139">
        <f t="shared" si="0"/>
        <v>6.4869385031312787E-2</v>
      </c>
    </row>
    <row r="20" spans="1:25" ht="13.9" customHeight="1" x14ac:dyDescent="0.25"/>
    <row r="21" spans="1:25" ht="13.9" customHeight="1" x14ac:dyDescent="0.25"/>
    <row r="22" spans="1:25" ht="24" x14ac:dyDescent="0.4">
      <c r="A22" s="100" t="s">
        <v>559</v>
      </c>
    </row>
    <row r="23" spans="1:25" ht="13.9" customHeight="1" x14ac:dyDescent="0.25"/>
    <row r="24" spans="1:25" ht="13.9" customHeight="1" x14ac:dyDescent="0.25">
      <c r="A24" s="104" t="s">
        <v>300</v>
      </c>
      <c r="B24" s="104" t="s">
        <v>301</v>
      </c>
      <c r="C24" s="103" t="s">
        <v>302</v>
      </c>
      <c r="D24" s="103" t="s">
        <v>60</v>
      </c>
      <c r="E24" s="103" t="s">
        <v>556</v>
      </c>
      <c r="F24" s="103" t="s">
        <v>557</v>
      </c>
      <c r="G24" s="103" t="s">
        <v>303</v>
      </c>
      <c r="H24" s="103" t="s">
        <v>304</v>
      </c>
      <c r="I24" s="103" t="s">
        <v>305</v>
      </c>
      <c r="J24" s="103" t="s">
        <v>306</v>
      </c>
      <c r="K24" s="103" t="s">
        <v>307</v>
      </c>
      <c r="L24" s="103" t="s">
        <v>308</v>
      </c>
      <c r="M24" s="103" t="s">
        <v>309</v>
      </c>
      <c r="N24" s="103" t="s">
        <v>310</v>
      </c>
      <c r="O24" s="103" t="s">
        <v>311</v>
      </c>
      <c r="P24" s="103" t="s">
        <v>312</v>
      </c>
      <c r="Q24" s="103" t="s">
        <v>313</v>
      </c>
      <c r="R24" s="103" t="s">
        <v>314</v>
      </c>
      <c r="S24" s="103" t="s">
        <v>315</v>
      </c>
      <c r="T24" s="103" t="s">
        <v>316</v>
      </c>
      <c r="U24" s="103" t="s">
        <v>317</v>
      </c>
      <c r="V24" s="103" t="s">
        <v>318</v>
      </c>
      <c r="W24" s="103" t="s">
        <v>319</v>
      </c>
      <c r="X24" s="103" t="s">
        <v>320</v>
      </c>
      <c r="Y24" s="103" t="s">
        <v>321</v>
      </c>
    </row>
    <row r="25" spans="1:25" x14ac:dyDescent="0.25">
      <c r="A25" s="389" t="s">
        <v>322</v>
      </c>
      <c r="B25" s="154" t="str">
        <f>Input!A51</f>
        <v>RAP 1</v>
      </c>
      <c r="C25" s="158">
        <f>+Input!B51</f>
        <v>0.18</v>
      </c>
      <c r="D25" s="154">
        <f>Input!$O51</f>
        <v>25</v>
      </c>
      <c r="E25" s="154" t="str">
        <f>Input!$M51</f>
        <v>Truck</v>
      </c>
      <c r="F25" s="154" t="str">
        <f>Input!$N51</f>
        <v>Electric</v>
      </c>
      <c r="G25" s="154" cm="1">
        <f t="array" ref="G25">INDEX(LCI!H$2:H$73,MATCH($E25&amp;$F25,LCI!$B$2:$B$73&amp;LCI!$D$2:$D$73,0))*IF(AND($E25="Truck", OR($F25="Electric", $F25="Electric_green")), $B$6, 1)*$D25*$C25</f>
        <v>1.0001367706555275E-4</v>
      </c>
      <c r="H25" s="154" cm="1">
        <f t="array" ref="H25">INDEX(LCI!I$2:I$73,MATCH($E25&amp;$F25,LCI!$B$2:$B$73&amp;LCI!$D$2:$D$73,0))*IF(AND($E25="Truck", OR($F25="Electric", $F25="Electric_green")), $B$6, 1)*$D25*$C25</f>
        <v>2.8017340580419457E-2</v>
      </c>
      <c r="I25" s="154" cm="1">
        <f t="array" ref="I25">INDEX(LCI!J$2:J$73,MATCH($E25&amp;$F25,LCI!$B$2:$B$73&amp;LCI!$D$2:$D$73,0))*IF(AND($E25="Truck", OR($F25="Electric", $F25="Electric_green")), $B$6, 1)*$D25*$C25</f>
        <v>5.8571504265337909E-4</v>
      </c>
      <c r="J25" s="154" cm="1">
        <f t="array" ref="J25">INDEX(LCI!K$2:K$73,MATCH($E25&amp;$F25,LCI!$B$2:$B$73&amp;LCI!$D$2:$D$73,0))*IF(AND($E25="Truck", OR($F25="Electric", $F25="Electric_green")), $B$6, 1)*$D25*$C25</f>
        <v>2.7362728078628249E-2</v>
      </c>
      <c r="K25" s="154" cm="1">
        <f t="array" ref="K25">INDEX(LCI!L$2:L$73,MATCH($E25&amp;$F25,LCI!$B$2:$B$73&amp;LCI!$D$2:$D$73,0))*IF(AND($E25="Truck", OR($F25="Electric", $F25="Electric_green")), $B$6, 1)*$D25*$C25</f>
        <v>6.8897459137879003E-5</v>
      </c>
      <c r="L25" s="154" cm="1">
        <f t="array" ref="L25">INDEX(LCI!M$2:M$73,MATCH($E25&amp;$F25,LCI!$B$2:$B$73&amp;LCI!$D$2:$D$73,0))*IF(AND($E25="Truck", OR($F25="Electric", $F25="Electric_green")), $B$6, 1)*$D25*$C25</f>
        <v>0.10045407203996395</v>
      </c>
      <c r="M25" s="154" cm="1">
        <f t="array" ref="M25">INDEX(LCI!N$2:N$73,MATCH($E25&amp;$F25,LCI!$B$2:$B$73&amp;LCI!$D$2:$D$73,0))*IF(AND($E25="Truck", OR($F25="Electric", $F25="Electric_green")), $B$6, 1)*$D25*$C25</f>
        <v>1.3471574167916986</v>
      </c>
      <c r="N25" s="154" cm="1">
        <f t="array" ref="N25">INDEX(LCI!O$2:O$73,MATCH($E25&amp;$F25,LCI!$B$2:$B$73&amp;LCI!$D$2:$D$73,0))*IF(AND($E25="Truck", OR($F25="Electric", $F25="Electric_green")), $B$6, 1)*$D25*$C25</f>
        <v>1.0277827933446292E-5</v>
      </c>
      <c r="O25" s="154" cm="1">
        <f t="array" ref="O25">INDEX(LCI!P$2:P$73,MATCH($E25&amp;$F25,LCI!$B$2:$B$73&amp;LCI!$D$2:$D$73,0))*IF(AND($E25="Truck", OR($F25="Electric", $F25="Electric_green")), $B$6, 1)*$D25*$C25</f>
        <v>2.0539111963184554E-5</v>
      </c>
      <c r="P25" s="154" cm="1">
        <f t="array" ref="P25">INDEX(LCI!Q$2:Q$73,MATCH($E25&amp;$F25,LCI!$B$2:$B$73&amp;LCI!$D$2:$D$73,0))*IF(AND($E25="Truck", OR($F25="Electric", $F25="Electric_green")), $B$6, 1)*$D25*$C25</f>
        <v>1.949449328982216E-4</v>
      </c>
      <c r="Q25" s="154" cm="1">
        <f t="array" ref="Q25">INDEX(LCI!R$2:R$73,MATCH($E25&amp;$F25,LCI!$B$2:$B$73&amp;LCI!$D$2:$D$73,0))*IF(AND($E25="Truck", OR($F25="Electric", $F25="Electric_green")), $B$6, 1)*$D25*$C25</f>
        <v>1.1739515103054044E-11</v>
      </c>
      <c r="R25" s="154" cm="1">
        <f t="array" ref="R25">INDEX(LCI!S$2:S$73,MATCH($E25&amp;$F25,LCI!$B$2:$B$73&amp;LCI!$D$2:$D$73,0))*IF(AND($E25="Truck", OR($F25="Electric", $F25="Electric_green")), $B$6, 1)*$D25*$C25</f>
        <v>7.5650126609467384E-10</v>
      </c>
      <c r="S25" s="154" cm="1">
        <f t="array" ref="S25">INDEX(LCI!T$2:T$73,MATCH($E25&amp;$F25,LCI!$B$2:$B$73&amp;LCI!$D$2:$D$73,0))*IF(AND($E25="Truck", OR($F25="Electric", $F25="Electric_green")), $B$6, 1)*$D25*$C25</f>
        <v>5.6589681750445167E-2</v>
      </c>
      <c r="T25" s="154" cm="1">
        <f t="array" ref="T25">INDEX(LCI!U$2:U$73,MATCH($E25&amp;$F25,LCI!$B$2:$B$73&amp;LCI!$D$2:$D$73,0))*IF(AND($E25="Truck", OR($F25="Electric", $F25="Electric_green")), $B$6, 1)*$D25*$C25</f>
        <v>0.21258763070705319</v>
      </c>
      <c r="U25" s="154" cm="1">
        <f t="array" ref="U25">INDEX(LCI!V$2:V$73,MATCH($E25&amp;$F25,LCI!$B$2:$B$73&amp;LCI!$D$2:$D$73,0))*IF(AND($E25="Truck", OR($F25="Electric", $F25="Electric_green")), $B$6, 1)*$D25*$C25</f>
        <v>7.2952624373901991E-7</v>
      </c>
      <c r="V25" s="154" cm="1">
        <f t="array" ref="V25">INDEX(LCI!W$2:W$73,MATCH($E25&amp;$F25,LCI!$B$2:$B$73&amp;LCI!$D$2:$D$73,0))*IF(AND($E25="Truck", OR($F25="Electric", $F25="Electric_green")), $B$6, 1)*$D25*$C25</f>
        <v>8.7480445836074881E-10</v>
      </c>
      <c r="W25" s="154" cm="1">
        <f t="array" ref="W25">INDEX(LCI!X$2:X$73,MATCH($E25&amp;$F25,LCI!$B$2:$B$73&amp;LCI!$D$2:$D$73,0))*IF(AND($E25="Truck", OR($F25="Electric", $F25="Electric_green")), $B$6, 1)*$D25*$C25</f>
        <v>1.9275408689810476E-9</v>
      </c>
      <c r="X25" s="154" cm="1">
        <f t="array" ref="X25">INDEX(LCI!Y$2:Y$73,MATCH($E25&amp;$F25,LCI!$B$2:$B$73&amp;LCI!$D$2:$D$73,0))*IF(AND($E25="Truck", OR($F25="Electric", $F25="Electric_green")), $B$6, 1)*$D25*$C25</f>
        <v>6.2286816675878704E-5</v>
      </c>
      <c r="Y25" s="154" cm="1">
        <f t="array" ref="Y25">INDEX(LCI!Z$2:Z$73,MATCH($E25&amp;$F25,LCI!$B$2:$B$73&amp;LCI!$D$2:$D$73,0))*IF(AND($E25="Truck", OR($F25="Electric", $F25="Electric_green")), $B$6, 1)*$D25*$C25</f>
        <v>1.6183611895232625E-2</v>
      </c>
    </row>
    <row r="26" spans="1:25" ht="13.9" customHeight="1" x14ac:dyDescent="0.25">
      <c r="A26" s="389"/>
      <c r="B26" s="154" t="str">
        <f>Input!A52</f>
        <v>RAP 2</v>
      </c>
      <c r="C26" s="158">
        <f>+Input!B52</f>
        <v>0.23</v>
      </c>
      <c r="D26" s="154">
        <f>Input!$O52</f>
        <v>25</v>
      </c>
      <c r="E26" s="154" t="str">
        <f>Input!$M52</f>
        <v>Truck</v>
      </c>
      <c r="F26" s="154" t="str">
        <f>Input!$N52</f>
        <v>Electric</v>
      </c>
      <c r="G26" s="154" cm="1">
        <f t="array" ref="G26">INDEX(LCI!H$2:H$73,MATCH($E26&amp;$F26,LCI!$B$2:$B$73&amp;LCI!$D$2:$D$73,0))*IF(AND($E26="Truck", OR($F26="Electric", $F26="Electric_green")), $B$6, 1)*$D26*$C26</f>
        <v>1.2779525402820629E-4</v>
      </c>
      <c r="H26" s="154" cm="1">
        <f t="array" ref="H26">INDEX(LCI!I$2:I$73,MATCH($E26&amp;$F26,LCI!$B$2:$B$73&amp;LCI!$D$2:$D$73,0))*IF(AND($E26="Truck", OR($F26="Electric", $F26="Electric_green")), $B$6, 1)*$D26*$C26</f>
        <v>3.5799935186091529E-2</v>
      </c>
      <c r="I26" s="154" cm="1">
        <f t="array" ref="I26">INDEX(LCI!J$2:J$73,MATCH($E26&amp;$F26,LCI!$B$2:$B$73&amp;LCI!$D$2:$D$73,0))*IF(AND($E26="Truck", OR($F26="Electric", $F26="Electric_green")), $B$6, 1)*$D26*$C26</f>
        <v>7.4841366561265112E-4</v>
      </c>
      <c r="J26" s="154" cm="1">
        <f t="array" ref="J26">INDEX(LCI!K$2:K$73,MATCH($E26&amp;$F26,LCI!$B$2:$B$73&amp;LCI!$D$2:$D$73,0))*IF(AND($E26="Truck", OR($F26="Electric", $F26="Electric_green")), $B$6, 1)*$D26*$C26</f>
        <v>3.4963485878247207E-2</v>
      </c>
      <c r="K26" s="154" cm="1">
        <f t="array" ref="K26">INDEX(LCI!L$2:L$73,MATCH($E26&amp;$F26,LCI!$B$2:$B$73&amp;LCI!$D$2:$D$73,0))*IF(AND($E26="Truck", OR($F26="Electric", $F26="Electric_green")), $B$6, 1)*$D26*$C26</f>
        <v>8.8035642231734285E-5</v>
      </c>
      <c r="L26" s="154" cm="1">
        <f t="array" ref="L26">INDEX(LCI!M$2:M$73,MATCH($E26&amp;$F26,LCI!$B$2:$B$73&amp;LCI!$D$2:$D$73,0))*IF(AND($E26="Truck", OR($F26="Electric", $F26="Electric_green")), $B$6, 1)*$D26*$C26</f>
        <v>0.12835798093995396</v>
      </c>
      <c r="M26" s="154" cm="1">
        <f t="array" ref="M26">INDEX(LCI!N$2:N$73,MATCH($E26&amp;$F26,LCI!$B$2:$B$73&amp;LCI!$D$2:$D$73,0))*IF(AND($E26="Truck", OR($F26="Electric", $F26="Electric_green")), $B$6, 1)*$D26*$C26</f>
        <v>1.7213678103449486</v>
      </c>
      <c r="N26" s="154" cm="1">
        <f t="array" ref="N26">INDEX(LCI!O$2:O$73,MATCH($E26&amp;$F26,LCI!$B$2:$B$73&amp;LCI!$D$2:$D$73,0))*IF(AND($E26="Truck", OR($F26="Electric", $F26="Electric_green")), $B$6, 1)*$D26*$C26</f>
        <v>1.3132780137181373E-5</v>
      </c>
      <c r="O26" s="154" cm="1">
        <f t="array" ref="O26">INDEX(LCI!P$2:P$73,MATCH($E26&amp;$F26,LCI!$B$2:$B$73&amp;LCI!$D$2:$D$73,0))*IF(AND($E26="Truck", OR($F26="Electric", $F26="Electric_green")), $B$6, 1)*$D26*$C26</f>
        <v>2.6244420841846931E-5</v>
      </c>
      <c r="P26" s="154" cm="1">
        <f t="array" ref="P26">INDEX(LCI!Q$2:Q$73,MATCH($E26&amp;$F26,LCI!$B$2:$B$73&amp;LCI!$D$2:$D$73,0))*IF(AND($E26="Truck", OR($F26="Electric", $F26="Electric_green")), $B$6, 1)*$D26*$C26</f>
        <v>2.4909630314772765E-4</v>
      </c>
      <c r="Q26" s="154" cm="1">
        <f t="array" ref="Q26">INDEX(LCI!R$2:R$73,MATCH($E26&amp;$F26,LCI!$B$2:$B$73&amp;LCI!$D$2:$D$73,0))*IF(AND($E26="Truck", OR($F26="Electric", $F26="Electric_green")), $B$6, 1)*$D26*$C26</f>
        <v>1.5000491520569057E-11</v>
      </c>
      <c r="R26" s="154" cm="1">
        <f t="array" ref="R26">INDEX(LCI!S$2:S$73,MATCH($E26&amp;$F26,LCI!$B$2:$B$73&amp;LCI!$D$2:$D$73,0))*IF(AND($E26="Truck", OR($F26="Electric", $F26="Electric_green")), $B$6, 1)*$D26*$C26</f>
        <v>9.6664050667652776E-10</v>
      </c>
      <c r="S26" s="154" cm="1">
        <f t="array" ref="S26">INDEX(LCI!T$2:T$73,MATCH($E26&amp;$F26,LCI!$B$2:$B$73&amp;LCI!$D$2:$D$73,0))*IF(AND($E26="Truck", OR($F26="Electric", $F26="Electric_green")), $B$6, 1)*$D26*$C26</f>
        <v>7.2309037792235492E-2</v>
      </c>
      <c r="T26" s="154" cm="1">
        <f t="array" ref="T26">INDEX(LCI!U$2:U$73,MATCH($E26&amp;$F26,LCI!$B$2:$B$73&amp;LCI!$D$2:$D$73,0))*IF(AND($E26="Truck", OR($F26="Electric", $F26="Electric_green")), $B$6, 1)*$D26*$C26</f>
        <v>0.27163975034790133</v>
      </c>
      <c r="U26" s="154" cm="1">
        <f t="array" ref="U26">INDEX(LCI!V$2:V$73,MATCH($E26&amp;$F26,LCI!$B$2:$B$73&amp;LCI!$D$2:$D$73,0))*IF(AND($E26="Truck", OR($F26="Electric", $F26="Electric_green")), $B$6, 1)*$D26*$C26</f>
        <v>9.321724225554145E-7</v>
      </c>
      <c r="V26" s="154" cm="1">
        <f t="array" ref="V26">INDEX(LCI!W$2:W$73,MATCH($E26&amp;$F26,LCI!$B$2:$B$73&amp;LCI!$D$2:$D$73,0))*IF(AND($E26="Truck", OR($F26="Electric", $F26="Electric_green")), $B$6, 1)*$D26*$C26</f>
        <v>1.1178056967942902E-9</v>
      </c>
      <c r="W26" s="154" cm="1">
        <f t="array" ref="W26">INDEX(LCI!X$2:X$73,MATCH($E26&amp;$F26,LCI!$B$2:$B$73&amp;LCI!$D$2:$D$73,0))*IF(AND($E26="Truck", OR($F26="Electric", $F26="Electric_green")), $B$6, 1)*$D26*$C26</f>
        <v>2.4629688881424502E-9</v>
      </c>
      <c r="X26" s="154" cm="1">
        <f t="array" ref="X26">INDEX(LCI!Y$2:Y$73,MATCH($E26&amp;$F26,LCI!$B$2:$B$73&amp;LCI!$D$2:$D$73,0))*IF(AND($E26="Truck", OR($F26="Electric", $F26="Electric_green")), $B$6, 1)*$D26*$C26</f>
        <v>7.9588710196956133E-5</v>
      </c>
      <c r="Y26" s="154" cm="1">
        <f t="array" ref="Y26">INDEX(LCI!Z$2:Z$73,MATCH($E26&amp;$F26,LCI!$B$2:$B$73&amp;LCI!$D$2:$D$73,0))*IF(AND($E26="Truck", OR($F26="Electric", $F26="Electric_green")), $B$6, 1)*$D26*$C26</f>
        <v>2.0679059643908357E-2</v>
      </c>
    </row>
    <row r="27" spans="1:25" x14ac:dyDescent="0.25">
      <c r="A27" s="390" t="s">
        <v>323</v>
      </c>
      <c r="B27" s="154" t="str">
        <f>Input!A53</f>
        <v>Other_waste 1</v>
      </c>
      <c r="C27" s="158">
        <f>+Input!B53</f>
        <v>0.02</v>
      </c>
      <c r="D27" s="154">
        <f>Input!$O53</f>
        <v>50</v>
      </c>
      <c r="E27" s="154" t="str">
        <f>Input!$M53</f>
        <v>Truck</v>
      </c>
      <c r="F27" s="154" t="str">
        <f>Input!$N53</f>
        <v>Biodiesel_20%</v>
      </c>
      <c r="G27" s="154" cm="1">
        <f t="array" ref="G27">INDEX(LCI!H$2:H$73,MATCH($E27&amp;$F27,LCI!$B$2:$B$73&amp;LCI!$D$2:$D$73,0))*IF(AND($E27="Truck", OR($F27="Electric", $F27="Electric_green")), $B$6, 1)*$D27*$C27</f>
        <v>9.4001900000000005E-4</v>
      </c>
      <c r="H27" s="154" cm="1">
        <f t="array" ref="H27">INDEX(LCI!I$2:I$73,MATCH($E27&amp;$F27,LCI!$B$2:$B$73&amp;LCI!$D$2:$D$73,0))*IF(AND($E27="Truck", OR($F27="Electric", $F27="Electric_green")), $B$6, 1)*$D27*$C27</f>
        <v>0.14879259380000001</v>
      </c>
      <c r="I27" s="154" cm="1">
        <f t="array" ref="I27">INDEX(LCI!J$2:J$73,MATCH($E27&amp;$F27,LCI!$B$2:$B$73&amp;LCI!$D$2:$D$73,0))*IF(AND($E27="Truck", OR($F27="Electric", $F27="Electric_green")), $B$6, 1)*$D27*$C27</f>
        <v>7.2392723999999988E-4</v>
      </c>
      <c r="J27" s="154" cm="1">
        <f t="array" ref="J27">INDEX(LCI!K$2:K$73,MATCH($E27&amp;$F27,LCI!$B$2:$B$73&amp;LCI!$D$2:$D$73,0))*IF(AND($E27="Truck", OR($F27="Electric", $F27="Electric_green")), $B$6, 1)*$D27*$C27</f>
        <v>0.148048815</v>
      </c>
      <c r="K27" s="154" cm="1">
        <f t="array" ref="K27">INDEX(LCI!L$2:L$73,MATCH($E27&amp;$F27,LCI!$B$2:$B$73&amp;LCI!$D$2:$D$73,0))*IF(AND($E27="Truck", OR($F27="Electric", $F27="Electric_green")), $B$6, 1)*$D27*$C27</f>
        <v>1.9851380000000006E-5</v>
      </c>
      <c r="L27" s="154" cm="1">
        <f t="array" ref="L27">INDEX(LCI!M$2:M$73,MATCH($E27&amp;$F27,LCI!$B$2:$B$73&amp;LCI!$D$2:$D$73,0))*IF(AND($E27="Truck", OR($F27="Electric", $F27="Electric_green")), $B$6, 1)*$D27*$C27</f>
        <v>0.80204598840000008</v>
      </c>
      <c r="M27" s="154" cm="1">
        <f t="array" ref="M27">INDEX(LCI!N$2:N$73,MATCH($E27&amp;$F27,LCI!$B$2:$B$73&amp;LCI!$D$2:$D$73,0))*IF(AND($E27="Truck", OR($F27="Electric", $F27="Electric_green")), $B$6, 1)*$D27*$C27</f>
        <v>1.9310641862</v>
      </c>
      <c r="N27" s="154" cm="1">
        <f t="array" ref="N27">INDEX(LCI!O$2:O$73,MATCH($E27&amp;$F27,LCI!$B$2:$B$73&amp;LCI!$D$2:$D$73,0))*IF(AND($E27="Truck", OR($F27="Electric", $F27="Electric_green")), $B$6, 1)*$D27*$C27</f>
        <v>7.9981800000000011E-6</v>
      </c>
      <c r="O27" s="154" cm="1">
        <f t="array" ref="O27">INDEX(LCI!P$2:P$73,MATCH($E27&amp;$F27,LCI!$B$2:$B$73&amp;LCI!$D$2:$D$73,0))*IF(AND($E27="Truck", OR($F27="Electric", $F27="Electric_green")), $B$6, 1)*$D27*$C27</f>
        <v>6.4383099999999998E-4</v>
      </c>
      <c r="P27" s="154" cm="1">
        <f t="array" ref="P27">INDEX(LCI!Q$2:Q$73,MATCH($E27&amp;$F27,LCI!$B$2:$B$73&amp;LCI!$D$2:$D$73,0))*IF(AND($E27="Truck", OR($F27="Electric", $F27="Electric_green")), $B$6, 1)*$D27*$C27</f>
        <v>4.1650280000000003E-3</v>
      </c>
      <c r="Q27" s="154" cm="1">
        <f t="array" ref="Q27">INDEX(LCI!R$2:R$73,MATCH($E27&amp;$F27,LCI!$B$2:$B$73&amp;LCI!$D$2:$D$73,0))*IF(AND($E27="Truck", OR($F27="Electric", $F27="Electric_green")), $B$6, 1)*$D27*$C27</f>
        <v>3.201732E-11</v>
      </c>
      <c r="R27" s="154" cm="1">
        <f t="array" ref="R27">INDEX(LCI!S$2:S$73,MATCH($E27&amp;$F27,LCI!$B$2:$B$73&amp;LCI!$D$2:$D$73,0))*IF(AND($E27="Truck", OR($F27="Electric", $F27="Electric_green")), $B$6, 1)*$D27*$C27</f>
        <v>3.1048400000000006E-9</v>
      </c>
      <c r="S27" s="154" cm="1">
        <f t="array" ref="S27">INDEX(LCI!T$2:T$73,MATCH($E27&amp;$F27,LCI!$B$2:$B$73&amp;LCI!$D$2:$D$73,0))*IF(AND($E27="Truck", OR($F27="Electric", $F27="Electric_green")), $B$6, 1)*$D27*$C27</f>
        <v>1.9006641999999999E-3</v>
      </c>
      <c r="T27" s="154" cm="1">
        <f t="array" ref="T27">INDEX(LCI!U$2:U$73,MATCH($E27&amp;$F27,LCI!$B$2:$B$73&amp;LCI!$D$2:$D$73,0))*IF(AND($E27="Truck", OR($F27="Electric", $F27="Electric_green")), $B$6, 1)*$D27*$C27</f>
        <v>1.5213577466000001</v>
      </c>
      <c r="U27" s="154" cm="1">
        <f t="array" ref="U27">INDEX(LCI!V$2:V$73,MATCH($E27&amp;$F27,LCI!$B$2:$B$73&amp;LCI!$D$2:$D$73,0))*IF(AND($E27="Truck", OR($F27="Electric", $F27="Electric_green")), $B$6, 1)*$D27*$C27</f>
        <v>2.6468720000000003E-7</v>
      </c>
      <c r="V27" s="154" cm="1">
        <f t="array" ref="V27">INDEX(LCI!W$2:W$73,MATCH($E27&amp;$F27,LCI!$B$2:$B$73&amp;LCI!$D$2:$D$73,0))*IF(AND($E27="Truck", OR($F27="Electric", $F27="Electric_green")), $B$6, 1)*$D27*$C27</f>
        <v>3.995964E-9</v>
      </c>
      <c r="W27" s="154" cm="1">
        <f t="array" ref="W27">INDEX(LCI!X$2:X$73,MATCH($E27&amp;$F27,LCI!$B$2:$B$73&amp;LCI!$D$2:$D$73,0))*IF(AND($E27="Truck", OR($F27="Electric", $F27="Electric_green")), $B$6, 1)*$D27*$C27</f>
        <v>1.474256E-8</v>
      </c>
      <c r="X27" s="154" cm="1">
        <f t="array" ref="X27">INDEX(LCI!Y$2:Y$73,MATCH($E27&amp;$F27,LCI!$B$2:$B$73&amp;LCI!$D$2:$D$73,0))*IF(AND($E27="Truck", OR($F27="Electric", $F27="Electric_green")), $B$6, 1)*$D27*$C27</f>
        <v>8.7985420000000008E-4</v>
      </c>
      <c r="Y27" s="154" cm="1">
        <f t="array" ref="Y27">INDEX(LCI!Z$2:Z$73,MATCH($E27&amp;$F27,LCI!$B$2:$B$73&amp;LCI!$D$2:$D$73,0))*IF(AND($E27="Truck", OR($F27="Electric", $F27="Electric_green")), $B$6, 1)*$D27*$C27</f>
        <v>3.3414751000000006E-2</v>
      </c>
    </row>
    <row r="28" spans="1:25" ht="13.9" customHeight="1" x14ac:dyDescent="0.25">
      <c r="A28" s="390"/>
      <c r="B28" s="154" t="str">
        <f>Input!A54</f>
        <v>Other_waste 2</v>
      </c>
      <c r="C28" s="158">
        <f>+Input!B54</f>
        <v>0.02</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25">
      <c r="A29" s="395" t="s">
        <v>560</v>
      </c>
      <c r="B29" s="395"/>
      <c r="C29" s="395"/>
      <c r="D29" s="395"/>
      <c r="E29" s="395"/>
      <c r="F29" s="395"/>
      <c r="G29" s="140">
        <f t="shared" ref="G29:Y29" si="1">SUM(G25:G28)</f>
        <v>1.1678279310937591E-3</v>
      </c>
      <c r="H29" s="140">
        <f t="shared" si="1"/>
        <v>0.21260986956651101</v>
      </c>
      <c r="I29" s="140">
        <f t="shared" si="1"/>
        <v>2.05805594826603E-3</v>
      </c>
      <c r="J29" s="140">
        <f t="shared" si="1"/>
        <v>0.21037502895687546</v>
      </c>
      <c r="K29" s="140">
        <f t="shared" si="1"/>
        <v>1.7678448136961328E-4</v>
      </c>
      <c r="L29" s="140">
        <f t="shared" si="1"/>
        <v>1.030858041379918</v>
      </c>
      <c r="M29" s="140">
        <f t="shared" si="1"/>
        <v>4.999589413336647</v>
      </c>
      <c r="N29" s="140">
        <f t="shared" si="1"/>
        <v>3.1408788070627664E-5</v>
      </c>
      <c r="O29" s="140">
        <f t="shared" si="1"/>
        <v>6.9061453280503142E-4</v>
      </c>
      <c r="P29" s="140">
        <f t="shared" si="1"/>
        <v>4.6090692360459496E-3</v>
      </c>
      <c r="Q29" s="140">
        <f t="shared" si="1"/>
        <v>5.8757326623623103E-11</v>
      </c>
      <c r="R29" s="140">
        <f t="shared" si="1"/>
        <v>4.8279817727712022E-9</v>
      </c>
      <c r="S29" s="140">
        <f t="shared" si="1"/>
        <v>0.13079938374268069</v>
      </c>
      <c r="T29" s="140">
        <f t="shared" si="1"/>
        <v>2.0055851276549546</v>
      </c>
      <c r="U29" s="140">
        <f t="shared" si="1"/>
        <v>1.9263858662944342E-6</v>
      </c>
      <c r="V29" s="140">
        <f t="shared" si="1"/>
        <v>5.988574155155039E-9</v>
      </c>
      <c r="W29" s="140">
        <f t="shared" si="1"/>
        <v>1.9133069757123499E-8</v>
      </c>
      <c r="X29" s="140">
        <f t="shared" si="1"/>
        <v>1.0217297268728348E-3</v>
      </c>
      <c r="Y29" s="140">
        <f t="shared" si="1"/>
        <v>7.0277422539140988E-2</v>
      </c>
    </row>
    <row r="30" spans="1:25" ht="13.9" customHeight="1" x14ac:dyDescent="0.2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4" x14ac:dyDescent="0.4">
      <c r="A32" s="100" t="s">
        <v>561</v>
      </c>
    </row>
    <row r="33" spans="1:25" ht="13.9" customHeight="1" x14ac:dyDescent="0.25"/>
    <row r="34" spans="1:25" ht="105" x14ac:dyDescent="0.25">
      <c r="A34" s="104" t="s">
        <v>300</v>
      </c>
      <c r="B34" s="104" t="s">
        <v>301</v>
      </c>
      <c r="C34" s="103" t="s">
        <v>302</v>
      </c>
      <c r="D34" s="103" t="s">
        <v>60</v>
      </c>
      <c r="E34" s="103" t="s">
        <v>556</v>
      </c>
      <c r="F34" s="103" t="s">
        <v>557</v>
      </c>
      <c r="G34" s="103" t="s">
        <v>303</v>
      </c>
      <c r="H34" s="103" t="s">
        <v>304</v>
      </c>
      <c r="I34" s="103" t="s">
        <v>305</v>
      </c>
      <c r="J34" s="103" t="s">
        <v>306</v>
      </c>
      <c r="K34" s="103" t="s">
        <v>307</v>
      </c>
      <c r="L34" s="103" t="s">
        <v>308</v>
      </c>
      <c r="M34" s="103" t="s">
        <v>309</v>
      </c>
      <c r="N34" s="103" t="s">
        <v>310</v>
      </c>
      <c r="O34" s="103" t="s">
        <v>311</v>
      </c>
      <c r="P34" s="103" t="s">
        <v>312</v>
      </c>
      <c r="Q34" s="103" t="s">
        <v>313</v>
      </c>
      <c r="R34" s="103" t="s">
        <v>314</v>
      </c>
      <c r="S34" s="103" t="s">
        <v>315</v>
      </c>
      <c r="T34" s="103" t="s">
        <v>316</v>
      </c>
      <c r="U34" s="103" t="s">
        <v>317</v>
      </c>
      <c r="V34" s="103" t="s">
        <v>318</v>
      </c>
      <c r="W34" s="103" t="s">
        <v>319</v>
      </c>
      <c r="X34" s="103" t="s">
        <v>320</v>
      </c>
      <c r="Y34" s="103" t="s">
        <v>321</v>
      </c>
    </row>
    <row r="35" spans="1:25" x14ac:dyDescent="0.25">
      <c r="A35" s="389" t="s">
        <v>322</v>
      </c>
      <c r="B35" s="154" t="str">
        <f>Input!A51</f>
        <v>RAP 1</v>
      </c>
      <c r="C35" s="154">
        <f>+Input!B51</f>
        <v>0.18</v>
      </c>
      <c r="D35" s="154">
        <f>Input!$R51</f>
        <v>30</v>
      </c>
      <c r="E35" s="154" t="str">
        <f>Input!$P51</f>
        <v>Truck</v>
      </c>
      <c r="F35" s="154" t="str">
        <f>Input!$Q51</f>
        <v>Electric</v>
      </c>
      <c r="G35" s="154" cm="1">
        <f t="array" ref="G35">INDEX(LCI!H$2:H$73,MATCH($E35&amp;$F35,LCI!$B$2:$B$73&amp;LCI!$D$2:$D$73,0))*IF(AND($E35="Truck", OR($F35="Electric", $F35="Electric_green")), $B$6, 1)*$D35*$C35</f>
        <v>1.2001641247866328E-4</v>
      </c>
      <c r="H35" s="154" cm="1">
        <f t="array" ref="H35">INDEX(LCI!I$2:I$73,MATCH($E35&amp;$F35,LCI!$B$2:$B$73&amp;LCI!$D$2:$D$73,0))*IF(AND($E35="Truck", OR($F35="Electric", $F35="Electric_green")), $B$6, 1)*$D35*$C35</f>
        <v>3.362080869650335E-2</v>
      </c>
      <c r="I35" s="154" cm="1">
        <f t="array" ref="I35">INDEX(LCI!J$2:J$73,MATCH($E35&amp;$F35,LCI!$B$2:$B$73&amp;LCI!$D$2:$D$73,0))*IF(AND($E35="Truck", OR($F35="Electric", $F35="Electric_green")), $B$6, 1)*$D35*$C35</f>
        <v>7.0285805118405493E-4</v>
      </c>
      <c r="J35" s="154" cm="1">
        <f t="array" ref="J35">INDEX(LCI!K$2:K$73,MATCH($E35&amp;$F35,LCI!$B$2:$B$73&amp;LCI!$D$2:$D$73,0))*IF(AND($E35="Truck", OR($F35="Electric", $F35="Electric_green")), $B$6, 1)*$D35*$C35</f>
        <v>3.2835273694353899E-2</v>
      </c>
      <c r="K35" s="154" cm="1">
        <f t="array" ref="K35">INDEX(LCI!L$2:L$73,MATCH($E35&amp;$F35,LCI!$B$2:$B$73&amp;LCI!$D$2:$D$73,0))*IF(AND($E35="Truck", OR($F35="Electric", $F35="Electric_green")), $B$6, 1)*$D35*$C35</f>
        <v>8.2676950965454799E-5</v>
      </c>
      <c r="L35" s="154" cm="1">
        <f t="array" ref="L35">INDEX(LCI!M$2:M$73,MATCH($E35&amp;$F35,LCI!$B$2:$B$73&amp;LCI!$D$2:$D$73,0))*IF(AND($E35="Truck", OR($F35="Electric", $F35="Electric_green")), $B$6, 1)*$D35*$C35</f>
        <v>0.12054488644795673</v>
      </c>
      <c r="M35" s="154" cm="1">
        <f t="array" ref="M35">INDEX(LCI!N$2:N$73,MATCH($E35&amp;$F35,LCI!$B$2:$B$73&amp;LCI!$D$2:$D$73,0))*IF(AND($E35="Truck", OR($F35="Electric", $F35="Electric_green")), $B$6, 1)*$D35*$C35</f>
        <v>1.6165889001500386</v>
      </c>
      <c r="N35" s="154" cm="1">
        <f t="array" ref="N35">INDEX(LCI!O$2:O$73,MATCH($E35&amp;$F35,LCI!$B$2:$B$73&amp;LCI!$D$2:$D$73,0))*IF(AND($E35="Truck", OR($F35="Electric", $F35="Electric_green")), $B$6, 1)*$D35*$C35</f>
        <v>1.233339352013555E-5</v>
      </c>
      <c r="O35" s="154" cm="1">
        <f t="array" ref="O35">INDEX(LCI!P$2:P$73,MATCH($E35&amp;$F35,LCI!$B$2:$B$73&amp;LCI!$D$2:$D$73,0))*IF(AND($E35="Truck", OR($F35="Electric", $F35="Electric_green")), $B$6, 1)*$D35*$C35</f>
        <v>2.4646934355821461E-5</v>
      </c>
      <c r="P35" s="154" cm="1">
        <f t="array" ref="P35">INDEX(LCI!Q$2:Q$73,MATCH($E35&amp;$F35,LCI!$B$2:$B$73&amp;LCI!$D$2:$D$73,0))*IF(AND($E35="Truck", OR($F35="Electric", $F35="Electric_green")), $B$6, 1)*$D35*$C35</f>
        <v>2.3393391947786591E-4</v>
      </c>
      <c r="Q35" s="154" cm="1">
        <f t="array" ref="Q35">INDEX(LCI!R$2:R$73,MATCH($E35&amp;$F35,LCI!$B$2:$B$73&amp;LCI!$D$2:$D$73,0))*IF(AND($E35="Truck", OR($F35="Electric", $F35="Electric_green")), $B$6, 1)*$D35*$C35</f>
        <v>1.4087418123664854E-11</v>
      </c>
      <c r="R35" s="154" cm="1">
        <f t="array" ref="R35">INDEX(LCI!S$2:S$73,MATCH($E35&amp;$F35,LCI!$B$2:$B$73&amp;LCI!$D$2:$D$73,0))*IF(AND($E35="Truck", OR($F35="Electric", $F35="Electric_green")), $B$6, 1)*$D35*$C35</f>
        <v>9.0780151931360858E-10</v>
      </c>
      <c r="S35" s="154" cm="1">
        <f t="array" ref="S35">INDEX(LCI!T$2:T$73,MATCH($E35&amp;$F35,LCI!$B$2:$B$73&amp;LCI!$D$2:$D$73,0))*IF(AND($E35="Truck", OR($F35="Electric", $F35="Electric_green")), $B$6, 1)*$D35*$C35</f>
        <v>6.7907618100534195E-2</v>
      </c>
      <c r="T35" s="154" cm="1">
        <f t="array" ref="T35">INDEX(LCI!U$2:U$73,MATCH($E35&amp;$F35,LCI!$B$2:$B$73&amp;LCI!$D$2:$D$73,0))*IF(AND($E35="Truck", OR($F35="Electric", $F35="Electric_green")), $B$6, 1)*$D35*$C35</f>
        <v>0.25510515684846385</v>
      </c>
      <c r="U35" s="154" cm="1">
        <f t="array" ref="U35">INDEX(LCI!V$2:V$73,MATCH($E35&amp;$F35,LCI!$B$2:$B$73&amp;LCI!$D$2:$D$73,0))*IF(AND($E35="Truck", OR($F35="Electric", $F35="Electric_green")), $B$6, 1)*$D35*$C35</f>
        <v>8.7543149248682394E-7</v>
      </c>
      <c r="V35" s="154" cm="1">
        <f t="array" ref="V35">INDEX(LCI!W$2:W$73,MATCH($E35&amp;$F35,LCI!$B$2:$B$73&amp;LCI!$D$2:$D$73,0))*IF(AND($E35="Truck", OR($F35="Electric", $F35="Electric_green")), $B$6, 1)*$D35*$C35</f>
        <v>1.0497653500328986E-9</v>
      </c>
      <c r="W35" s="154" cm="1">
        <f t="array" ref="W35">INDEX(LCI!X$2:X$73,MATCH($E35&amp;$F35,LCI!$B$2:$B$73&amp;LCI!$D$2:$D$73,0))*IF(AND($E35="Truck", OR($F35="Electric", $F35="Electric_green")), $B$6, 1)*$D35*$C35</f>
        <v>2.3130490427772575E-9</v>
      </c>
      <c r="X35" s="154" cm="1">
        <f t="array" ref="X35">INDEX(LCI!Y$2:Y$73,MATCH($E35&amp;$F35,LCI!$B$2:$B$73&amp;LCI!$D$2:$D$73,0))*IF(AND($E35="Truck", OR($F35="Electric", $F35="Electric_green")), $B$6, 1)*$D35*$C35</f>
        <v>7.4744180011054444E-5</v>
      </c>
      <c r="Y35" s="154" cm="1">
        <f t="array" ref="Y35">INDEX(LCI!Z$2:Z$73,MATCH($E35&amp;$F35,LCI!$B$2:$B$73&amp;LCI!$D$2:$D$73,0))*IF(AND($E35="Truck", OR($F35="Electric", $F35="Electric_green")), $B$6, 1)*$D35*$C35</f>
        <v>1.9420334274279152E-2</v>
      </c>
    </row>
    <row r="36" spans="1:25" x14ac:dyDescent="0.25">
      <c r="A36" s="389"/>
      <c r="B36" s="154" t="str">
        <f>Input!A52</f>
        <v>RAP 2</v>
      </c>
      <c r="C36" s="154">
        <f>+Input!B52</f>
        <v>0.23</v>
      </c>
      <c r="D36" s="154">
        <f>Input!$R52</f>
        <v>30</v>
      </c>
      <c r="E36" s="154" t="str">
        <f>Input!$P52</f>
        <v>Truck</v>
      </c>
      <c r="F36" s="154" t="str">
        <f>Input!$Q52</f>
        <v>Electric</v>
      </c>
      <c r="G36" s="154" cm="1">
        <f t="array" ref="G36">INDEX(LCI!H$2:H$73,MATCH($E36&amp;$F36,LCI!$B$2:$B$73&amp;LCI!$D$2:$D$73,0))*IF(AND($E36="Truck", OR($F36="Electric", $F36="Electric_green")), $B$6, 1)*$D36*$C36</f>
        <v>1.5335430483384756E-4</v>
      </c>
      <c r="H36" s="154" cm="1">
        <f t="array" ref="H36">INDEX(LCI!I$2:I$73,MATCH($E36&amp;$F36,LCI!$B$2:$B$73&amp;LCI!$D$2:$D$73,0))*IF(AND($E36="Truck", OR($F36="Electric", $F36="Electric_green")), $B$6, 1)*$D36*$C36</f>
        <v>4.295992222330984E-2</v>
      </c>
      <c r="I36" s="154" cm="1">
        <f t="array" ref="I36">INDEX(LCI!J$2:J$73,MATCH($E36&amp;$F36,LCI!$B$2:$B$73&amp;LCI!$D$2:$D$73,0))*IF(AND($E36="Truck", OR($F36="Electric", $F36="Electric_green")), $B$6, 1)*$D36*$C36</f>
        <v>8.9809639873518129E-4</v>
      </c>
      <c r="J36" s="154" cm="1">
        <f t="array" ref="J36">INDEX(LCI!K$2:K$73,MATCH($E36&amp;$F36,LCI!$B$2:$B$73&amp;LCI!$D$2:$D$73,0))*IF(AND($E36="Truck", OR($F36="Electric", $F36="Electric_green")), $B$6, 1)*$D36*$C36</f>
        <v>4.1956183053896652E-2</v>
      </c>
      <c r="K36" s="154" cm="1">
        <f t="array" ref="K36">INDEX(LCI!L$2:L$73,MATCH($E36&amp;$F36,LCI!$B$2:$B$73&amp;LCI!$D$2:$D$73,0))*IF(AND($E36="Truck", OR($F36="Electric", $F36="Electric_green")), $B$6, 1)*$D36*$C36</f>
        <v>1.0564277067808114E-4</v>
      </c>
      <c r="L36" s="154" cm="1">
        <f t="array" ref="L36">INDEX(LCI!M$2:M$73,MATCH($E36&amp;$F36,LCI!$B$2:$B$73&amp;LCI!$D$2:$D$73,0))*IF(AND($E36="Truck", OR($F36="Electric", $F36="Electric_green")), $B$6, 1)*$D36*$C36</f>
        <v>0.15402957712794474</v>
      </c>
      <c r="M36" s="154" cm="1">
        <f t="array" ref="M36">INDEX(LCI!N$2:N$73,MATCH($E36&amp;$F36,LCI!$B$2:$B$73&amp;LCI!$D$2:$D$73,0))*IF(AND($E36="Truck", OR($F36="Electric", $F36="Electric_green")), $B$6, 1)*$D36*$C36</f>
        <v>2.0656413724139386</v>
      </c>
      <c r="N36" s="154" cm="1">
        <f t="array" ref="N36">INDEX(LCI!O$2:O$73,MATCH($E36&amp;$F36,LCI!$B$2:$B$73&amp;LCI!$D$2:$D$73,0))*IF(AND($E36="Truck", OR($F36="Electric", $F36="Electric_green")), $B$6, 1)*$D36*$C36</f>
        <v>1.575933616461765E-5</v>
      </c>
      <c r="O36" s="154" cm="1">
        <f t="array" ref="O36">INDEX(LCI!P$2:P$73,MATCH($E36&amp;$F36,LCI!$B$2:$B$73&amp;LCI!$D$2:$D$73,0))*IF(AND($E36="Truck", OR($F36="Electric", $F36="Electric_green")), $B$6, 1)*$D36*$C36</f>
        <v>3.1493305010216314E-5</v>
      </c>
      <c r="P36" s="154" cm="1">
        <f t="array" ref="P36">INDEX(LCI!Q$2:Q$73,MATCH($E36&amp;$F36,LCI!$B$2:$B$73&amp;LCI!$D$2:$D$73,0))*IF(AND($E36="Truck", OR($F36="Electric", $F36="Electric_green")), $B$6, 1)*$D36*$C36</f>
        <v>2.9891556377727315E-4</v>
      </c>
      <c r="Q36" s="154" cm="1">
        <f t="array" ref="Q36">INDEX(LCI!R$2:R$73,MATCH($E36&amp;$F36,LCI!$B$2:$B$73&amp;LCI!$D$2:$D$73,0))*IF(AND($E36="Truck", OR($F36="Electric", $F36="Electric_green")), $B$6, 1)*$D36*$C36</f>
        <v>1.800058982468287E-11</v>
      </c>
      <c r="R36" s="154" cm="1">
        <f t="array" ref="R36">INDEX(LCI!S$2:S$73,MATCH($E36&amp;$F36,LCI!$B$2:$B$73&amp;LCI!$D$2:$D$73,0))*IF(AND($E36="Truck", OR($F36="Electric", $F36="Electric_green")), $B$6, 1)*$D36*$C36</f>
        <v>1.1599686080118332E-9</v>
      </c>
      <c r="S36" s="154" cm="1">
        <f t="array" ref="S36">INDEX(LCI!T$2:T$73,MATCH($E36&amp;$F36,LCI!$B$2:$B$73&amp;LCI!$D$2:$D$73,0))*IF(AND($E36="Truck", OR($F36="Electric", $F36="Electric_green")), $B$6, 1)*$D36*$C36</f>
        <v>8.6770845350682593E-2</v>
      </c>
      <c r="T36" s="154" cm="1">
        <f t="array" ref="T36">INDEX(LCI!U$2:U$73,MATCH($E36&amp;$F36,LCI!$B$2:$B$73&amp;LCI!$D$2:$D$73,0))*IF(AND($E36="Truck", OR($F36="Electric", $F36="Electric_green")), $B$6, 1)*$D36*$C36</f>
        <v>0.32596770041748158</v>
      </c>
      <c r="U36" s="154" cm="1">
        <f t="array" ref="U36">INDEX(LCI!V$2:V$73,MATCH($E36&amp;$F36,LCI!$B$2:$B$73&amp;LCI!$D$2:$D$73,0))*IF(AND($E36="Truck", OR($F36="Electric", $F36="Electric_green")), $B$6, 1)*$D36*$C36</f>
        <v>1.1186069070664973E-6</v>
      </c>
      <c r="V36" s="154" cm="1">
        <f t="array" ref="V36">INDEX(LCI!W$2:W$73,MATCH($E36&amp;$F36,LCI!$B$2:$B$73&amp;LCI!$D$2:$D$73,0))*IF(AND($E36="Truck", OR($F36="Electric", $F36="Electric_green")), $B$6, 1)*$D36*$C36</f>
        <v>1.3413668361531485E-9</v>
      </c>
      <c r="W36" s="154" cm="1">
        <f t="array" ref="W36">INDEX(LCI!X$2:X$73,MATCH($E36&amp;$F36,LCI!$B$2:$B$73&amp;LCI!$D$2:$D$73,0))*IF(AND($E36="Truck", OR($F36="Electric", $F36="Electric_green")), $B$6, 1)*$D36*$C36</f>
        <v>2.95556266577094E-9</v>
      </c>
      <c r="X36" s="154" cm="1">
        <f t="array" ref="X36">INDEX(LCI!Y$2:Y$73,MATCH($E36&amp;$F36,LCI!$B$2:$B$73&amp;LCI!$D$2:$D$73,0))*IF(AND($E36="Truck", OR($F36="Electric", $F36="Electric_green")), $B$6, 1)*$D36*$C36</f>
        <v>9.5506452236347346E-5</v>
      </c>
      <c r="Y36" s="154" cm="1">
        <f t="array" ref="Y36">INDEX(LCI!Z$2:Z$73,MATCH($E36&amp;$F36,LCI!$B$2:$B$73&amp;LCI!$D$2:$D$73,0))*IF(AND($E36="Truck", OR($F36="Electric", $F36="Electric_green")), $B$6, 1)*$D36*$C36</f>
        <v>2.481487157269003E-2</v>
      </c>
    </row>
    <row r="37" spans="1:25" x14ac:dyDescent="0.25">
      <c r="A37" s="390" t="s">
        <v>323</v>
      </c>
      <c r="B37" s="154" t="str">
        <f>Input!A53</f>
        <v>Other_waste 1</v>
      </c>
      <c r="C37" s="154">
        <f>+Input!B53</f>
        <v>0.02</v>
      </c>
      <c r="D37" s="154">
        <f>Input!$R53</f>
        <v>50</v>
      </c>
      <c r="E37" s="154" t="str">
        <f>Input!$P53</f>
        <v>Truck</v>
      </c>
      <c r="F37" s="154" t="str">
        <f>Input!$Q53</f>
        <v>Biodiesel_20%</v>
      </c>
      <c r="G37" s="154" cm="1">
        <f t="array" ref="G37">INDEX(LCI!H$2:H$73,MATCH($E37&amp;$F37,LCI!$B$2:$B$73&amp;LCI!$D$2:$D$73,0))*IF(AND($E37="Truck", OR($F37="Electric", $F37="Electric_green")), $B$6, 1)*$D37*$C37</f>
        <v>9.4001900000000005E-4</v>
      </c>
      <c r="H37" s="154" cm="1">
        <f t="array" ref="H37">INDEX(LCI!I$2:I$73,MATCH($E37&amp;$F37,LCI!$B$2:$B$73&amp;LCI!$D$2:$D$73,0))*IF(AND($E37="Truck", OR($F37="Electric", $F37="Electric_green")), $B$6, 1)*$D37*$C37</f>
        <v>0.14879259380000001</v>
      </c>
      <c r="I37" s="154" cm="1">
        <f t="array" ref="I37">INDEX(LCI!J$2:J$73,MATCH($E37&amp;$F37,LCI!$B$2:$B$73&amp;LCI!$D$2:$D$73,0))*IF(AND($E37="Truck", OR($F37="Electric", $F37="Electric_green")), $B$6, 1)*$D37*$C37</f>
        <v>7.2392723999999988E-4</v>
      </c>
      <c r="J37" s="154" cm="1">
        <f t="array" ref="J37">INDEX(LCI!K$2:K$73,MATCH($E37&amp;$F37,LCI!$B$2:$B$73&amp;LCI!$D$2:$D$73,0))*IF(AND($E37="Truck", OR($F37="Electric", $F37="Electric_green")), $B$6, 1)*$D37*$C37</f>
        <v>0.148048815</v>
      </c>
      <c r="K37" s="154" cm="1">
        <f t="array" ref="K37">INDEX(LCI!L$2:L$73,MATCH($E37&amp;$F37,LCI!$B$2:$B$73&amp;LCI!$D$2:$D$73,0))*IF(AND($E37="Truck", OR($F37="Electric", $F37="Electric_green")), $B$6, 1)*$D37*$C37</f>
        <v>1.9851380000000006E-5</v>
      </c>
      <c r="L37" s="154" cm="1">
        <f t="array" ref="L37">INDEX(LCI!M$2:M$73,MATCH($E37&amp;$F37,LCI!$B$2:$B$73&amp;LCI!$D$2:$D$73,0))*IF(AND($E37="Truck", OR($F37="Electric", $F37="Electric_green")), $B$6, 1)*$D37*$C37</f>
        <v>0.80204598840000008</v>
      </c>
      <c r="M37" s="154" cm="1">
        <f t="array" ref="M37">INDEX(LCI!N$2:N$73,MATCH($E37&amp;$F37,LCI!$B$2:$B$73&amp;LCI!$D$2:$D$73,0))*IF(AND($E37="Truck", OR($F37="Electric", $F37="Electric_green")), $B$6, 1)*$D37*$C37</f>
        <v>1.9310641862</v>
      </c>
      <c r="N37" s="154" cm="1">
        <f t="array" ref="N37">INDEX(LCI!O$2:O$73,MATCH($E37&amp;$F37,LCI!$B$2:$B$73&amp;LCI!$D$2:$D$73,0))*IF(AND($E37="Truck", OR($F37="Electric", $F37="Electric_green")), $B$6, 1)*$D37*$C37</f>
        <v>7.9981800000000011E-6</v>
      </c>
      <c r="O37" s="154" cm="1">
        <f t="array" ref="O37">INDEX(LCI!P$2:P$73,MATCH($E37&amp;$F37,LCI!$B$2:$B$73&amp;LCI!$D$2:$D$73,0))*IF(AND($E37="Truck", OR($F37="Electric", $F37="Electric_green")), $B$6, 1)*$D37*$C37</f>
        <v>6.4383099999999998E-4</v>
      </c>
      <c r="P37" s="154" cm="1">
        <f t="array" ref="P37">INDEX(LCI!Q$2:Q$73,MATCH($E37&amp;$F37,LCI!$B$2:$B$73&amp;LCI!$D$2:$D$73,0))*IF(AND($E37="Truck", OR($F37="Electric", $F37="Electric_green")), $B$6, 1)*$D37*$C37</f>
        <v>4.1650280000000003E-3</v>
      </c>
      <c r="Q37" s="154" cm="1">
        <f t="array" ref="Q37">INDEX(LCI!R$2:R$73,MATCH($E37&amp;$F37,LCI!$B$2:$B$73&amp;LCI!$D$2:$D$73,0))*IF(AND($E37="Truck", OR($F37="Electric", $F37="Electric_green")), $B$6, 1)*$D37*$C37</f>
        <v>3.201732E-11</v>
      </c>
      <c r="R37" s="154" cm="1">
        <f t="array" ref="R37">INDEX(LCI!S$2:S$73,MATCH($E37&amp;$F37,LCI!$B$2:$B$73&amp;LCI!$D$2:$D$73,0))*IF(AND($E37="Truck", OR($F37="Electric", $F37="Electric_green")), $B$6, 1)*$D37*$C37</f>
        <v>3.1048400000000006E-9</v>
      </c>
      <c r="S37" s="154" cm="1">
        <f t="array" ref="S37">INDEX(LCI!T$2:T$73,MATCH($E37&amp;$F37,LCI!$B$2:$B$73&amp;LCI!$D$2:$D$73,0))*IF(AND($E37="Truck", OR($F37="Electric", $F37="Electric_green")), $B$6, 1)*$D37*$C37</f>
        <v>1.9006641999999999E-3</v>
      </c>
      <c r="T37" s="154" cm="1">
        <f t="array" ref="T37">INDEX(LCI!U$2:U$73,MATCH($E37&amp;$F37,LCI!$B$2:$B$73&amp;LCI!$D$2:$D$73,0))*IF(AND($E37="Truck", OR($F37="Electric", $F37="Electric_green")), $B$6, 1)*$D37*$C37</f>
        <v>1.5213577466000001</v>
      </c>
      <c r="U37" s="154" cm="1">
        <f t="array" ref="U37">INDEX(LCI!V$2:V$73,MATCH($E37&amp;$F37,LCI!$B$2:$B$73&amp;LCI!$D$2:$D$73,0))*IF(AND($E37="Truck", OR($F37="Electric", $F37="Electric_green")), $B$6, 1)*$D37*$C37</f>
        <v>2.6468720000000003E-7</v>
      </c>
      <c r="V37" s="154" cm="1">
        <f t="array" ref="V37">INDEX(LCI!W$2:W$73,MATCH($E37&amp;$F37,LCI!$B$2:$B$73&amp;LCI!$D$2:$D$73,0))*IF(AND($E37="Truck", OR($F37="Electric", $F37="Electric_green")), $B$6, 1)*$D37*$C37</f>
        <v>3.995964E-9</v>
      </c>
      <c r="W37" s="154" cm="1">
        <f t="array" ref="W37">INDEX(LCI!X$2:X$73,MATCH($E37&amp;$F37,LCI!$B$2:$B$73&amp;LCI!$D$2:$D$73,0))*IF(AND($E37="Truck", OR($F37="Electric", $F37="Electric_green")), $B$6, 1)*$D37*$C37</f>
        <v>1.474256E-8</v>
      </c>
      <c r="X37" s="154" cm="1">
        <f t="array" ref="X37">INDEX(LCI!Y$2:Y$73,MATCH($E37&amp;$F37,LCI!$B$2:$B$73&amp;LCI!$D$2:$D$73,0))*IF(AND($E37="Truck", OR($F37="Electric", $F37="Electric_green")), $B$6, 1)*$D37*$C37</f>
        <v>8.7985420000000008E-4</v>
      </c>
      <c r="Y37" s="154" cm="1">
        <f t="array" ref="Y37">INDEX(LCI!Z$2:Z$73,MATCH($E37&amp;$F37,LCI!$B$2:$B$73&amp;LCI!$D$2:$D$73,0))*IF(AND($E37="Truck", OR($F37="Electric", $F37="Electric_green")), $B$6, 1)*$D37*$C37</f>
        <v>3.3414751000000006E-2</v>
      </c>
    </row>
    <row r="38" spans="1:25" x14ac:dyDescent="0.25">
      <c r="A38" s="390"/>
      <c r="B38" s="154" t="str">
        <f>Input!A54</f>
        <v>Other_waste 2</v>
      </c>
      <c r="C38" s="154">
        <f>+Input!B54</f>
        <v>0.02</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25">
      <c r="A39" s="398" t="s">
        <v>220</v>
      </c>
      <c r="B39" s="398"/>
      <c r="C39" s="398"/>
      <c r="D39" s="398"/>
      <c r="E39" s="398"/>
      <c r="F39" s="398"/>
      <c r="G39" s="139">
        <f t="shared" ref="G39:Y39" si="2">SUM(G35:G38)</f>
        <v>1.2133897173125109E-3</v>
      </c>
      <c r="H39" s="139">
        <f t="shared" si="2"/>
        <v>0.2253733247198132</v>
      </c>
      <c r="I39" s="139">
        <f t="shared" si="2"/>
        <v>2.3248816899192363E-3</v>
      </c>
      <c r="J39" s="139">
        <f t="shared" si="2"/>
        <v>0.22284027174825055</v>
      </c>
      <c r="K39" s="139">
        <f t="shared" si="2"/>
        <v>2.0817110164353595E-4</v>
      </c>
      <c r="L39" s="139">
        <f t="shared" si="2"/>
        <v>1.0766204519759015</v>
      </c>
      <c r="M39" s="139">
        <f t="shared" si="2"/>
        <v>5.6132944587639777</v>
      </c>
      <c r="N39" s="139">
        <f t="shared" si="2"/>
        <v>3.60909096847532E-5</v>
      </c>
      <c r="O39" s="139">
        <f t="shared" si="2"/>
        <v>6.9997123936603781E-4</v>
      </c>
      <c r="P39" s="139">
        <f t="shared" si="2"/>
        <v>4.6978774832551395E-3</v>
      </c>
      <c r="Q39" s="139">
        <f t="shared" si="2"/>
        <v>6.4105327948347731E-11</v>
      </c>
      <c r="R39" s="139">
        <f t="shared" si="2"/>
        <v>5.1726101273254425E-9</v>
      </c>
      <c r="S39" s="139">
        <f t="shared" si="2"/>
        <v>0.15657912765121679</v>
      </c>
      <c r="T39" s="139">
        <f t="shared" si="2"/>
        <v>2.1024306038659457</v>
      </c>
      <c r="U39" s="139">
        <f t="shared" si="2"/>
        <v>2.2587255995533212E-6</v>
      </c>
      <c r="V39" s="139">
        <f t="shared" si="2"/>
        <v>6.387096186186047E-9</v>
      </c>
      <c r="W39" s="139">
        <f t="shared" si="2"/>
        <v>2.00111717085482E-8</v>
      </c>
      <c r="X39" s="139">
        <f t="shared" si="2"/>
        <v>1.0501048322474019E-3</v>
      </c>
      <c r="Y39" s="139">
        <f t="shared" si="2"/>
        <v>7.7649956846969181E-2</v>
      </c>
    </row>
    <row r="40" spans="1:25" x14ac:dyDescent="0.25">
      <c r="A40" s="109"/>
      <c r="B40" s="109"/>
      <c r="C40" s="109"/>
      <c r="D40" s="109"/>
      <c r="E40" s="109"/>
      <c r="F40" s="109"/>
    </row>
    <row r="41" spans="1:25" ht="13.9" customHeight="1" x14ac:dyDescent="0.25">
      <c r="A41" s="109"/>
      <c r="B41" s="109"/>
      <c r="C41" s="109"/>
      <c r="D41" s="109"/>
      <c r="E41" s="109"/>
      <c r="F41" s="109"/>
    </row>
    <row r="42" spans="1:25" ht="13.9" customHeight="1" x14ac:dyDescent="0.25">
      <c r="A42" s="109"/>
      <c r="B42" s="109"/>
      <c r="C42" s="109"/>
      <c r="D42" s="109"/>
      <c r="E42" s="109"/>
      <c r="F42" s="109"/>
    </row>
    <row r="43" spans="1:25" ht="24" x14ac:dyDescent="0.4">
      <c r="A43" s="100" t="s">
        <v>563</v>
      </c>
      <c r="B43" s="37"/>
      <c r="C43" s="37"/>
      <c r="D43" s="37"/>
      <c r="E43" s="37"/>
      <c r="F43" s="37"/>
      <c r="G43" s="3"/>
      <c r="H43" s="3"/>
      <c r="I43" s="3"/>
      <c r="J43" s="3"/>
      <c r="K43" s="3"/>
      <c r="L43" s="3"/>
      <c r="M43" s="3"/>
      <c r="N43" s="3"/>
      <c r="O43" s="3"/>
      <c r="P43" s="3"/>
      <c r="Q43" s="3"/>
      <c r="R43" s="3"/>
      <c r="S43" s="3"/>
      <c r="T43" s="3"/>
      <c r="U43" s="3"/>
      <c r="V43" s="3"/>
      <c r="W43" s="3"/>
      <c r="X43" s="3"/>
      <c r="Y43" s="3"/>
    </row>
    <row r="44" spans="1:25" ht="13.9" customHeight="1" x14ac:dyDescent="0.25"/>
    <row r="45" spans="1:25" ht="105" x14ac:dyDescent="0.25">
      <c r="A45" s="104" t="s">
        <v>300</v>
      </c>
      <c r="B45" s="104" t="s">
        <v>301</v>
      </c>
      <c r="C45" s="103" t="s">
        <v>302</v>
      </c>
      <c r="D45" s="103" t="s">
        <v>60</v>
      </c>
      <c r="E45" s="103" t="s">
        <v>556</v>
      </c>
      <c r="F45" s="103" t="s">
        <v>557</v>
      </c>
      <c r="G45" s="103" t="s">
        <v>303</v>
      </c>
      <c r="H45" s="103" t="s">
        <v>304</v>
      </c>
      <c r="I45" s="103" t="s">
        <v>305</v>
      </c>
      <c r="J45" s="103" t="s">
        <v>306</v>
      </c>
      <c r="K45" s="103" t="s">
        <v>307</v>
      </c>
      <c r="L45" s="103" t="s">
        <v>308</v>
      </c>
      <c r="M45" s="103" t="s">
        <v>309</v>
      </c>
      <c r="N45" s="103" t="s">
        <v>310</v>
      </c>
      <c r="O45" s="103" t="s">
        <v>311</v>
      </c>
      <c r="P45" s="103" t="s">
        <v>312</v>
      </c>
      <c r="Q45" s="103" t="s">
        <v>313</v>
      </c>
      <c r="R45" s="103" t="s">
        <v>314</v>
      </c>
      <c r="S45" s="103" t="s">
        <v>315</v>
      </c>
      <c r="T45" s="103" t="s">
        <v>316</v>
      </c>
      <c r="U45" s="103" t="s">
        <v>317</v>
      </c>
      <c r="V45" s="103" t="s">
        <v>318</v>
      </c>
      <c r="W45" s="103" t="s">
        <v>319</v>
      </c>
      <c r="X45" s="103" t="s">
        <v>320</v>
      </c>
      <c r="Y45" s="103" t="s">
        <v>321</v>
      </c>
    </row>
    <row r="46" spans="1:25" ht="13.9" customHeight="1" x14ac:dyDescent="0.25">
      <c r="A46" s="389" t="s">
        <v>322</v>
      </c>
      <c r="B46" s="1" t="str">
        <f>Input!A51</f>
        <v>RAP 1</v>
      </c>
      <c r="C46" s="154">
        <f>+Input!B51</f>
        <v>0.18</v>
      </c>
      <c r="D46" s="158">
        <f>D15+D25+D35</f>
        <v>75</v>
      </c>
      <c r="E46" s="154" t="s">
        <v>564</v>
      </c>
      <c r="F46" s="154" t="s">
        <v>564</v>
      </c>
      <c r="G46" s="154">
        <f t="shared" ref="G46:Y46" si="3">G15+G25+G35</f>
        <v>3.0004103119665824E-4</v>
      </c>
      <c r="H46" s="154">
        <f t="shared" si="3"/>
        <v>8.4052021741258365E-2</v>
      </c>
      <c r="I46" s="154">
        <f t="shared" si="3"/>
        <v>1.7571451279601372E-3</v>
      </c>
      <c r="J46" s="154">
        <f t="shared" si="3"/>
        <v>8.2088184235884737E-2</v>
      </c>
      <c r="K46" s="154">
        <f t="shared" si="3"/>
        <v>2.0669237741363701E-4</v>
      </c>
      <c r="L46" s="154">
        <f t="shared" si="3"/>
        <v>0.30136221611989183</v>
      </c>
      <c r="M46" s="154">
        <f t="shared" si="3"/>
        <v>4.0414722503750964</v>
      </c>
      <c r="N46" s="154">
        <f t="shared" si="3"/>
        <v>3.0833483800338876E-5</v>
      </c>
      <c r="O46" s="154">
        <f t="shared" si="3"/>
        <v>6.1617335889553669E-5</v>
      </c>
      <c r="P46" s="154">
        <f t="shared" si="3"/>
        <v>5.8483479869466477E-4</v>
      </c>
      <c r="Q46" s="154">
        <f t="shared" si="3"/>
        <v>3.521854530916213E-11</v>
      </c>
      <c r="R46" s="154">
        <f t="shared" si="3"/>
        <v>2.2695037982840213E-9</v>
      </c>
      <c r="S46" s="154">
        <f t="shared" si="3"/>
        <v>0.16976904525133552</v>
      </c>
      <c r="T46" s="154">
        <f t="shared" si="3"/>
        <v>0.63776289212115955</v>
      </c>
      <c r="U46" s="154">
        <f t="shared" si="3"/>
        <v>2.1885787312170595E-6</v>
      </c>
      <c r="V46" s="154">
        <f t="shared" si="3"/>
        <v>2.6244133750822464E-9</v>
      </c>
      <c r="W46" s="154">
        <f t="shared" si="3"/>
        <v>5.7826226069431432E-9</v>
      </c>
      <c r="X46" s="154">
        <f t="shared" si="3"/>
        <v>1.868604500276361E-4</v>
      </c>
      <c r="Y46" s="154">
        <f t="shared" si="3"/>
        <v>4.8550835685697874E-2</v>
      </c>
    </row>
    <row r="47" spans="1:25" ht="13.9" customHeight="1" x14ac:dyDescent="0.25">
      <c r="A47" s="389"/>
      <c r="B47" s="1" t="str">
        <f>Input!A52</f>
        <v>RAP 2</v>
      </c>
      <c r="C47" s="154">
        <f>+Input!B52</f>
        <v>0.23</v>
      </c>
      <c r="D47" s="158">
        <f>D16+D26+D36</f>
        <v>75</v>
      </c>
      <c r="E47" s="154" t="s">
        <v>564</v>
      </c>
      <c r="F47" s="154" t="s">
        <v>564</v>
      </c>
      <c r="G47" s="154">
        <f t="shared" ref="G47:Y47" si="4">G16+G26+G36</f>
        <v>3.8338576208461891E-4</v>
      </c>
      <c r="H47" s="154">
        <f t="shared" si="4"/>
        <v>0.10739980555827459</v>
      </c>
      <c r="I47" s="154">
        <f t="shared" si="4"/>
        <v>2.2452409968379532E-3</v>
      </c>
      <c r="J47" s="154">
        <f t="shared" si="4"/>
        <v>0.10489045763474164</v>
      </c>
      <c r="K47" s="154">
        <f t="shared" si="4"/>
        <v>2.6410692669520284E-4</v>
      </c>
      <c r="L47" s="154">
        <f t="shared" si="4"/>
        <v>0.38507394281986185</v>
      </c>
      <c r="M47" s="154">
        <f t="shared" si="4"/>
        <v>5.1641034310348459</v>
      </c>
      <c r="N47" s="154">
        <f t="shared" si="4"/>
        <v>3.9398340411544118E-5</v>
      </c>
      <c r="O47" s="154">
        <f t="shared" si="4"/>
        <v>7.8733262525540796E-5</v>
      </c>
      <c r="P47" s="154">
        <f t="shared" si="4"/>
        <v>7.472889094431829E-4</v>
      </c>
      <c r="Q47" s="154">
        <f t="shared" si="4"/>
        <v>4.5001474561707171E-11</v>
      </c>
      <c r="R47" s="154">
        <f t="shared" si="4"/>
        <v>2.8999215200295831E-9</v>
      </c>
      <c r="S47" s="154">
        <f t="shared" si="4"/>
        <v>0.2169271133767065</v>
      </c>
      <c r="T47" s="154">
        <f t="shared" si="4"/>
        <v>0.814919251043704</v>
      </c>
      <c r="U47" s="154">
        <f t="shared" si="4"/>
        <v>2.7965172676662434E-6</v>
      </c>
      <c r="V47" s="154">
        <f t="shared" si="4"/>
        <v>3.3534170903828707E-9</v>
      </c>
      <c r="W47" s="154">
        <f t="shared" si="4"/>
        <v>7.3889066644273501E-9</v>
      </c>
      <c r="X47" s="154">
        <f t="shared" si="4"/>
        <v>2.3876613059086837E-4</v>
      </c>
      <c r="Y47" s="154">
        <f t="shared" si="4"/>
        <v>6.2037178931725077E-2</v>
      </c>
    </row>
    <row r="48" spans="1:25" x14ac:dyDescent="0.25">
      <c r="A48" s="390" t="s">
        <v>323</v>
      </c>
      <c r="B48" s="1" t="str">
        <f>Input!A53</f>
        <v>Other_waste 1</v>
      </c>
      <c r="C48" s="154">
        <f>+Input!B53</f>
        <v>0.02</v>
      </c>
      <c r="D48" s="158">
        <f>D17+D27+D37</f>
        <v>150</v>
      </c>
      <c r="E48" s="154" t="s">
        <v>564</v>
      </c>
      <c r="F48" s="154" t="s">
        <v>564</v>
      </c>
      <c r="G48" s="154">
        <f t="shared" ref="G48:Y48" si="5">G17+G27+G37</f>
        <v>2.8200569999999999E-3</v>
      </c>
      <c r="H48" s="154">
        <f t="shared" si="5"/>
        <v>0.44637778140000006</v>
      </c>
      <c r="I48" s="154">
        <f t="shared" si="5"/>
        <v>2.17178172E-3</v>
      </c>
      <c r="J48" s="154">
        <f t="shared" si="5"/>
        <v>0.444146445</v>
      </c>
      <c r="K48" s="154">
        <f t="shared" si="5"/>
        <v>5.9554140000000016E-5</v>
      </c>
      <c r="L48" s="154">
        <f t="shared" si="5"/>
        <v>2.4061379652000001</v>
      </c>
      <c r="M48" s="154">
        <f t="shared" si="5"/>
        <v>5.7931925585999995</v>
      </c>
      <c r="N48" s="154">
        <f t="shared" si="5"/>
        <v>2.3994540000000005E-5</v>
      </c>
      <c r="O48" s="154">
        <f t="shared" si="5"/>
        <v>1.9314929999999998E-3</v>
      </c>
      <c r="P48" s="154">
        <f t="shared" si="5"/>
        <v>1.2495084E-2</v>
      </c>
      <c r="Q48" s="154">
        <f t="shared" si="5"/>
        <v>9.6051960000000001E-11</v>
      </c>
      <c r="R48" s="154">
        <f t="shared" si="5"/>
        <v>9.3145200000000019E-9</v>
      </c>
      <c r="S48" s="154">
        <f t="shared" si="5"/>
        <v>5.7019925999999997E-3</v>
      </c>
      <c r="T48" s="154">
        <f t="shared" si="5"/>
        <v>4.5640732398000008</v>
      </c>
      <c r="U48" s="154">
        <f t="shared" si="5"/>
        <v>7.9406160000000009E-7</v>
      </c>
      <c r="V48" s="154">
        <f t="shared" si="5"/>
        <v>1.1987892E-8</v>
      </c>
      <c r="W48" s="154">
        <f t="shared" si="5"/>
        <v>4.4227680000000001E-8</v>
      </c>
      <c r="X48" s="154">
        <f t="shared" si="5"/>
        <v>2.6395626E-3</v>
      </c>
      <c r="Y48" s="154">
        <f t="shared" si="5"/>
        <v>0.10024425300000002</v>
      </c>
    </row>
    <row r="49" spans="1:25" ht="13.9" customHeight="1" x14ac:dyDescent="0.25">
      <c r="A49" s="390"/>
      <c r="B49" s="1" t="str">
        <f>Input!A54</f>
        <v>Other_waste 2</v>
      </c>
      <c r="C49" s="154">
        <f>+Input!B54</f>
        <v>0.02</v>
      </c>
      <c r="D49" s="158">
        <f>D18+D28+D38</f>
        <v>20</v>
      </c>
      <c r="E49" s="154" t="s">
        <v>564</v>
      </c>
      <c r="F49" s="154" t="s">
        <v>564</v>
      </c>
      <c r="G49" s="154">
        <f t="shared" ref="G49:Y49" si="6">G18+G28+G38</f>
        <v>1.7709480000000004E-4</v>
      </c>
      <c r="H49" s="154">
        <f t="shared" si="6"/>
        <v>6.4734379600000003E-2</v>
      </c>
      <c r="I49" s="154">
        <f t="shared" si="6"/>
        <v>2.9919519999999998E-5</v>
      </c>
      <c r="J49" s="154">
        <f t="shared" si="6"/>
        <v>6.4699370000000006E-2</v>
      </c>
      <c r="K49" s="154">
        <f t="shared" si="6"/>
        <v>5.0899600000000001E-6</v>
      </c>
      <c r="L49" s="154">
        <f t="shared" si="6"/>
        <v>5.50147312E-2</v>
      </c>
      <c r="M49" s="154">
        <f t="shared" si="6"/>
        <v>0.8703758439999999</v>
      </c>
      <c r="N49" s="154">
        <f t="shared" si="6"/>
        <v>1.4892000000000001E-6</v>
      </c>
      <c r="O49" s="154">
        <f t="shared" si="6"/>
        <v>6.3541599999999995E-5</v>
      </c>
      <c r="P49" s="154">
        <f t="shared" si="6"/>
        <v>6.9314199999999989E-4</v>
      </c>
      <c r="Q49" s="154">
        <f t="shared" si="6"/>
        <v>6.0508399999999997E-12</v>
      </c>
      <c r="R49" s="154">
        <f t="shared" si="6"/>
        <v>4.6394000000000005E-10</v>
      </c>
      <c r="S49" s="154">
        <f t="shared" si="6"/>
        <v>3.9185119999999999E-4</v>
      </c>
      <c r="T49" s="154">
        <f t="shared" si="6"/>
        <v>5.4616736000000006E-2</v>
      </c>
      <c r="U49" s="154">
        <f t="shared" si="6"/>
        <v>7.0168399999999992E-8</v>
      </c>
      <c r="V49" s="154">
        <f t="shared" si="6"/>
        <v>1.4399439999999999E-9</v>
      </c>
      <c r="W49" s="154">
        <f t="shared" si="6"/>
        <v>4.3772000000000001E-9</v>
      </c>
      <c r="X49" s="154">
        <f t="shared" si="6"/>
        <v>2.7882200000000002E-4</v>
      </c>
      <c r="Y49" s="154">
        <f t="shared" si="6"/>
        <v>1.9644967999999999E-3</v>
      </c>
    </row>
    <row r="50" spans="1:25" x14ac:dyDescent="0.25">
      <c r="A50" s="395" t="s">
        <v>565</v>
      </c>
      <c r="B50" s="395"/>
      <c r="C50" s="396"/>
      <c r="D50" s="396"/>
      <c r="E50" s="396"/>
      <c r="F50" s="396"/>
      <c r="G50" s="139">
        <f t="shared" ref="G50:Y50" si="7">SUM(G46:G49)</f>
        <v>3.6805785932812769E-3</v>
      </c>
      <c r="H50" s="139">
        <f t="shared" si="7"/>
        <v>0.70256398829953293</v>
      </c>
      <c r="I50" s="139">
        <f t="shared" si="7"/>
        <v>6.2040873647980907E-3</v>
      </c>
      <c r="J50" s="139">
        <f t="shared" si="7"/>
        <v>0.69582445687062644</v>
      </c>
      <c r="K50" s="139">
        <f t="shared" si="7"/>
        <v>5.3544340410883985E-4</v>
      </c>
      <c r="L50" s="139">
        <f t="shared" si="7"/>
        <v>3.1475888553397535</v>
      </c>
      <c r="M50" s="139">
        <f t="shared" si="7"/>
        <v>15.869144084009942</v>
      </c>
      <c r="N50" s="139">
        <f t="shared" si="7"/>
        <v>9.5715564211882998E-5</v>
      </c>
      <c r="O50" s="139">
        <f t="shared" si="7"/>
        <v>2.1353851984150943E-3</v>
      </c>
      <c r="P50" s="139">
        <f t="shared" si="7"/>
        <v>1.4520349708137849E-2</v>
      </c>
      <c r="Q50" s="139">
        <f t="shared" si="7"/>
        <v>1.8232281987086927E-10</v>
      </c>
      <c r="R50" s="139">
        <f t="shared" si="7"/>
        <v>1.4947885318313607E-8</v>
      </c>
      <c r="S50" s="139">
        <f t="shared" si="7"/>
        <v>0.39279000242804202</v>
      </c>
      <c r="T50" s="139">
        <f t="shared" si="7"/>
        <v>6.071372118964864</v>
      </c>
      <c r="U50" s="139">
        <f t="shared" si="7"/>
        <v>5.8493259988833035E-6</v>
      </c>
      <c r="V50" s="139">
        <f t="shared" si="7"/>
        <v>1.9405666465465117E-8</v>
      </c>
      <c r="W50" s="139">
        <f t="shared" si="7"/>
        <v>6.1776409271370495E-8</v>
      </c>
      <c r="X50" s="139">
        <f t="shared" si="7"/>
        <v>3.3440111806185046E-3</v>
      </c>
      <c r="Y50" s="139">
        <f t="shared" si="7"/>
        <v>0.21279676441742296</v>
      </c>
    </row>
    <row r="51" spans="1:25" ht="13.9" customHeight="1" x14ac:dyDescent="0.25"/>
    <row r="52" spans="1:25" x14ac:dyDescent="0.25">
      <c r="A52" t="s">
        <v>566</v>
      </c>
    </row>
    <row r="53" spans="1:25" ht="13.9" customHeight="1" x14ac:dyDescent="0.25"/>
    <row r="54" spans="1:25" x14ac:dyDescent="0.25">
      <c r="A54" s="32"/>
    </row>
    <row r="55" spans="1:25" ht="24" x14ac:dyDescent="0.4">
      <c r="A55" s="100" t="s">
        <v>567</v>
      </c>
    </row>
    <row r="56" spans="1:25" ht="13.9" customHeight="1" x14ac:dyDescent="0.25"/>
    <row r="57" spans="1:25" x14ac:dyDescent="0.25">
      <c r="A57" s="104" t="s">
        <v>223</v>
      </c>
      <c r="B57" s="103" t="s">
        <v>92</v>
      </c>
      <c r="C57" s="108" t="s">
        <v>93</v>
      </c>
      <c r="D57" s="103" t="s">
        <v>339</v>
      </c>
      <c r="E57" s="103" t="s">
        <v>340</v>
      </c>
      <c r="F57" s="103" t="s">
        <v>341</v>
      </c>
      <c r="G57" s="103" t="s">
        <v>342</v>
      </c>
      <c r="H57" s="103" t="s">
        <v>569</v>
      </c>
    </row>
    <row r="58" spans="1:25" x14ac:dyDescent="0.25">
      <c r="A58" s="1" t="s">
        <v>344</v>
      </c>
      <c r="B58" s="154">
        <f>'C2''- Transport Secondary'!G46</f>
        <v>3.0004103119665824E-4</v>
      </c>
      <c r="C58" s="154">
        <f>'C2''- Transport Secondary'!G47</f>
        <v>3.8338576208461891E-4</v>
      </c>
      <c r="D58" s="154">
        <f>SUM(B58:C58)</f>
        <v>6.8342679328127715E-4</v>
      </c>
      <c r="E58" s="154">
        <f>'C2''- Transport Secondary'!G48</f>
        <v>2.8200569999999999E-3</v>
      </c>
      <c r="F58" s="154">
        <f>'C2''- Transport Secondary'!G49</f>
        <v>1.7709480000000004E-4</v>
      </c>
      <c r="G58" s="154">
        <f>SUM(E58:F58)</f>
        <v>2.9971517999999998E-3</v>
      </c>
      <c r="H58" s="154">
        <f>+D58+G58</f>
        <v>3.6805785932812769E-3</v>
      </c>
    </row>
    <row r="59" spans="1:25" x14ac:dyDescent="0.25">
      <c r="A59" s="1" t="s">
        <v>304</v>
      </c>
      <c r="B59" s="154">
        <f>'C2''- Transport Secondary'!H46</f>
        <v>8.4052021741258365E-2</v>
      </c>
      <c r="C59" s="154">
        <f>'C2''- Transport Secondary'!H47</f>
        <v>0.10739980555827459</v>
      </c>
      <c r="D59" s="154">
        <f t="shared" ref="D59:D76" si="8">SUM(B59:C59)</f>
        <v>0.19145182729953297</v>
      </c>
      <c r="E59" s="154">
        <f>'C2''- Transport Secondary'!H48</f>
        <v>0.44637778140000006</v>
      </c>
      <c r="F59" s="154">
        <f>'C2''- Transport Secondary'!H49</f>
        <v>6.4734379600000003E-2</v>
      </c>
      <c r="G59" s="154">
        <f>SUM(E59:F59)</f>
        <v>0.51111216100000001</v>
      </c>
      <c r="H59" s="154">
        <f t="shared" ref="H59:H76" si="9">+D59+G59</f>
        <v>0.70256398829953293</v>
      </c>
    </row>
    <row r="60" spans="1:25" x14ac:dyDescent="0.25">
      <c r="A60" s="1" t="s">
        <v>305</v>
      </c>
      <c r="B60" s="154">
        <f>'C2''- Transport Secondary'!I46</f>
        <v>1.7571451279601372E-3</v>
      </c>
      <c r="C60" s="154">
        <f>'C2''- Transport Secondary'!I47</f>
        <v>2.2452409968379532E-3</v>
      </c>
      <c r="D60" s="154">
        <f t="shared" si="8"/>
        <v>4.0023861247980904E-3</v>
      </c>
      <c r="E60" s="154">
        <f>'C2''- Transport Secondary'!I48</f>
        <v>2.17178172E-3</v>
      </c>
      <c r="F60" s="154">
        <f>'C2''- Transport Secondary'!I49</f>
        <v>2.9919519999999998E-5</v>
      </c>
      <c r="G60" s="154">
        <f t="shared" ref="G60:G76" si="10">SUM(E60:F60)</f>
        <v>2.2017012399999998E-3</v>
      </c>
      <c r="H60" s="154">
        <f t="shared" si="9"/>
        <v>6.2040873647980898E-3</v>
      </c>
    </row>
    <row r="61" spans="1:25" x14ac:dyDescent="0.25">
      <c r="A61" s="1" t="s">
        <v>306</v>
      </c>
      <c r="B61" s="154">
        <f>'C2''- Transport Secondary'!J46</f>
        <v>8.2088184235884737E-2</v>
      </c>
      <c r="C61" s="154">
        <f>'C2''- Transport Secondary'!J47</f>
        <v>0.10489045763474164</v>
      </c>
      <c r="D61" s="154">
        <f t="shared" si="8"/>
        <v>0.18697864187062638</v>
      </c>
      <c r="E61" s="154">
        <f>'C2''- Transport Secondary'!J48</f>
        <v>0.444146445</v>
      </c>
      <c r="F61" s="154">
        <f>'C2''- Transport Secondary'!J49</f>
        <v>6.4699370000000006E-2</v>
      </c>
      <c r="G61" s="154">
        <f t="shared" si="10"/>
        <v>0.50884581500000003</v>
      </c>
      <c r="H61" s="154">
        <f t="shared" si="9"/>
        <v>0.69582445687062644</v>
      </c>
    </row>
    <row r="62" spans="1:25" x14ac:dyDescent="0.25">
      <c r="A62" s="1" t="s">
        <v>307</v>
      </c>
      <c r="B62" s="154">
        <f>'C2''- Transport Secondary'!K46</f>
        <v>2.0669237741363701E-4</v>
      </c>
      <c r="C62" s="154">
        <f>'C2''- Transport Secondary'!K47</f>
        <v>2.6410692669520284E-4</v>
      </c>
      <c r="D62" s="154">
        <f t="shared" si="8"/>
        <v>4.7079930410883983E-4</v>
      </c>
      <c r="E62" s="154">
        <f>'C2''- Transport Secondary'!K48</f>
        <v>5.9554140000000016E-5</v>
      </c>
      <c r="F62" s="154">
        <f>'C2''- Transport Secondary'!K49</f>
        <v>5.0899600000000001E-6</v>
      </c>
      <c r="G62" s="154">
        <f t="shared" si="10"/>
        <v>6.464410000000002E-5</v>
      </c>
      <c r="H62" s="154">
        <f t="shared" si="9"/>
        <v>5.3544340410883985E-4</v>
      </c>
    </row>
    <row r="63" spans="1:25" x14ac:dyDescent="0.25">
      <c r="A63" s="1" t="s">
        <v>308</v>
      </c>
      <c r="B63" s="154">
        <f>'C2''- Transport Secondary'!L46</f>
        <v>0.30136221611989183</v>
      </c>
      <c r="C63" s="154">
        <f>'C2''- Transport Secondary'!L47</f>
        <v>0.38507394281986185</v>
      </c>
      <c r="D63" s="154">
        <f t="shared" si="8"/>
        <v>0.68643615893975363</v>
      </c>
      <c r="E63" s="154">
        <f>'C2''- Transport Secondary'!L48</f>
        <v>2.4061379652000001</v>
      </c>
      <c r="F63" s="154">
        <f>'C2''- Transport Secondary'!L49</f>
        <v>5.50147312E-2</v>
      </c>
      <c r="G63" s="154">
        <f t="shared" si="10"/>
        <v>2.4611526964000001</v>
      </c>
      <c r="H63" s="154">
        <f t="shared" si="9"/>
        <v>3.1475888553397535</v>
      </c>
    </row>
    <row r="64" spans="1:25" x14ac:dyDescent="0.25">
      <c r="A64" s="1" t="s">
        <v>309</v>
      </c>
      <c r="B64" s="154">
        <f>'C2''- Transport Secondary'!M46</f>
        <v>4.0414722503750964</v>
      </c>
      <c r="C64" s="154">
        <f>'C2''- Transport Secondary'!M47</f>
        <v>5.1641034310348459</v>
      </c>
      <c r="D64" s="154">
        <f t="shared" si="8"/>
        <v>9.2055756814099432</v>
      </c>
      <c r="E64" s="154">
        <f>'C2''- Transport Secondary'!M48</f>
        <v>5.7931925585999995</v>
      </c>
      <c r="F64" s="154">
        <f>'C2''- Transport Secondary'!M49</f>
        <v>0.8703758439999999</v>
      </c>
      <c r="G64" s="154">
        <f t="shared" si="10"/>
        <v>6.6635684025999993</v>
      </c>
      <c r="H64" s="154">
        <f t="shared" si="9"/>
        <v>15.869144084009942</v>
      </c>
    </row>
    <row r="65" spans="1:8" x14ac:dyDescent="0.25">
      <c r="A65" s="1" t="s">
        <v>310</v>
      </c>
      <c r="B65" s="154">
        <f>'C2''- Transport Secondary'!N46</f>
        <v>3.0833483800338876E-5</v>
      </c>
      <c r="C65" s="154">
        <f>'C2''- Transport Secondary'!N47</f>
        <v>3.9398340411544118E-5</v>
      </c>
      <c r="D65" s="154">
        <f t="shared" si="8"/>
        <v>7.0231824211882987E-5</v>
      </c>
      <c r="E65" s="154">
        <f>'C2''- Transport Secondary'!N48</f>
        <v>2.3994540000000005E-5</v>
      </c>
      <c r="F65" s="154">
        <f>'C2''- Transport Secondary'!N49</f>
        <v>1.4892000000000001E-6</v>
      </c>
      <c r="G65" s="154">
        <f t="shared" si="10"/>
        <v>2.5483740000000004E-5</v>
      </c>
      <c r="H65" s="154">
        <f t="shared" si="9"/>
        <v>9.5715564211882985E-5</v>
      </c>
    </row>
    <row r="66" spans="1:8" x14ac:dyDescent="0.25">
      <c r="A66" s="1" t="s">
        <v>311</v>
      </c>
      <c r="B66" s="154">
        <f>'C2''- Transport Secondary'!O46</f>
        <v>6.1617335889553669E-5</v>
      </c>
      <c r="C66" s="154">
        <f>'C2''- Transport Secondary'!O47</f>
        <v>7.8733262525540796E-5</v>
      </c>
      <c r="D66" s="154">
        <f t="shared" si="8"/>
        <v>1.4035059841509446E-4</v>
      </c>
      <c r="E66" s="154">
        <f>'C2''- Transport Secondary'!O48</f>
        <v>1.9314929999999998E-3</v>
      </c>
      <c r="F66" s="154">
        <f>'C2''- Transport Secondary'!O49</f>
        <v>6.3541599999999995E-5</v>
      </c>
      <c r="G66" s="154">
        <f t="shared" si="10"/>
        <v>1.9950345999999999E-3</v>
      </c>
      <c r="H66" s="154">
        <f t="shared" si="9"/>
        <v>2.1353851984150943E-3</v>
      </c>
    </row>
    <row r="67" spans="1:8" x14ac:dyDescent="0.25">
      <c r="A67" s="1" t="s">
        <v>312</v>
      </c>
      <c r="B67" s="154">
        <f>'C2''- Transport Secondary'!P46</f>
        <v>5.8483479869466477E-4</v>
      </c>
      <c r="C67" s="154">
        <f>'C2''- Transport Secondary'!P47</f>
        <v>7.472889094431829E-4</v>
      </c>
      <c r="D67" s="154">
        <f t="shared" si="8"/>
        <v>1.3321237081378476E-3</v>
      </c>
      <c r="E67" s="154">
        <f>'C2''- Transport Secondary'!P48</f>
        <v>1.2495084E-2</v>
      </c>
      <c r="F67" s="154">
        <f>'C2''- Transport Secondary'!P49</f>
        <v>6.9314199999999989E-4</v>
      </c>
      <c r="G67" s="154">
        <f t="shared" si="10"/>
        <v>1.3188226000000001E-2</v>
      </c>
      <c r="H67" s="154">
        <f t="shared" si="9"/>
        <v>1.4520349708137849E-2</v>
      </c>
    </row>
    <row r="68" spans="1:8" x14ac:dyDescent="0.25">
      <c r="A68" s="1" t="s">
        <v>313</v>
      </c>
      <c r="B68" s="154">
        <f>'C2''- Transport Secondary'!Q46</f>
        <v>3.521854530916213E-11</v>
      </c>
      <c r="C68" s="154">
        <f>'C2''- Transport Secondary'!Q47</f>
        <v>4.5001474561707171E-11</v>
      </c>
      <c r="D68" s="154">
        <f t="shared" si="8"/>
        <v>8.0220019870869294E-11</v>
      </c>
      <c r="E68" s="154">
        <f>'C2''- Transport Secondary'!Q48</f>
        <v>9.6051960000000001E-11</v>
      </c>
      <c r="F68" s="154">
        <f>'C2''- Transport Secondary'!Q49</f>
        <v>6.0508399999999997E-12</v>
      </c>
      <c r="G68" s="154">
        <f t="shared" si="10"/>
        <v>1.021028E-10</v>
      </c>
      <c r="H68" s="154">
        <f t="shared" si="9"/>
        <v>1.823228198708693E-10</v>
      </c>
    </row>
    <row r="69" spans="1:8" x14ac:dyDescent="0.25">
      <c r="A69" s="1" t="s">
        <v>345</v>
      </c>
      <c r="B69" s="154">
        <f>'C2''- Transport Secondary'!R46</f>
        <v>2.2695037982840213E-9</v>
      </c>
      <c r="C69" s="154">
        <f>'C2''- Transport Secondary'!R47</f>
        <v>2.8999215200295831E-9</v>
      </c>
      <c r="D69" s="154">
        <f t="shared" si="8"/>
        <v>5.1694253183136048E-9</v>
      </c>
      <c r="E69" s="154">
        <f>'C2''- Transport Secondary'!R48</f>
        <v>9.3145200000000019E-9</v>
      </c>
      <c r="F69" s="154">
        <f>'C2''- Transport Secondary'!R49</f>
        <v>4.6394000000000005E-10</v>
      </c>
      <c r="G69" s="154">
        <f t="shared" si="10"/>
        <v>9.7784600000000026E-9</v>
      </c>
      <c r="H69" s="154">
        <f t="shared" si="9"/>
        <v>1.4947885318313607E-8</v>
      </c>
    </row>
    <row r="70" spans="1:8" x14ac:dyDescent="0.25">
      <c r="A70" s="1" t="s">
        <v>315</v>
      </c>
      <c r="B70" s="154">
        <f>'C2''- Transport Secondary'!S46</f>
        <v>0.16976904525133552</v>
      </c>
      <c r="C70" s="154">
        <f>'C2''- Transport Secondary'!S47</f>
        <v>0.2169271133767065</v>
      </c>
      <c r="D70" s="154">
        <f t="shared" si="8"/>
        <v>0.38669615862804202</v>
      </c>
      <c r="E70" s="154">
        <f>'C2''- Transport Secondary'!S48</f>
        <v>5.7019925999999997E-3</v>
      </c>
      <c r="F70" s="154">
        <f>'C2''- Transport Secondary'!S49</f>
        <v>3.9185119999999999E-4</v>
      </c>
      <c r="G70" s="154">
        <f t="shared" si="10"/>
        <v>6.0938438000000001E-3</v>
      </c>
      <c r="H70" s="154">
        <f t="shared" si="9"/>
        <v>0.39279000242804202</v>
      </c>
    </row>
    <row r="71" spans="1:8" x14ac:dyDescent="0.25">
      <c r="A71" s="1" t="s">
        <v>316</v>
      </c>
      <c r="B71" s="154">
        <f>'C2''- Transport Secondary'!T46</f>
        <v>0.63776289212115955</v>
      </c>
      <c r="C71" s="154">
        <f>'C2''- Transport Secondary'!T47</f>
        <v>0.814919251043704</v>
      </c>
      <c r="D71" s="154">
        <f t="shared" si="8"/>
        <v>1.4526821431648635</v>
      </c>
      <c r="E71" s="154">
        <f>'C2''- Transport Secondary'!T48</f>
        <v>4.5640732398000008</v>
      </c>
      <c r="F71" s="154">
        <f>'C2''- Transport Secondary'!T49</f>
        <v>5.4616736000000006E-2</v>
      </c>
      <c r="G71" s="154">
        <f t="shared" si="10"/>
        <v>4.6186899758000006</v>
      </c>
      <c r="H71" s="154">
        <f t="shared" si="9"/>
        <v>6.071372118964864</v>
      </c>
    </row>
    <row r="72" spans="1:8" x14ac:dyDescent="0.25">
      <c r="A72" s="1" t="s">
        <v>317</v>
      </c>
      <c r="B72" s="154">
        <f>'C2''- Transport Secondary'!U46</f>
        <v>2.1885787312170595E-6</v>
      </c>
      <c r="C72" s="154">
        <f>'C2''- Transport Secondary'!U47</f>
        <v>2.7965172676662434E-6</v>
      </c>
      <c r="D72" s="154">
        <f t="shared" si="8"/>
        <v>4.9850959988833029E-6</v>
      </c>
      <c r="E72" s="154">
        <f>'C2''- Transport Secondary'!U48</f>
        <v>7.9406160000000009E-7</v>
      </c>
      <c r="F72" s="154">
        <f>'C2''- Transport Secondary'!U49</f>
        <v>7.0168399999999992E-8</v>
      </c>
      <c r="G72" s="154">
        <f t="shared" si="10"/>
        <v>8.6423000000000011E-7</v>
      </c>
      <c r="H72" s="154">
        <f t="shared" si="9"/>
        <v>5.8493259988833035E-6</v>
      </c>
    </row>
    <row r="73" spans="1:8" x14ac:dyDescent="0.25">
      <c r="A73" s="1" t="s">
        <v>318</v>
      </c>
      <c r="B73" s="154">
        <f>'C2''- Transport Secondary'!V46</f>
        <v>2.6244133750822464E-9</v>
      </c>
      <c r="C73" s="154">
        <f>'C2''- Transport Secondary'!V47</f>
        <v>3.3534170903828707E-9</v>
      </c>
      <c r="D73" s="154">
        <f t="shared" si="8"/>
        <v>5.9778304654651172E-9</v>
      </c>
      <c r="E73" s="154">
        <f>'C2''- Transport Secondary'!V48</f>
        <v>1.1987892E-8</v>
      </c>
      <c r="F73" s="154">
        <f>'C2''- Transport Secondary'!V49</f>
        <v>1.4399439999999999E-9</v>
      </c>
      <c r="G73" s="154">
        <f t="shared" si="10"/>
        <v>1.3427836E-8</v>
      </c>
      <c r="H73" s="154">
        <f t="shared" si="9"/>
        <v>1.9405666465465117E-8</v>
      </c>
    </row>
    <row r="74" spans="1:8" ht="13.9" customHeight="1" x14ac:dyDescent="0.25">
      <c r="A74" s="1" t="s">
        <v>319</v>
      </c>
      <c r="B74" s="154">
        <f>'C2''- Transport Secondary'!W46</f>
        <v>5.7826226069431432E-9</v>
      </c>
      <c r="C74" s="154">
        <f>'C2''- Transport Secondary'!W47</f>
        <v>7.3889066644273501E-9</v>
      </c>
      <c r="D74" s="154">
        <f t="shared" si="8"/>
        <v>1.3171529271370492E-8</v>
      </c>
      <c r="E74" s="154">
        <f>'C2''- Transport Secondary'!W48</f>
        <v>4.4227680000000001E-8</v>
      </c>
      <c r="F74" s="154">
        <f>'C2''- Transport Secondary'!W49</f>
        <v>4.3772000000000001E-9</v>
      </c>
      <c r="G74" s="154">
        <f t="shared" si="10"/>
        <v>4.8604879999999999E-8</v>
      </c>
      <c r="H74" s="154">
        <f t="shared" si="9"/>
        <v>6.1776409271370495E-8</v>
      </c>
    </row>
    <row r="75" spans="1:8" x14ac:dyDescent="0.25">
      <c r="A75" s="1" t="s">
        <v>320</v>
      </c>
      <c r="B75" s="154">
        <f>'C2''- Transport Secondary'!X46</f>
        <v>1.868604500276361E-4</v>
      </c>
      <c r="C75" s="154">
        <f>'C2''- Transport Secondary'!X47</f>
        <v>2.3876613059086837E-4</v>
      </c>
      <c r="D75" s="154">
        <f t="shared" si="8"/>
        <v>4.2562658061850447E-4</v>
      </c>
      <c r="E75" s="154">
        <f>'C2''- Transport Secondary'!X48</f>
        <v>2.6395626E-3</v>
      </c>
      <c r="F75" s="154">
        <f>'C2''- Transport Secondary'!X49</f>
        <v>2.7882200000000002E-4</v>
      </c>
      <c r="G75" s="154">
        <f t="shared" si="10"/>
        <v>2.9183846000000002E-3</v>
      </c>
      <c r="H75" s="154">
        <f t="shared" si="9"/>
        <v>3.3440111806185046E-3</v>
      </c>
    </row>
    <row r="76" spans="1:8" x14ac:dyDescent="0.25">
      <c r="A76" s="1" t="s">
        <v>321</v>
      </c>
      <c r="B76" s="154">
        <f>'C2''- Transport Secondary'!Y46</f>
        <v>4.8550835685697874E-2</v>
      </c>
      <c r="C76" s="154">
        <f>'C2''- Transport Secondary'!Y47</f>
        <v>6.2037178931725077E-2</v>
      </c>
      <c r="D76" s="154">
        <f t="shared" si="8"/>
        <v>0.11058801461742296</v>
      </c>
      <c r="E76" s="154">
        <f>'C2''- Transport Secondary'!Y48</f>
        <v>0.10024425300000002</v>
      </c>
      <c r="F76" s="154">
        <f>'C2''- Transport Secondary'!Y49</f>
        <v>1.9644967999999999E-3</v>
      </c>
      <c r="G76" s="154">
        <f t="shared" si="10"/>
        <v>0.10220874980000003</v>
      </c>
      <c r="H76" s="154">
        <f t="shared" si="9"/>
        <v>0.21279676441742298</v>
      </c>
    </row>
    <row r="79" spans="1:8" x14ac:dyDescent="0.25">
      <c r="B79" t="s">
        <v>572</v>
      </c>
    </row>
    <row r="80" spans="1:8" x14ac:dyDescent="0.25">
      <c r="A80" s="95" t="s">
        <v>351</v>
      </c>
      <c r="B80" s="1">
        <f>SUM(G50:Y50)</f>
        <v>27.122601786982038</v>
      </c>
    </row>
    <row r="81" spans="1:2" x14ac:dyDescent="0.25">
      <c r="A81" s="95" t="s">
        <v>352</v>
      </c>
      <c r="B81" s="1">
        <f>SUM(B58:C76)+SUM(E58:F76)</f>
        <v>27.122601786982038</v>
      </c>
    </row>
    <row r="82" spans="1:2" x14ac:dyDescent="0.25">
      <c r="A82" s="95" t="s">
        <v>62</v>
      </c>
      <c r="B82" s="204">
        <f>+B80-B81</f>
        <v>0</v>
      </c>
    </row>
    <row r="83" spans="1:2" ht="13.9" customHeight="1" x14ac:dyDescent="0.25"/>
    <row r="84" spans="1:2" ht="13.9" customHeight="1" x14ac:dyDescent="0.25"/>
    <row r="85" spans="1:2" ht="13.9" customHeight="1" x14ac:dyDescent="0.25"/>
    <row r="86" spans="1:2" ht="13.9" customHeight="1" x14ac:dyDescent="0.25">
      <c r="A86" s="28" t="s">
        <v>571</v>
      </c>
    </row>
    <row r="87" spans="1:2" ht="13.9" customHeight="1" x14ac:dyDescent="0.25"/>
    <row r="88" spans="1:2" ht="13.9" customHeight="1" x14ac:dyDescent="0.25"/>
    <row r="89" spans="1:2" ht="13.9" customHeight="1" x14ac:dyDescent="0.25"/>
    <row r="90" spans="1:2" ht="13.9" customHeight="1" x14ac:dyDescent="0.25"/>
    <row r="91" spans="1:2" ht="13.9" customHeight="1" x14ac:dyDescent="0.25"/>
    <row r="93" spans="1:2" ht="13.9" customHeight="1" x14ac:dyDescent="0.25"/>
    <row r="95" spans="1:2" ht="13.9" customHeight="1" x14ac:dyDescent="0.25"/>
    <row r="97" spans="26:28" ht="13.9" customHeight="1" x14ac:dyDescent="0.25"/>
    <row r="99" spans="26:28" ht="13.9" customHeight="1" x14ac:dyDescent="0.25"/>
    <row r="100" spans="26:28" ht="13.9" customHeight="1" x14ac:dyDescent="0.25"/>
    <row r="108" spans="26:28" ht="49.9" customHeight="1" x14ac:dyDescent="0.25"/>
    <row r="109" spans="26:28" x14ac:dyDescent="0.25">
      <c r="Z109" t="e">
        <f>+SUM(#REF!+#REF!+#REF!+D58+G58+#REF!)</f>
        <v>#REF!</v>
      </c>
      <c r="AA109">
        <f>+$G$50</f>
        <v>3.6805785932812769E-3</v>
      </c>
      <c r="AB109" s="87" t="e">
        <f>+AA109-Z109</f>
        <v>#REF!</v>
      </c>
    </row>
    <row r="110" spans="26:28" x14ac:dyDescent="0.25">
      <c r="Z110" t="e">
        <f>+SUM(#REF!+#REF!+#REF!+D59+G59+#REF!)</f>
        <v>#REF!</v>
      </c>
      <c r="AA110">
        <f>+$H$50</f>
        <v>0.70256398829953293</v>
      </c>
      <c r="AB110" s="87" t="e">
        <f t="shared" ref="AB110:AB127" si="11">+AA110-Z110</f>
        <v>#REF!</v>
      </c>
    </row>
    <row r="111" spans="26:28" x14ac:dyDescent="0.25">
      <c r="Z111" t="e">
        <f>+SUM(#REF!+#REF!+#REF!+D60+G60+#REF!)</f>
        <v>#REF!</v>
      </c>
      <c r="AA111">
        <f>+$I$50</f>
        <v>6.2040873647980907E-3</v>
      </c>
      <c r="AB111" s="87" t="e">
        <f t="shared" si="11"/>
        <v>#REF!</v>
      </c>
    </row>
    <row r="112" spans="26:28" x14ac:dyDescent="0.25">
      <c r="Z112" t="e">
        <f>+SUM(#REF!+#REF!+#REF!+D61+G61+#REF!)</f>
        <v>#REF!</v>
      </c>
      <c r="AA112">
        <f>+$J$50</f>
        <v>0.69582445687062644</v>
      </c>
      <c r="AB112" s="87" t="e">
        <f t="shared" si="11"/>
        <v>#REF!</v>
      </c>
    </row>
    <row r="113" spans="26:28" x14ac:dyDescent="0.25">
      <c r="Z113" t="e">
        <f>+SUM(#REF!+#REF!+#REF!+D62+G62+#REF!)</f>
        <v>#REF!</v>
      </c>
      <c r="AA113">
        <f>+$K$50</f>
        <v>5.3544340410883985E-4</v>
      </c>
      <c r="AB113" s="87" t="e">
        <f t="shared" si="11"/>
        <v>#REF!</v>
      </c>
    </row>
    <row r="114" spans="26:28" x14ac:dyDescent="0.25">
      <c r="Z114" t="e">
        <f>+SUM(#REF!+#REF!+#REF!+D63+G63+#REF!)</f>
        <v>#REF!</v>
      </c>
      <c r="AA114">
        <f>+$L$50</f>
        <v>3.1475888553397535</v>
      </c>
      <c r="AB114" s="87" t="e">
        <f t="shared" si="11"/>
        <v>#REF!</v>
      </c>
    </row>
    <row r="115" spans="26:28" x14ac:dyDescent="0.25">
      <c r="Z115" t="e">
        <f>+SUM(#REF!+#REF!+#REF!+D64+G64+#REF!)</f>
        <v>#REF!</v>
      </c>
      <c r="AA115">
        <f>+$M$50</f>
        <v>15.869144084009942</v>
      </c>
      <c r="AB115" s="87" t="e">
        <f t="shared" si="11"/>
        <v>#REF!</v>
      </c>
    </row>
    <row r="116" spans="26:28" x14ac:dyDescent="0.25">
      <c r="Z116" t="e">
        <f>+SUM(#REF!+#REF!+#REF!+D65+G65+#REF!)</f>
        <v>#REF!</v>
      </c>
      <c r="AA116">
        <f>+N$50</f>
        <v>9.5715564211882998E-5</v>
      </c>
      <c r="AB116" s="87" t="e">
        <f t="shared" si="11"/>
        <v>#REF!</v>
      </c>
    </row>
    <row r="117" spans="26:28" x14ac:dyDescent="0.25">
      <c r="Z117" t="e">
        <f>+SUM(#REF!+#REF!+#REF!+D66+G66+#REF!)</f>
        <v>#REF!</v>
      </c>
      <c r="AA117">
        <f>+$O$50</f>
        <v>2.1353851984150943E-3</v>
      </c>
      <c r="AB117" s="87" t="e">
        <f t="shared" si="11"/>
        <v>#REF!</v>
      </c>
    </row>
    <row r="118" spans="26:28" x14ac:dyDescent="0.25">
      <c r="Z118" t="e">
        <f>+SUM(#REF!+#REF!+#REF!+D67+G67+#REF!)</f>
        <v>#REF!</v>
      </c>
      <c r="AA118">
        <f>+$P$50</f>
        <v>1.4520349708137849E-2</v>
      </c>
      <c r="AB118" s="87" t="e">
        <f t="shared" si="11"/>
        <v>#REF!</v>
      </c>
    </row>
    <row r="119" spans="26:28" x14ac:dyDescent="0.25">
      <c r="Z119" t="e">
        <f>+SUM(#REF!+#REF!+#REF!+D68+G68+#REF!)</f>
        <v>#REF!</v>
      </c>
      <c r="AA119">
        <f>+$Q$50</f>
        <v>1.8232281987086927E-10</v>
      </c>
      <c r="AB119" s="87" t="e">
        <f t="shared" si="11"/>
        <v>#REF!</v>
      </c>
    </row>
    <row r="120" spans="26:28" x14ac:dyDescent="0.25">
      <c r="Z120" t="e">
        <f>+SUM(#REF!+#REF!+#REF!+D69+G69+#REF!)</f>
        <v>#REF!</v>
      </c>
      <c r="AA120">
        <f>+$R$50</f>
        <v>1.4947885318313607E-8</v>
      </c>
      <c r="AB120" s="87" t="e">
        <f t="shared" si="11"/>
        <v>#REF!</v>
      </c>
    </row>
    <row r="121" spans="26:28" x14ac:dyDescent="0.25">
      <c r="Z121" t="e">
        <f>+SUM(#REF!+#REF!+#REF!+D70+G70+#REF!)</f>
        <v>#REF!</v>
      </c>
      <c r="AA121">
        <f>+$S$50</f>
        <v>0.39279000242804202</v>
      </c>
      <c r="AB121" s="87" t="e">
        <f t="shared" si="11"/>
        <v>#REF!</v>
      </c>
    </row>
    <row r="122" spans="26:28" x14ac:dyDescent="0.25">
      <c r="Z122" t="e">
        <f>+SUM(#REF!+#REF!+#REF!+D71+G71+#REF!)</f>
        <v>#REF!</v>
      </c>
      <c r="AA122">
        <f>+$T$50</f>
        <v>6.071372118964864</v>
      </c>
      <c r="AB122" s="87" t="e">
        <f t="shared" si="11"/>
        <v>#REF!</v>
      </c>
    </row>
    <row r="123" spans="26:28" x14ac:dyDescent="0.25">
      <c r="Z123" t="e">
        <f>+SUM(#REF!+#REF!+#REF!+D72+G72+#REF!)</f>
        <v>#REF!</v>
      </c>
      <c r="AA123">
        <f>+$U$50</f>
        <v>5.8493259988833035E-6</v>
      </c>
      <c r="AB123" s="87" t="e">
        <f t="shared" si="11"/>
        <v>#REF!</v>
      </c>
    </row>
    <row r="124" spans="26:28" x14ac:dyDescent="0.25">
      <c r="Z124" t="e">
        <f>+SUM(#REF!+#REF!+#REF!+D73+G73+#REF!)</f>
        <v>#REF!</v>
      </c>
      <c r="AA124">
        <f>+$V$50</f>
        <v>1.9405666465465117E-8</v>
      </c>
      <c r="AB124" s="87" t="e">
        <f t="shared" si="11"/>
        <v>#REF!</v>
      </c>
    </row>
    <row r="125" spans="26:28" x14ac:dyDescent="0.25">
      <c r="Z125" t="e">
        <f>+SUM(#REF!+#REF!+#REF!+D74+G74+#REF!)</f>
        <v>#REF!</v>
      </c>
      <c r="AA125">
        <f>+$W$50</f>
        <v>6.1776409271370495E-8</v>
      </c>
      <c r="AB125" s="87" t="e">
        <f t="shared" si="11"/>
        <v>#REF!</v>
      </c>
    </row>
    <row r="126" spans="26:28" x14ac:dyDescent="0.25">
      <c r="Z126" t="e">
        <f>+SUM(#REF!+#REF!+#REF!+D75+G75+#REF!)</f>
        <v>#REF!</v>
      </c>
      <c r="AA126">
        <f>+$X$50</f>
        <v>3.3440111806185046E-3</v>
      </c>
      <c r="AB126" s="87" t="e">
        <f t="shared" si="11"/>
        <v>#REF!</v>
      </c>
    </row>
    <row r="127" spans="26:28" x14ac:dyDescent="0.25">
      <c r="Z127" t="e">
        <f>+SUM(#REF!+#REF!+#REF!+D76+G76+#REF!)</f>
        <v>#REF!</v>
      </c>
      <c r="AA127">
        <f>+$Y$50</f>
        <v>0.21279676441742296</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0"/>
  <sheetViews>
    <sheetView showGridLines="0" zoomScale="70" zoomScaleNormal="70" workbookViewId="0">
      <selection activeCell="A2" sqref="A2"/>
    </sheetView>
  </sheetViews>
  <sheetFormatPr defaultRowHeight="15" x14ac:dyDescent="0.25"/>
  <cols>
    <col min="1" max="1" width="67.140625" customWidth="1"/>
    <col min="2" max="2" width="37.7109375" bestFit="1" customWidth="1"/>
    <col min="3" max="3" width="52.42578125" customWidth="1"/>
    <col min="4" max="4" width="33" customWidth="1"/>
    <col min="5" max="5" width="38.5703125" bestFit="1" customWidth="1"/>
    <col min="6" max="6" width="22.140625" bestFit="1" customWidth="1"/>
    <col min="7" max="7" width="21.42578125" customWidth="1"/>
    <col min="8" max="8" width="22.85546875" customWidth="1"/>
    <col min="9" max="9" width="20.140625" customWidth="1"/>
    <col min="10" max="10" width="20.42578125" customWidth="1"/>
    <col min="11" max="11" width="25" customWidth="1"/>
    <col min="12" max="12" width="21" customWidth="1"/>
    <col min="13" max="13" width="17.85546875" customWidth="1"/>
    <col min="14" max="14" width="18.140625" customWidth="1"/>
    <col min="15" max="15" width="23.140625" customWidth="1"/>
    <col min="16" max="16" width="21.140625" customWidth="1"/>
    <col min="17" max="17" width="17.85546875" customWidth="1"/>
    <col min="18" max="18" width="16.140625" customWidth="1"/>
    <col min="19" max="19" width="22.140625" customWidth="1"/>
    <col min="20" max="21" width="17.85546875" customWidth="1"/>
    <col min="22" max="22" width="21.85546875" customWidth="1"/>
    <col min="23" max="23" width="21.140625" customWidth="1"/>
    <col min="24" max="24" width="16.7109375" customWidth="1"/>
    <col min="25" max="25" width="20.42578125" customWidth="1"/>
    <col min="26" max="26" width="17.5703125" customWidth="1"/>
  </cols>
  <sheetData>
    <row r="1" spans="1:4" x14ac:dyDescent="0.25">
      <c r="A1" s="27"/>
      <c r="B1" s="27"/>
    </row>
    <row r="2" spans="1:4" ht="24" x14ac:dyDescent="0.4">
      <c r="A2" s="110" t="s">
        <v>573</v>
      </c>
      <c r="B2" s="27"/>
    </row>
    <row r="3" spans="1:4" ht="24" x14ac:dyDescent="0.4">
      <c r="A3" s="110"/>
      <c r="B3" s="27"/>
    </row>
    <row r="4" spans="1:4" ht="18.75" x14ac:dyDescent="0.3">
      <c r="A4" s="74" t="s">
        <v>574</v>
      </c>
      <c r="B4" s="27"/>
    </row>
    <row r="5" spans="1:4" ht="18.75" x14ac:dyDescent="0.3">
      <c r="A5" s="78"/>
      <c r="B5" s="27"/>
    </row>
    <row r="6" spans="1:4" s="43" customFormat="1" x14ac:dyDescent="0.25">
      <c r="A6" s="62" t="s">
        <v>375</v>
      </c>
      <c r="B6" s="295" t="s">
        <v>376</v>
      </c>
      <c r="C6" s="296" t="s">
        <v>377</v>
      </c>
      <c r="D6" s="297" t="s">
        <v>575</v>
      </c>
    </row>
    <row r="7" spans="1:4" x14ac:dyDescent="0.25">
      <c r="A7" s="2" t="s">
        <v>379</v>
      </c>
      <c r="B7" s="90" t="s">
        <v>576</v>
      </c>
      <c r="C7" s="202" t="s">
        <v>381</v>
      </c>
      <c r="D7" s="30" t="s">
        <v>382</v>
      </c>
    </row>
    <row r="8" spans="1:4" x14ac:dyDescent="0.25">
      <c r="A8" s="2" t="s">
        <v>383</v>
      </c>
      <c r="B8" s="90">
        <v>1</v>
      </c>
      <c r="C8" s="198"/>
      <c r="D8" s="1"/>
    </row>
    <row r="9" spans="1:4" x14ac:dyDescent="0.25">
      <c r="A9" s="2" t="s">
        <v>384</v>
      </c>
      <c r="B9" s="90">
        <v>263.2</v>
      </c>
      <c r="C9" s="141" t="s">
        <v>381</v>
      </c>
      <c r="D9" s="30" t="s">
        <v>382</v>
      </c>
    </row>
    <row r="10" spans="1:4" x14ac:dyDescent="0.25">
      <c r="A10" s="2" t="s">
        <v>385</v>
      </c>
      <c r="B10" s="90">
        <v>0.51</v>
      </c>
      <c r="C10" s="141" t="s">
        <v>386</v>
      </c>
      <c r="D10" s="1"/>
    </row>
    <row r="11" spans="1:4" x14ac:dyDescent="0.25">
      <c r="A11" s="2" t="s">
        <v>577</v>
      </c>
      <c r="B11" s="152">
        <f>Input!$B$22/1000</f>
        <v>2.4</v>
      </c>
      <c r="C11" s="141" t="s">
        <v>578</v>
      </c>
      <c r="D11" s="1"/>
    </row>
    <row r="12" spans="1:4" x14ac:dyDescent="0.25">
      <c r="A12" s="1" t="s">
        <v>387</v>
      </c>
      <c r="B12" s="90">
        <v>0.25</v>
      </c>
      <c r="C12" s="199" t="s">
        <v>388</v>
      </c>
      <c r="D12" s="30" t="s">
        <v>579</v>
      </c>
    </row>
    <row r="13" spans="1:4" x14ac:dyDescent="0.25">
      <c r="A13" s="2" t="s">
        <v>393</v>
      </c>
      <c r="B13" s="90">
        <v>0.45</v>
      </c>
      <c r="C13" s="141" t="s">
        <v>394</v>
      </c>
      <c r="D13" s="1"/>
    </row>
    <row r="14" spans="1:4" x14ac:dyDescent="0.25">
      <c r="A14" s="2" t="s">
        <v>395</v>
      </c>
      <c r="B14" s="152">
        <f>60/$B$13</f>
        <v>133.33333333333334</v>
      </c>
      <c r="C14" s="141"/>
      <c r="D14" s="1"/>
    </row>
    <row r="15" spans="1:4" s="11" customFormat="1" x14ac:dyDescent="0.25">
      <c r="A15" s="2" t="s">
        <v>396</v>
      </c>
      <c r="B15" s="90">
        <v>5.4</v>
      </c>
      <c r="C15" s="202" t="s">
        <v>381</v>
      </c>
      <c r="D15" s="30" t="s">
        <v>382</v>
      </c>
    </row>
    <row r="16" spans="1:4" s="11" customFormat="1" x14ac:dyDescent="0.25">
      <c r="A16" s="61" t="s">
        <v>580</v>
      </c>
      <c r="B16" s="160">
        <f>$B$11*$B$14*$B$15</f>
        <v>1728</v>
      </c>
      <c r="C16" s="200" t="s">
        <v>581</v>
      </c>
      <c r="D16" s="8"/>
    </row>
    <row r="17" spans="1:26" s="11" customFormat="1" ht="13.9" customHeight="1" x14ac:dyDescent="0.25">
      <c r="A17" s="61" t="s">
        <v>400</v>
      </c>
      <c r="B17" s="160">
        <f>$B$9*$B$10*$B$12</f>
        <v>33.558</v>
      </c>
      <c r="C17" s="200" t="s">
        <v>401</v>
      </c>
      <c r="D17" s="13" t="s">
        <v>402</v>
      </c>
    </row>
    <row r="18" spans="1:26" s="11" customFormat="1" x14ac:dyDescent="0.25">
      <c r="A18" s="65"/>
      <c r="B18" s="65"/>
      <c r="C18" s="24"/>
      <c r="D18" s="8"/>
    </row>
    <row r="19" spans="1:26" s="11" customFormat="1" x14ac:dyDescent="0.25">
      <c r="A19" s="1" t="s">
        <v>371</v>
      </c>
      <c r="B19" s="90">
        <v>0.51</v>
      </c>
      <c r="C19" s="49" t="s">
        <v>386</v>
      </c>
      <c r="D19" s="8"/>
    </row>
    <row r="20" spans="1:26" s="11" customFormat="1" x14ac:dyDescent="0.25">
      <c r="A20" s="29"/>
      <c r="B20" s="41"/>
    </row>
    <row r="21" spans="1:26" s="11" customFormat="1" x14ac:dyDescent="0.25">
      <c r="A21" s="62" t="s">
        <v>452</v>
      </c>
      <c r="B21" s="62" t="s">
        <v>580</v>
      </c>
      <c r="C21" s="298" t="s">
        <v>400</v>
      </c>
      <c r="D21" s="299" t="s">
        <v>582</v>
      </c>
      <c r="E21" s="299" t="s">
        <v>384</v>
      </c>
    </row>
    <row r="22" spans="1:26" s="11" customFormat="1" x14ac:dyDescent="0.25">
      <c r="A22" s="1" t="s">
        <v>461</v>
      </c>
      <c r="B22" s="174">
        <v>0</v>
      </c>
      <c r="C22" s="174">
        <v>0</v>
      </c>
      <c r="D22" s="170">
        <v>0</v>
      </c>
      <c r="E22" s="170">
        <v>0</v>
      </c>
    </row>
    <row r="23" spans="1:26" s="11" customFormat="1" ht="13.9" customHeight="1" x14ac:dyDescent="0.25">
      <c r="A23" s="56" t="s">
        <v>38</v>
      </c>
      <c r="B23" s="170">
        <f>$B$16</f>
        <v>1728</v>
      </c>
      <c r="C23" s="170">
        <f>$B$17</f>
        <v>33.558</v>
      </c>
      <c r="D23" s="170">
        <f>$C$23/$B$23</f>
        <v>1.942013888888889E-2</v>
      </c>
      <c r="E23" s="170">
        <f>$B$9</f>
        <v>263.2</v>
      </c>
    </row>
    <row r="24" spans="1:26" s="11" customFormat="1" x14ac:dyDescent="0.25">
      <c r="A24" s="79"/>
      <c r="B24" s="24"/>
      <c r="C24" s="65"/>
    </row>
    <row r="25" spans="1:26" ht="18.75" x14ac:dyDescent="0.3">
      <c r="A25" s="74" t="s">
        <v>583</v>
      </c>
    </row>
    <row r="27" spans="1:26" s="3" customFormat="1" ht="93.6" customHeight="1" x14ac:dyDescent="0.25">
      <c r="A27" s="302" t="s">
        <v>463</v>
      </c>
      <c r="B27" s="302" t="s">
        <v>464</v>
      </c>
      <c r="C27" s="302" t="s">
        <v>465</v>
      </c>
      <c r="D27" s="302" t="s">
        <v>466</v>
      </c>
      <c r="E27" s="302" t="s">
        <v>584</v>
      </c>
      <c r="F27" s="302" t="s">
        <v>582</v>
      </c>
      <c r="G27" s="302" t="s">
        <v>384</v>
      </c>
      <c r="H27" s="302" t="s">
        <v>303</v>
      </c>
      <c r="I27" s="302" t="s">
        <v>304</v>
      </c>
      <c r="J27" s="302" t="s">
        <v>305</v>
      </c>
      <c r="K27" s="302" t="s">
        <v>306</v>
      </c>
      <c r="L27" s="302" t="s">
        <v>307</v>
      </c>
      <c r="M27" s="302" t="s">
        <v>308</v>
      </c>
      <c r="N27" s="302" t="s">
        <v>309</v>
      </c>
      <c r="O27" s="302" t="s">
        <v>310</v>
      </c>
      <c r="P27" s="302" t="s">
        <v>311</v>
      </c>
      <c r="Q27" s="302" t="s">
        <v>312</v>
      </c>
      <c r="R27" s="302" t="s">
        <v>313</v>
      </c>
      <c r="S27" s="302" t="s">
        <v>314</v>
      </c>
      <c r="T27" s="302" t="s">
        <v>315</v>
      </c>
      <c r="U27" s="302" t="s">
        <v>316</v>
      </c>
      <c r="V27" s="302" t="s">
        <v>317</v>
      </c>
      <c r="W27" s="302" t="s">
        <v>318</v>
      </c>
      <c r="X27" s="302" t="s">
        <v>319</v>
      </c>
      <c r="Y27" s="302" t="s">
        <v>320</v>
      </c>
      <c r="Z27" s="302" t="s">
        <v>321</v>
      </c>
    </row>
    <row r="28" spans="1:26" x14ac:dyDescent="0.25">
      <c r="A28" s="13" t="s">
        <v>585</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25">
      <c r="A29" s="79"/>
      <c r="B29" s="24"/>
      <c r="C29" s="65"/>
    </row>
    <row r="30" spans="1:26" s="11" customFormat="1" x14ac:dyDescent="0.25">
      <c r="A30" s="79"/>
      <c r="B30" s="24"/>
      <c r="C30" s="65"/>
    </row>
    <row r="31" spans="1:26" s="11" customFormat="1" ht="24" x14ac:dyDescent="0.4">
      <c r="A31" s="111" t="s">
        <v>586</v>
      </c>
      <c r="B31" s="24"/>
      <c r="C31" s="65"/>
    </row>
    <row r="32" spans="1:26" s="11" customFormat="1" x14ac:dyDescent="0.25">
      <c r="A32" s="34"/>
      <c r="B32" s="3"/>
      <c r="C32" s="47"/>
    </row>
    <row r="33" spans="1:7" s="11" customFormat="1" ht="13.9" customHeight="1" x14ac:dyDescent="0.25">
      <c r="A33" s="298" t="s">
        <v>31</v>
      </c>
      <c r="B33" s="62" t="s">
        <v>587</v>
      </c>
      <c r="C33" s="299" t="s">
        <v>588</v>
      </c>
      <c r="D33" s="299" t="s">
        <v>589</v>
      </c>
    </row>
    <row r="34" spans="1:7" s="11" customFormat="1" x14ac:dyDescent="0.25">
      <c r="A34" s="2" t="s">
        <v>590</v>
      </c>
      <c r="B34" s="96">
        <v>175</v>
      </c>
      <c r="C34" s="30"/>
      <c r="D34" s="30" t="s">
        <v>591</v>
      </c>
    </row>
    <row r="35" spans="1:7" s="11" customFormat="1" x14ac:dyDescent="0.25">
      <c r="A35" s="2" t="s">
        <v>592</v>
      </c>
      <c r="B35" s="96">
        <v>135</v>
      </c>
      <c r="C35" s="30"/>
      <c r="D35" s="30" t="s">
        <v>591</v>
      </c>
    </row>
    <row r="36" spans="1:7" x14ac:dyDescent="0.25">
      <c r="A36" s="61" t="s">
        <v>593</v>
      </c>
      <c r="B36" s="96">
        <v>85</v>
      </c>
      <c r="C36" s="1"/>
      <c r="D36" s="1"/>
      <c r="G36" s="11"/>
    </row>
    <row r="37" spans="1:7" ht="18.75" x14ac:dyDescent="0.3">
      <c r="A37" s="78"/>
      <c r="G37" s="11"/>
    </row>
    <row r="38" spans="1:7" ht="24" x14ac:dyDescent="0.4">
      <c r="A38" s="110" t="s">
        <v>594</v>
      </c>
      <c r="G38" s="11"/>
    </row>
    <row r="39" spans="1:7" ht="18.75" x14ac:dyDescent="0.3">
      <c r="A39" s="78"/>
      <c r="G39" s="11"/>
    </row>
    <row r="40" spans="1:7" ht="13.9" customHeight="1" x14ac:dyDescent="0.25">
      <c r="A40" s="298" t="s">
        <v>595</v>
      </c>
      <c r="B40" s="62" t="s">
        <v>587</v>
      </c>
    </row>
    <row r="41" spans="1:7" x14ac:dyDescent="0.25">
      <c r="A41" s="2" t="str">
        <f>Input!$B$21</f>
        <v>155⁰C - 185⁰C</v>
      </c>
      <c r="B41" s="174">
        <f>INDEX($B$34:$B$36,MATCH(Input!$B$21,'A3 - Production '!$A$34:$A$36,0))</f>
        <v>175</v>
      </c>
    </row>
    <row r="42" spans="1:7" x14ac:dyDescent="0.25">
      <c r="A42" s="29"/>
      <c r="B42" s="29"/>
    </row>
    <row r="43" spans="1:7" ht="24" x14ac:dyDescent="0.4">
      <c r="A43" s="110" t="s">
        <v>596</v>
      </c>
      <c r="B43" s="27"/>
    </row>
    <row r="44" spans="1:7" ht="18.75" x14ac:dyDescent="0.3">
      <c r="A44" s="78"/>
      <c r="B44" s="27"/>
    </row>
    <row r="45" spans="1:7" x14ac:dyDescent="0.25">
      <c r="A45" s="299" t="s">
        <v>375</v>
      </c>
      <c r="B45" s="62" t="s">
        <v>61</v>
      </c>
      <c r="C45" s="62" t="s">
        <v>597</v>
      </c>
      <c r="D45" s="62" t="s">
        <v>598</v>
      </c>
      <c r="E45" s="62" t="s">
        <v>377</v>
      </c>
    </row>
    <row r="46" spans="1:7" ht="13.9" customHeight="1" x14ac:dyDescent="0.25">
      <c r="A46" s="1" t="s">
        <v>599</v>
      </c>
      <c r="B46" s="1" t="s">
        <v>26</v>
      </c>
      <c r="C46" s="1" t="s">
        <v>600</v>
      </c>
      <c r="D46" s="96">
        <v>6.1</v>
      </c>
      <c r="E46" s="30" t="s">
        <v>601</v>
      </c>
    </row>
    <row r="48" spans="1:7" ht="24" x14ac:dyDescent="0.4">
      <c r="A48" s="100" t="s">
        <v>602</v>
      </c>
    </row>
    <row r="49" spans="1:4" ht="18.75" x14ac:dyDescent="0.3">
      <c r="A49" s="77"/>
    </row>
    <row r="50" spans="1:4" x14ac:dyDescent="0.25">
      <c r="A50" s="62" t="s">
        <v>375</v>
      </c>
      <c r="B50" s="62" t="s">
        <v>603</v>
      </c>
      <c r="C50" s="62" t="s">
        <v>165</v>
      </c>
      <c r="D50" s="62" t="s">
        <v>377</v>
      </c>
    </row>
    <row r="51" spans="1:4" x14ac:dyDescent="0.25">
      <c r="A51" s="1" t="s">
        <v>604</v>
      </c>
      <c r="B51" s="96">
        <v>0.27777800000000002</v>
      </c>
      <c r="C51" s="1" t="s">
        <v>605</v>
      </c>
      <c r="D51" s="30" t="s">
        <v>606</v>
      </c>
    </row>
    <row r="52" spans="1:4" x14ac:dyDescent="0.25">
      <c r="A52" s="13" t="s">
        <v>607</v>
      </c>
      <c r="B52" s="161">
        <v>8.3330000000000001E-3</v>
      </c>
      <c r="C52" s="1" t="s">
        <v>608</v>
      </c>
      <c r="D52" s="30" t="s">
        <v>609</v>
      </c>
    </row>
    <row r="53" spans="1:4" x14ac:dyDescent="0.25">
      <c r="A53" s="24"/>
    </row>
    <row r="54" spans="1:4" ht="24" x14ac:dyDescent="0.4">
      <c r="A54" s="115" t="s">
        <v>610</v>
      </c>
    </row>
    <row r="55" spans="1:4" ht="18" customHeight="1" x14ac:dyDescent="0.4">
      <c r="A55" s="115"/>
    </row>
    <row r="56" spans="1:4" ht="18.75" x14ac:dyDescent="0.3">
      <c r="A56" s="74" t="s">
        <v>611</v>
      </c>
    </row>
    <row r="57" spans="1:4" ht="15.75" x14ac:dyDescent="0.25">
      <c r="A57" s="81"/>
    </row>
    <row r="58" spans="1:4" x14ac:dyDescent="0.25">
      <c r="A58" s="62" t="s">
        <v>612</v>
      </c>
      <c r="B58" s="62" t="s">
        <v>613</v>
      </c>
      <c r="C58" s="62" t="s">
        <v>614</v>
      </c>
      <c r="D58" s="62" t="s">
        <v>378</v>
      </c>
    </row>
    <row r="59" spans="1:4" ht="13.9" customHeight="1" x14ac:dyDescent="0.25">
      <c r="A59" s="1" t="s">
        <v>615</v>
      </c>
      <c r="B59" s="130">
        <v>0.3</v>
      </c>
      <c r="D59" s="123" t="s">
        <v>616</v>
      </c>
    </row>
    <row r="60" spans="1:4" x14ac:dyDescent="0.25">
      <c r="A60" s="1" t="s">
        <v>617</v>
      </c>
      <c r="B60" s="154">
        <f>Input!$B$23</f>
        <v>11.2</v>
      </c>
      <c r="C60" s="1"/>
    </row>
    <row r="61" spans="1:4" x14ac:dyDescent="0.25">
      <c r="A61" s="13" t="s">
        <v>618</v>
      </c>
      <c r="B61" s="96">
        <v>4.1900000000000004</v>
      </c>
      <c r="C61" s="1"/>
    </row>
    <row r="62" spans="1:4" x14ac:dyDescent="0.25">
      <c r="A62" s="13" t="s">
        <v>619</v>
      </c>
      <c r="B62" s="96">
        <v>2257</v>
      </c>
      <c r="C62" s="1"/>
    </row>
    <row r="63" spans="1:4" x14ac:dyDescent="0.25">
      <c r="A63" s="13" t="s">
        <v>620</v>
      </c>
      <c r="B63" s="96">
        <v>2.0950000000000002</v>
      </c>
      <c r="C63" s="1"/>
    </row>
    <row r="65" spans="1:4" ht="18.75" x14ac:dyDescent="0.3">
      <c r="A65" s="116" t="s">
        <v>621</v>
      </c>
    </row>
    <row r="67" spans="1:4" ht="19.149999999999999" customHeight="1" x14ac:dyDescent="0.25">
      <c r="A67" s="62" t="s">
        <v>301</v>
      </c>
      <c r="B67" s="62" t="s">
        <v>622</v>
      </c>
      <c r="C67" s="62" t="s">
        <v>623</v>
      </c>
      <c r="D67" s="107" t="s">
        <v>614</v>
      </c>
    </row>
    <row r="68" spans="1:4" ht="168.6" customHeight="1" x14ac:dyDescent="0.25">
      <c r="A68" s="13" t="s">
        <v>64</v>
      </c>
      <c r="B68" s="97">
        <v>2.093</v>
      </c>
      <c r="C68" s="342">
        <v>165</v>
      </c>
      <c r="D68" s="343" t="s">
        <v>624</v>
      </c>
    </row>
    <row r="69" spans="1:4" x14ac:dyDescent="0.25">
      <c r="A69" s="13" t="s">
        <v>625</v>
      </c>
      <c r="B69" s="97">
        <v>2.2999999999999998</v>
      </c>
      <c r="C69" s="97">
        <v>185</v>
      </c>
      <c r="D69" s="344"/>
    </row>
    <row r="70" spans="1:4" x14ac:dyDescent="0.25">
      <c r="A70" s="1" t="s">
        <v>69</v>
      </c>
      <c r="B70" s="96">
        <v>0.91</v>
      </c>
      <c r="C70" s="96">
        <f>$B$41</f>
        <v>175</v>
      </c>
      <c r="D70" s="344"/>
    </row>
    <row r="71" spans="1:4" x14ac:dyDescent="0.25">
      <c r="A71" s="1" t="s">
        <v>71</v>
      </c>
      <c r="B71" s="96">
        <v>0.91</v>
      </c>
      <c r="C71" s="96">
        <f t="shared" ref="C71:C82" si="0">$B$41</f>
        <v>175</v>
      </c>
      <c r="D71" s="344"/>
    </row>
    <row r="72" spans="1:4" x14ac:dyDescent="0.25">
      <c r="A72" s="1" t="s">
        <v>74</v>
      </c>
      <c r="B72" s="96">
        <v>0.91</v>
      </c>
      <c r="C72" s="96">
        <f t="shared" si="0"/>
        <v>175</v>
      </c>
      <c r="D72" s="344"/>
    </row>
    <row r="73" spans="1:4" x14ac:dyDescent="0.25">
      <c r="A73" s="1" t="s">
        <v>75</v>
      </c>
      <c r="B73" s="96">
        <v>0.91</v>
      </c>
      <c r="C73" s="96">
        <f t="shared" si="0"/>
        <v>175</v>
      </c>
      <c r="D73" s="344"/>
    </row>
    <row r="74" spans="1:4" x14ac:dyDescent="0.25">
      <c r="A74" s="1" t="s">
        <v>78</v>
      </c>
      <c r="B74" s="96">
        <v>0.91</v>
      </c>
      <c r="C74" s="96">
        <f t="shared" si="0"/>
        <v>175</v>
      </c>
      <c r="D74" s="344"/>
    </row>
    <row r="75" spans="1:4" x14ac:dyDescent="0.25">
      <c r="A75" s="1" t="s">
        <v>79</v>
      </c>
      <c r="B75" s="96">
        <v>0.91</v>
      </c>
      <c r="C75" s="96">
        <f t="shared" si="0"/>
        <v>175</v>
      </c>
      <c r="D75" s="344"/>
    </row>
    <row r="76" spans="1:4" x14ac:dyDescent="0.25">
      <c r="A76" s="13" t="s">
        <v>80</v>
      </c>
      <c r="B76" s="96">
        <v>0.8</v>
      </c>
      <c r="C76" s="96">
        <f t="shared" si="0"/>
        <v>175</v>
      </c>
      <c r="D76" s="344"/>
    </row>
    <row r="77" spans="1:4" x14ac:dyDescent="0.25">
      <c r="A77" s="13" t="s">
        <v>84</v>
      </c>
      <c r="B77" s="96">
        <v>0.8</v>
      </c>
      <c r="C77" s="96">
        <f t="shared" si="0"/>
        <v>175</v>
      </c>
      <c r="D77" s="344"/>
    </row>
    <row r="78" spans="1:4" x14ac:dyDescent="0.25">
      <c r="A78" s="13" t="s">
        <v>85</v>
      </c>
      <c r="B78" s="96">
        <v>0.8</v>
      </c>
      <c r="C78" s="96">
        <f t="shared" si="0"/>
        <v>175</v>
      </c>
      <c r="D78" s="344"/>
    </row>
    <row r="79" spans="1:4" x14ac:dyDescent="0.25">
      <c r="A79" s="13" t="s">
        <v>91</v>
      </c>
      <c r="B79" s="96">
        <v>0.91</v>
      </c>
      <c r="C79" s="96">
        <f t="shared" si="0"/>
        <v>175</v>
      </c>
      <c r="D79" s="344"/>
    </row>
    <row r="80" spans="1:4" x14ac:dyDescent="0.25">
      <c r="A80" s="13" t="s">
        <v>87</v>
      </c>
      <c r="B80" s="96">
        <v>0.84</v>
      </c>
      <c r="C80" s="96">
        <f t="shared" si="0"/>
        <v>175</v>
      </c>
      <c r="D80" s="344"/>
    </row>
    <row r="81" spans="1:4" x14ac:dyDescent="0.25">
      <c r="A81" s="13" t="s">
        <v>626</v>
      </c>
      <c r="B81" s="96">
        <v>0.84</v>
      </c>
      <c r="C81" s="96">
        <f t="shared" si="0"/>
        <v>175</v>
      </c>
      <c r="D81" s="344"/>
    </row>
    <row r="82" spans="1:4" x14ac:dyDescent="0.25">
      <c r="A82" s="13" t="s">
        <v>627</v>
      </c>
      <c r="B82" s="96">
        <v>0</v>
      </c>
      <c r="C82" s="96">
        <f t="shared" si="0"/>
        <v>175</v>
      </c>
      <c r="D82" s="344"/>
    </row>
    <row r="83" spans="1:4" x14ac:dyDescent="0.25">
      <c r="A83" s="13" t="s">
        <v>92</v>
      </c>
      <c r="B83" s="96">
        <v>0.92</v>
      </c>
      <c r="C83" s="96">
        <v>130</v>
      </c>
      <c r="D83" s="344"/>
    </row>
    <row r="84" spans="1:4" x14ac:dyDescent="0.25">
      <c r="A84" s="1" t="s">
        <v>93</v>
      </c>
      <c r="B84" s="96">
        <v>0.92</v>
      </c>
      <c r="C84" s="96">
        <v>130</v>
      </c>
      <c r="D84" s="344"/>
    </row>
    <row r="85" spans="1:4" x14ac:dyDescent="0.25">
      <c r="A85" s="1" t="s">
        <v>628</v>
      </c>
      <c r="B85" s="96">
        <v>0.85</v>
      </c>
      <c r="C85" s="96">
        <f>$B$41</f>
        <v>175</v>
      </c>
      <c r="D85" s="344"/>
    </row>
    <row r="86" spans="1:4" x14ac:dyDescent="0.25">
      <c r="A86" s="1" t="s">
        <v>99</v>
      </c>
      <c r="B86" s="96">
        <v>0.75</v>
      </c>
      <c r="C86" s="96">
        <f>$B$41</f>
        <v>175</v>
      </c>
      <c r="D86" s="344"/>
    </row>
    <row r="87" spans="1:4" x14ac:dyDescent="0.25">
      <c r="A87" s="1" t="s">
        <v>95</v>
      </c>
      <c r="B87" s="96">
        <v>2.2999999999999998</v>
      </c>
      <c r="C87" s="96">
        <v>160</v>
      </c>
      <c r="D87" s="344"/>
    </row>
    <row r="88" spans="1:4" x14ac:dyDescent="0.25">
      <c r="A88" s="1" t="s">
        <v>629</v>
      </c>
      <c r="B88" s="96">
        <v>1</v>
      </c>
      <c r="C88" s="96">
        <v>0</v>
      </c>
      <c r="D88" s="344"/>
    </row>
    <row r="89" spans="1:4" x14ac:dyDescent="0.25">
      <c r="A89" s="1" t="s">
        <v>630</v>
      </c>
      <c r="B89" s="96">
        <v>1</v>
      </c>
      <c r="C89" s="96">
        <v>0</v>
      </c>
      <c r="D89" s="344"/>
    </row>
    <row r="90" spans="1:4" x14ac:dyDescent="0.25">
      <c r="A90" s="1" t="s">
        <v>631</v>
      </c>
      <c r="B90" s="96">
        <v>1</v>
      </c>
      <c r="C90" s="96">
        <v>160</v>
      </c>
      <c r="D90" s="344"/>
    </row>
    <row r="91" spans="1:4" x14ac:dyDescent="0.25">
      <c r="A91" s="1" t="s">
        <v>105</v>
      </c>
      <c r="B91" s="96">
        <v>1</v>
      </c>
      <c r="C91" s="96">
        <v>160</v>
      </c>
      <c r="D91" s="344"/>
    </row>
    <row r="92" spans="1:4" x14ac:dyDescent="0.25">
      <c r="A92" s="1" t="s">
        <v>101</v>
      </c>
      <c r="B92" s="96">
        <v>1.3</v>
      </c>
      <c r="C92" s="96">
        <v>160</v>
      </c>
      <c r="D92" s="344"/>
    </row>
    <row r="93" spans="1:4" x14ac:dyDescent="0.25">
      <c r="A93" s="1" t="s">
        <v>632</v>
      </c>
      <c r="B93" s="96">
        <v>0.45</v>
      </c>
      <c r="C93" s="96">
        <v>165</v>
      </c>
      <c r="D93" s="89"/>
    </row>
    <row r="96" spans="1:4" ht="18.75" x14ac:dyDescent="0.3">
      <c r="A96" s="74" t="s">
        <v>633</v>
      </c>
    </row>
    <row r="97" spans="1:3" ht="15.75" x14ac:dyDescent="0.25">
      <c r="A97" s="81"/>
    </row>
    <row r="98" spans="1:3" x14ac:dyDescent="0.25">
      <c r="A98" s="402" t="s">
        <v>634</v>
      </c>
      <c r="B98" s="402"/>
      <c r="C98" s="402"/>
    </row>
    <row r="99" spans="1:3" x14ac:dyDescent="0.25">
      <c r="A99" s="62" t="s">
        <v>301</v>
      </c>
      <c r="B99" s="62" t="s">
        <v>635</v>
      </c>
      <c r="C99" s="62" t="s">
        <v>636</v>
      </c>
    </row>
    <row r="100" spans="1:3" x14ac:dyDescent="0.25">
      <c r="A100" s="1" t="s">
        <v>69</v>
      </c>
      <c r="B100" s="1" t="s">
        <v>28</v>
      </c>
      <c r="C100" s="118">
        <v>0</v>
      </c>
    </row>
    <row r="101" spans="1:3" x14ac:dyDescent="0.25">
      <c r="A101" s="1" t="s">
        <v>69</v>
      </c>
      <c r="B101" s="1" t="s">
        <v>30</v>
      </c>
      <c r="C101" s="118">
        <v>0.02</v>
      </c>
    </row>
    <row r="102" spans="1:3" x14ac:dyDescent="0.25">
      <c r="A102" s="1" t="s">
        <v>71</v>
      </c>
      <c r="B102" s="1" t="s">
        <v>28</v>
      </c>
      <c r="C102" s="118">
        <v>0</v>
      </c>
    </row>
    <row r="103" spans="1:3" x14ac:dyDescent="0.25">
      <c r="A103" s="1" t="s">
        <v>71</v>
      </c>
      <c r="B103" s="1" t="s">
        <v>30</v>
      </c>
      <c r="C103" s="118">
        <v>0.02</v>
      </c>
    </row>
    <row r="104" spans="1:3" x14ac:dyDescent="0.25">
      <c r="A104" s="1" t="s">
        <v>74</v>
      </c>
      <c r="B104" s="1" t="s">
        <v>28</v>
      </c>
      <c r="C104" s="118">
        <v>0</v>
      </c>
    </row>
    <row r="105" spans="1:3" x14ac:dyDescent="0.25">
      <c r="A105" s="1" t="s">
        <v>74</v>
      </c>
      <c r="B105" s="1" t="s">
        <v>30</v>
      </c>
      <c r="C105" s="118">
        <v>0.02</v>
      </c>
    </row>
    <row r="106" spans="1:3" x14ac:dyDescent="0.25">
      <c r="A106" s="1" t="s">
        <v>75</v>
      </c>
      <c r="B106" s="1" t="s">
        <v>28</v>
      </c>
      <c r="C106" s="118">
        <v>0.03</v>
      </c>
    </row>
    <row r="107" spans="1:3" x14ac:dyDescent="0.25">
      <c r="A107" s="1" t="s">
        <v>75</v>
      </c>
      <c r="B107" s="1" t="s">
        <v>30</v>
      </c>
      <c r="C107" s="118">
        <v>0.05</v>
      </c>
    </row>
    <row r="108" spans="1:3" x14ac:dyDescent="0.25">
      <c r="A108" s="1" t="s">
        <v>78</v>
      </c>
      <c r="B108" s="1" t="s">
        <v>28</v>
      </c>
      <c r="C108" s="118">
        <v>0.03</v>
      </c>
    </row>
    <row r="109" spans="1:3" x14ac:dyDescent="0.25">
      <c r="A109" s="1" t="s">
        <v>78</v>
      </c>
      <c r="B109" s="1" t="s">
        <v>30</v>
      </c>
      <c r="C109" s="118">
        <v>0.05</v>
      </c>
    </row>
    <row r="110" spans="1:3" x14ac:dyDescent="0.25">
      <c r="A110" s="1" t="s">
        <v>79</v>
      </c>
      <c r="B110" s="1" t="s">
        <v>28</v>
      </c>
      <c r="C110" s="118">
        <v>0.03</v>
      </c>
    </row>
    <row r="111" spans="1:3" x14ac:dyDescent="0.25">
      <c r="A111" s="1" t="s">
        <v>79</v>
      </c>
      <c r="B111" s="1" t="s">
        <v>30</v>
      </c>
      <c r="C111" s="118">
        <v>0.05</v>
      </c>
    </row>
    <row r="112" spans="1:3" x14ac:dyDescent="0.25">
      <c r="A112" s="1" t="s">
        <v>80</v>
      </c>
      <c r="B112" s="1" t="s">
        <v>28</v>
      </c>
      <c r="C112" s="118">
        <v>0.03</v>
      </c>
    </row>
    <row r="113" spans="1:3" x14ac:dyDescent="0.25">
      <c r="A113" s="1" t="s">
        <v>80</v>
      </c>
      <c r="B113" s="1" t="s">
        <v>30</v>
      </c>
      <c r="C113" s="118">
        <v>0.05</v>
      </c>
    </row>
    <row r="114" spans="1:3" x14ac:dyDescent="0.25">
      <c r="A114" s="1" t="s">
        <v>84</v>
      </c>
      <c r="B114" s="1" t="s">
        <v>28</v>
      </c>
      <c r="C114" s="118">
        <v>0.03</v>
      </c>
    </row>
    <row r="115" spans="1:3" x14ac:dyDescent="0.25">
      <c r="A115" s="1" t="s">
        <v>84</v>
      </c>
      <c r="B115" s="1" t="s">
        <v>30</v>
      </c>
      <c r="C115" s="118">
        <v>0.05</v>
      </c>
    </row>
    <row r="116" spans="1:3" x14ac:dyDescent="0.25">
      <c r="A116" s="1" t="s">
        <v>85</v>
      </c>
      <c r="B116" s="1" t="s">
        <v>28</v>
      </c>
      <c r="C116" s="118">
        <v>0.03</v>
      </c>
    </row>
    <row r="117" spans="1:3" x14ac:dyDescent="0.25">
      <c r="A117" s="1" t="s">
        <v>85</v>
      </c>
      <c r="B117" s="1" t="s">
        <v>30</v>
      </c>
      <c r="C117" s="118">
        <v>0.05</v>
      </c>
    </row>
    <row r="118" spans="1:3" x14ac:dyDescent="0.25">
      <c r="A118" s="1" t="s">
        <v>91</v>
      </c>
      <c r="B118" s="1" t="s">
        <v>28</v>
      </c>
      <c r="C118" s="153">
        <v>0</v>
      </c>
    </row>
    <row r="119" spans="1:3" x14ac:dyDescent="0.25">
      <c r="A119" s="1" t="s">
        <v>91</v>
      </c>
      <c r="B119" s="1" t="s">
        <v>30</v>
      </c>
      <c r="C119" s="153">
        <v>0.01</v>
      </c>
    </row>
    <row r="120" spans="1:3" x14ac:dyDescent="0.25">
      <c r="A120" s="1" t="s">
        <v>87</v>
      </c>
      <c r="B120" s="1" t="s">
        <v>28</v>
      </c>
      <c r="C120" s="153">
        <v>0</v>
      </c>
    </row>
    <row r="121" spans="1:3" x14ac:dyDescent="0.25">
      <c r="A121" s="1" t="s">
        <v>87</v>
      </c>
      <c r="B121" s="1" t="s">
        <v>30</v>
      </c>
      <c r="C121" s="153">
        <v>0</v>
      </c>
    </row>
    <row r="122" spans="1:3" x14ac:dyDescent="0.25">
      <c r="A122" s="1" t="s">
        <v>626</v>
      </c>
      <c r="B122" s="1" t="s">
        <v>28</v>
      </c>
      <c r="C122" s="153">
        <v>0</v>
      </c>
    </row>
    <row r="123" spans="1:3" x14ac:dyDescent="0.25">
      <c r="A123" s="1" t="s">
        <v>626</v>
      </c>
      <c r="B123" s="1" t="s">
        <v>30</v>
      </c>
      <c r="C123" s="153">
        <v>0</v>
      </c>
    </row>
    <row r="124" spans="1:3" x14ac:dyDescent="0.25">
      <c r="A124" s="1" t="s">
        <v>637</v>
      </c>
      <c r="B124" s="1" t="s">
        <v>28</v>
      </c>
      <c r="C124" s="153">
        <v>0</v>
      </c>
    </row>
    <row r="125" spans="1:3" x14ac:dyDescent="0.25">
      <c r="A125" s="1" t="s">
        <v>637</v>
      </c>
      <c r="B125" s="1" t="s">
        <v>30</v>
      </c>
      <c r="C125" s="153">
        <v>0</v>
      </c>
    </row>
    <row r="126" spans="1:3" x14ac:dyDescent="0.25">
      <c r="A126" s="1" t="s">
        <v>627</v>
      </c>
      <c r="B126" s="1" t="s">
        <v>28</v>
      </c>
      <c r="C126" s="153">
        <v>0</v>
      </c>
    </row>
    <row r="127" spans="1:3" x14ac:dyDescent="0.25">
      <c r="A127" s="1" t="s">
        <v>627</v>
      </c>
      <c r="B127" s="1" t="s">
        <v>30</v>
      </c>
      <c r="C127" s="153">
        <v>0</v>
      </c>
    </row>
    <row r="128" spans="1:3" x14ac:dyDescent="0.25">
      <c r="A128" s="1" t="s">
        <v>629</v>
      </c>
      <c r="B128" s="1" t="s">
        <v>28</v>
      </c>
      <c r="C128" s="118">
        <v>0</v>
      </c>
    </row>
    <row r="129" spans="1:5" x14ac:dyDescent="0.25">
      <c r="A129" s="1" t="s">
        <v>629</v>
      </c>
      <c r="B129" s="1" t="s">
        <v>30</v>
      </c>
      <c r="C129" s="153">
        <v>0</v>
      </c>
    </row>
    <row r="130" spans="1:5" x14ac:dyDescent="0.25">
      <c r="A130" s="1" t="s">
        <v>628</v>
      </c>
      <c r="B130" s="1" t="s">
        <v>28</v>
      </c>
      <c r="C130" s="153">
        <v>0.03</v>
      </c>
    </row>
    <row r="131" spans="1:5" x14ac:dyDescent="0.25">
      <c r="A131" s="1" t="s">
        <v>628</v>
      </c>
      <c r="B131" s="1" t="s">
        <v>30</v>
      </c>
      <c r="C131" s="153">
        <v>0.05</v>
      </c>
    </row>
    <row r="132" spans="1:5" x14ac:dyDescent="0.25">
      <c r="A132" s="13" t="s">
        <v>95</v>
      </c>
      <c r="B132" s="13" t="s">
        <v>28</v>
      </c>
      <c r="C132" s="153">
        <v>0</v>
      </c>
      <c r="E132" s="11"/>
    </row>
    <row r="133" spans="1:5" x14ac:dyDescent="0.25">
      <c r="A133" s="13" t="s">
        <v>95</v>
      </c>
      <c r="B133" s="13" t="s">
        <v>30</v>
      </c>
      <c r="C133" s="153">
        <v>0.03</v>
      </c>
    </row>
    <row r="134" spans="1:5" x14ac:dyDescent="0.25">
      <c r="A134" s="1" t="s">
        <v>99</v>
      </c>
      <c r="B134" s="13" t="s">
        <v>28</v>
      </c>
      <c r="C134" s="118">
        <v>0</v>
      </c>
    </row>
    <row r="135" spans="1:5" x14ac:dyDescent="0.25">
      <c r="A135" s="1" t="s">
        <v>99</v>
      </c>
      <c r="B135" s="1" t="s">
        <v>30</v>
      </c>
      <c r="C135" s="118">
        <v>0.03</v>
      </c>
    </row>
    <row r="136" spans="1:5" x14ac:dyDescent="0.25">
      <c r="A136" s="1" t="s">
        <v>630</v>
      </c>
      <c r="B136" s="1" t="s">
        <v>28</v>
      </c>
      <c r="C136" s="118">
        <v>0</v>
      </c>
    </row>
    <row r="137" spans="1:5" x14ac:dyDescent="0.25">
      <c r="A137" s="1" t="s">
        <v>630</v>
      </c>
      <c r="B137" s="1" t="s">
        <v>30</v>
      </c>
      <c r="C137" s="118">
        <v>0</v>
      </c>
    </row>
    <row r="138" spans="1:5" x14ac:dyDescent="0.25">
      <c r="A138" s="1" t="s">
        <v>92</v>
      </c>
      <c r="B138" s="1" t="s">
        <v>28</v>
      </c>
      <c r="C138" s="118">
        <v>0.02</v>
      </c>
    </row>
    <row r="139" spans="1:5" x14ac:dyDescent="0.25">
      <c r="A139" s="1" t="s">
        <v>92</v>
      </c>
      <c r="B139" s="1" t="s">
        <v>30</v>
      </c>
      <c r="C139" s="118">
        <v>0.05</v>
      </c>
    </row>
    <row r="140" spans="1:5" x14ac:dyDescent="0.25">
      <c r="A140" s="1" t="s">
        <v>93</v>
      </c>
      <c r="B140" s="1" t="s">
        <v>28</v>
      </c>
      <c r="C140" s="118">
        <v>0.02</v>
      </c>
    </row>
    <row r="141" spans="1:5" x14ac:dyDescent="0.25">
      <c r="A141" s="1" t="s">
        <v>93</v>
      </c>
      <c r="B141" s="1" t="s">
        <v>30</v>
      </c>
      <c r="C141" s="118">
        <v>0.05</v>
      </c>
    </row>
    <row r="142" spans="1:5" x14ac:dyDescent="0.25">
      <c r="A142" s="1" t="s">
        <v>631</v>
      </c>
      <c r="B142" s="1" t="s">
        <v>28</v>
      </c>
      <c r="C142" s="162">
        <v>0</v>
      </c>
    </row>
    <row r="143" spans="1:5" x14ac:dyDescent="0.25">
      <c r="A143" s="1" t="s">
        <v>631</v>
      </c>
      <c r="B143" s="1" t="s">
        <v>30</v>
      </c>
      <c r="C143" s="118">
        <v>5.0000000000000001E-3</v>
      </c>
    </row>
    <row r="144" spans="1:5" x14ac:dyDescent="0.25">
      <c r="A144" s="1" t="s">
        <v>105</v>
      </c>
      <c r="B144" s="1" t="s">
        <v>28</v>
      </c>
      <c r="C144" s="118">
        <v>0</v>
      </c>
    </row>
    <row r="145" spans="1:7" x14ac:dyDescent="0.25">
      <c r="A145" s="1" t="s">
        <v>105</v>
      </c>
      <c r="B145" s="1" t="s">
        <v>30</v>
      </c>
      <c r="C145" s="118">
        <v>5.0000000000000001E-3</v>
      </c>
    </row>
    <row r="146" spans="1:7" x14ac:dyDescent="0.25">
      <c r="A146" s="1" t="s">
        <v>101</v>
      </c>
      <c r="B146" s="1" t="s">
        <v>28</v>
      </c>
      <c r="C146" s="118">
        <v>0</v>
      </c>
    </row>
    <row r="147" spans="1:7" x14ac:dyDescent="0.25">
      <c r="A147" s="1" t="s">
        <v>101</v>
      </c>
      <c r="B147" s="1" t="s">
        <v>30</v>
      </c>
      <c r="C147" s="118">
        <v>0.02</v>
      </c>
    </row>
    <row r="148" spans="1:7" x14ac:dyDescent="0.25">
      <c r="A148" s="1" t="s">
        <v>632</v>
      </c>
      <c r="B148" s="1" t="s">
        <v>28</v>
      </c>
      <c r="C148" s="118">
        <v>0</v>
      </c>
    </row>
    <row r="149" spans="1:7" x14ac:dyDescent="0.25">
      <c r="A149" s="1" t="s">
        <v>632</v>
      </c>
      <c r="B149" s="1" t="s">
        <v>30</v>
      </c>
      <c r="C149" s="118">
        <v>0.02</v>
      </c>
    </row>
    <row r="150" spans="1:7" ht="15.75" x14ac:dyDescent="0.25">
      <c r="A150" s="134"/>
    </row>
    <row r="152" spans="1:7" x14ac:dyDescent="0.25">
      <c r="A152" s="104" t="s">
        <v>300</v>
      </c>
      <c r="B152" s="104" t="s">
        <v>301</v>
      </c>
      <c r="C152" s="104" t="s">
        <v>638</v>
      </c>
      <c r="D152" s="104" t="s">
        <v>639</v>
      </c>
      <c r="E152" s="103" t="s">
        <v>640</v>
      </c>
      <c r="F152" s="62" t="s">
        <v>641</v>
      </c>
      <c r="G152" s="37"/>
    </row>
    <row r="153" spans="1:7" x14ac:dyDescent="0.25">
      <c r="A153" s="6" t="s">
        <v>287</v>
      </c>
      <c r="B153" s="1" t="s">
        <v>287</v>
      </c>
      <c r="C153" s="154" t="s">
        <v>642</v>
      </c>
      <c r="D153" s="163">
        <f>Input!$G39</f>
        <v>0</v>
      </c>
      <c r="E153" s="154">
        <f>+Input!B39</f>
        <v>0.02</v>
      </c>
      <c r="F153" s="164">
        <v>0</v>
      </c>
    </row>
    <row r="154" spans="1:7" x14ac:dyDescent="0.25">
      <c r="A154" s="384" t="s">
        <v>232</v>
      </c>
      <c r="B154" s="1" t="s">
        <v>69</v>
      </c>
      <c r="C154" s="154" t="s">
        <v>642</v>
      </c>
      <c r="D154" s="163" t="str">
        <f>Input!$G40</f>
        <v>No</v>
      </c>
      <c r="E154" s="154">
        <f>+Input!B40</f>
        <v>0</v>
      </c>
      <c r="F154" s="165" cm="1">
        <f t="array" ref="F154">INDEX($C$100:$C$149,MATCH($B154&amp;$D154,$A$100:$A$149&amp;$B$100:$B$149,0))</f>
        <v>0.02</v>
      </c>
    </row>
    <row r="155" spans="1:7" x14ac:dyDescent="0.25">
      <c r="A155" s="385"/>
      <c r="B155" s="1" t="s">
        <v>71</v>
      </c>
      <c r="C155" s="154" t="s">
        <v>642</v>
      </c>
      <c r="D155" s="163" t="str">
        <f>Input!$G41</f>
        <v>No</v>
      </c>
      <c r="E155" s="154">
        <f>+Input!B41</f>
        <v>0.2</v>
      </c>
      <c r="F155" s="165" cm="1">
        <f t="array" ref="F155">INDEX($C$100:$C$149,MATCH($B155&amp;$D155,$A$100:$A$149&amp;$B$100:$B$149,0))</f>
        <v>0.02</v>
      </c>
    </row>
    <row r="156" spans="1:7" x14ac:dyDescent="0.25">
      <c r="A156" s="385"/>
      <c r="B156" s="1" t="s">
        <v>74</v>
      </c>
      <c r="C156" s="154" t="s">
        <v>642</v>
      </c>
      <c r="D156" s="163" t="str">
        <f>Input!$G42</f>
        <v>Yes</v>
      </c>
      <c r="E156" s="154">
        <f>+Input!B42</f>
        <v>0.1</v>
      </c>
      <c r="F156" s="165" cm="1">
        <f t="array" ref="F156">INDEX($C$100:$C$149,MATCH($B156&amp;$D156,$A$100:$A$149&amp;$B$100:$B$149,0))</f>
        <v>0</v>
      </c>
    </row>
    <row r="157" spans="1:7" x14ac:dyDescent="0.25">
      <c r="A157" s="385"/>
      <c r="B157" s="1" t="s">
        <v>75</v>
      </c>
      <c r="C157" s="154" t="s">
        <v>642</v>
      </c>
      <c r="D157" s="163" t="str">
        <f>Input!$G43</f>
        <v>No</v>
      </c>
      <c r="E157" s="154">
        <f>+Input!B43</f>
        <v>0.06</v>
      </c>
      <c r="F157" s="165" cm="1">
        <f t="array" ref="F157">INDEX($C$100:$C$149,MATCH($B157&amp;$D157,$A$100:$A$149&amp;$B$100:$B$149,0))</f>
        <v>0.05</v>
      </c>
    </row>
    <row r="158" spans="1:7" x14ac:dyDescent="0.25">
      <c r="A158" s="385"/>
      <c r="B158" s="1" t="s">
        <v>78</v>
      </c>
      <c r="C158" s="154" t="s">
        <v>642</v>
      </c>
      <c r="D158" s="163" t="str">
        <f>Input!$G44</f>
        <v>No</v>
      </c>
      <c r="E158" s="154">
        <f>+Input!B44</f>
        <v>0</v>
      </c>
      <c r="F158" s="165" cm="1">
        <f t="array" ref="F158">INDEX($C$100:$C$149,MATCH($B158&amp;$D158,$A$100:$A$149&amp;$B$100:$B$149,0))</f>
        <v>0.05</v>
      </c>
    </row>
    <row r="159" spans="1:7" x14ac:dyDescent="0.25">
      <c r="A159" s="385"/>
      <c r="B159" s="1" t="s">
        <v>79</v>
      </c>
      <c r="C159" s="154" t="s">
        <v>642</v>
      </c>
      <c r="D159" s="163" t="str">
        <f>Input!$G45</f>
        <v>Yes</v>
      </c>
      <c r="E159" s="154">
        <f>+Input!B45</f>
        <v>0.03</v>
      </c>
      <c r="F159" s="165" cm="1">
        <f t="array" ref="F159">INDEX($C$100:$C$149,MATCH($B159&amp;$D159,$A$100:$A$149&amp;$B$100:$B$149,0))</f>
        <v>0.03</v>
      </c>
    </row>
    <row r="160" spans="1:7" x14ac:dyDescent="0.25">
      <c r="A160" s="385"/>
      <c r="B160" s="1" t="s">
        <v>80</v>
      </c>
      <c r="C160" s="154" t="s">
        <v>642</v>
      </c>
      <c r="D160" s="163" t="str">
        <f>Input!$G46</f>
        <v>No</v>
      </c>
      <c r="E160" s="154">
        <f>+Input!B46</f>
        <v>0.02</v>
      </c>
      <c r="F160" s="165" cm="1">
        <f t="array" ref="F160">INDEX($C$100:$C$149,MATCH($B160&amp;$D160,$A$100:$A$149&amp;$B$100:$B$149,0))</f>
        <v>0.05</v>
      </c>
    </row>
    <row r="161" spans="1:21" x14ac:dyDescent="0.25">
      <c r="A161" s="385"/>
      <c r="B161" s="1" t="s">
        <v>84</v>
      </c>
      <c r="C161" s="154" t="s">
        <v>642</v>
      </c>
      <c r="D161" s="163" t="str">
        <f>Input!$G47</f>
        <v>No</v>
      </c>
      <c r="E161" s="154">
        <f>+Input!B47</f>
        <v>0.02</v>
      </c>
      <c r="F161" s="165" cm="1">
        <f t="array" ref="F161">INDEX($C$100:$C$149,MATCH($B161&amp;$D161,$A$100:$A$149&amp;$B$100:$B$149,0))</f>
        <v>0.05</v>
      </c>
    </row>
    <row r="162" spans="1:21" x14ac:dyDescent="0.25">
      <c r="A162" s="386"/>
      <c r="B162" s="1" t="s">
        <v>85</v>
      </c>
      <c r="C162" s="154" t="s">
        <v>642</v>
      </c>
      <c r="D162" s="163" t="str">
        <f>Input!$G48</f>
        <v>Yes</v>
      </c>
      <c r="E162" s="154">
        <f>+Input!B48</f>
        <v>0.02</v>
      </c>
      <c r="F162" s="165" cm="1">
        <f t="array" ref="F162">INDEX($C$100:$C$149,MATCH($B162&amp;$D162,$A$100:$A$149&amp;$B$100:$B$149,0))</f>
        <v>0.03</v>
      </c>
    </row>
    <row r="163" spans="1:21" ht="13.9" customHeight="1" x14ac:dyDescent="0.25">
      <c r="A163" s="387" t="s">
        <v>233</v>
      </c>
      <c r="B163" s="13" t="s">
        <v>336</v>
      </c>
      <c r="C163" s="158" t="str">
        <f>Input!$C$49</f>
        <v>Cement</v>
      </c>
      <c r="D163" s="163" t="str">
        <f>Input!$G49</f>
        <v>Yes</v>
      </c>
      <c r="E163" s="154">
        <f>+Input!B49</f>
        <v>0.01</v>
      </c>
      <c r="F163" s="165" cm="1">
        <f t="array" ref="F163">INDEX($C$100:$C$149,MATCH($C163&amp;$D163,$A$100:$A$149&amp;$B$100:$B$149,0))</f>
        <v>0</v>
      </c>
    </row>
    <row r="164" spans="1:21" ht="13.9" customHeight="1" x14ac:dyDescent="0.25">
      <c r="A164" s="388"/>
      <c r="B164" s="13" t="s">
        <v>337</v>
      </c>
      <c r="C164" s="158" t="str">
        <f>Input!$C$50</f>
        <v>Limestone_residue</v>
      </c>
      <c r="D164" s="163" t="str">
        <f>Input!$G50</f>
        <v>No</v>
      </c>
      <c r="E164" s="154">
        <f>+Input!B50</f>
        <v>0.01</v>
      </c>
      <c r="F164" s="165" cm="1">
        <f t="array" ref="F164">INDEX($C$100:$C$149,MATCH($C164&amp;$D164,$A$100:$A$149&amp;$B$100:$B$149,0))</f>
        <v>0.01</v>
      </c>
    </row>
    <row r="165" spans="1:21" ht="13.9" customHeight="1" x14ac:dyDescent="0.25">
      <c r="A165" s="389" t="s">
        <v>322</v>
      </c>
      <c r="B165" s="1" t="s">
        <v>92</v>
      </c>
      <c r="C165" s="154" t="s">
        <v>642</v>
      </c>
      <c r="D165" s="163" t="str">
        <f>Input!$G51</f>
        <v>No</v>
      </c>
      <c r="E165" s="154">
        <f>+Input!B51</f>
        <v>0.18</v>
      </c>
      <c r="F165" s="165" cm="1">
        <f t="array" ref="F165">INDEX($C$100:$C$149,MATCH($B165&amp;$D165,$A$100:$A$149&amp;$B$100:$B$149,0))</f>
        <v>0.05</v>
      </c>
      <c r="H165" s="24"/>
    </row>
    <row r="166" spans="1:21" x14ac:dyDescent="0.25">
      <c r="A166" s="389"/>
      <c r="B166" s="1" t="s">
        <v>93</v>
      </c>
      <c r="C166" s="154" t="s">
        <v>642</v>
      </c>
      <c r="D166" s="163" t="str">
        <f>Input!$G52</f>
        <v>Yes</v>
      </c>
      <c r="E166" s="154">
        <f>+Input!B52</f>
        <v>0.23</v>
      </c>
      <c r="F166" s="165" cm="1">
        <f t="array" ref="F166">INDEX($C$100:$C$149,MATCH($B166&amp;$D166,$A$100:$A$149&amp;$B$100:$B$149,0))</f>
        <v>0.02</v>
      </c>
      <c r="H166" s="3"/>
      <c r="I166" s="3"/>
    </row>
    <row r="167" spans="1:21" x14ac:dyDescent="0.25">
      <c r="A167" s="390" t="s">
        <v>323</v>
      </c>
      <c r="B167" s="1" t="s">
        <v>643</v>
      </c>
      <c r="C167" s="154" t="str">
        <f>Input!$C$53</f>
        <v>Recycled_plastic</v>
      </c>
      <c r="D167" s="163" t="str">
        <f>Input!$G53</f>
        <v>Yes</v>
      </c>
      <c r="E167" s="154">
        <f>+Input!B53</f>
        <v>0.02</v>
      </c>
      <c r="F167" s="165">
        <v>0</v>
      </c>
      <c r="I167" s="23"/>
    </row>
    <row r="168" spans="1:21" x14ac:dyDescent="0.25">
      <c r="A168" s="390"/>
      <c r="B168" s="1" t="s">
        <v>644</v>
      </c>
      <c r="C168" s="154" t="str">
        <f>Input!$C$54</f>
        <v>Steel_slag_aggregate</v>
      </c>
      <c r="D168" s="163" t="str">
        <f>Input!$G54</f>
        <v>Yes</v>
      </c>
      <c r="E168" s="154">
        <f>+Input!B54</f>
        <v>0.02</v>
      </c>
      <c r="F168" s="165">
        <v>0</v>
      </c>
      <c r="I168" s="23"/>
    </row>
    <row r="169" spans="1:21" x14ac:dyDescent="0.25">
      <c r="A169" s="390" t="s">
        <v>324</v>
      </c>
      <c r="B169" s="1" t="s">
        <v>100</v>
      </c>
      <c r="C169" s="154" t="str">
        <f>Input!$C$55</f>
        <v>Cellulose_fibres</v>
      </c>
      <c r="D169" s="163" t="str">
        <f>Input!$G55</f>
        <v>Yes</v>
      </c>
      <c r="E169" s="154">
        <f>+Input!B55</f>
        <v>0.02</v>
      </c>
      <c r="F169" s="165" cm="1">
        <f t="array" ref="F169">INDEX($C$100:$C$149,MATCH($C169&amp;$D169,$A$100:$A$149&amp;$B$100:$B$149,0))</f>
        <v>0</v>
      </c>
      <c r="I169" s="23"/>
    </row>
    <row r="170" spans="1:21" x14ac:dyDescent="0.25">
      <c r="A170" s="390"/>
      <c r="B170" s="1" t="s">
        <v>104</v>
      </c>
      <c r="C170" s="154" t="str">
        <f>Input!$C$56</f>
        <v>Rejuvenator_waxy</v>
      </c>
      <c r="D170" s="163" t="str">
        <f>Input!$G56</f>
        <v>Yes</v>
      </c>
      <c r="E170" s="154">
        <f>+Input!B56</f>
        <v>0.02</v>
      </c>
      <c r="F170" s="165" cm="1">
        <f t="array" ref="F170">INDEX($C$100:$C$149,MATCH($C170&amp;$D170,$A$100:$A$149&amp;$B$100:$B$149,0))</f>
        <v>0</v>
      </c>
      <c r="I170" s="23"/>
    </row>
    <row r="171" spans="1:21" x14ac:dyDescent="0.25">
      <c r="A171" s="390"/>
      <c r="B171" s="1" t="s">
        <v>106</v>
      </c>
      <c r="C171" s="154" t="str">
        <f>Input!$C$57</f>
        <v>Cellulose_fibres</v>
      </c>
      <c r="D171" s="163" t="str">
        <f>Input!$G57</f>
        <v>Yes</v>
      </c>
      <c r="E171" s="154">
        <f>+Input!B57</f>
        <v>0.02</v>
      </c>
      <c r="F171" s="165" cm="1">
        <f t="array" ref="F171">INDEX($C$100:$C$149,MATCH($C171&amp;$D171,$A$100:$A$149&amp;$B$100:$B$149,0))</f>
        <v>0</v>
      </c>
      <c r="I171" s="23"/>
    </row>
    <row r="172" spans="1:21" x14ac:dyDescent="0.25">
      <c r="A172" s="55"/>
      <c r="D172" s="15" t="s">
        <v>645</v>
      </c>
      <c r="E172" s="326">
        <f>+SUM(E153:E171)</f>
        <v>1.0000000000000002</v>
      </c>
      <c r="F172" s="71"/>
      <c r="I172" s="23"/>
    </row>
    <row r="174" spans="1:21" s="81" customFormat="1" ht="15.75" x14ac:dyDescent="0.25">
      <c r="A174" s="117" t="s">
        <v>646</v>
      </c>
    </row>
    <row r="175" spans="1:21" x14ac:dyDescent="0.25">
      <c r="B175" s="23"/>
      <c r="C175" s="23"/>
    </row>
    <row r="176" spans="1:21" s="3" customFormat="1" ht="90.4" customHeight="1" x14ac:dyDescent="0.25">
      <c r="A176" s="104" t="s">
        <v>612</v>
      </c>
      <c r="B176" s="104" t="s">
        <v>647</v>
      </c>
      <c r="C176" s="108" t="str">
        <f>Input!$C$39</f>
        <v>Conventional_Bitumen</v>
      </c>
      <c r="D176" s="103" t="s">
        <v>69</v>
      </c>
      <c r="E176" s="103" t="s">
        <v>71</v>
      </c>
      <c r="F176" s="103" t="s">
        <v>74</v>
      </c>
      <c r="G176" s="103" t="s">
        <v>75</v>
      </c>
      <c r="H176" s="103" t="s">
        <v>78</v>
      </c>
      <c r="I176" s="300" t="s">
        <v>79</v>
      </c>
      <c r="J176" s="103" t="s">
        <v>80</v>
      </c>
      <c r="K176" s="103" t="s">
        <v>84</v>
      </c>
      <c r="L176" s="103" t="s">
        <v>85</v>
      </c>
      <c r="M176" s="301" t="str">
        <f>Input!$C$49</f>
        <v>Cement</v>
      </c>
      <c r="N176" s="301" t="str">
        <f>Input!$C$50</f>
        <v>Limestone_residue</v>
      </c>
      <c r="O176" s="103" t="s">
        <v>92</v>
      </c>
      <c r="P176" s="103" t="s">
        <v>93</v>
      </c>
      <c r="Q176" s="103" t="str">
        <f>Input!$C$53</f>
        <v>Recycled_plastic</v>
      </c>
      <c r="R176" s="103" t="str">
        <f>Input!$C$54</f>
        <v>Steel_slag_aggregate</v>
      </c>
      <c r="S176" s="103" t="str">
        <f>Input!$C$55</f>
        <v>Cellulose_fibres</v>
      </c>
      <c r="T176" s="103" t="str">
        <f>Input!$C$56</f>
        <v>Rejuvenator_waxy</v>
      </c>
      <c r="U176" s="316" t="str">
        <f>Input!$C$57</f>
        <v>Cellulose_fibres</v>
      </c>
    </row>
    <row r="177" spans="1:21" x14ac:dyDescent="0.25">
      <c r="A177" s="13" t="s">
        <v>648</v>
      </c>
      <c r="B177" s="13" t="s">
        <v>649</v>
      </c>
      <c r="C177" s="166">
        <f>Input!$B$39*(1-$F$153)</f>
        <v>0.02</v>
      </c>
      <c r="D177" s="166">
        <f>Input!$B$40*(1-$F$154)</f>
        <v>0</v>
      </c>
      <c r="E177" s="166">
        <f>Input!$B$41*(1-$F$155)</f>
        <v>0.19600000000000001</v>
      </c>
      <c r="F177" s="166">
        <f>Input!$B$42*(1-$F$156)</f>
        <v>0.1</v>
      </c>
      <c r="G177" s="167">
        <f>Input!$B$43*(1-$F$157)</f>
        <v>5.6999999999999995E-2</v>
      </c>
      <c r="H177" s="167">
        <f>Input!$B$44*(1-$F$158)</f>
        <v>0</v>
      </c>
      <c r="I177" s="167">
        <f>Input!$B$45*(1-$F$159)</f>
        <v>2.9099999999999997E-2</v>
      </c>
      <c r="J177" s="167">
        <f>Input!$B$46*(1-$F$160)</f>
        <v>1.9E-2</v>
      </c>
      <c r="K177" s="167">
        <f>Input!$B$47*(1-$F$161)</f>
        <v>1.9E-2</v>
      </c>
      <c r="L177" s="167">
        <f>Input!$B$48*(1-$F$162)</f>
        <v>1.9400000000000001E-2</v>
      </c>
      <c r="M177" s="167">
        <f>Input!$B$49*(1-$F$163)</f>
        <v>0.01</v>
      </c>
      <c r="N177" s="167">
        <f>Input!$B$50*(1-$F$164)</f>
        <v>9.9000000000000008E-3</v>
      </c>
      <c r="O177" s="168">
        <f>Input!$B$51*(1-$F$165)</f>
        <v>0.17099999999999999</v>
      </c>
      <c r="P177" s="165">
        <f>Input!$B$52*(1-$F$166)</f>
        <v>0.22540000000000002</v>
      </c>
      <c r="Q177" s="165">
        <f>Input!$B$53*(1-$F$167)</f>
        <v>0.02</v>
      </c>
      <c r="R177" s="165">
        <f>Input!$B$54*(1-$F$168)</f>
        <v>0.02</v>
      </c>
      <c r="S177" s="165">
        <f>Input!$B$55*(1-$F$169)</f>
        <v>0.02</v>
      </c>
      <c r="T177" s="169">
        <f>Input!$B$56*(1-$F$170)</f>
        <v>0.02</v>
      </c>
      <c r="U177" s="165">
        <f>Input!$B$57*(1-$F$171)</f>
        <v>0.02</v>
      </c>
    </row>
    <row r="178" spans="1:21" x14ac:dyDescent="0.25">
      <c r="A178" s="13" t="s">
        <v>650</v>
      </c>
      <c r="B178" s="13" t="s">
        <v>651</v>
      </c>
      <c r="C178" s="170">
        <f>INDEX($B$68:$B$88,MATCH($C$176,$A$68:$A$88,0))</f>
        <v>2.093</v>
      </c>
      <c r="D178" s="170">
        <f>$B$70</f>
        <v>0.91</v>
      </c>
      <c r="E178" s="171">
        <f>$B$71</f>
        <v>0.91</v>
      </c>
      <c r="F178" s="171">
        <f>$B$72</f>
        <v>0.91</v>
      </c>
      <c r="G178" s="171">
        <f>$B$73</f>
        <v>0.91</v>
      </c>
      <c r="H178" s="171">
        <f>$B$74</f>
        <v>0.91</v>
      </c>
      <c r="I178" s="171">
        <f>$B$75</f>
        <v>0.91</v>
      </c>
      <c r="J178" s="171">
        <f>$B$76</f>
        <v>0.8</v>
      </c>
      <c r="K178" s="171">
        <f>$B$77</f>
        <v>0.8</v>
      </c>
      <c r="L178" s="171">
        <f>$B$78</f>
        <v>0.8</v>
      </c>
      <c r="M178" s="171">
        <f>INDEX($B$68:$B$88,MATCH($M$176,A68:A88,0))</f>
        <v>0.84</v>
      </c>
      <c r="N178" s="171">
        <f>INDEX($B$68:$B$88,MATCH($N$176,$A$68:$A$88,0))</f>
        <v>0.91</v>
      </c>
      <c r="O178" s="172">
        <f>$B$83</f>
        <v>0.92</v>
      </c>
      <c r="P178" s="154">
        <f>$B$84</f>
        <v>0.92</v>
      </c>
      <c r="Q178" s="154">
        <f>INDEX($B$68:$B$93,MATCH($Q$176,$A$68:$A$93,0))</f>
        <v>2.2999999999999998</v>
      </c>
      <c r="R178" s="154">
        <f>INDEX($B$68:$B$93,MATCH($R$176,$A$68:$A$93,0))</f>
        <v>0.75</v>
      </c>
      <c r="S178" s="154">
        <f>INDEX($B$68:$B$93,MATCH($S$176,$A$68:$A$93,0))</f>
        <v>1.3</v>
      </c>
      <c r="T178" s="154">
        <f>INDEX($B$68:$B$93,MATCH($T$176,$A$68:$A$93,0))</f>
        <v>1</v>
      </c>
      <c r="U178" s="154">
        <f>INDEX($B$68:$B$93,MATCH($U$176,$A$68:$A$93,0))</f>
        <v>1.3</v>
      </c>
    </row>
    <row r="179" spans="1:21" x14ac:dyDescent="0.25">
      <c r="A179" s="13" t="s">
        <v>652</v>
      </c>
      <c r="B179" s="13" t="s">
        <v>653</v>
      </c>
      <c r="C179" s="170">
        <f>INDEX($C$68:$C$88,MATCH($C$176,$A$68:$A$88,0))</f>
        <v>165</v>
      </c>
      <c r="D179" s="170">
        <f>$C$70</f>
        <v>175</v>
      </c>
      <c r="E179" s="171">
        <f>$C$71</f>
        <v>175</v>
      </c>
      <c r="F179" s="171">
        <f>$C$72</f>
        <v>175</v>
      </c>
      <c r="G179" s="171">
        <f>$C$73</f>
        <v>175</v>
      </c>
      <c r="H179" s="171">
        <f>$C$74</f>
        <v>175</v>
      </c>
      <c r="I179" s="171">
        <f>$C$75</f>
        <v>175</v>
      </c>
      <c r="J179" s="171">
        <f>$C$76</f>
        <v>175</v>
      </c>
      <c r="K179" s="171">
        <f>$C$77</f>
        <v>175</v>
      </c>
      <c r="L179" s="171">
        <f>$C$78</f>
        <v>175</v>
      </c>
      <c r="M179" s="171">
        <f>INDEX($C$68:$C$88,MATCH($M$176,A68:A88,0))</f>
        <v>175</v>
      </c>
      <c r="N179" s="171">
        <f>INDEX($C$68:$C$88,MATCH($N$176,$A$68:$A$88,0))</f>
        <v>175</v>
      </c>
      <c r="O179" s="173">
        <f>$C$83</f>
        <v>130</v>
      </c>
      <c r="P179" s="154">
        <f>$C$84</f>
        <v>130</v>
      </c>
      <c r="Q179" s="154">
        <f>INDEX($C$68:$C$93,MATCH($Q$176,$A$68:$A$93,0))</f>
        <v>160</v>
      </c>
      <c r="R179" s="154">
        <f>INDEX($C$68:$C$93,MATCH($R$176,$A$68:$A$93,0))</f>
        <v>175</v>
      </c>
      <c r="S179" s="154">
        <f>INDEX($C$68:$C$93,MATCH($S$176,$A$68:$A$93,0))</f>
        <v>160</v>
      </c>
      <c r="T179" s="154">
        <f>INDEX($C$68:$C$93,MATCH($T$176,$A$68:$A$93,0))</f>
        <v>160</v>
      </c>
      <c r="U179" s="154">
        <f>INDEX($C$68:$C$93,MATCH($U$176,$A$68:$A$93,0))</f>
        <v>160</v>
      </c>
    </row>
    <row r="180" spans="1:21" x14ac:dyDescent="0.25">
      <c r="A180" s="13" t="s">
        <v>617</v>
      </c>
      <c r="B180" s="13" t="s">
        <v>653</v>
      </c>
      <c r="C180" s="170">
        <f>$B$60</f>
        <v>11.2</v>
      </c>
      <c r="D180" s="170">
        <f t="shared" ref="D180:U180" si="1">$B$60</f>
        <v>11.2</v>
      </c>
      <c r="E180" s="170">
        <f t="shared" si="1"/>
        <v>11.2</v>
      </c>
      <c r="F180" s="170">
        <f t="shared" si="1"/>
        <v>11.2</v>
      </c>
      <c r="G180" s="170">
        <f t="shared" si="1"/>
        <v>11.2</v>
      </c>
      <c r="H180" s="170">
        <f t="shared" si="1"/>
        <v>11.2</v>
      </c>
      <c r="I180" s="170">
        <f t="shared" si="1"/>
        <v>11.2</v>
      </c>
      <c r="J180" s="170">
        <f t="shared" si="1"/>
        <v>11.2</v>
      </c>
      <c r="K180" s="170">
        <f t="shared" si="1"/>
        <v>11.2</v>
      </c>
      <c r="L180" s="170">
        <f t="shared" si="1"/>
        <v>11.2</v>
      </c>
      <c r="M180" s="170">
        <f t="shared" si="1"/>
        <v>11.2</v>
      </c>
      <c r="N180" s="170">
        <f t="shared" si="1"/>
        <v>11.2</v>
      </c>
      <c r="O180" s="170">
        <f t="shared" si="1"/>
        <v>11.2</v>
      </c>
      <c r="P180" s="170">
        <f t="shared" si="1"/>
        <v>11.2</v>
      </c>
      <c r="Q180" s="170">
        <f t="shared" si="1"/>
        <v>11.2</v>
      </c>
      <c r="R180" s="170">
        <f t="shared" si="1"/>
        <v>11.2</v>
      </c>
      <c r="S180" s="170">
        <f t="shared" si="1"/>
        <v>11.2</v>
      </c>
      <c r="T180" s="170">
        <f t="shared" si="1"/>
        <v>11.2</v>
      </c>
      <c r="U180" s="170">
        <f t="shared" si="1"/>
        <v>11.2</v>
      </c>
    </row>
    <row r="181" spans="1:21" x14ac:dyDescent="0.25">
      <c r="A181" s="13" t="s">
        <v>654</v>
      </c>
      <c r="B181" s="13" t="s">
        <v>649</v>
      </c>
      <c r="C181" s="166">
        <f>Input!$B$39*$F$153</f>
        <v>0</v>
      </c>
      <c r="D181" s="166">
        <f>Input!$B$40*$F$154</f>
        <v>0</v>
      </c>
      <c r="E181" s="166">
        <f>Input!$B$41*$F$155</f>
        <v>4.0000000000000001E-3</v>
      </c>
      <c r="F181" s="166">
        <f>Input!$B$42*$F$156</f>
        <v>0</v>
      </c>
      <c r="G181" s="166">
        <f>Input!$B$43*$F$157</f>
        <v>3.0000000000000001E-3</v>
      </c>
      <c r="H181" s="166">
        <f>Input!$B$44*$F$158</f>
        <v>0</v>
      </c>
      <c r="I181" s="166">
        <f>Input!$B$45*$F$159</f>
        <v>8.9999999999999998E-4</v>
      </c>
      <c r="J181" s="166">
        <f>Input!$B$46*$F$160</f>
        <v>1E-3</v>
      </c>
      <c r="K181" s="166">
        <f>Input!$B$47*$F$161</f>
        <v>1E-3</v>
      </c>
      <c r="L181" s="166">
        <f>Input!$B$48*$F$162</f>
        <v>5.9999999999999995E-4</v>
      </c>
      <c r="M181" s="166">
        <f>Input!$B$49*$F$163</f>
        <v>0</v>
      </c>
      <c r="N181" s="166">
        <f>Input!$B$50*$F$164</f>
        <v>1E-4</v>
      </c>
      <c r="O181" s="166">
        <f>Input!$B$51*$F$165</f>
        <v>8.9999999999999993E-3</v>
      </c>
      <c r="P181" s="166">
        <f>Input!$B$52*$F$166</f>
        <v>4.5999999999999999E-3</v>
      </c>
      <c r="Q181" s="166">
        <f>Input!$B$53*$F$167</f>
        <v>0</v>
      </c>
      <c r="R181" s="166">
        <f>Input!$B$54*$F$168</f>
        <v>0</v>
      </c>
      <c r="S181" s="166">
        <f>Input!$B$55*$F$169</f>
        <v>0</v>
      </c>
      <c r="T181" s="166">
        <f>Input!$B$55*$F$170</f>
        <v>0</v>
      </c>
      <c r="U181" s="166">
        <f>Input!$B$56*$F$171</f>
        <v>0</v>
      </c>
    </row>
    <row r="182" spans="1:21" x14ac:dyDescent="0.25">
      <c r="A182" s="13" t="s">
        <v>655</v>
      </c>
      <c r="B182" s="1"/>
      <c r="C182" s="174">
        <f t="shared" ref="C182:U182" si="2">(C177*C178*(C179-C180))</f>
        <v>6.4380680000000003</v>
      </c>
      <c r="D182" s="174">
        <f t="shared" si="2"/>
        <v>0</v>
      </c>
      <c r="E182" s="174">
        <f t="shared" si="2"/>
        <v>29.215368000000005</v>
      </c>
      <c r="F182" s="174">
        <f t="shared" si="2"/>
        <v>14.905800000000003</v>
      </c>
      <c r="G182" s="174">
        <f t="shared" si="2"/>
        <v>8.4963060000000006</v>
      </c>
      <c r="H182" s="174">
        <f t="shared" si="2"/>
        <v>0</v>
      </c>
      <c r="I182" s="174">
        <f t="shared" si="2"/>
        <v>4.3375877999999997</v>
      </c>
      <c r="J182" s="174">
        <f t="shared" si="2"/>
        <v>2.48976</v>
      </c>
      <c r="K182" s="174">
        <f t="shared" si="2"/>
        <v>2.48976</v>
      </c>
      <c r="L182" s="174">
        <f t="shared" si="2"/>
        <v>2.5421760000000004</v>
      </c>
      <c r="M182" s="174">
        <f t="shared" si="2"/>
        <v>1.37592</v>
      </c>
      <c r="N182" s="174">
        <f t="shared" si="2"/>
        <v>1.4756742000000003</v>
      </c>
      <c r="O182" s="174">
        <f t="shared" si="2"/>
        <v>18.689615999999997</v>
      </c>
      <c r="P182" s="174">
        <f t="shared" si="2"/>
        <v>24.635318400000003</v>
      </c>
      <c r="Q182" s="174">
        <f t="shared" si="2"/>
        <v>6.8448000000000002</v>
      </c>
      <c r="R182" s="174">
        <f t="shared" si="2"/>
        <v>2.4570000000000003</v>
      </c>
      <c r="S182" s="174">
        <f t="shared" si="2"/>
        <v>3.8688000000000007</v>
      </c>
      <c r="T182" s="174">
        <f t="shared" si="2"/>
        <v>2.9760000000000004</v>
      </c>
      <c r="U182" s="174">
        <f t="shared" si="2"/>
        <v>3.8688000000000007</v>
      </c>
    </row>
    <row r="183" spans="1:21" x14ac:dyDescent="0.25">
      <c r="A183" s="13" t="s">
        <v>656</v>
      </c>
      <c r="B183" s="1"/>
      <c r="C183" s="174">
        <f t="shared" ref="C183:U183" si="3">IF($B$41&gt;100,C181*$B$61*(100-C180),C181*$B$61*($B$41-C180))</f>
        <v>0</v>
      </c>
      <c r="D183" s="174">
        <f>IF($B$41&gt;100,D181*$B$61*(100-D180),D181*$B$61*($B$41-D180))</f>
        <v>0</v>
      </c>
      <c r="E183" s="174">
        <f t="shared" si="3"/>
        <v>1.4882880000000001</v>
      </c>
      <c r="F183" s="174">
        <f t="shared" si="3"/>
        <v>0</v>
      </c>
      <c r="G183" s="174">
        <f t="shared" si="3"/>
        <v>1.1162160000000001</v>
      </c>
      <c r="H183" s="174">
        <f t="shared" si="3"/>
        <v>0</v>
      </c>
      <c r="I183" s="174">
        <f t="shared" si="3"/>
        <v>0.33486480000000002</v>
      </c>
      <c r="J183" s="174">
        <f t="shared" si="3"/>
        <v>0.37207200000000001</v>
      </c>
      <c r="K183" s="174">
        <f t="shared" si="3"/>
        <v>0.37207200000000001</v>
      </c>
      <c r="L183" s="174">
        <f t="shared" si="3"/>
        <v>0.2232432</v>
      </c>
      <c r="M183" s="174">
        <f t="shared" si="3"/>
        <v>0</v>
      </c>
      <c r="N183" s="174">
        <f t="shared" si="3"/>
        <v>3.7207200000000003E-2</v>
      </c>
      <c r="O183" s="174">
        <f t="shared" si="3"/>
        <v>3.3486479999999998</v>
      </c>
      <c r="P183" s="174">
        <f t="shared" si="3"/>
        <v>1.7115312000000003</v>
      </c>
      <c r="Q183" s="174">
        <f t="shared" si="3"/>
        <v>0</v>
      </c>
      <c r="R183" s="174">
        <f t="shared" si="3"/>
        <v>0</v>
      </c>
      <c r="S183" s="174">
        <f t="shared" si="3"/>
        <v>0</v>
      </c>
      <c r="T183" s="174">
        <f t="shared" si="3"/>
        <v>0</v>
      </c>
      <c r="U183" s="174">
        <f t="shared" si="3"/>
        <v>0</v>
      </c>
    </row>
    <row r="184" spans="1:21" s="24" customFormat="1" x14ac:dyDescent="0.25">
      <c r="A184" s="13" t="s">
        <v>657</v>
      </c>
      <c r="B184" s="13"/>
      <c r="C184" s="170">
        <f t="shared" ref="C184:U184" si="4">IF(C179&lt;100,0,$B$62*C181)</f>
        <v>0</v>
      </c>
      <c r="D184" s="170">
        <f>IF(D179&lt;100,0,$B$62*D181)</f>
        <v>0</v>
      </c>
      <c r="E184" s="170">
        <f t="shared" si="4"/>
        <v>9.0280000000000005</v>
      </c>
      <c r="F184" s="170">
        <f t="shared" si="4"/>
        <v>0</v>
      </c>
      <c r="G184" s="170">
        <f t="shared" si="4"/>
        <v>6.7709999999999999</v>
      </c>
      <c r="H184" s="170">
        <f t="shared" si="4"/>
        <v>0</v>
      </c>
      <c r="I184" s="170">
        <f t="shared" si="4"/>
        <v>2.0312999999999999</v>
      </c>
      <c r="J184" s="170">
        <f t="shared" si="4"/>
        <v>2.2570000000000001</v>
      </c>
      <c r="K184" s="170">
        <f t="shared" si="4"/>
        <v>2.2570000000000001</v>
      </c>
      <c r="L184" s="170">
        <f t="shared" si="4"/>
        <v>1.3541999999999998</v>
      </c>
      <c r="M184" s="170">
        <f t="shared" si="4"/>
        <v>0</v>
      </c>
      <c r="N184" s="170">
        <f t="shared" si="4"/>
        <v>0.22570000000000001</v>
      </c>
      <c r="O184" s="170">
        <f t="shared" si="4"/>
        <v>20.312999999999999</v>
      </c>
      <c r="P184" s="170">
        <f t="shared" si="4"/>
        <v>10.382199999999999</v>
      </c>
      <c r="Q184" s="170">
        <f t="shared" si="4"/>
        <v>0</v>
      </c>
      <c r="R184" s="170">
        <f t="shared" si="4"/>
        <v>0</v>
      </c>
      <c r="S184" s="170">
        <f t="shared" si="4"/>
        <v>0</v>
      </c>
      <c r="T184" s="170">
        <f t="shared" si="4"/>
        <v>0</v>
      </c>
      <c r="U184" s="170">
        <f t="shared" si="4"/>
        <v>0</v>
      </c>
    </row>
    <row r="185" spans="1:21" s="24" customFormat="1" x14ac:dyDescent="0.25">
      <c r="A185" s="13" t="s">
        <v>658</v>
      </c>
      <c r="B185" s="13"/>
      <c r="C185" s="170">
        <f t="shared" ref="C185:U185" si="5">IF($B$41&gt;100,C181*$B$63*($B$41-100),0)</f>
        <v>0</v>
      </c>
      <c r="D185" s="170">
        <f t="shared" si="5"/>
        <v>0</v>
      </c>
      <c r="E185" s="170">
        <f t="shared" si="5"/>
        <v>0.62850000000000006</v>
      </c>
      <c r="F185" s="170">
        <f t="shared" si="5"/>
        <v>0</v>
      </c>
      <c r="G185" s="170">
        <f t="shared" si="5"/>
        <v>0.47137500000000004</v>
      </c>
      <c r="H185" s="170">
        <f t="shared" si="5"/>
        <v>0</v>
      </c>
      <c r="I185" s="170">
        <f t="shared" si="5"/>
        <v>0.1414125</v>
      </c>
      <c r="J185" s="170">
        <f t="shared" si="5"/>
        <v>0.15712500000000001</v>
      </c>
      <c r="K185" s="170">
        <f t="shared" si="5"/>
        <v>0.15712500000000001</v>
      </c>
      <c r="L185" s="170">
        <f t="shared" si="5"/>
        <v>9.4275000000000012E-2</v>
      </c>
      <c r="M185" s="170">
        <f t="shared" si="5"/>
        <v>0</v>
      </c>
      <c r="N185" s="170">
        <f t="shared" si="5"/>
        <v>1.5712500000000001E-2</v>
      </c>
      <c r="O185" s="170">
        <f t="shared" si="5"/>
        <v>1.4141250000000001</v>
      </c>
      <c r="P185" s="170">
        <f t="shared" si="5"/>
        <v>0.72277500000000006</v>
      </c>
      <c r="Q185" s="170">
        <f t="shared" si="5"/>
        <v>0</v>
      </c>
      <c r="R185" s="170">
        <f t="shared" si="5"/>
        <v>0</v>
      </c>
      <c r="S185" s="170">
        <f t="shared" si="5"/>
        <v>0</v>
      </c>
      <c r="T185" s="170">
        <f t="shared" si="5"/>
        <v>0</v>
      </c>
      <c r="U185" s="170">
        <f t="shared" si="5"/>
        <v>0</v>
      </c>
    </row>
    <row r="186" spans="1:21" x14ac:dyDescent="0.25">
      <c r="A186" s="13" t="s">
        <v>659</v>
      </c>
      <c r="B186" s="1" t="s">
        <v>660</v>
      </c>
      <c r="C186" s="174">
        <f t="shared" ref="C186:U186" si="6">SUM(C182:C185)</f>
        <v>6.4380680000000003</v>
      </c>
      <c r="D186" s="174">
        <f t="shared" si="6"/>
        <v>0</v>
      </c>
      <c r="E186" s="174">
        <f t="shared" si="6"/>
        <v>40.360156000000011</v>
      </c>
      <c r="F186" s="174">
        <f t="shared" si="6"/>
        <v>14.905800000000003</v>
      </c>
      <c r="G186" s="174">
        <f t="shared" si="6"/>
        <v>16.854896999999998</v>
      </c>
      <c r="H186" s="174">
        <f t="shared" si="6"/>
        <v>0</v>
      </c>
      <c r="I186" s="174">
        <f t="shared" si="6"/>
        <v>6.8451651</v>
      </c>
      <c r="J186" s="174">
        <f t="shared" si="6"/>
        <v>5.275957</v>
      </c>
      <c r="K186" s="174">
        <f t="shared" si="6"/>
        <v>5.275957</v>
      </c>
      <c r="L186" s="174">
        <f t="shared" si="6"/>
        <v>4.2138942000000004</v>
      </c>
      <c r="M186" s="174">
        <f t="shared" si="6"/>
        <v>1.37592</v>
      </c>
      <c r="N186" s="174">
        <f t="shared" si="6"/>
        <v>1.7542939000000004</v>
      </c>
      <c r="O186" s="174">
        <f t="shared" si="6"/>
        <v>43.765388999999999</v>
      </c>
      <c r="P186" s="174">
        <f t="shared" si="6"/>
        <v>37.451824600000002</v>
      </c>
      <c r="Q186" s="174">
        <f t="shared" si="6"/>
        <v>6.8448000000000002</v>
      </c>
      <c r="R186" s="174">
        <f t="shared" si="6"/>
        <v>2.4570000000000003</v>
      </c>
      <c r="S186" s="174">
        <f t="shared" si="6"/>
        <v>3.8688000000000007</v>
      </c>
      <c r="T186" s="174">
        <f t="shared" si="6"/>
        <v>2.9760000000000004</v>
      </c>
      <c r="U186" s="174">
        <f t="shared" si="6"/>
        <v>3.8688000000000007</v>
      </c>
    </row>
    <row r="187" spans="1:21" x14ac:dyDescent="0.25">
      <c r="A187" s="327" t="s">
        <v>661</v>
      </c>
      <c r="B187" s="10" t="s">
        <v>662</v>
      </c>
      <c r="C187" s="197">
        <f>(1+$B$59)*(SUM(C186:U186))</f>
        <v>265.89253833999999</v>
      </c>
      <c r="D187" s="21"/>
      <c r="E187" s="21"/>
      <c r="F187" s="21"/>
      <c r="G187" s="21"/>
      <c r="H187" s="21"/>
      <c r="I187" s="21"/>
      <c r="J187" s="21"/>
      <c r="K187" s="21"/>
      <c r="L187" s="21"/>
      <c r="M187" s="21"/>
      <c r="N187" s="21"/>
      <c r="O187" s="21"/>
      <c r="P187" s="21"/>
      <c r="Q187" s="1"/>
      <c r="R187" s="1"/>
      <c r="S187" s="1"/>
      <c r="T187" s="1"/>
      <c r="U187" s="1"/>
    </row>
    <row r="188" spans="1:21" x14ac:dyDescent="0.25">
      <c r="A188" s="327" t="s">
        <v>663</v>
      </c>
      <c r="B188" s="10" t="s">
        <v>649</v>
      </c>
      <c r="C188" s="255">
        <f>+SUM(C183:U185)/SUM(C186:U186)</f>
        <v>0.3296585837542988</v>
      </c>
      <c r="D188" s="15"/>
      <c r="E188" s="15"/>
      <c r="F188" s="15"/>
      <c r="G188" s="15"/>
      <c r="H188" s="15"/>
      <c r="I188" s="15"/>
      <c r="J188" s="15"/>
      <c r="K188" s="15"/>
      <c r="L188" s="15"/>
      <c r="M188" s="15"/>
      <c r="N188" s="15"/>
      <c r="O188" s="15"/>
      <c r="P188" s="15"/>
    </row>
    <row r="189" spans="1:21" x14ac:dyDescent="0.25">
      <c r="C189" s="71">
        <f t="shared" ref="C189:E189" si="7">+C177+C181</f>
        <v>0.02</v>
      </c>
      <c r="D189" s="71">
        <f t="shared" si="7"/>
        <v>0</v>
      </c>
      <c r="E189" s="71">
        <f t="shared" si="7"/>
        <v>0.2</v>
      </c>
      <c r="F189" s="71">
        <f>+F177+F181</f>
        <v>0.1</v>
      </c>
      <c r="G189" s="71">
        <f t="shared" ref="G189:U189" si="8">+G177+G181</f>
        <v>0.06</v>
      </c>
      <c r="H189" s="71">
        <f t="shared" si="8"/>
        <v>0</v>
      </c>
      <c r="I189" s="71">
        <f t="shared" si="8"/>
        <v>0.03</v>
      </c>
      <c r="J189" s="71">
        <f t="shared" si="8"/>
        <v>0.02</v>
      </c>
      <c r="K189" s="71">
        <f t="shared" si="8"/>
        <v>0.02</v>
      </c>
      <c r="L189" s="71">
        <f t="shared" si="8"/>
        <v>0.02</v>
      </c>
      <c r="M189" s="71">
        <f t="shared" si="8"/>
        <v>0.01</v>
      </c>
      <c r="N189" s="71">
        <f t="shared" si="8"/>
        <v>0.01</v>
      </c>
      <c r="O189" s="71">
        <f t="shared" si="8"/>
        <v>0.18</v>
      </c>
      <c r="P189" s="71">
        <f t="shared" si="8"/>
        <v>0.23</v>
      </c>
      <c r="Q189" s="71">
        <f t="shared" si="8"/>
        <v>0.02</v>
      </c>
      <c r="R189" s="71">
        <f t="shared" si="8"/>
        <v>0.02</v>
      </c>
      <c r="S189" s="71">
        <f t="shared" si="8"/>
        <v>0.02</v>
      </c>
      <c r="T189" s="71">
        <f t="shared" si="8"/>
        <v>0.02</v>
      </c>
      <c r="U189" s="71">
        <f t="shared" si="8"/>
        <v>0.02</v>
      </c>
    </row>
    <row r="190" spans="1:21" x14ac:dyDescent="0.25">
      <c r="A190" s="24"/>
      <c r="B190" t="s">
        <v>664</v>
      </c>
      <c r="C190" s="256">
        <f>SUM(C177:U177)+SUM(C181:U181)</f>
        <v>1.0000000000000002</v>
      </c>
    </row>
    <row r="192" spans="1:21" ht="15.75" x14ac:dyDescent="0.25">
      <c r="A192" s="117" t="s">
        <v>665</v>
      </c>
    </row>
    <row r="194" spans="1:24" ht="94.5" customHeight="1" x14ac:dyDescent="0.25">
      <c r="A194" s="104" t="s">
        <v>463</v>
      </c>
      <c r="B194" s="104" t="s">
        <v>301</v>
      </c>
      <c r="C194" s="103" t="s">
        <v>666</v>
      </c>
      <c r="D194" s="103" t="s">
        <v>667</v>
      </c>
      <c r="E194" s="103" t="s">
        <v>668</v>
      </c>
      <c r="F194" s="103" t="s">
        <v>303</v>
      </c>
      <c r="G194" s="103" t="s">
        <v>304</v>
      </c>
      <c r="H194" s="103" t="s">
        <v>305</v>
      </c>
      <c r="I194" s="103" t="s">
        <v>306</v>
      </c>
      <c r="J194" s="103" t="s">
        <v>307</v>
      </c>
      <c r="K194" s="103" t="s">
        <v>308</v>
      </c>
      <c r="L194" s="103" t="s">
        <v>309</v>
      </c>
      <c r="M194" s="103" t="s">
        <v>310</v>
      </c>
      <c r="N194" s="103" t="s">
        <v>311</v>
      </c>
      <c r="O194" s="103" t="s">
        <v>312</v>
      </c>
      <c r="P194" s="103" t="s">
        <v>313</v>
      </c>
      <c r="Q194" s="103" t="s">
        <v>314</v>
      </c>
      <c r="R194" s="103" t="s">
        <v>315</v>
      </c>
      <c r="S194" s="103" t="s">
        <v>316</v>
      </c>
      <c r="T194" s="103" t="s">
        <v>317</v>
      </c>
      <c r="U194" s="103" t="s">
        <v>318</v>
      </c>
      <c r="V194" s="103" t="s">
        <v>319</v>
      </c>
      <c r="W194" s="103" t="s">
        <v>320</v>
      </c>
      <c r="X194" s="103" t="s">
        <v>321</v>
      </c>
    </row>
    <row r="195" spans="1:24" x14ac:dyDescent="0.25">
      <c r="A195" s="53" t="str">
        <f>Input!$A$17</f>
        <v>Asphalt plant: primary energy source type for heating and drying</v>
      </c>
      <c r="B195" s="1" t="s">
        <v>669</v>
      </c>
      <c r="C195" s="154" t="str">
        <f>IF($D$195="Electricity",$B$51,"None")</f>
        <v>None</v>
      </c>
      <c r="D195" s="154" t="str">
        <f>Input!B17</f>
        <v>Natural_gas</v>
      </c>
      <c r="E195" s="175">
        <f>Input!$C$17</f>
        <v>0.8</v>
      </c>
      <c r="F195" s="154" cm="1">
        <f t="array" ref="F195">INDEX(LCI!H$2:H$137,MATCH('A3 - Production '!$A$195&amp;'A3 - Production '!$D$195,LCI!$B$2:$B$137&amp;LCI!$D$2:$D$137,0))*$C$187*IF(OR($D$195="Electricity", $D$195="Electricity_green"),$B$51, 1)*IF($D$195="Hydrogen (grey)",$B$52,1)*$E$195</f>
        <v>1.2581474120831621E-2</v>
      </c>
      <c r="G195" s="154" cm="1">
        <f t="array" ref="G195">INDEX(LCI!I$2:I$137,MATCH('A3 - Production '!$A$195&amp;'A3 - Production '!$D$195,LCI!$B$2:$B$137&amp;LCI!$D$2:$D$137,0))*$C$187*IF(OR($D$195="Electricity", $D$195="Electricity_green"),$B$51, 1)*IF($D$195="Hydrogen (grey)",$B$52,1)*$E$195</f>
        <v>14.895336854323894</v>
      </c>
      <c r="H195" s="154" cm="1">
        <f t="array" ref="H195">INDEX(LCI!J$2:J$137,MATCH('A3 - Production '!$A$195&amp;'A3 - Production '!$D$195,LCI!$B$2:$B$137&amp;LCI!$D$2:$D$137,0))*$C$187*IF(OR($D$195="Electricity", $D$195="Electricity_green"),$B$51, 1)*IF($D$195="Hydrogen (grey)",$B$52,1)*$E$195</f>
        <v>3.8943296909738617E-3</v>
      </c>
      <c r="I195" s="154" cm="1">
        <f t="array" ref="I195">INDEX(LCI!K$2:K$137,MATCH('A3 - Production '!$A$195&amp;'A3 - Production '!$D$195,LCI!$B$2:$B$137&amp;LCI!$D$2:$D$137,0))*$C$187*IF(OR($D$195="Electricity", $D$195="Electricity_green"),$B$51, 1)*IF($D$195="Hydrogen (grey)",$B$52,1)*$E$195</f>
        <v>14.890835461557106</v>
      </c>
      <c r="J195" s="154" cm="1">
        <f t="array" ref="J195">INDEX(LCI!L$2:L$137,MATCH('A3 - Production '!$A$195&amp;'A3 - Production '!$D$195,LCI!$B$2:$B$137&amp;LCI!$D$2:$D$137,0))*$C$187*IF(OR($D$195="Electricity", $D$195="Electricity_green"),$B$51, 1)*IF($D$195="Hydrogen (grey)",$B$52,1)*$E$195</f>
        <v>6.0706307581316664E-4</v>
      </c>
      <c r="K195" s="154" cm="1">
        <f t="array" ref="K195">INDEX(LCI!M$2:M$137,MATCH('A3 - Production '!$A$195&amp;'A3 - Production '!$D$195,LCI!$B$2:$B$137&amp;LCI!$D$2:$D$137,0))*$C$187*IF(OR($D$195="Electricity", $D$195="Electricity_green"),$B$51, 1)*IF($D$195="Hydrogen (grey)",$B$52,1)*$E$195</f>
        <v>5.6333079318290196</v>
      </c>
      <c r="L195" s="154" cm="1">
        <f t="array" ref="L195">INDEX(LCI!N$2:N$137,MATCH('A3 - Production '!$A$195&amp;'A3 - Production '!$D$195,LCI!$B$2:$B$137&amp;LCI!$D$2:$D$137,0))*$C$187*IF(OR($D$195="Electricity", $D$195="Electricity_green"),$B$51, 1)*IF($D$195="Hydrogen (grey)",$B$52,1)*$E$195</f>
        <v>251.89427385101226</v>
      </c>
      <c r="M195" s="154" cm="1">
        <f t="array" ref="M195">INDEX(LCI!O$2:O$137,MATCH('A3 - Production '!$A$195&amp;'A3 - Production '!$D$195,LCI!$B$2:$B$137&amp;LCI!$D$2:$D$137,0))*$C$187*IF(OR($D$195="Electricity", $D$195="Electricity_green"),$B$51, 1)*IF($D$195="Hydrogen (grey)",$B$52,1)*$E$195</f>
        <v>2.2329825836967302E-4</v>
      </c>
      <c r="N195" s="154" cm="1">
        <f t="array" ref="N195">INDEX(LCI!P$2:P$137,MATCH('A3 - Production '!$A$195&amp;'A3 - Production '!$D$195,LCI!$B$2:$B$137&amp;LCI!$D$2:$D$137,0))*$C$187*IF(OR($D$195="Electricity", $D$195="Electricity_green"),$B$51, 1)*IF($D$195="Hydrogen (grey)",$B$52,1)*$E$195</f>
        <v>3.4604985310503289E-3</v>
      </c>
      <c r="O195" s="154" cm="1">
        <f t="array" ref="O195">INDEX(LCI!Q$2:Q$137,MATCH('A3 - Production '!$A$195&amp;'A3 - Production '!$D$195,LCI!$B$2:$B$137&amp;LCI!$D$2:$D$137,0))*$C$187*IF(OR($D$195="Electricity", $D$195="Electricity_green"),$B$51, 1)*IF($D$195="Hydrogen (grey)",$B$52,1)*$E$195</f>
        <v>3.8155462175921404E-2</v>
      </c>
      <c r="P195" s="154" cm="1">
        <f t="array" ref="P195">INDEX(LCI!R$2:R$137,MATCH('A3 - Production '!$A$195&amp;'A3 - Production '!$D$195,LCI!$B$2:$B$137&amp;LCI!$D$2:$D$137,0))*$C$187*IF(OR($D$195="Electricity", $D$195="Electricity_green"),$B$51, 1)*IF($D$195="Hydrogen (grey)",$B$52,1)*$E$195</f>
        <v>1.2028975598402255E-9</v>
      </c>
      <c r="Q195" s="154" cm="1">
        <f t="array" ref="Q195">INDEX(LCI!S$2:S$137,MATCH('A3 - Production '!$A$195&amp;'A3 - Production '!$D$195,LCI!$B$2:$B$137&amp;LCI!$D$2:$D$137,0))*$C$187*IF(OR($D$195="Electricity", $D$195="Electricity_green"),$B$51, 1)*IF($D$195="Hydrogen (grey)",$B$52,1)*$E$195</f>
        <v>1.0285481763821567E-8</v>
      </c>
      <c r="R195" s="154" cm="1">
        <f t="array" ref="R195">INDEX(LCI!T$2:T$137,MATCH('A3 - Production '!$A$195&amp;'A3 - Production '!$D$195,LCI!$B$2:$B$137&amp;LCI!$D$2:$D$137,0))*$C$187*IF(OR($D$195="Electricity", $D$195="Electricity_green"),$B$51, 1)*IF($D$195="Hydrogen (grey)",$B$52,1)*$E$195</f>
        <v>0.15854760689876726</v>
      </c>
      <c r="S195" s="154" cm="1">
        <f t="array" ref="S195">INDEX(LCI!U$2:U$137,MATCH('A3 - Production '!$A$195&amp;'A3 - Production '!$D$195,LCI!$B$2:$B$137&amp;LCI!$D$2:$D$137,0))*$C$187*IF(OR($D$195="Electricity", $D$195="Electricity_green"),$B$51, 1)*IF($D$195="Hydrogen (grey)",$B$52,1)*$E$195</f>
        <v>3.3848082976397809</v>
      </c>
      <c r="T195" s="154" cm="1">
        <f t="array" ref="T195">INDEX(LCI!V$2:V$137,MATCH('A3 - Production '!$A$195&amp;'A3 - Production '!$D$195,LCI!$B$2:$B$137&amp;LCI!$D$2:$D$137,0))*$C$187*IF(OR($D$195="Electricity", $D$195="Electricity_green"),$B$51, 1)*IF($D$195="Hydrogen (grey)",$B$52,1)*$E$195</f>
        <v>8.1096971570752703E-7</v>
      </c>
      <c r="U195" s="154" cm="1">
        <f t="array" ref="U195">INDEX(LCI!W$2:W$137,MATCH('A3 - Production '!$A$195&amp;'A3 - Production '!$D$195,LCI!$B$2:$B$137&amp;LCI!$D$2:$D$137,0))*$C$187*IF(OR($D$195="Electricity", $D$195="Electricity_green"),$B$51, 1)*IF($D$195="Hydrogen (grey)",$B$52,1)*$E$195</f>
        <v>2.0978706496555324E-6</v>
      </c>
      <c r="V195" s="154" cm="1">
        <f t="array" ref="V195">INDEX(LCI!X$2:X$137,MATCH('A3 - Production '!$A$195&amp;'A3 - Production '!$D$195,LCI!$B$2:$B$137&amp;LCI!$D$2:$D$137,0))*$C$187*IF(OR($D$195="Electricity", $D$195="Electricity_green"),$B$51, 1)*IF($D$195="Hydrogen (grey)",$B$52,1)*$E$195</f>
        <v>4.6217078469837755E-8</v>
      </c>
      <c r="W195" s="154" cm="1">
        <f t="array" ref="W195">INDEX(LCI!Y$2:Y$137,MATCH('A3 - Production '!$A$195&amp;'A3 - Production '!$D$195,LCI!$B$2:$B$137&amp;LCI!$D$2:$D$137,0))*$C$187*IF(OR($D$195="Electricity", $D$195="Electricity_green"),$B$51, 1)*IF($D$195="Hydrogen (grey)",$B$52,1)*$E$195</f>
        <v>1.2911215389263373E-2</v>
      </c>
      <c r="X195" s="154" cm="1">
        <f t="array" ref="X195">INDEX(LCI!Z$2:Z$137,MATCH('A3 - Production '!$A$195&amp;'A3 - Production '!$D$195,LCI!$B$2:$B$137&amp;LCI!$D$2:$D$137,0))*$C$187*IF(OR($D$195="Electricity", $D$195="Electricity_green"),$B$51, 1)*IF($D$195="Hydrogen (grey)",$B$52,1)*$E$195</f>
        <v>0.14867617913656941</v>
      </c>
    </row>
    <row r="196" spans="1:24" x14ac:dyDescent="0.25">
      <c r="A196" s="53" t="s">
        <v>25</v>
      </c>
      <c r="B196" s="1" t="s">
        <v>669</v>
      </c>
      <c r="C196" s="154">
        <f>IF($D$196="Electricity",$B$51,"None")</f>
        <v>0.27777800000000002</v>
      </c>
      <c r="D196" s="154" t="str">
        <f>Input!$B$18</f>
        <v>Electricity</v>
      </c>
      <c r="E196" s="175">
        <f>Input!$C$18</f>
        <v>0.2</v>
      </c>
      <c r="F196" s="154" cm="1">
        <f t="array" ref="F196">INDEX(LCI!H$2:H$137,MATCH('A3 - Production '!$A$196&amp;'A3 - Production '!$D$196,LCI!$B$2:$B$137&amp;LCI!$D$2:$D$137,0))*$C$187*IF(OR($D$196="Electricity", $D$196="Electricity_green"),$B$51, 1)*IF($D$196="Hydrogen (grey)",$B$52,1)*$E$196</f>
        <v>9.5894929431911916E-3</v>
      </c>
      <c r="G196" s="154" cm="1">
        <f t="array" ref="G196">INDEX(LCI!I$2:I$137,MATCH('A3 - Production '!$A$196&amp;'A3 - Production '!$D$196,LCI!$B$2:$B$137&amp;LCI!$D$2:$D$137,0))*$C$187*IF(OR($D$196="Electricity", $D$196="Electricity_green"),$B$51, 1)*IF($D$196="Hydrogen (grey)",$B$52,1)*$E$196</f>
        <v>2.6913970224765724</v>
      </c>
      <c r="H196" s="154" cm="1">
        <f t="array" ref="H196">INDEX(LCI!J$2:J$137,MATCH('A3 - Production '!$A$196&amp;'A3 - Production '!$D$196,LCI!$B$2:$B$137&amp;LCI!$D$2:$D$137,0))*$C$187*IF(OR($D$196="Electricity", $D$196="Electricity_green"),$B$51, 1)*IF($D$196="Hydrogen (grey)",$B$52,1)*$E$196</f>
        <v>5.6264859160784657E-2</v>
      </c>
      <c r="I196" s="154" cm="1">
        <f t="array" ref="I196">INDEX(LCI!K$2:K$137,MATCH('A3 - Production '!$A$196&amp;'A3 - Production '!$D$196,LCI!$B$2:$B$137&amp;LCI!$D$2:$D$137,0))*$C$187*IF(OR($D$196="Electricity", $D$196="Electricity_green"),$B$51, 1)*IF($D$196="Hydrogen (grey)",$B$52,1)*$E$196</f>
        <v>2.6285137472727786</v>
      </c>
      <c r="J196" s="154" cm="1">
        <f t="array" ref="J196">INDEX(LCI!L$2:L$137,MATCH('A3 - Production '!$A$196&amp;'A3 - Production '!$D$196,LCI!$B$2:$B$137&amp;LCI!$D$2:$D$137,0))*$C$187*IF(OR($D$196="Electricity", $D$196="Electricity_green"),$B$51, 1)*IF($D$196="Hydrogen (grey)",$B$52,1)*$E$196</f>
        <v>6.61841604300876E-3</v>
      </c>
      <c r="K196" s="154" cm="1">
        <f t="array" ref="K196">INDEX(LCI!M$2:M$137,MATCH('A3 - Production '!$A$196&amp;'A3 - Production '!$D$196,LCI!$B$2:$B$137&amp;LCI!$D$2:$D$137,0))*$C$187*IF(OR($D$196="Electricity", $D$196="Electricity_green"),$B$51, 1)*IF($D$196="Hydrogen (grey)",$B$52,1)*$E$196</f>
        <v>9.2381904925443976</v>
      </c>
      <c r="L196" s="154" cm="1">
        <f t="array" ref="L196">INDEX(LCI!N$2:N$137,MATCH('A3 - Production '!$A$196&amp;'A3 - Production '!$D$196,LCI!$B$2:$B$137&amp;LCI!$D$2:$D$137,0))*$C$187*IF(OR($D$196="Electricity", $D$196="Electricity_green"),$B$51, 1)*IF($D$196="Hydrogen (grey)",$B$52,1)*$E$196</f>
        <v>129.41040745652791</v>
      </c>
      <c r="M196" s="154" cm="1">
        <f t="array" ref="M196">INDEX(LCI!O$2:O$137,MATCH('A3 - Production '!$A$196&amp;'A3 - Production '!$D$196,LCI!$B$2:$B$137&amp;LCI!$D$2:$D$137,0))*$C$187*IF(OR($D$196="Electricity", $D$196="Electricity_green"),$B$51, 1)*IF($D$196="Hydrogen (grey)",$B$52,1)*$E$196</f>
        <v>9.8730696506347387E-4</v>
      </c>
      <c r="N196" s="154" cm="1">
        <f t="array" ref="N196">INDEX(LCI!P$2:P$137,MATCH('A3 - Production '!$A$196&amp;'A3 - Production '!$D$196,LCI!$B$2:$B$137&amp;LCI!$D$2:$D$137,0))*$C$187*IF(OR($D$196="Electricity", $D$196="Electricity_green"),$B$51, 1)*IF($D$196="Hydrogen (grey)",$B$52,1)*$E$196</f>
        <v>1.9720666565308845E-3</v>
      </c>
      <c r="O196" s="154" cm="1">
        <f t="array" ref="O196">INDEX(LCI!Q$2:Q$137,MATCH('A3 - Production '!$A$196&amp;'A3 - Production '!$D$196,LCI!$B$2:$B$137&amp;LCI!$D$2:$D$137,0))*$C$187*IF(OR($D$196="Electricity", $D$196="Electricity_green"),$B$51, 1)*IF($D$196="Hydrogen (grey)",$B$52,1)*$E$196</f>
        <v>1.8720330580023103E-2</v>
      </c>
      <c r="P196" s="154" cm="1">
        <f t="array" ref="P196">INDEX(LCI!R$2:R$137,MATCH('A3 - Production '!$A$196&amp;'A3 - Production '!$D$196,LCI!$B$2:$B$137&amp;LCI!$D$2:$D$137,0))*$C$187*IF(OR($D$196="Electricity", $D$196="Electricity_green"),$B$51, 1)*IF($D$196="Hydrogen (grey)",$B$52,1)*$E$196</f>
        <v>1.1003329194215473E-9</v>
      </c>
      <c r="Q196" s="154" cm="1">
        <f t="array" ref="Q196">INDEX(LCI!S$2:S$137,MATCH('A3 - Production '!$A$196&amp;'A3 - Production '!$D$196,LCI!$B$2:$B$137&amp;LCI!$D$2:$D$137,0))*$C$187*IF(OR($D$196="Electricity", $D$196="Electricity_green"),$B$51, 1)*IF($D$196="Hydrogen (grey)",$B$52,1)*$E$196</f>
        <v>6.0841551062712356E-8</v>
      </c>
      <c r="R196" s="154" cm="1">
        <f t="array" ref="R196">INDEX(LCI!T$2:T$137,MATCH('A3 - Production '!$A$196&amp;'A3 - Production '!$D$196,LCI!$B$2:$B$137&amp;LCI!$D$2:$D$137,0))*$C$187*IF(OR($D$196="Electricity", $D$196="Electricity_green"),$B$51, 1)*IF($D$196="Hydrogen (grey)",$B$52,1)*$E$196</f>
        <v>5.4361084175307788</v>
      </c>
      <c r="S196" s="154" cm="1">
        <f t="array" ref="S196">INDEX(LCI!U$2:U$137,MATCH('A3 - Production '!$A$196&amp;'A3 - Production '!$D$196,LCI!$B$2:$B$137&amp;LCI!$D$2:$D$137,0))*$C$187*IF(OR($D$196="Electricity", $D$196="Electricity_green"),$B$51, 1)*IF($D$196="Hydrogen (grey)",$B$52,1)*$E$196</f>
        <v>20.421556951775038</v>
      </c>
      <c r="T196" s="154" cm="1">
        <f t="array" ref="T196">INDEX(LCI!V$2:V$137,MATCH('A3 - Production '!$A$196&amp;'A3 - Production '!$D$196,LCI!$B$2:$B$137&amp;LCI!$D$2:$D$137,0))*$C$187*IF(OR($D$196="Electricity", $D$196="Electricity_green"),$B$51, 1)*IF($D$196="Hydrogen (grey)",$B$52,1)*$E$196</f>
        <v>7.0079626386449658E-5</v>
      </c>
      <c r="U196" s="154" cm="1">
        <f t="array" ref="U196">INDEX(LCI!W$2:W$137,MATCH('A3 - Production '!$A$196&amp;'A3 - Production '!$D$196,LCI!$B$2:$B$137&amp;LCI!$D$2:$D$137,0))*$C$187*IF(OR($D$196="Electricity", $D$196="Electricity_green"),$B$51, 1)*IF($D$196="Hydrogen (grey)",$B$52,1)*$E$196</f>
        <v>8.4035317617793098E-8</v>
      </c>
      <c r="V196" s="154" cm="1">
        <f t="array" ref="V196">INDEX(LCI!X$2:X$137,MATCH('A3 - Production '!$A$196&amp;'A3 - Production '!$D$196,LCI!$B$2:$B$137&amp;LCI!$D$2:$D$137,0))*$C$187*IF(OR($D$196="Electricity", $D$196="Electricity_green"),$B$51, 1)*IF($D$196="Hydrogen (grey)",$B$52,1)*$E$196</f>
        <v>7.0467903156025135E-8</v>
      </c>
      <c r="W196" s="154" cm="1">
        <f t="array" ref="W196">INDEX(LCI!Y$2:Y$137,MATCH('A3 - Production '!$A$196&amp;'A3 - Production '!$D$196,LCI!$B$2:$B$137&amp;LCI!$D$2:$D$137,0))*$C$187*IF(OR($D$196="Electricity", $D$196="Electricity_green"),$B$51, 1)*IF($D$196="Hydrogen (grey)",$B$52,1)*$E$196</f>
        <v>5.9822710312575703E-3</v>
      </c>
      <c r="X196" s="154" cm="1">
        <f t="array" ref="X196">INDEX(LCI!Z$2:Z$137,MATCH('A3 - Production '!$A$196&amp;'A3 - Production '!$D$196,LCI!$B$2:$B$137&amp;LCI!$D$2:$D$137,0))*$C$187*IF(OR($D$196="Electricity", $D$196="Electricity_green"),$B$51, 1)*IF($D$196="Hydrogen (grey)",$B$52,1)*$E$196</f>
        <v>1.5546273830923905</v>
      </c>
    </row>
    <row r="197" spans="1:24" x14ac:dyDescent="0.25">
      <c r="A197" s="53" t="str">
        <f>Input!A19</f>
        <v>Asphalt plant: electric components</v>
      </c>
      <c r="B197" s="1" t="s">
        <v>669</v>
      </c>
      <c r="C197" s="154">
        <f>$D$46</f>
        <v>6.1</v>
      </c>
      <c r="D197" s="154" t="str">
        <f>IF(Input!B19="No","No",Input!$C$19)</f>
        <v>Electricity</v>
      </c>
      <c r="E197" s="176"/>
      <c r="F197" s="154" cm="1">
        <f t="array" ref="F197">INDEX(LCI!H$2:H$130,MATCH('A3 - Production '!$A$197&amp;'A3 - Production '!$D$197,LCI!$B$2:$B$130&amp;LCI!$D$2:$D$130,0))*$C$197</f>
        <v>3.9599662683110761E-3</v>
      </c>
      <c r="G197" s="154" cm="1">
        <f t="array" ref="G197">INDEX(LCI!I$2:I$130,MATCH('A3 - Production '!$A$197&amp;'A3 - Production '!$D$197,LCI!$B$2:$B$130&amp;LCI!$D$2:$D$130,0))*$C$197</f>
        <v>1.0907685374591527</v>
      </c>
      <c r="H197" s="154" cm="1">
        <f t="array" ref="H197">INDEX(LCI!J$2:J$130,MATCH('A3 - Production '!$A$197&amp;'A3 - Production '!$D$197,LCI!$B$2:$B$130&amp;LCI!$D$2:$D$130,0))*$C$197</f>
        <v>1.8096391800758614E-3</v>
      </c>
      <c r="I197" s="154" cm="1">
        <f t="array" ref="I197">INDEX(LCI!K$2:K$130,MATCH('A3 - Production '!$A$197&amp;'A3 - Production '!$D$197,LCI!$B$2:$B$130&amp;LCI!$D$2:$D$130,0))*$C$197</f>
        <v>1.0862258336180726</v>
      </c>
      <c r="J197" s="154" cm="1">
        <f t="array" ref="J197">INDEX(LCI!L$2:L$130,MATCH('A3 - Production '!$A$197&amp;'A3 - Production '!$D$197,LCI!$B$2:$B$130&amp;LCI!$D$2:$D$130,0))*$C$197</f>
        <v>2.7330646610019558E-3</v>
      </c>
      <c r="K197" s="154" cm="1">
        <f t="array" ref="K197">INDEX(LCI!M$2:M$130,MATCH('A3 - Production '!$A$197&amp;'A3 - Production '!$D$197,LCI!$B$2:$B$130&amp;LCI!$D$2:$D$130,0))*$C$197</f>
        <v>3.8148964677706494</v>
      </c>
      <c r="L197" s="154" cm="1">
        <f t="array" ref="L197">INDEX(LCI!N$2:N$130,MATCH('A3 - Production '!$A$197&amp;'A3 - Production '!$D$197,LCI!$B$2:$B$130&amp;LCI!$D$2:$D$130,0))*$C$197</f>
        <v>53.439827458249873</v>
      </c>
      <c r="M197" s="154" cm="1">
        <f t="array" ref="M197">INDEX(LCI!O$2:O$130,MATCH('A3 - Production '!$A$197&amp;'A3 - Production '!$D$197,LCI!$B$2:$B$130&amp;LCI!$D$2:$D$130,0))*$C$197</f>
        <v>4.0770688307309856E-4</v>
      </c>
      <c r="N197" s="154" cm="1">
        <f t="array" ref="N197">INDEX(LCI!P$2:P$130,MATCH('A3 - Production '!$A$197&amp;'A3 - Production '!$D$197,LCI!$B$2:$B$130&amp;LCI!$D$2:$D$130,0))*$C$197</f>
        <v>8.1436187345735581E-4</v>
      </c>
      <c r="O197" s="154" cm="1">
        <f t="array" ref="O197">INDEX(LCI!Q$2:Q$130,MATCH('A3 - Production '!$A$197&amp;'A3 - Production '!$D$197,LCI!$B$2:$B$130&amp;LCI!$D$2:$D$130,0))*$C$197</f>
        <v>7.7305315377659582E-3</v>
      </c>
      <c r="P197" s="154" cm="1">
        <f t="array" ref="P197">INDEX(LCI!R$2:R$130,MATCH('A3 - Production '!$A$197&amp;'A3 - Production '!$D$197,LCI!$B$2:$B$130&amp;LCI!$D$2:$D$130,0))*$C$197</f>
        <v>4.5438077598413268E-10</v>
      </c>
      <c r="Q197" s="154" cm="1">
        <f t="array" ref="Q197">INDEX(LCI!S$2:S$130,MATCH('A3 - Production '!$A$197&amp;'A3 - Production '!$D$197,LCI!$B$2:$B$130&amp;LCI!$D$2:$D$130,0))*$C$197</f>
        <v>2.5124424900177211E-8</v>
      </c>
      <c r="R197" s="154" cm="1">
        <f t="array" ref="R197">INDEX(LCI!T$2:T$130,MATCH('A3 - Production '!$A$197&amp;'A3 - Production '!$D$197,LCI!$B$2:$B$130&amp;LCI!$D$2:$D$130,0))*$C$197</f>
        <v>2.244832557031947</v>
      </c>
      <c r="S197" s="154" cm="1">
        <f t="array" ref="S197">INDEX(LCI!U$2:U$130,MATCH('A3 - Production '!$A$197&amp;'A3 - Production '!$D$197,LCI!$B$2:$B$130&amp;LCI!$D$2:$D$130,0))*$C$197</f>
        <v>8.4330503348293409</v>
      </c>
      <c r="T197" s="154" cm="1">
        <f t="array" ref="T197">INDEX(LCI!V$2:V$130,MATCH('A3 - Production '!$A$197&amp;'A3 - Production '!$D$197,LCI!$B$2:$B$130&amp;LCI!$D$2:$D$130,0))*$C$197</f>
        <v>2.8939273247312308E-5</v>
      </c>
      <c r="U197" s="154" cm="1">
        <f t="array" ref="U197">INDEX(LCI!W$2:W$130,MATCH('A3 - Production '!$A$197&amp;'A3 - Production '!$D$197,LCI!$B$2:$B$130&amp;LCI!$D$2:$D$130,0))*$C$197</f>
        <v>3.4702254340730223E-8</v>
      </c>
      <c r="V197" s="154" cm="1">
        <f t="array" ref="V197">INDEX(LCI!X$2:X$130,MATCH('A3 - Production '!$A$197&amp;'A3 - Production '!$D$197,LCI!$B$2:$B$130&amp;LCI!$D$2:$D$130,0))*$C$197</f>
        <v>2.9099611538335278E-8</v>
      </c>
      <c r="W197" s="154" cm="1">
        <f t="array" ref="W197">INDEX(LCI!Y$2:Y$130,MATCH('A3 - Production '!$A$197&amp;'A3 - Production '!$D$197,LCI!$B$2:$B$130&amp;LCI!$D$2:$D$130,0))*$C$197</f>
        <v>2.4703695630220704E-3</v>
      </c>
      <c r="X197" s="154" cm="1">
        <f t="array" ref="X197">INDEX(LCI!Z$2:Z$130,MATCH('A3 - Production '!$A$197&amp;'A3 - Production '!$D$197,LCI!$B$2:$B$130&amp;LCI!$D$2:$D$130,0))*$C$197</f>
        <v>0.64198097160180434</v>
      </c>
    </row>
    <row r="198" spans="1:24" x14ac:dyDescent="0.25">
      <c r="A198" s="399" t="s">
        <v>220</v>
      </c>
      <c r="B198" s="400"/>
      <c r="C198" s="400"/>
      <c r="D198" s="400"/>
      <c r="E198" s="401"/>
      <c r="F198" s="139">
        <f t="shared" ref="F198:X198" si="9">SUM(F195:F197)</f>
        <v>2.6130933332333892E-2</v>
      </c>
      <c r="G198" s="139">
        <f t="shared" si="9"/>
        <v>18.677502414259617</v>
      </c>
      <c r="H198" s="139">
        <f t="shared" si="9"/>
        <v>6.1968828031834379E-2</v>
      </c>
      <c r="I198" s="139">
        <f t="shared" si="9"/>
        <v>18.60557504244796</v>
      </c>
      <c r="J198" s="139">
        <f t="shared" si="9"/>
        <v>9.9585437798238828E-3</v>
      </c>
      <c r="K198" s="139">
        <f t="shared" si="9"/>
        <v>18.686394892144065</v>
      </c>
      <c r="L198" s="139">
        <f t="shared" si="9"/>
        <v>434.74450876578999</v>
      </c>
      <c r="M198" s="139">
        <f t="shared" si="9"/>
        <v>1.6183121065062455E-3</v>
      </c>
      <c r="N198" s="139">
        <f t="shared" si="9"/>
        <v>6.2469270610385685E-3</v>
      </c>
      <c r="O198" s="139">
        <f t="shared" si="9"/>
        <v>6.4606324293710465E-2</v>
      </c>
      <c r="P198" s="139">
        <f t="shared" si="9"/>
        <v>2.7576112552459058E-9</v>
      </c>
      <c r="Q198" s="139">
        <f t="shared" si="9"/>
        <v>9.6251457726711132E-8</v>
      </c>
      <c r="R198" s="139">
        <f t="shared" si="9"/>
        <v>7.8394885814614934</v>
      </c>
      <c r="S198" s="139">
        <f t="shared" si="9"/>
        <v>32.239415584244156</v>
      </c>
      <c r="T198" s="139">
        <f t="shared" si="9"/>
        <v>9.9829869349469497E-5</v>
      </c>
      <c r="U198" s="139">
        <f t="shared" si="9"/>
        <v>2.2166082216140558E-6</v>
      </c>
      <c r="V198" s="139">
        <f t="shared" si="9"/>
        <v>1.4578459316419817E-7</v>
      </c>
      <c r="W198" s="139">
        <f t="shared" si="9"/>
        <v>2.1363855983543015E-2</v>
      </c>
      <c r="X198" s="139">
        <f t="shared" si="9"/>
        <v>2.345284533830764</v>
      </c>
    </row>
    <row r="199" spans="1:24" x14ac:dyDescent="0.25">
      <c r="A199" s="38"/>
      <c r="B199" s="38"/>
      <c r="C199" s="38"/>
      <c r="D199" s="38"/>
    </row>
    <row r="200" spans="1:24" x14ac:dyDescent="0.25">
      <c r="A200" s="38"/>
      <c r="B200" s="38"/>
      <c r="C200" s="38"/>
      <c r="D200" s="38"/>
    </row>
    <row r="202" spans="1:24" ht="24" x14ac:dyDescent="0.4">
      <c r="A202" s="100" t="s">
        <v>670</v>
      </c>
    </row>
    <row r="204" spans="1:24" x14ac:dyDescent="0.25">
      <c r="A204" s="126" t="s">
        <v>230</v>
      </c>
      <c r="B204" s="126" t="s">
        <v>671</v>
      </c>
      <c r="C204" s="126" t="s">
        <v>672</v>
      </c>
      <c r="D204" s="126" t="s">
        <v>673</v>
      </c>
    </row>
    <row r="205" spans="1:24" x14ac:dyDescent="0.25">
      <c r="A205" s="1" t="s">
        <v>344</v>
      </c>
      <c r="B205" s="154">
        <f>SUM(F195:F197)</f>
        <v>2.6130933332333892E-2</v>
      </c>
      <c r="C205" s="154">
        <f>'A3 - Production '!H28</f>
        <v>1.0299559961337281E-4</v>
      </c>
      <c r="D205" s="154">
        <f>SUM(B205:C205)</f>
        <v>2.6233928931947266E-2</v>
      </c>
    </row>
    <row r="206" spans="1:24" x14ac:dyDescent="0.25">
      <c r="A206" s="1" t="s">
        <v>304</v>
      </c>
      <c r="B206" s="154">
        <f>SUM(G195:G197)</f>
        <v>18.677502414259617</v>
      </c>
      <c r="C206" s="154">
        <f>'A3 - Production '!I28</f>
        <v>8.056052481282612E-2</v>
      </c>
      <c r="D206" s="154">
        <f t="shared" ref="D206:D223" si="10">SUM(B206:C206)</f>
        <v>18.758062939072442</v>
      </c>
    </row>
    <row r="207" spans="1:24" x14ac:dyDescent="0.25">
      <c r="A207" s="1" t="s">
        <v>305</v>
      </c>
      <c r="B207" s="154">
        <f>SUM(H195:H197)</f>
        <v>6.1968828031834379E-2</v>
      </c>
      <c r="C207" s="154">
        <f>'A3 - Production '!J28</f>
        <v>1.66498170746065E-5</v>
      </c>
      <c r="D207" s="154">
        <f t="shared" si="10"/>
        <v>6.1985477848908989E-2</v>
      </c>
    </row>
    <row r="208" spans="1:24" x14ac:dyDescent="0.25">
      <c r="A208" s="1" t="s">
        <v>306</v>
      </c>
      <c r="B208" s="154">
        <f>SUM(I195:I197)</f>
        <v>18.60557504244796</v>
      </c>
      <c r="C208" s="154">
        <f>'A3 - Production '!K28</f>
        <v>8.0540312398878863E-2</v>
      </c>
      <c r="D208" s="154">
        <f t="shared" si="10"/>
        <v>18.686115354846837</v>
      </c>
    </row>
    <row r="209" spans="1:4" x14ac:dyDescent="0.25">
      <c r="A209" s="1" t="s">
        <v>307</v>
      </c>
      <c r="B209" s="154">
        <f>SUM(J195:J197)</f>
        <v>9.9585437798238828E-3</v>
      </c>
      <c r="C209" s="154">
        <f>'A3 - Production '!L28</f>
        <v>3.5625968726484402E-6</v>
      </c>
      <c r="D209" s="154">
        <f t="shared" si="10"/>
        <v>9.9621063766965317E-3</v>
      </c>
    </row>
    <row r="210" spans="1:4" x14ac:dyDescent="0.25">
      <c r="A210" s="1" t="s">
        <v>308</v>
      </c>
      <c r="B210" s="154">
        <f>SUM(K195:K197)</f>
        <v>18.686394892144065</v>
      </c>
      <c r="C210" s="154">
        <f>'A3 - Production '!M28</f>
        <v>3.5594107095916434E-2</v>
      </c>
      <c r="D210" s="154">
        <f t="shared" si="10"/>
        <v>18.721988999239983</v>
      </c>
    </row>
    <row r="211" spans="1:4" x14ac:dyDescent="0.25">
      <c r="A211" s="1" t="s">
        <v>309</v>
      </c>
      <c r="B211" s="154">
        <f>SUM(L195:L197)</f>
        <v>434.74450876578999</v>
      </c>
      <c r="C211" s="154">
        <f>'A3 - Production '!N28</f>
        <v>1.0700591183029562</v>
      </c>
      <c r="D211" s="154">
        <f t="shared" si="10"/>
        <v>435.81456788409292</v>
      </c>
    </row>
    <row r="212" spans="1:4" x14ac:dyDescent="0.25">
      <c r="A212" s="1" t="s">
        <v>310</v>
      </c>
      <c r="B212" s="154">
        <f>SUM(M195:M197)</f>
        <v>1.6183121065062455E-3</v>
      </c>
      <c r="C212" s="154">
        <f>'A3 - Production '!O28</f>
        <v>8.5163363126034537E-7</v>
      </c>
      <c r="D212" s="154">
        <f t="shared" si="10"/>
        <v>1.6191637401375058E-3</v>
      </c>
    </row>
    <row r="213" spans="1:4" x14ac:dyDescent="0.25">
      <c r="A213" s="1" t="s">
        <v>311</v>
      </c>
      <c r="B213" s="154">
        <f>SUM(N195:N197)</f>
        <v>6.2469270610385685E-3</v>
      </c>
      <c r="C213" s="154">
        <f>'A3 - Production '!P28</f>
        <v>2.3290660699942286E-5</v>
      </c>
      <c r="D213" s="154">
        <f t="shared" si="10"/>
        <v>6.2702177217385108E-3</v>
      </c>
    </row>
    <row r="214" spans="1:4" x14ac:dyDescent="0.25">
      <c r="A214" s="1" t="s">
        <v>312</v>
      </c>
      <c r="B214" s="154">
        <f>SUM(O195:O197)</f>
        <v>6.4606324293710465E-2</v>
      </c>
      <c r="C214" s="154">
        <f>'A3 - Production '!Q28</f>
        <v>2.5319818156265738E-4</v>
      </c>
      <c r="D214" s="154">
        <f t="shared" si="10"/>
        <v>6.4859522475273129E-2</v>
      </c>
    </row>
    <row r="215" spans="1:4" x14ac:dyDescent="0.25">
      <c r="A215" s="1" t="s">
        <v>313</v>
      </c>
      <c r="B215" s="154">
        <f>SUM(P195:P197)</f>
        <v>2.7576112552459058E-9</v>
      </c>
      <c r="C215" s="154">
        <f>'A3 - Production '!R28</f>
        <v>4.9230968242214656E-12</v>
      </c>
      <c r="D215" s="154">
        <f t="shared" si="10"/>
        <v>2.7625343520701271E-9</v>
      </c>
    </row>
    <row r="216" spans="1:4" x14ac:dyDescent="0.25">
      <c r="A216" s="1" t="s">
        <v>345</v>
      </c>
      <c r="B216" s="154">
        <f>SUM(Q195:Q197)</f>
        <v>9.6251457726711132E-8</v>
      </c>
      <c r="C216" s="154">
        <f>'A3 - Production '!S28</f>
        <v>1.3122062216178557E-10</v>
      </c>
      <c r="D216" s="154">
        <f t="shared" si="10"/>
        <v>9.638267834887292E-8</v>
      </c>
    </row>
    <row r="217" spans="1:4" x14ac:dyDescent="0.25">
      <c r="A217" s="1" t="s">
        <v>315</v>
      </c>
      <c r="B217" s="154">
        <f>SUM(R195:R197)</f>
        <v>7.8394885814614934</v>
      </c>
      <c r="C217" s="154">
        <f>'A3 - Production '!T28</f>
        <v>3.212941207975714E-4</v>
      </c>
      <c r="D217" s="154">
        <f t="shared" si="10"/>
        <v>7.8398098755822909</v>
      </c>
    </row>
    <row r="218" spans="1:4" x14ac:dyDescent="0.25">
      <c r="A218" s="1" t="s">
        <v>316</v>
      </c>
      <c r="B218" s="154">
        <f>SUM(S195:S197)</f>
        <v>32.239415584244156</v>
      </c>
      <c r="C218" s="154">
        <f>'A3 - Production '!U28</f>
        <v>5.5016478121274907E-2</v>
      </c>
      <c r="D218" s="154">
        <f t="shared" si="10"/>
        <v>32.294432062365431</v>
      </c>
    </row>
    <row r="219" spans="1:4" x14ac:dyDescent="0.25">
      <c r="A219" s="1" t="s">
        <v>317</v>
      </c>
      <c r="B219" s="154">
        <f>SUM(T195:T197)</f>
        <v>9.9829869349469497E-5</v>
      </c>
      <c r="C219" s="154">
        <f>'A3 - Production '!V28</f>
        <v>1.2561955879264319E-8</v>
      </c>
      <c r="D219" s="154">
        <f t="shared" si="10"/>
        <v>9.984243130534876E-5</v>
      </c>
    </row>
    <row r="220" spans="1:4" x14ac:dyDescent="0.25">
      <c r="A220" s="1" t="s">
        <v>318</v>
      </c>
      <c r="B220" s="154">
        <f>SUM(U195:U197)</f>
        <v>2.2166082216140558E-6</v>
      </c>
      <c r="C220" s="154">
        <f>'A3 - Production '!W28</f>
        <v>1.8154006185482207E-9</v>
      </c>
      <c r="D220" s="154">
        <f t="shared" si="10"/>
        <v>2.2184236222326039E-6</v>
      </c>
    </row>
    <row r="221" spans="1:4" x14ac:dyDescent="0.25">
      <c r="A221" s="1" t="s">
        <v>319</v>
      </c>
      <c r="B221" s="154">
        <f>SUM(V195:V197)</f>
        <v>1.4578459316419817E-7</v>
      </c>
      <c r="C221" s="154">
        <f>'A3 - Production '!X28</f>
        <v>7.9346155235966147E-10</v>
      </c>
      <c r="D221" s="154">
        <f t="shared" si="10"/>
        <v>1.4657805471655783E-7</v>
      </c>
    </row>
    <row r="222" spans="1:4" x14ac:dyDescent="0.25">
      <c r="A222" s="1" t="s">
        <v>320</v>
      </c>
      <c r="B222" s="154">
        <f>SUM(W195:W197)</f>
        <v>2.1363855983543015E-2</v>
      </c>
      <c r="C222" s="154">
        <f>'A3 - Production '!Y28</f>
        <v>1.9843157737774877E-4</v>
      </c>
      <c r="D222" s="154">
        <f t="shared" si="10"/>
        <v>2.1562287560920764E-2</v>
      </c>
    </row>
    <row r="223" spans="1:4" x14ac:dyDescent="0.25">
      <c r="A223" s="1" t="s">
        <v>321</v>
      </c>
      <c r="B223" s="154">
        <f>SUM(X195:X197)</f>
        <v>2.345284533830764</v>
      </c>
      <c r="C223" s="154">
        <f>'A3 - Production '!Z28</f>
        <v>1.4482440080436057E-3</v>
      </c>
      <c r="D223" s="154">
        <f t="shared" si="10"/>
        <v>2.3467327778388074</v>
      </c>
    </row>
    <row r="226" spans="1:3" x14ac:dyDescent="0.25">
      <c r="B226" t="s">
        <v>570</v>
      </c>
    </row>
    <row r="227" spans="1:3" x14ac:dyDescent="0.25">
      <c r="B227" s="205" t="s">
        <v>674</v>
      </c>
      <c r="C227" s="205" t="s">
        <v>672</v>
      </c>
    </row>
    <row r="228" spans="1:3" x14ac:dyDescent="0.25">
      <c r="A228" s="95" t="s">
        <v>675</v>
      </c>
      <c r="B228" s="1">
        <f>SUM($F$198:$X$198)+SUM($H$28:$Z$28)</f>
        <v>534.65430490427252</v>
      </c>
      <c r="C228" s="1">
        <f>+SUM(H28:Z28)</f>
        <v>1.3241390742344876</v>
      </c>
    </row>
    <row r="229" spans="1:3" x14ac:dyDescent="0.25">
      <c r="A229" s="95" t="s">
        <v>676</v>
      </c>
      <c r="B229" s="1">
        <f>SUM($D$205:$D$223)</f>
        <v>534.65430490427252</v>
      </c>
      <c r="C229" s="1">
        <f>+SUM(C205:C223)</f>
        <v>1.3241390742344876</v>
      </c>
    </row>
    <row r="230" spans="1:3" x14ac:dyDescent="0.25">
      <c r="A230" s="148" t="s">
        <v>62</v>
      </c>
      <c r="B230" s="204">
        <f>B228-B229</f>
        <v>0</v>
      </c>
      <c r="C230" s="204">
        <f>C228-C229</f>
        <v>0</v>
      </c>
    </row>
  </sheetData>
  <mergeCells count="7">
    <mergeCell ref="A169:A171"/>
    <mergeCell ref="A198:E198"/>
    <mergeCell ref="A98:C98"/>
    <mergeCell ref="A154:A162"/>
    <mergeCell ref="A163:A164"/>
    <mergeCell ref="A165:A166"/>
    <mergeCell ref="A167:A168"/>
  </mergeCells>
  <phoneticPr fontId="5" type="noConversion"/>
  <hyperlinks>
    <hyperlink ref="D59" r:id="rId1" xr:uid="{27698EA6-5AC5-4B35-86CF-181C47BD5439}"/>
    <hyperlink ref="E46" r:id="rId2" xr:uid="{77270E2B-D812-453E-847E-8353541E0CD9}"/>
    <hyperlink ref="D12" r:id="rId3" xr:uid="{911902F7-303D-49F8-A14C-68C8AF6E5B2E}"/>
    <hyperlink ref="D35" r:id="rId4" xr:uid="{F959DAA5-2673-430F-96A4-0193E507F675}"/>
    <hyperlink ref="D34" r:id="rId5" xr:uid="{7DEE58E3-5BA8-4178-AC6C-70F06FDCD91E}"/>
    <hyperlink ref="D9" r:id="rId6" xr:uid="{C342BA67-C904-478C-A475-32DC2D23CAB8}"/>
    <hyperlink ref="D7" r:id="rId7" xr:uid="{6618B0AE-7B0A-446C-A90C-179CFD03AA6B}"/>
    <hyperlink ref="D15" r:id="rId8" xr:uid="{61608275-F019-44D4-A4F8-6FB7B7067591}"/>
    <hyperlink ref="D51" r:id="rId9" xr:uid="{5DAA4F5D-7406-48D9-83ED-D41B77E1425E}"/>
    <hyperlink ref="D52"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heetViews>
  <sheetFormatPr defaultRowHeight="15" x14ac:dyDescent="0.25"/>
  <cols>
    <col min="1" max="1" width="72.7109375" customWidth="1"/>
    <col min="2" max="3" width="24.42578125" customWidth="1"/>
    <col min="4" max="4" width="23.85546875" customWidth="1"/>
    <col min="5" max="5" width="25.85546875" customWidth="1"/>
    <col min="6" max="6" width="20.85546875" customWidth="1"/>
    <col min="7" max="7" width="26.140625" customWidth="1"/>
    <col min="8" max="8" width="23.85546875" customWidth="1"/>
    <col min="9" max="9" width="21.85546875" customWidth="1"/>
    <col min="10" max="10" width="24.140625" customWidth="1"/>
    <col min="11" max="11" width="26.85546875" customWidth="1"/>
    <col min="12" max="12" width="29.85546875" customWidth="1"/>
    <col min="13" max="13" width="26.42578125" customWidth="1"/>
    <col min="14" max="14" width="36.42578125" customWidth="1"/>
    <col min="15" max="15" width="30.42578125" customWidth="1"/>
    <col min="16" max="16" width="25.5703125" customWidth="1"/>
    <col min="17" max="17" width="24.28515625" customWidth="1"/>
    <col min="18" max="18" width="26.85546875" customWidth="1"/>
    <col min="19" max="19" width="26.28515625" customWidth="1"/>
    <col min="20" max="20" width="31.85546875" customWidth="1"/>
    <col min="21" max="21" width="29.85546875" customWidth="1"/>
    <col min="22" max="22" width="29.5703125" customWidth="1"/>
    <col min="23" max="23" width="31.28515625" customWidth="1"/>
    <col min="24" max="24" width="23.42578125" customWidth="1"/>
    <col min="25" max="25" width="24.7109375" customWidth="1"/>
  </cols>
  <sheetData>
    <row r="1" spans="1:24" ht="24" x14ac:dyDescent="0.4">
      <c r="A1" s="100" t="s">
        <v>547</v>
      </c>
    </row>
    <row r="3" spans="1:24" x14ac:dyDescent="0.25">
      <c r="A3" s="403" t="s">
        <v>548</v>
      </c>
      <c r="B3" s="403"/>
      <c r="C3" s="62" t="s">
        <v>377</v>
      </c>
    </row>
    <row r="4" spans="1:24" x14ac:dyDescent="0.25">
      <c r="A4" s="1" t="s">
        <v>677</v>
      </c>
      <c r="B4" s="106">
        <v>1.24</v>
      </c>
      <c r="C4" s="30" t="s">
        <v>551</v>
      </c>
    </row>
    <row r="5" spans="1:24" x14ac:dyDescent="0.25">
      <c r="A5" s="1" t="s">
        <v>552</v>
      </c>
      <c r="B5" s="106">
        <v>36.286999999999999</v>
      </c>
    </row>
    <row r="6" spans="1:24" x14ac:dyDescent="0.25">
      <c r="A6" s="1" t="s">
        <v>678</v>
      </c>
      <c r="B6" s="163">
        <f>B4/B5</f>
        <v>3.417201752693802E-2</v>
      </c>
    </row>
    <row r="7" spans="1:24" x14ac:dyDescent="0.25">
      <c r="A7" s="3"/>
      <c r="B7" s="15"/>
    </row>
    <row r="8" spans="1:24" ht="24" x14ac:dyDescent="0.4">
      <c r="A8" s="100" t="s">
        <v>679</v>
      </c>
      <c r="B8" s="15"/>
    </row>
    <row r="10" spans="1:24" ht="75" x14ac:dyDescent="0.25">
      <c r="A10" s="104" t="s">
        <v>464</v>
      </c>
      <c r="B10" s="103" t="s">
        <v>640</v>
      </c>
      <c r="C10" s="103" t="s">
        <v>60</v>
      </c>
      <c r="D10" s="103" t="s">
        <v>556</v>
      </c>
      <c r="E10" s="103" t="s">
        <v>557</v>
      </c>
      <c r="F10" s="103" t="s">
        <v>303</v>
      </c>
      <c r="G10" s="103" t="s">
        <v>304</v>
      </c>
      <c r="H10" s="103" t="s">
        <v>305</v>
      </c>
      <c r="I10" s="103" t="s">
        <v>306</v>
      </c>
      <c r="J10" s="103" t="s">
        <v>307</v>
      </c>
      <c r="K10" s="103" t="s">
        <v>308</v>
      </c>
      <c r="L10" s="103" t="s">
        <v>309</v>
      </c>
      <c r="M10" s="103" t="s">
        <v>310</v>
      </c>
      <c r="N10" s="103" t="s">
        <v>311</v>
      </c>
      <c r="O10" s="103" t="s">
        <v>312</v>
      </c>
      <c r="P10" s="103" t="s">
        <v>313</v>
      </c>
      <c r="Q10" s="103" t="s">
        <v>314</v>
      </c>
      <c r="R10" s="103" t="s">
        <v>315</v>
      </c>
      <c r="S10" s="103" t="s">
        <v>316</v>
      </c>
      <c r="T10" s="103" t="s">
        <v>317</v>
      </c>
      <c r="U10" s="103" t="s">
        <v>318</v>
      </c>
      <c r="V10" s="103" t="s">
        <v>319</v>
      </c>
      <c r="W10" s="103" t="s">
        <v>320</v>
      </c>
      <c r="X10" s="103" t="s">
        <v>321</v>
      </c>
    </row>
    <row r="11" spans="1:24" x14ac:dyDescent="0.25">
      <c r="A11" s="1" t="s">
        <v>669</v>
      </c>
      <c r="B11" s="177">
        <f>+Input!B58</f>
        <v>1.0000000000000002</v>
      </c>
      <c r="C11" s="154">
        <f>Input!$D$63</f>
        <v>43</v>
      </c>
      <c r="D11" s="154" t="str">
        <f>Input!B63</f>
        <v>Truck</v>
      </c>
      <c r="E11" s="154" t="str">
        <f>Input!$C$63</f>
        <v>Diesel_Euro5</v>
      </c>
      <c r="F11" s="154" cm="1">
        <f t="array" ref="F11">INDEX(LCI!H$2:H$73,MATCH($D11&amp;$E11,LCI!$B$2:$B$73&amp;LCI!$D$2:$D$73,0))* IF(AND($D11="Truck", OR($E11="Electric", $E11="Electric_green")), $B$6, 1)*$C$11*$B$11</f>
        <v>1.9037691000000002E-2</v>
      </c>
      <c r="G11" s="154" cm="1">
        <f t="array" ref="G11">INDEX(LCI!I$2:I$73,MATCH($D11&amp;$E11,LCI!$B$2:$B$73&amp;LCI!$D$2:$D$73,0))* IF(AND($D11="Truck", OR($E11="Electric", $E11="Electric_green")), $B$6, 1)*$C$11*$B$11</f>
        <v>6.9589458070000019</v>
      </c>
      <c r="H11" s="154" cm="1">
        <f t="array" ref="H11">INDEX(LCI!J$2:J$73,MATCH($D11&amp;$E11,LCI!$B$2:$B$73&amp;LCI!$D$2:$D$73,0))* IF(AND($D11="Truck", OR($E11="Electric", $E11="Electric_green")), $B$6, 1)*$C$11*$B$11</f>
        <v>3.216348400000001E-3</v>
      </c>
      <c r="I11" s="154" cm="1">
        <f t="array" ref="I11">INDEX(LCI!K$2:K$73,MATCH($D11&amp;$E11,LCI!$B$2:$B$73&amp;LCI!$D$2:$D$73,0))* IF(AND($D11="Truck", OR($E11="Electric", $E11="Electric_green")), $B$6, 1)*$C$11*$B$11</f>
        <v>6.9551822750000021</v>
      </c>
      <c r="J11" s="154" cm="1">
        <f t="array" ref="J11">INDEX(LCI!L$2:L$73,MATCH($D11&amp;$E11,LCI!$B$2:$B$73&amp;LCI!$D$2:$D$73,0))* IF(AND($D11="Truck", OR($E11="Electric", $E11="Electric_green")), $B$6, 1)*$C$11*$B$11</f>
        <v>5.4717070000000017E-4</v>
      </c>
      <c r="K11" s="154" cm="1">
        <f t="array" ref="K11">INDEX(LCI!M$2:M$73,MATCH($D11&amp;$E11,LCI!$B$2:$B$73&amp;LCI!$D$2:$D$73,0))* IF(AND($D11="Truck", OR($E11="Electric", $E11="Electric_green")), $B$6, 1)*$C$11*$B$11</f>
        <v>5.9140836040000009</v>
      </c>
      <c r="L11" s="154" cm="1">
        <f t="array" ref="L11">INDEX(LCI!N$2:N$73,MATCH($D11&amp;$E11,LCI!$B$2:$B$73&amp;LCI!$D$2:$D$73,0))* IF(AND($D11="Truck", OR($E11="Electric", $E11="Electric_green")), $B$6, 1)*$C$11*$B$11</f>
        <v>93.565403230000015</v>
      </c>
      <c r="M11" s="154" cm="1">
        <f t="array" ref="M11">INDEX(LCI!O$2:O$73,MATCH($D11&amp;$E11,LCI!$B$2:$B$73&amp;LCI!$D$2:$D$73,0))* IF(AND($D11="Truck", OR($E11="Electric", $E11="Electric_green")), $B$6, 1)*$C$11*$B$11</f>
        <v>1.6008900000000003E-4</v>
      </c>
      <c r="N11" s="154" cm="1">
        <f t="array" ref="N11">INDEX(LCI!P$2:P$73,MATCH($D11&amp;$E11,LCI!$B$2:$B$73&amp;LCI!$D$2:$D$73,0))* IF(AND($D11="Truck", OR($E11="Electric", $E11="Electric_green")), $B$6, 1)*$C$11*$B$11</f>
        <v>6.8307220000000017E-3</v>
      </c>
      <c r="O11" s="154" cm="1">
        <f t="array" ref="O11">INDEX(LCI!Q$2:Q$73,MATCH($D11&amp;$E11,LCI!$B$2:$B$73&amp;LCI!$D$2:$D$73,0))* IF(AND($D11="Truck", OR($E11="Electric", $E11="Electric_green")), $B$6, 1)*$C$11*$B$11</f>
        <v>7.4512765000000009E-2</v>
      </c>
      <c r="P11" s="154" cm="1">
        <f t="array" ref="P11">INDEX(LCI!R$2:R$73,MATCH($D11&amp;$E11,LCI!$B$2:$B$73&amp;LCI!$D$2:$D$73,0))* IF(AND($D11="Truck", OR($E11="Electric", $E11="Electric_green")), $B$6, 1)*$C$11*$B$11</f>
        <v>6.5046530000000008E-10</v>
      </c>
      <c r="Q11" s="154" cm="1">
        <f t="array" ref="Q11">INDEX(LCI!S$2:S$73,MATCH($D11&amp;$E11,LCI!$B$2:$B$73&amp;LCI!$D$2:$D$73,0))* IF(AND($D11="Truck", OR($E11="Electric", $E11="Electric_green")), $B$6, 1)*$C$11*$B$11</f>
        <v>4.9873550000000016E-8</v>
      </c>
      <c r="R11" s="154" cm="1">
        <f t="array" ref="R11">INDEX(LCI!T$2:T$73,MATCH($D11&amp;$E11,LCI!$B$2:$B$73&amp;LCI!$D$2:$D$73,0))* IF(AND($D11="Truck", OR($E11="Electric", $E11="Electric_green")), $B$6, 1)*$C$11*$B$11</f>
        <v>4.2124004000000007E-2</v>
      </c>
      <c r="S11" s="154" cm="1">
        <f t="array" ref="S11">INDEX(LCI!U$2:U$73,MATCH($D11&amp;$E11,LCI!$B$2:$B$73&amp;LCI!$D$2:$D$73,0))* IF(AND($D11="Truck", OR($E11="Electric", $E11="Electric_green")), $B$6, 1)*$C$11*$B$11</f>
        <v>5.8712991200000006</v>
      </c>
      <c r="T11" s="154" cm="1">
        <f t="array" ref="T11">INDEX(LCI!V$2:V$73,MATCH($D11&amp;$E11,LCI!$B$2:$B$73&amp;LCI!$D$2:$D$73,0))* IF(AND($D11="Truck", OR($E11="Electric", $E11="Electric_green")), $B$6, 1)*$C$11*$B$11</f>
        <v>7.5431030000000014E-6</v>
      </c>
      <c r="U11" s="154" cm="1">
        <f t="array" ref="U11">INDEX(LCI!W$2:W$73,MATCH($D11&amp;$E11,LCI!$B$2:$B$73&amp;LCI!$D$2:$D$73,0))* IF(AND($D11="Truck", OR($E11="Electric", $E11="Electric_green")), $B$6, 1)*$C$11*$B$11</f>
        <v>1.5479398000000004E-7</v>
      </c>
      <c r="V11" s="154" cm="1">
        <f t="array" ref="V11">INDEX(LCI!X$2:X$73,MATCH($D11&amp;$E11,LCI!$B$2:$B$73&amp;LCI!$D$2:$D$73,0))* IF(AND($D11="Truck", OR($E11="Electric", $E11="Electric_green")), $B$6, 1)*$C$11*$B$11</f>
        <v>4.7054900000000012E-7</v>
      </c>
      <c r="W11" s="154" cm="1">
        <f t="array" ref="W11">INDEX(LCI!Y$2:Y$73,MATCH($D11&amp;$E11,LCI!$B$2:$B$73&amp;LCI!$D$2:$D$73,0))* IF(AND($D11="Truck", OR($E11="Electric", $E11="Electric_green")), $B$6, 1)*$C$11*$B$11</f>
        <v>2.9973365000000009E-2</v>
      </c>
      <c r="X11" s="154" cm="1">
        <f t="array" ref="X11">INDEX(LCI!Z$2:Z$73,MATCH($D11&amp;$E11,LCI!$B$2:$B$73&amp;LCI!$D$2:$D$73,0))* IF(AND($D11="Truck", OR($E11="Electric", $E11="Electric_green")), $B$6, 1)*$C$11*$B$11</f>
        <v>0.21118340600000005</v>
      </c>
    </row>
    <row r="14" spans="1:24" ht="24" x14ac:dyDescent="0.4">
      <c r="A14" s="100" t="s">
        <v>680</v>
      </c>
    </row>
    <row r="16" spans="1:24" x14ac:dyDescent="0.25">
      <c r="A16" s="62" t="s">
        <v>164</v>
      </c>
      <c r="B16" s="62" t="s">
        <v>681</v>
      </c>
    </row>
    <row r="17" spans="1:2" x14ac:dyDescent="0.25">
      <c r="A17" s="1" t="s">
        <v>344</v>
      </c>
      <c r="B17" s="154">
        <f>'A4 - Transport'!F11</f>
        <v>1.9037691000000002E-2</v>
      </c>
    </row>
    <row r="18" spans="1:2" x14ac:dyDescent="0.25">
      <c r="A18" s="1" t="s">
        <v>304</v>
      </c>
      <c r="B18" s="154">
        <f>'A4 - Transport'!G11</f>
        <v>6.9589458070000019</v>
      </c>
    </row>
    <row r="19" spans="1:2" x14ac:dyDescent="0.25">
      <c r="A19" s="1" t="s">
        <v>305</v>
      </c>
      <c r="B19" s="154">
        <f>'A4 - Transport'!H11</f>
        <v>3.216348400000001E-3</v>
      </c>
    </row>
    <row r="20" spans="1:2" x14ac:dyDescent="0.25">
      <c r="A20" s="1" t="s">
        <v>306</v>
      </c>
      <c r="B20" s="154">
        <f>'A4 - Transport'!I11</f>
        <v>6.9551822750000021</v>
      </c>
    </row>
    <row r="21" spans="1:2" x14ac:dyDescent="0.25">
      <c r="A21" s="1" t="s">
        <v>307</v>
      </c>
      <c r="B21" s="154">
        <f>'A4 - Transport'!J11</f>
        <v>5.4717070000000017E-4</v>
      </c>
    </row>
    <row r="22" spans="1:2" x14ac:dyDescent="0.25">
      <c r="A22" s="1" t="s">
        <v>308</v>
      </c>
      <c r="B22" s="154">
        <f>'A4 - Transport'!K11</f>
        <v>5.9140836040000009</v>
      </c>
    </row>
    <row r="23" spans="1:2" x14ac:dyDescent="0.25">
      <c r="A23" s="1" t="s">
        <v>309</v>
      </c>
      <c r="B23" s="154">
        <f>'A4 - Transport'!L11</f>
        <v>93.565403230000015</v>
      </c>
    </row>
    <row r="24" spans="1:2" x14ac:dyDescent="0.25">
      <c r="A24" s="1" t="s">
        <v>310</v>
      </c>
      <c r="B24" s="154">
        <f>'A4 - Transport'!M11</f>
        <v>1.6008900000000003E-4</v>
      </c>
    </row>
    <row r="25" spans="1:2" x14ac:dyDescent="0.25">
      <c r="A25" s="1" t="s">
        <v>311</v>
      </c>
      <c r="B25" s="154">
        <f>'A4 - Transport'!N11</f>
        <v>6.8307220000000017E-3</v>
      </c>
    </row>
    <row r="26" spans="1:2" x14ac:dyDescent="0.25">
      <c r="A26" s="1" t="s">
        <v>312</v>
      </c>
      <c r="B26" s="154">
        <f>'A4 - Transport'!O11</f>
        <v>7.4512765000000009E-2</v>
      </c>
    </row>
    <row r="27" spans="1:2" x14ac:dyDescent="0.25">
      <c r="A27" s="1" t="s">
        <v>313</v>
      </c>
      <c r="B27" s="154">
        <f>'A4 - Transport'!P11</f>
        <v>6.5046530000000008E-10</v>
      </c>
    </row>
    <row r="28" spans="1:2" x14ac:dyDescent="0.25">
      <c r="A28" s="1" t="s">
        <v>345</v>
      </c>
      <c r="B28" s="154">
        <f>'A4 - Transport'!Q11</f>
        <v>4.9873550000000016E-8</v>
      </c>
    </row>
    <row r="29" spans="1:2" x14ac:dyDescent="0.25">
      <c r="A29" s="1" t="s">
        <v>315</v>
      </c>
      <c r="B29" s="154">
        <f>'A4 - Transport'!R11</f>
        <v>4.2124004000000007E-2</v>
      </c>
    </row>
    <row r="30" spans="1:2" x14ac:dyDescent="0.25">
      <c r="A30" s="1" t="s">
        <v>316</v>
      </c>
      <c r="B30" s="154">
        <f>'A4 - Transport'!S11</f>
        <v>5.8712991200000006</v>
      </c>
    </row>
    <row r="31" spans="1:2" x14ac:dyDescent="0.25">
      <c r="A31" s="1" t="s">
        <v>317</v>
      </c>
      <c r="B31" s="154">
        <f>'A4 - Transport'!T11</f>
        <v>7.5431030000000014E-6</v>
      </c>
    </row>
    <row r="32" spans="1:2" x14ac:dyDescent="0.25">
      <c r="A32" s="1" t="s">
        <v>318</v>
      </c>
      <c r="B32" s="154">
        <f>'A4 - Transport'!U11</f>
        <v>1.5479398000000004E-7</v>
      </c>
    </row>
    <row r="33" spans="1:2" x14ac:dyDescent="0.25">
      <c r="A33" s="1" t="s">
        <v>319</v>
      </c>
      <c r="B33" s="154">
        <f>'A4 - Transport'!V11</f>
        <v>4.7054900000000012E-7</v>
      </c>
    </row>
    <row r="34" spans="1:2" x14ac:dyDescent="0.25">
      <c r="A34" s="1" t="s">
        <v>320</v>
      </c>
      <c r="B34" s="154">
        <f>'A4 - Transport'!W11</f>
        <v>2.9973365000000009E-2</v>
      </c>
    </row>
    <row r="35" spans="1:2" x14ac:dyDescent="0.25">
      <c r="A35" s="1" t="s">
        <v>321</v>
      </c>
      <c r="B35" s="154">
        <f>'A4 - Transport'!X11</f>
        <v>0.21118340600000005</v>
      </c>
    </row>
    <row r="39" spans="1:2" x14ac:dyDescent="0.25">
      <c r="B39" t="s">
        <v>682</v>
      </c>
    </row>
    <row r="40" spans="1:2" x14ac:dyDescent="0.25">
      <c r="A40" s="95" t="s">
        <v>683</v>
      </c>
      <c r="B40" s="1">
        <f>SUM($F$11:$X$11)</f>
        <v>119.65250781607001</v>
      </c>
    </row>
    <row r="41" spans="1:2" x14ac:dyDescent="0.25">
      <c r="A41" s="95" t="s">
        <v>684</v>
      </c>
      <c r="B41" s="1">
        <f>SUM($B$17:$B$35)</f>
        <v>119.65250781607001</v>
      </c>
    </row>
    <row r="42" spans="1:2" x14ac:dyDescent="0.25">
      <c r="A42" s="95" t="s">
        <v>62</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3"/>
  <sheetViews>
    <sheetView showGridLines="0" zoomScale="70" zoomScaleNormal="70" workbookViewId="0"/>
  </sheetViews>
  <sheetFormatPr defaultRowHeight="15" x14ac:dyDescent="0.25"/>
  <cols>
    <col min="1" max="1" width="59" customWidth="1"/>
    <col min="2" max="2" width="42.7109375" customWidth="1"/>
    <col min="3" max="3" width="86.85546875" style="28" bestFit="1" customWidth="1"/>
    <col min="4" max="4" width="41" customWidth="1"/>
    <col min="5" max="5" width="23" customWidth="1"/>
    <col min="6" max="6" width="22.85546875" customWidth="1"/>
    <col min="7" max="7" width="24" customWidth="1"/>
    <col min="8" max="8" width="22.85546875" customWidth="1"/>
    <col min="9" max="9" width="24.85546875" customWidth="1"/>
    <col min="10" max="10" width="24.5703125" customWidth="1"/>
    <col min="11" max="11" width="30.140625" customWidth="1"/>
    <col min="12" max="12" width="28.140625" customWidth="1"/>
    <col min="13" max="13" width="32.85546875" customWidth="1"/>
    <col min="14" max="14" width="38.140625" customWidth="1"/>
    <col min="15" max="15" width="35.140625" customWidth="1"/>
    <col min="16" max="16" width="36.85546875" customWidth="1"/>
    <col min="17" max="17" width="31.7109375" customWidth="1"/>
    <col min="18" max="18" width="32.85546875" customWidth="1"/>
    <col min="19" max="19" width="37.28515625" customWidth="1"/>
    <col min="20" max="21" width="35.85546875" customWidth="1"/>
    <col min="22" max="22" width="32.85546875" customWidth="1"/>
    <col min="23" max="23" width="29.140625" customWidth="1"/>
    <col min="24" max="24" width="32.140625" customWidth="1"/>
    <col min="25" max="25" width="32.85546875" customWidth="1"/>
    <col min="26" max="26" width="31.7109375" customWidth="1"/>
  </cols>
  <sheetData>
    <row r="1" spans="1:7" x14ac:dyDescent="0.25">
      <c r="C1"/>
    </row>
    <row r="2" spans="1:7" ht="24" x14ac:dyDescent="0.4">
      <c r="A2" s="100" t="s">
        <v>685</v>
      </c>
    </row>
    <row r="4" spans="1:7" ht="18.75" x14ac:dyDescent="0.3">
      <c r="A4" s="227" t="s">
        <v>686</v>
      </c>
      <c r="B4" s="295" t="s">
        <v>376</v>
      </c>
      <c r="C4" s="303" t="s">
        <v>377</v>
      </c>
      <c r="D4" s="303" t="s">
        <v>378</v>
      </c>
    </row>
    <row r="5" spans="1:7" x14ac:dyDescent="0.25">
      <c r="A5" s="1" t="s">
        <v>687</v>
      </c>
      <c r="B5" s="183" t="s">
        <v>688</v>
      </c>
      <c r="C5" s="212" t="s">
        <v>689</v>
      </c>
      <c r="D5" s="1"/>
      <c r="G5" s="11"/>
    </row>
    <row r="6" spans="1:7" x14ac:dyDescent="0.25">
      <c r="A6" s="1" t="s">
        <v>690</v>
      </c>
      <c r="B6" s="90" t="s">
        <v>691</v>
      </c>
      <c r="C6" s="114" t="s">
        <v>692</v>
      </c>
      <c r="D6" s="30" t="s">
        <v>693</v>
      </c>
    </row>
    <row r="7" spans="1:7" x14ac:dyDescent="0.25">
      <c r="A7" s="1" t="s">
        <v>577</v>
      </c>
      <c r="B7" s="152">
        <f>Input!$B$22/1000</f>
        <v>2.4</v>
      </c>
      <c r="C7" s="121"/>
      <c r="D7" s="1"/>
    </row>
    <row r="8" spans="1:7" ht="30" x14ac:dyDescent="0.25">
      <c r="A8" s="1" t="s">
        <v>477</v>
      </c>
      <c r="B8" s="90">
        <v>0.51</v>
      </c>
      <c r="C8" s="53" t="s">
        <v>386</v>
      </c>
      <c r="D8" s="1"/>
    </row>
    <row r="9" spans="1:7" x14ac:dyDescent="0.25">
      <c r="A9" s="1" t="s">
        <v>384</v>
      </c>
      <c r="B9" s="90">
        <v>25</v>
      </c>
      <c r="C9" s="39"/>
      <c r="D9" s="1"/>
      <c r="F9" s="20"/>
    </row>
    <row r="10" spans="1:7" ht="45" x14ac:dyDescent="0.25">
      <c r="A10" s="1" t="s">
        <v>387</v>
      </c>
      <c r="B10" s="90">
        <v>0.25</v>
      </c>
      <c r="C10" s="39" t="s">
        <v>388</v>
      </c>
      <c r="D10" s="213" t="s">
        <v>694</v>
      </c>
      <c r="F10" s="20"/>
    </row>
    <row r="11" spans="1:7" x14ac:dyDescent="0.25">
      <c r="A11" s="1" t="s">
        <v>695</v>
      </c>
      <c r="B11" s="90">
        <v>5</v>
      </c>
      <c r="C11" s="39" t="s">
        <v>696</v>
      </c>
      <c r="D11" s="1"/>
    </row>
    <row r="12" spans="1:7" x14ac:dyDescent="0.25">
      <c r="A12" s="1" t="s">
        <v>697</v>
      </c>
      <c r="B12" s="90">
        <f>MIN(1.8,Input!$B$66)</f>
        <v>1.8</v>
      </c>
      <c r="C12" s="39"/>
      <c r="D12" s="1"/>
    </row>
    <row r="13" spans="1:7" x14ac:dyDescent="0.25">
      <c r="A13" s="1" t="s">
        <v>698</v>
      </c>
      <c r="B13" s="152">
        <f>Input!$B$31/1000</f>
        <v>0.08</v>
      </c>
      <c r="C13" s="39"/>
      <c r="D13" s="1"/>
    </row>
    <row r="14" spans="1:7" ht="30" x14ac:dyDescent="0.25">
      <c r="A14" s="1" t="s">
        <v>483</v>
      </c>
      <c r="B14" s="184">
        <v>0.83</v>
      </c>
      <c r="C14" s="39" t="s">
        <v>699</v>
      </c>
      <c r="D14" s="1" t="s">
        <v>700</v>
      </c>
    </row>
    <row r="15" spans="1:7" ht="30" x14ac:dyDescent="0.25">
      <c r="A15" s="1" t="s">
        <v>484</v>
      </c>
      <c r="B15" s="178">
        <f>$B$11*$B$12*$B$13*60*$B$7*$B$14</f>
        <v>86.054399999999987</v>
      </c>
      <c r="C15" s="39" t="s">
        <v>701</v>
      </c>
      <c r="D15" s="1"/>
    </row>
    <row r="16" spans="1:7" x14ac:dyDescent="0.25">
      <c r="A16" s="1" t="s">
        <v>400</v>
      </c>
      <c r="B16" s="179">
        <f>$B$9*$B$8*$B$10</f>
        <v>3.1875</v>
      </c>
      <c r="C16" s="39" t="s">
        <v>401</v>
      </c>
      <c r="D16" s="1" t="s">
        <v>402</v>
      </c>
    </row>
    <row r="17" spans="1:4" x14ac:dyDescent="0.25">
      <c r="B17" s="29"/>
      <c r="C17" s="85"/>
    </row>
    <row r="18" spans="1:4" ht="18.75" x14ac:dyDescent="0.3">
      <c r="A18" s="227" t="s">
        <v>702</v>
      </c>
      <c r="B18" s="295" t="s">
        <v>376</v>
      </c>
      <c r="C18" s="303" t="s">
        <v>377</v>
      </c>
      <c r="D18" s="303" t="s">
        <v>378</v>
      </c>
    </row>
    <row r="19" spans="1:4" x14ac:dyDescent="0.25">
      <c r="A19" s="1" t="s">
        <v>687</v>
      </c>
      <c r="B19" s="96" t="s">
        <v>703</v>
      </c>
      <c r="C19" s="85"/>
    </row>
    <row r="20" spans="1:4" ht="30" x14ac:dyDescent="0.25">
      <c r="A20" s="1" t="s">
        <v>690</v>
      </c>
      <c r="B20" s="90" t="s">
        <v>704</v>
      </c>
      <c r="C20" s="114" t="s">
        <v>704</v>
      </c>
      <c r="D20" s="114" t="s">
        <v>705</v>
      </c>
    </row>
    <row r="21" spans="1:4" x14ac:dyDescent="0.25">
      <c r="A21" s="1" t="s">
        <v>577</v>
      </c>
      <c r="B21" s="152">
        <f>Input!$B$22/1000</f>
        <v>2.4</v>
      </c>
      <c r="C21" s="39"/>
      <c r="D21" s="1"/>
    </row>
    <row r="22" spans="1:4" ht="45" x14ac:dyDescent="0.25">
      <c r="A22" s="1" t="s">
        <v>387</v>
      </c>
      <c r="B22" s="90">
        <v>0.25</v>
      </c>
      <c r="C22" s="53" t="s">
        <v>388</v>
      </c>
      <c r="D22" s="213" t="s">
        <v>389</v>
      </c>
    </row>
    <row r="23" spans="1:4" x14ac:dyDescent="0.25">
      <c r="A23" s="1" t="s">
        <v>477</v>
      </c>
      <c r="B23" s="90">
        <v>0.51</v>
      </c>
      <c r="C23" s="53" t="s">
        <v>706</v>
      </c>
      <c r="D23" s="1"/>
    </row>
    <row r="24" spans="1:4" x14ac:dyDescent="0.25">
      <c r="A24" s="1" t="s">
        <v>384</v>
      </c>
      <c r="B24" s="90">
        <v>129</v>
      </c>
      <c r="C24" s="39"/>
      <c r="D24" s="1"/>
    </row>
    <row r="25" spans="1:4" x14ac:dyDescent="0.25">
      <c r="A25" s="1" t="s">
        <v>695</v>
      </c>
      <c r="B25" s="90">
        <v>5</v>
      </c>
      <c r="C25" s="39"/>
      <c r="D25" s="1"/>
    </row>
    <row r="26" spans="1:4" x14ac:dyDescent="0.25">
      <c r="A26" s="1" t="s">
        <v>697</v>
      </c>
      <c r="B26" s="90">
        <f>MIN(10,Input!$B$66)</f>
        <v>3.5</v>
      </c>
      <c r="C26" s="39"/>
      <c r="D26" s="1"/>
    </row>
    <row r="27" spans="1:4" x14ac:dyDescent="0.25">
      <c r="A27" s="1" t="s">
        <v>698</v>
      </c>
      <c r="B27" s="152">
        <f>Input!$B$31/1000</f>
        <v>0.08</v>
      </c>
      <c r="C27" s="39"/>
      <c r="D27" s="1"/>
    </row>
    <row r="28" spans="1:4" ht="30" x14ac:dyDescent="0.25">
      <c r="A28" s="1" t="s">
        <v>483</v>
      </c>
      <c r="B28" s="184">
        <v>0.83</v>
      </c>
      <c r="C28" s="39" t="s">
        <v>699</v>
      </c>
      <c r="D28" s="1" t="s">
        <v>700</v>
      </c>
    </row>
    <row r="29" spans="1:4" ht="30" x14ac:dyDescent="0.25">
      <c r="A29" s="1" t="s">
        <v>484</v>
      </c>
      <c r="B29" s="152">
        <f>$B$25*$B$26*$B$27*60*$B$21*$B$28</f>
        <v>167.328</v>
      </c>
      <c r="C29" s="39" t="s">
        <v>701</v>
      </c>
      <c r="D29" s="1"/>
    </row>
    <row r="30" spans="1:4" x14ac:dyDescent="0.25">
      <c r="A30" s="1" t="s">
        <v>400</v>
      </c>
      <c r="B30" s="179">
        <f>$B$24*$B$23*$B$22</f>
        <v>16.447500000000002</v>
      </c>
      <c r="C30" s="39" t="s">
        <v>401</v>
      </c>
      <c r="D30" s="1" t="s">
        <v>402</v>
      </c>
    </row>
    <row r="31" spans="1:4" x14ac:dyDescent="0.25">
      <c r="B31" s="29"/>
      <c r="C31" s="85"/>
    </row>
    <row r="32" spans="1:4" ht="18.75" x14ac:dyDescent="0.3">
      <c r="A32" s="227" t="s">
        <v>707</v>
      </c>
      <c r="B32" s="295" t="s">
        <v>376</v>
      </c>
      <c r="C32" s="303" t="s">
        <v>377</v>
      </c>
      <c r="D32" s="303" t="s">
        <v>378</v>
      </c>
    </row>
    <row r="33" spans="1:4" x14ac:dyDescent="0.25">
      <c r="A33" s="1" t="s">
        <v>687</v>
      </c>
      <c r="B33" s="90" t="s">
        <v>708</v>
      </c>
      <c r="C33" s="39"/>
      <c r="D33" s="1"/>
    </row>
    <row r="34" spans="1:4" x14ac:dyDescent="0.25">
      <c r="A34" s="1" t="s">
        <v>690</v>
      </c>
      <c r="B34" s="90" t="s">
        <v>709</v>
      </c>
      <c r="C34" s="39"/>
      <c r="D34" s="1"/>
    </row>
    <row r="35" spans="1:4" x14ac:dyDescent="0.25">
      <c r="A35" s="1" t="s">
        <v>577</v>
      </c>
      <c r="B35" s="152">
        <f>Input!$B$22/1000</f>
        <v>2.4</v>
      </c>
      <c r="C35" s="39"/>
      <c r="D35" s="1"/>
    </row>
    <row r="36" spans="1:4" ht="45" x14ac:dyDescent="0.25">
      <c r="A36" s="1" t="s">
        <v>387</v>
      </c>
      <c r="B36" s="90">
        <v>0.25</v>
      </c>
      <c r="C36" s="125" t="s">
        <v>388</v>
      </c>
      <c r="D36" s="73" t="s">
        <v>694</v>
      </c>
    </row>
    <row r="37" spans="1:4" ht="30" x14ac:dyDescent="0.25">
      <c r="A37" s="1" t="s">
        <v>477</v>
      </c>
      <c r="B37" s="90">
        <v>0.51</v>
      </c>
      <c r="C37" s="53" t="s">
        <v>386</v>
      </c>
      <c r="D37" s="1"/>
    </row>
    <row r="38" spans="1:4" x14ac:dyDescent="0.25">
      <c r="A38" s="1" t="s">
        <v>384</v>
      </c>
      <c r="B38" s="90">
        <v>354</v>
      </c>
      <c r="C38" s="39"/>
      <c r="D38" s="1"/>
    </row>
    <row r="39" spans="1:4" x14ac:dyDescent="0.25">
      <c r="A39" s="1" t="s">
        <v>695</v>
      </c>
      <c r="B39" s="90">
        <v>5</v>
      </c>
      <c r="C39" s="39"/>
      <c r="D39" s="1"/>
    </row>
    <row r="40" spans="1:4" x14ac:dyDescent="0.25">
      <c r="A40" s="1" t="s">
        <v>697</v>
      </c>
      <c r="B40" s="90">
        <f>MIN(18,Input!$B$66)</f>
        <v>3.5</v>
      </c>
      <c r="C40" s="39"/>
      <c r="D40" s="1"/>
    </row>
    <row r="41" spans="1:4" x14ac:dyDescent="0.25">
      <c r="A41" s="1" t="s">
        <v>698</v>
      </c>
      <c r="B41" s="152">
        <f>Input!$B$31/1000</f>
        <v>0.08</v>
      </c>
      <c r="C41" s="39"/>
      <c r="D41" s="1"/>
    </row>
    <row r="42" spans="1:4" ht="30" x14ac:dyDescent="0.25">
      <c r="A42" s="1" t="s">
        <v>483</v>
      </c>
      <c r="B42" s="184">
        <v>0.83</v>
      </c>
      <c r="C42" s="39" t="s">
        <v>699</v>
      </c>
      <c r="D42" s="1" t="s">
        <v>700</v>
      </c>
    </row>
    <row r="43" spans="1:4" ht="30" x14ac:dyDescent="0.25">
      <c r="A43" s="1" t="s">
        <v>484</v>
      </c>
      <c r="B43" s="152">
        <f>$B$39*$B$40*$B$41*60*$B$35*$B$42</f>
        <v>167.328</v>
      </c>
      <c r="C43" s="39" t="s">
        <v>710</v>
      </c>
      <c r="D43" s="1"/>
    </row>
    <row r="44" spans="1:4" x14ac:dyDescent="0.25">
      <c r="A44" s="1" t="s">
        <v>400</v>
      </c>
      <c r="B44" s="180">
        <f>$B$38*$B$37*$B$36</f>
        <v>45.134999999999998</v>
      </c>
      <c r="C44" s="39" t="s">
        <v>401</v>
      </c>
      <c r="D44" s="1" t="s">
        <v>402</v>
      </c>
    </row>
    <row r="45" spans="1:4" x14ac:dyDescent="0.25">
      <c r="A45" s="3"/>
      <c r="B45" s="47"/>
      <c r="C45" s="85"/>
    </row>
    <row r="46" spans="1:4" ht="18.75" x14ac:dyDescent="0.3">
      <c r="A46" s="227" t="s">
        <v>117</v>
      </c>
      <c r="B46" s="295" t="s">
        <v>376</v>
      </c>
      <c r="C46" s="303" t="s">
        <v>377</v>
      </c>
      <c r="D46" s="303" t="s">
        <v>378</v>
      </c>
    </row>
    <row r="47" spans="1:4" x14ac:dyDescent="0.25">
      <c r="A47" s="1" t="s">
        <v>474</v>
      </c>
      <c r="B47" s="90" t="s">
        <v>711</v>
      </c>
      <c r="C47" s="39" t="s">
        <v>711</v>
      </c>
      <c r="D47" s="30" t="s">
        <v>712</v>
      </c>
    </row>
    <row r="48" spans="1:4" ht="45" x14ac:dyDescent="0.25">
      <c r="A48" s="1" t="s">
        <v>387</v>
      </c>
      <c r="B48" s="90">
        <v>0.25</v>
      </c>
      <c r="C48" s="39" t="s">
        <v>388</v>
      </c>
      <c r="D48" s="214" t="s">
        <v>389</v>
      </c>
    </row>
    <row r="49" spans="1:4" ht="30" x14ac:dyDescent="0.25">
      <c r="A49" s="1" t="s">
        <v>477</v>
      </c>
      <c r="B49" s="90">
        <v>0.51</v>
      </c>
      <c r="C49" s="39" t="s">
        <v>386</v>
      </c>
      <c r="D49" s="1"/>
    </row>
    <row r="50" spans="1:4" x14ac:dyDescent="0.25">
      <c r="A50" s="1" t="s">
        <v>384</v>
      </c>
      <c r="B50" s="90">
        <v>160</v>
      </c>
      <c r="C50" s="39"/>
      <c r="D50" s="1"/>
    </row>
    <row r="51" spans="1:4" x14ac:dyDescent="0.25">
      <c r="A51" s="1" t="s">
        <v>396</v>
      </c>
      <c r="B51" s="90">
        <v>0.66</v>
      </c>
      <c r="C51" s="39"/>
      <c r="D51" s="1"/>
    </row>
    <row r="52" spans="1:4" x14ac:dyDescent="0.25">
      <c r="A52" s="1" t="s">
        <v>713</v>
      </c>
      <c r="B52" s="152">
        <f>Input!$B$22/1000</f>
        <v>2.4</v>
      </c>
      <c r="C52" s="39"/>
      <c r="D52" s="1"/>
    </row>
    <row r="53" spans="1:4" x14ac:dyDescent="0.25">
      <c r="A53" s="69" t="s">
        <v>480</v>
      </c>
      <c r="B53" s="185">
        <v>0.75</v>
      </c>
      <c r="C53" s="39" t="s">
        <v>714</v>
      </c>
      <c r="D53" s="30" t="s">
        <v>715</v>
      </c>
    </row>
    <row r="54" spans="1:4" x14ac:dyDescent="0.25">
      <c r="A54" s="69" t="s">
        <v>481</v>
      </c>
      <c r="B54" s="120">
        <v>23</v>
      </c>
      <c r="C54" s="39"/>
      <c r="D54" s="1"/>
    </row>
    <row r="55" spans="1:4" x14ac:dyDescent="0.25">
      <c r="A55" s="69" t="s">
        <v>482</v>
      </c>
      <c r="B55" s="181">
        <f>3600/$B$54</f>
        <v>156.52173913043478</v>
      </c>
      <c r="C55" s="39"/>
      <c r="D55" s="1"/>
    </row>
    <row r="56" spans="1:4" ht="30" x14ac:dyDescent="0.25">
      <c r="A56" s="1" t="s">
        <v>483</v>
      </c>
      <c r="B56" s="184">
        <v>0.83</v>
      </c>
      <c r="C56" s="217" t="s">
        <v>699</v>
      </c>
      <c r="D56" s="6" t="s">
        <v>700</v>
      </c>
    </row>
    <row r="57" spans="1:4" ht="30" x14ac:dyDescent="0.25">
      <c r="A57" s="1" t="s">
        <v>484</v>
      </c>
      <c r="B57" s="179">
        <f>$B$52*$B$51*$B$53*$B$55*$B$56</f>
        <v>154.33669565217394</v>
      </c>
      <c r="C57" s="53" t="s">
        <v>485</v>
      </c>
      <c r="D57" s="1"/>
    </row>
    <row r="58" spans="1:4" x14ac:dyDescent="0.25">
      <c r="A58" s="1" t="s">
        <v>400</v>
      </c>
      <c r="B58" s="179">
        <f>$B$50*$B$49*$B$48</f>
        <v>20.399999999999999</v>
      </c>
      <c r="C58" s="39" t="s">
        <v>401</v>
      </c>
      <c r="D58" s="1" t="s">
        <v>402</v>
      </c>
    </row>
    <row r="59" spans="1:4" x14ac:dyDescent="0.25">
      <c r="B59" s="47"/>
      <c r="C59" s="85"/>
    </row>
    <row r="60" spans="1:4" x14ac:dyDescent="0.25">
      <c r="B60" s="47"/>
      <c r="C60" s="85"/>
    </row>
    <row r="61" spans="1:4" ht="21" x14ac:dyDescent="0.35">
      <c r="A61" s="74" t="s">
        <v>716</v>
      </c>
      <c r="B61" s="47"/>
      <c r="C61" s="85"/>
    </row>
    <row r="62" spans="1:4" ht="18.75" x14ac:dyDescent="0.3">
      <c r="A62" s="80"/>
      <c r="B62" s="47"/>
      <c r="C62" s="85"/>
    </row>
    <row r="63" spans="1:4" ht="18.75" x14ac:dyDescent="0.3">
      <c r="A63" s="74" t="s">
        <v>717</v>
      </c>
      <c r="B63" s="47"/>
      <c r="C63" s="85"/>
    </row>
    <row r="64" spans="1:4" x14ac:dyDescent="0.25">
      <c r="A64" s="1" t="s">
        <v>718</v>
      </c>
      <c r="B64" s="90">
        <v>1.75</v>
      </c>
      <c r="C64" s="39" t="s">
        <v>719</v>
      </c>
    </row>
    <row r="65" spans="1:4" x14ac:dyDescent="0.25">
      <c r="B65" s="209"/>
      <c r="C65" s="85"/>
    </row>
    <row r="66" spans="1:4" x14ac:dyDescent="0.25">
      <c r="A66" s="3"/>
    </row>
    <row r="67" spans="1:4" ht="18.75" x14ac:dyDescent="0.3">
      <c r="A67" s="227" t="s">
        <v>720</v>
      </c>
      <c r="B67" s="295" t="s">
        <v>376</v>
      </c>
      <c r="C67" s="303" t="s">
        <v>377</v>
      </c>
      <c r="D67" s="303" t="s">
        <v>378</v>
      </c>
    </row>
    <row r="68" spans="1:4" ht="45" x14ac:dyDescent="0.25">
      <c r="A68" s="1" t="s">
        <v>721</v>
      </c>
      <c r="B68" s="90" t="s">
        <v>722</v>
      </c>
      <c r="D68" s="122" t="s">
        <v>723</v>
      </c>
    </row>
    <row r="69" spans="1:4" x14ac:dyDescent="0.25">
      <c r="A69" s="1" t="s">
        <v>724</v>
      </c>
      <c r="B69" s="90">
        <v>1</v>
      </c>
      <c r="C69" s="39"/>
      <c r="D69" s="1"/>
    </row>
    <row r="70" spans="1:4" ht="45" x14ac:dyDescent="0.25">
      <c r="A70" s="1" t="s">
        <v>387</v>
      </c>
      <c r="B70" s="90">
        <v>0.25</v>
      </c>
      <c r="C70" s="125" t="s">
        <v>388</v>
      </c>
      <c r="D70" s="214" t="s">
        <v>389</v>
      </c>
    </row>
    <row r="71" spans="1:4" x14ac:dyDescent="0.25">
      <c r="A71" s="1" t="s">
        <v>384</v>
      </c>
      <c r="B71" s="90">
        <v>30</v>
      </c>
      <c r="C71" s="39"/>
      <c r="D71" s="1"/>
    </row>
    <row r="72" spans="1:4" x14ac:dyDescent="0.25">
      <c r="A72" s="1" t="s">
        <v>484</v>
      </c>
      <c r="B72" s="179">
        <f>$B$15*$B$64</f>
        <v>150.59519999999998</v>
      </c>
      <c r="C72" s="39"/>
      <c r="D72" s="1"/>
    </row>
    <row r="73" spans="1:4" ht="30" x14ac:dyDescent="0.25">
      <c r="A73" s="45" t="s">
        <v>477</v>
      </c>
      <c r="B73" s="186">
        <v>0.51</v>
      </c>
      <c r="C73" s="39" t="s">
        <v>386</v>
      </c>
      <c r="D73" s="1"/>
    </row>
    <row r="74" spans="1:4" x14ac:dyDescent="0.25">
      <c r="A74" s="1" t="s">
        <v>400</v>
      </c>
      <c r="B74" s="179">
        <f>$B$71*$B$70*$B$73</f>
        <v>3.8250000000000002</v>
      </c>
      <c r="C74" s="39" t="s">
        <v>401</v>
      </c>
      <c r="D74" s="13" t="s">
        <v>402</v>
      </c>
    </row>
    <row r="75" spans="1:4" x14ac:dyDescent="0.25">
      <c r="B75" s="29"/>
      <c r="C75" s="85"/>
    </row>
    <row r="76" spans="1:4" ht="18.75" x14ac:dyDescent="0.3">
      <c r="A76" s="227" t="s">
        <v>725</v>
      </c>
      <c r="B76" s="295" t="s">
        <v>376</v>
      </c>
      <c r="C76" s="303" t="s">
        <v>377</v>
      </c>
      <c r="D76" s="303" t="s">
        <v>378</v>
      </c>
    </row>
    <row r="77" spans="1:4" x14ac:dyDescent="0.25">
      <c r="A77" s="2" t="s">
        <v>721</v>
      </c>
      <c r="B77" s="90" t="s">
        <v>726</v>
      </c>
      <c r="C77" s="123" t="s">
        <v>723</v>
      </c>
      <c r="D77" s="1"/>
    </row>
    <row r="78" spans="1:4" x14ac:dyDescent="0.25">
      <c r="A78" s="2" t="s">
        <v>724</v>
      </c>
      <c r="B78" s="90">
        <v>1.5</v>
      </c>
      <c r="C78" s="39"/>
      <c r="D78" s="1"/>
    </row>
    <row r="79" spans="1:4" ht="45" x14ac:dyDescent="0.25">
      <c r="A79" s="1" t="s">
        <v>387</v>
      </c>
      <c r="B79" s="90">
        <v>0.25</v>
      </c>
      <c r="C79" s="125" t="s">
        <v>388</v>
      </c>
      <c r="D79" s="214" t="s">
        <v>727</v>
      </c>
    </row>
    <row r="80" spans="1:4" x14ac:dyDescent="0.25">
      <c r="A80" s="1" t="s">
        <v>384</v>
      </c>
      <c r="B80" s="90">
        <v>55.4</v>
      </c>
      <c r="C80" s="39"/>
      <c r="D80" s="1"/>
    </row>
    <row r="81" spans="1:4" x14ac:dyDescent="0.25">
      <c r="A81" s="1" t="s">
        <v>484</v>
      </c>
      <c r="B81" s="152">
        <f>$B$29*$B$64</f>
        <v>292.82400000000001</v>
      </c>
      <c r="C81" s="39"/>
      <c r="D81" s="1"/>
    </row>
    <row r="82" spans="1:4" ht="30" x14ac:dyDescent="0.25">
      <c r="A82" s="1" t="s">
        <v>477</v>
      </c>
      <c r="B82" s="90">
        <v>0.51</v>
      </c>
      <c r="C82" s="39" t="s">
        <v>386</v>
      </c>
      <c r="D82" s="1"/>
    </row>
    <row r="83" spans="1:4" x14ac:dyDescent="0.25">
      <c r="A83" s="1" t="s">
        <v>400</v>
      </c>
      <c r="B83" s="179">
        <f>$B$80*$B$79*$B$82</f>
        <v>7.0635000000000003</v>
      </c>
      <c r="C83" s="39" t="s">
        <v>401</v>
      </c>
      <c r="D83" s="13" t="s">
        <v>402</v>
      </c>
    </row>
    <row r="84" spans="1:4" x14ac:dyDescent="0.25">
      <c r="A84" s="45"/>
      <c r="B84" s="29"/>
      <c r="C84" s="85"/>
    </row>
    <row r="85" spans="1:4" ht="18.75" x14ac:dyDescent="0.3">
      <c r="A85" s="227" t="s">
        <v>728</v>
      </c>
      <c r="B85" s="295" t="s">
        <v>376</v>
      </c>
      <c r="C85" s="303" t="s">
        <v>377</v>
      </c>
      <c r="D85" s="303" t="s">
        <v>378</v>
      </c>
    </row>
    <row r="86" spans="1:4" x14ac:dyDescent="0.25">
      <c r="A86" s="2" t="s">
        <v>721</v>
      </c>
      <c r="B86" s="90" t="s">
        <v>729</v>
      </c>
      <c r="C86" s="123" t="s">
        <v>723</v>
      </c>
      <c r="D86" s="1"/>
    </row>
    <row r="87" spans="1:4" x14ac:dyDescent="0.25">
      <c r="A87" s="2" t="s">
        <v>724</v>
      </c>
      <c r="B87" s="90">
        <v>2.1349999999999998</v>
      </c>
      <c r="C87" s="39"/>
      <c r="D87" s="1"/>
    </row>
    <row r="88" spans="1:4" ht="45" x14ac:dyDescent="0.25">
      <c r="A88" s="1" t="s">
        <v>387</v>
      </c>
      <c r="B88" s="90">
        <v>0.25</v>
      </c>
      <c r="C88" s="125" t="s">
        <v>388</v>
      </c>
      <c r="D88" s="214" t="s">
        <v>389</v>
      </c>
    </row>
    <row r="89" spans="1:4" x14ac:dyDescent="0.25">
      <c r="A89" s="1" t="s">
        <v>384</v>
      </c>
      <c r="B89" s="90">
        <v>100</v>
      </c>
      <c r="C89" s="39"/>
      <c r="D89" s="1"/>
    </row>
    <row r="90" spans="1:4" x14ac:dyDescent="0.25">
      <c r="A90" s="1" t="s">
        <v>484</v>
      </c>
      <c r="B90" s="152">
        <f>$B$43*$B$64</f>
        <v>292.82400000000001</v>
      </c>
      <c r="C90" s="39"/>
      <c r="D90" s="1"/>
    </row>
    <row r="91" spans="1:4" ht="30" x14ac:dyDescent="0.25">
      <c r="A91" s="1" t="s">
        <v>477</v>
      </c>
      <c r="B91" s="90">
        <v>0.51</v>
      </c>
      <c r="C91" s="39" t="s">
        <v>386</v>
      </c>
      <c r="D91" s="1"/>
    </row>
    <row r="92" spans="1:4" ht="13.9" customHeight="1" x14ac:dyDescent="0.25">
      <c r="A92" s="1" t="s">
        <v>400</v>
      </c>
      <c r="B92" s="179">
        <f>$B$89*$B$88*$B$91</f>
        <v>12.75</v>
      </c>
      <c r="C92" s="39" t="s">
        <v>401</v>
      </c>
      <c r="D92" s="13" t="s">
        <v>402</v>
      </c>
    </row>
    <row r="93" spans="1:4" ht="13.9" customHeight="1" x14ac:dyDescent="0.25">
      <c r="B93" s="146"/>
      <c r="C93" s="85"/>
    </row>
    <row r="94" spans="1:4" ht="13.9" customHeight="1" x14ac:dyDescent="0.25">
      <c r="A94" s="1" t="s">
        <v>371</v>
      </c>
      <c r="B94" s="112">
        <v>0.51</v>
      </c>
      <c r="C94" s="2" t="s">
        <v>372</v>
      </c>
      <c r="D94" s="1"/>
    </row>
    <row r="95" spans="1:4" x14ac:dyDescent="0.25">
      <c r="B95" s="47"/>
      <c r="C95" s="85"/>
    </row>
    <row r="96" spans="1:4" x14ac:dyDescent="0.25">
      <c r="B96" s="47"/>
      <c r="C96" s="85"/>
    </row>
    <row r="97" spans="1:9" ht="18.75" x14ac:dyDescent="0.3">
      <c r="A97" s="74" t="s">
        <v>450</v>
      </c>
      <c r="B97" s="47"/>
      <c r="C97" s="85"/>
    </row>
    <row r="98" spans="1:9" ht="21" x14ac:dyDescent="0.35">
      <c r="A98" s="82"/>
      <c r="B98" s="47"/>
      <c r="C98" s="85"/>
    </row>
    <row r="99" spans="1:9" x14ac:dyDescent="0.25">
      <c r="A99" t="s">
        <v>730</v>
      </c>
      <c r="B99" s="47"/>
      <c r="C99" s="85"/>
    </row>
    <row r="100" spans="1:9" ht="18.75" x14ac:dyDescent="0.3">
      <c r="A100" s="74"/>
      <c r="B100" s="47"/>
      <c r="C100" s="85"/>
    </row>
    <row r="101" spans="1:9" x14ac:dyDescent="0.25">
      <c r="A101" s="62" t="s">
        <v>452</v>
      </c>
      <c r="B101" s="62" t="s">
        <v>484</v>
      </c>
      <c r="C101" s="303" t="s">
        <v>400</v>
      </c>
      <c r="D101" s="299" t="s">
        <v>582</v>
      </c>
      <c r="E101" s="62" t="s">
        <v>384</v>
      </c>
    </row>
    <row r="102" spans="1:9" x14ac:dyDescent="0.25">
      <c r="A102" s="2" t="s">
        <v>731</v>
      </c>
      <c r="B102" s="152">
        <v>0</v>
      </c>
      <c r="C102" s="292">
        <v>0</v>
      </c>
      <c r="D102" s="177">
        <v>0</v>
      </c>
      <c r="E102" s="154">
        <v>0</v>
      </c>
    </row>
    <row r="103" spans="1:9" x14ac:dyDescent="0.25">
      <c r="A103" s="1" t="s">
        <v>732</v>
      </c>
      <c r="B103" s="152">
        <f>$B$15</f>
        <v>86.054399999999987</v>
      </c>
      <c r="C103" s="293">
        <f>$B$16</f>
        <v>3.1875</v>
      </c>
      <c r="D103" s="177">
        <f>$C$103/$B$103</f>
        <v>3.7040523203926826E-2</v>
      </c>
      <c r="E103" s="154">
        <f>$B$9</f>
        <v>25</v>
      </c>
    </row>
    <row r="104" spans="1:9" x14ac:dyDescent="0.25">
      <c r="A104" s="1" t="s">
        <v>115</v>
      </c>
      <c r="B104" s="152">
        <f>$B$29</f>
        <v>167.328</v>
      </c>
      <c r="C104" s="293">
        <f>$B$30</f>
        <v>16.447500000000002</v>
      </c>
      <c r="D104" s="177">
        <f>$C$104/$B$104</f>
        <v>9.8294965576592092E-2</v>
      </c>
      <c r="E104" s="154">
        <f>$B$24</f>
        <v>129</v>
      </c>
    </row>
    <row r="105" spans="1:9" x14ac:dyDescent="0.25">
      <c r="A105" s="1" t="s">
        <v>733</v>
      </c>
      <c r="B105" s="152">
        <f>$B$43</f>
        <v>167.328</v>
      </c>
      <c r="C105" s="293">
        <f>$B$44</f>
        <v>45.134999999999998</v>
      </c>
      <c r="D105" s="177">
        <f>$C$105/$B$105</f>
        <v>0.26973967297762474</v>
      </c>
      <c r="E105" s="154">
        <f>$B$38</f>
        <v>354</v>
      </c>
    </row>
    <row r="106" spans="1:9" x14ac:dyDescent="0.25">
      <c r="A106" s="1" t="s">
        <v>734</v>
      </c>
      <c r="B106" s="179">
        <f>$B$72</f>
        <v>150.59519999999998</v>
      </c>
      <c r="C106" s="293">
        <f>$B$74</f>
        <v>3.8250000000000002</v>
      </c>
      <c r="D106" s="177">
        <f>$C$106/$B$106</f>
        <v>2.5399215911264109E-2</v>
      </c>
      <c r="E106" s="154">
        <f>$B$71</f>
        <v>30</v>
      </c>
    </row>
    <row r="107" spans="1:9" x14ac:dyDescent="0.25">
      <c r="A107" s="1" t="s">
        <v>121</v>
      </c>
      <c r="B107" s="152">
        <f>$B$81</f>
        <v>292.82400000000001</v>
      </c>
      <c r="C107" s="293">
        <f>$B$83</f>
        <v>7.0635000000000003</v>
      </c>
      <c r="D107" s="177">
        <f>$C$107/$B$107</f>
        <v>2.412199819686911E-2</v>
      </c>
      <c r="E107" s="154">
        <f>$B$80</f>
        <v>55.4</v>
      </c>
    </row>
    <row r="108" spans="1:9" x14ac:dyDescent="0.25">
      <c r="A108" s="1" t="s">
        <v>735</v>
      </c>
      <c r="B108" s="152">
        <f>$B$90</f>
        <v>292.82400000000001</v>
      </c>
      <c r="C108" s="293">
        <f>$B$92</f>
        <v>12.75</v>
      </c>
      <c r="D108" s="177">
        <f>$C$108/$B$108</f>
        <v>4.3541512990738461E-2</v>
      </c>
      <c r="E108" s="154">
        <f>$B$89</f>
        <v>100</v>
      </c>
    </row>
    <row r="109" spans="1:9" x14ac:dyDescent="0.25">
      <c r="A109" s="1" t="s">
        <v>118</v>
      </c>
      <c r="B109" s="152">
        <v>0</v>
      </c>
      <c r="C109" s="292">
        <v>0</v>
      </c>
      <c r="D109" s="177">
        <v>0</v>
      </c>
      <c r="E109" s="154">
        <v>0</v>
      </c>
    </row>
    <row r="110" spans="1:9" x14ac:dyDescent="0.25">
      <c r="A110" s="1" t="s">
        <v>515</v>
      </c>
      <c r="B110" s="179">
        <f>$B$57</f>
        <v>154.33669565217394</v>
      </c>
      <c r="C110" s="293">
        <f>$B$58</f>
        <v>20.399999999999999</v>
      </c>
      <c r="D110" s="177">
        <f>$C$110/$B$110</f>
        <v>0.13217854583316427</v>
      </c>
      <c r="E110" s="154">
        <f>$B$50</f>
        <v>160</v>
      </c>
      <c r="I110" s="12"/>
    </row>
    <row r="111" spans="1:9" x14ac:dyDescent="0.25">
      <c r="A111" s="1" t="s">
        <v>736</v>
      </c>
      <c r="B111" s="152">
        <v>0</v>
      </c>
      <c r="C111" s="292">
        <v>0</v>
      </c>
      <c r="D111" s="177">
        <v>0</v>
      </c>
      <c r="E111" s="154">
        <v>0</v>
      </c>
    </row>
    <row r="112" spans="1:9" x14ac:dyDescent="0.25">
      <c r="B112" s="29"/>
      <c r="C112" s="85"/>
    </row>
    <row r="113" spans="1:1384" x14ac:dyDescent="0.25">
      <c r="B113" s="29"/>
      <c r="C113" s="85"/>
    </row>
    <row r="114" spans="1:1384" x14ac:dyDescent="0.25">
      <c r="B114" s="29"/>
      <c r="C114" s="85"/>
    </row>
    <row r="115" spans="1:1384" x14ac:dyDescent="0.25">
      <c r="B115" s="29"/>
      <c r="C115" s="85"/>
    </row>
    <row r="116" spans="1:1384" ht="21" x14ac:dyDescent="0.35">
      <c r="A116" s="99" t="s">
        <v>737</v>
      </c>
      <c r="B116" s="29"/>
      <c r="C116" s="85"/>
    </row>
    <row r="117" spans="1:1384" s="28" customFormat="1" ht="20.45" customHeight="1" x14ac:dyDescent="0.25">
      <c r="A117"/>
      <c r="B117" s="29"/>
      <c r="C117" s="85"/>
    </row>
    <row r="118" spans="1:1384" ht="106.9" customHeight="1" x14ac:dyDescent="0.25">
      <c r="A118" s="302" t="s">
        <v>463</v>
      </c>
      <c r="B118" s="302" t="s">
        <v>464</v>
      </c>
      <c r="C118" s="302" t="s">
        <v>738</v>
      </c>
      <c r="D118" s="302" t="s">
        <v>466</v>
      </c>
      <c r="E118" s="302" t="s">
        <v>484</v>
      </c>
      <c r="F118" s="302" t="s">
        <v>582</v>
      </c>
      <c r="G118" s="302" t="s">
        <v>384</v>
      </c>
      <c r="H118" s="103" t="s">
        <v>303</v>
      </c>
      <c r="I118" s="103" t="s">
        <v>304</v>
      </c>
      <c r="J118" s="103" t="s">
        <v>305</v>
      </c>
      <c r="K118" s="103" t="s">
        <v>306</v>
      </c>
      <c r="L118" s="103" t="s">
        <v>307</v>
      </c>
      <c r="M118" s="103" t="s">
        <v>308</v>
      </c>
      <c r="N118" s="103" t="s">
        <v>309</v>
      </c>
      <c r="O118" s="103" t="s">
        <v>310</v>
      </c>
      <c r="P118" s="103" t="s">
        <v>311</v>
      </c>
      <c r="Q118" s="103" t="s">
        <v>312</v>
      </c>
      <c r="R118" s="103" t="s">
        <v>313</v>
      </c>
      <c r="S118" s="103" t="s">
        <v>314</v>
      </c>
      <c r="T118" s="103" t="s">
        <v>315</v>
      </c>
      <c r="U118" s="103" t="s">
        <v>316</v>
      </c>
      <c r="V118" s="103" t="s">
        <v>317</v>
      </c>
      <c r="W118" s="103" t="s">
        <v>318</v>
      </c>
      <c r="X118" s="103" t="s">
        <v>319</v>
      </c>
      <c r="Y118" s="103" t="s">
        <v>320</v>
      </c>
      <c r="Z118" s="103" t="s">
        <v>321</v>
      </c>
    </row>
    <row r="119" spans="1:1384" ht="19.899999999999999" customHeight="1" x14ac:dyDescent="0.25">
      <c r="A119" s="1" t="s">
        <v>739</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25">
      <c r="A120" s="35" t="s">
        <v>740</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25">
      <c r="A121" s="1" t="s">
        <v>114</v>
      </c>
      <c r="B121" s="154" t="str">
        <f>Input!$B$68</f>
        <v>Paver_medium_scale_project_129kW</v>
      </c>
      <c r="C121" s="182">
        <v>1</v>
      </c>
      <c r="D121" s="154" t="str">
        <f>Input!$C$68</f>
        <v>Diesel</v>
      </c>
      <c r="E121" s="154">
        <f>INDEX($B$102:$B$111,MATCH($B121,$A$102:$A$111,0))</f>
        <v>167.328</v>
      </c>
      <c r="F121" s="154">
        <f>INDEX($D$102:$D$111,MATCH($B121,$A$102:$A$111,0))</f>
        <v>9.8294965576592092E-2</v>
      </c>
      <c r="G121" s="154">
        <f>INDEX($E$102:$E$111,MATCH($B121,$A$102:$A$111,0))</f>
        <v>129</v>
      </c>
      <c r="H121" s="154" cm="1">
        <f t="array" ref="H121">INDEX(LCI!H$2:H$137,MATCH($A$119&amp;$D121,LCI!$B$2:$B$137&amp;LCI!$D$2:$D$137,0))*IF(OR($D121="Electric", $D121="Electric_green"), ($G121/$E121)*$B$94, $F121)</f>
        <v>5.2131186993360258E-4</v>
      </c>
      <c r="I121" s="154" cm="1">
        <f t="array" ref="I121">INDEX(LCI!I$2:I$137,MATCH($A$119&amp;$D121,LCI!$B$2:$B$137&amp;LCI!$D$2:$D$137,0))*IF(OR($D121="Electric", $D121="Electric_green"), ($G121/$E121)*$B$94, $F121)</f>
        <v>0.40775681670534125</v>
      </c>
      <c r="J121" s="154" cm="1">
        <f t="array" ref="J121">INDEX(LCI!J$2:J$137,MATCH($A$119&amp;$D121,LCI!$B$2:$B$137&amp;LCI!$D$2:$D$137,0))*IF(OR($D121="Electric", $D121="Electric_green"), ($G121/$E121)*$B$94, $F121)</f>
        <v>8.4272991329705047E-5</v>
      </c>
      <c r="K121" s="154" cm="1">
        <f t="array" ref="K121">INDEX(LCI!K$2:K$137,MATCH($A$119&amp;$D121,LCI!$B$2:$B$137&amp;LCI!$D$2:$D$137,0))*IF(OR($D121="Electric", $D121="Electric_green"), ($G121/$E121)*$B$94, $F121)</f>
        <v>0.40765451164230682</v>
      </c>
      <c r="L121" s="154" cm="1">
        <f t="array" ref="L121">INDEX(LCI!L$2:L$137,MATCH($A$119&amp;$D121,LCI!$B$2:$B$137&amp;LCI!$D$2:$D$137,0))*IF(OR($D121="Electric", $D121="Electric_green"), ($G121/$E121)*$B$94, $F121)</f>
        <v>1.803207170472964E-5</v>
      </c>
      <c r="M121" s="154" cm="1">
        <f t="array" ref="M121">INDEX(LCI!M$2:M$137,MATCH($A$119&amp;$D121,LCI!$B$2:$B$137&amp;LCI!$D$2:$D$137,0))*IF(OR($D121="Electric", $D121="Electric_green"), ($G121/$E121)*$B$94, $F121)</f>
        <v>0.180159449514772</v>
      </c>
      <c r="N121" s="154" cm="1">
        <f t="array" ref="N121">INDEX(LCI!N$2:N$137,MATCH($A$119&amp;$D121,LCI!$B$2:$B$137&amp;LCI!$D$2:$D$137,0))*IF(OR($D121="Electric", $D121="Electric_green"), ($G121/$E121)*$B$94, $F121)</f>
        <v>5.4161005129930588</v>
      </c>
      <c r="O121" s="154" cm="1">
        <f t="array" ref="O121">INDEX(LCI!O$2:O$137,MATCH($A$119&amp;$D121,LCI!$B$2:$B$137&amp;LCI!$D$2:$D$137,0))*IF(OR($D121="Electric", $D121="Electric_green"), ($G121/$E121)*$B$94, $F121)</f>
        <v>4.3105406685066843E-6</v>
      </c>
      <c r="P121" s="154" cm="1">
        <f t="array" ref="P121">INDEX(LCI!P$2:P$137,MATCH($A$119&amp;$D121,LCI!$B$2:$B$137&amp;LCI!$D$2:$D$137,0))*IF(OR($D121="Electric", $D121="Electric_green"), ($G121/$E121)*$B$94, $F121)</f>
        <v>1.1788559828821579E-4</v>
      </c>
      <c r="Q121" s="154" cm="1">
        <f t="array" ref="Q121">INDEX(LCI!Q$2:Q$137,MATCH($A$119&amp;$D121,LCI!$B$2:$B$137&amp;LCI!$D$2:$D$137,0))*IF(OR($D121="Electric", $D121="Electric_green"), ($G121/$E121)*$B$94, $F121)</f>
        <v>1.2815617170995977E-3</v>
      </c>
      <c r="R121" s="154" cm="1">
        <f t="array" ref="R121">INDEX(LCI!R$2:R$137,MATCH($A$119&amp;$D121,LCI!$B$2:$B$137&amp;LCI!$D$2:$D$137,0))*IF(OR($D121="Electric", $D121="Electric_green"), ($G121/$E121)*$B$94, $F121)</f>
        <v>2.4918237487165866E-11</v>
      </c>
      <c r="S121" s="154" cm="1">
        <f t="array" ref="S121">INDEX(LCI!S$2:S$137,MATCH($A$119&amp;$D121,LCI!$B$2:$B$137&amp;LCI!$D$2:$D$137,0))*IF(OR($D121="Electric", $D121="Electric_green"), ($G121/$E121)*$B$94, $F121)</f>
        <v>6.6417272359011835E-10</v>
      </c>
      <c r="T121" s="154" cm="1">
        <f t="array" ref="T121">INDEX(LCI!T$2:T$137,MATCH($A$119&amp;$D121,LCI!$B$2:$B$137&amp;LCI!$D$2:$D$137,0))*IF(OR($D121="Electric", $D121="Electric_green"), ($G121/$E121)*$B$94, $F121)</f>
        <v>1.6262290771683365E-3</v>
      </c>
      <c r="U121" s="154" cm="1">
        <f t="array" ref="U121">INDEX(LCI!U$2:U$137,MATCH($A$119&amp;$D121,LCI!$B$2:$B$137&amp;LCI!$D$2:$D$137,0))*IF(OR($D121="Electric", $D121="Electric_green"), ($G121/$E121)*$B$94, $F121)</f>
        <v>0.27846571304235684</v>
      </c>
      <c r="V121" s="154" cm="1">
        <f t="array" ref="V121">INDEX(LCI!V$2:V$137,MATCH($A$119&amp;$D121,LCI!$B$2:$B$137&amp;LCI!$D$2:$D$137,0))*IF(OR($D121="Electric", $D121="Electric_green"), ($G121/$E121)*$B$94, $F121)</f>
        <v>6.3582296078913462E-8</v>
      </c>
      <c r="W121" s="154" cm="1">
        <f t="array" ref="W121">INDEX(LCI!W$2:W$137,MATCH($A$119&amp;$D121,LCI!$B$2:$B$137&amp;LCI!$D$2:$D$137,0))*IF(OR($D121="Electric", $D121="Electric_green"), ($G121/$E121)*$B$94, $F121)</f>
        <v>9.1886439293190308E-9</v>
      </c>
      <c r="X121" s="154" cm="1">
        <f t="array" ref="X121">INDEX(LCI!X$2:X$137,MATCH($A$119&amp;$D121,LCI!$B$2:$B$137&amp;LCI!$D$2:$D$137,0))*IF(OR($D121="Electric", $D121="Electric_green"), ($G121/$E121)*$B$94, $F121)</f>
        <v>4.016102893072799E-9</v>
      </c>
      <c r="Y121" s="154" cm="1">
        <f t="array" ref="Y121">INDEX(LCI!Y$2:Y$137,MATCH($A$119&amp;$D121,LCI!$B$2:$B$137&amp;LCI!$D$2:$D$137,0))*IF(OR($D121="Electric", $D121="Electric_green"), ($G121/$E121)*$B$94, $F121)</f>
        <v>1.0043607401188179E-3</v>
      </c>
      <c r="Z121" s="154" cm="1">
        <f t="array" ref="Z121">INDEX(LCI!Z$2:Z$137,MATCH($A$119&amp;$D121,LCI!$B$2:$B$137&amp;LCI!$D$2:$D$137,0))*IF(OR($D121="Electric", $D121="Electric_green"), ($G121/$E121)*$B$94, $F121)</f>
        <v>7.3302820196924313E-3</v>
      </c>
    </row>
    <row r="122" spans="1:1384" x14ac:dyDescent="0.25">
      <c r="A122" s="1" t="s">
        <v>116</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3.9" customHeight="1" x14ac:dyDescent="0.25">
      <c r="A123" s="1" t="s">
        <v>117</v>
      </c>
      <c r="B123" s="154" t="str">
        <f>Input!$B$70</f>
        <v>No_excavator</v>
      </c>
      <c r="C123" s="182">
        <v>1</v>
      </c>
      <c r="D123" s="152" t="str">
        <f>Input!$C$70</f>
        <v>No</v>
      </c>
      <c r="E123" s="154">
        <f>INDEX($B$102:$B$111,MATCH($B123,$A$102:$A$111,0))</f>
        <v>0</v>
      </c>
      <c r="F123" s="154">
        <f>INDEX($D$102:$D$111,MATCH($B123,$A$102:$A$111,0))</f>
        <v>0</v>
      </c>
      <c r="G123" s="154">
        <f>INDEX($E$102:$E$111,MATCH($B123,$A$102:$A$111,0))</f>
        <v>0</v>
      </c>
      <c r="H123" s="154" cm="1">
        <f t="array" ref="H123">INDEX(LCI!H$2:H$137,MATCH($A$119&amp;$D123,LCI!$B$2:$B$137&amp;LCI!$D$2:$D$137,0))*IF(OR($D123="Electric", $D123="Electric_green"), ($G123/$E123)*$B$94, $F123)</f>
        <v>0</v>
      </c>
      <c r="I123" s="154" cm="1">
        <f t="array" ref="I123">INDEX(LCI!I$2:I$137,MATCH($A$119&amp;$D123,LCI!$B$2:$B$137&amp;LCI!$D$2:$D$137,0))*IF(OR($D123="Electric", $D123="Electric_green"), ($G123/$E123)*$B$94, $F123)</f>
        <v>0</v>
      </c>
      <c r="J123" s="154" cm="1">
        <f t="array" ref="J123">INDEX(LCI!J$2:J$137,MATCH($A$119&amp;$D123,LCI!$B$2:$B$137&amp;LCI!$D$2:$D$137,0))*IF(OR($D123="Electric", $D123="Electric_green"), ($G123/$E123)*$B$94, $F123)</f>
        <v>0</v>
      </c>
      <c r="K123" s="154" cm="1">
        <f t="array" ref="K123">INDEX(LCI!K$2:K$137,MATCH($A$119&amp;$D123,LCI!$B$2:$B$137&amp;LCI!$D$2:$D$137,0))*IF(OR($D123="Electric", $D123="Electric_green"), ($G123/$E123)*$B$94, $F123)</f>
        <v>0</v>
      </c>
      <c r="L123" s="154" cm="1">
        <f t="array" ref="L123">INDEX(LCI!L$2:L$137,MATCH($A$119&amp;$D123,LCI!$B$2:$B$137&amp;LCI!$D$2:$D$137,0))*IF(OR($D123="Electric", $D123="Electric_green"), ($G123/$E123)*$B$94, $F123)</f>
        <v>0</v>
      </c>
      <c r="M123" s="154" cm="1">
        <f t="array" ref="M123">INDEX(LCI!M$2:M$137,MATCH($A$119&amp;$D123,LCI!$B$2:$B$137&amp;LCI!$D$2:$D$137,0))*IF(OR($D123="Electric", $D123="Electric_green"), ($G123/$E123)*$B$94, $F123)</f>
        <v>0</v>
      </c>
      <c r="N123" s="154" cm="1">
        <f t="array" ref="N123">INDEX(LCI!N$2:N$137,MATCH($A$119&amp;$D123,LCI!$B$2:$B$137&amp;LCI!$D$2:$D$137,0))*IF(OR($D123="Electric", $D123="Electric_green"), ($G123/$E123)*$B$94, $F123)</f>
        <v>0</v>
      </c>
      <c r="O123" s="154" cm="1">
        <f t="array" ref="O123">INDEX(LCI!O$2:O$137,MATCH($A$119&amp;$D123,LCI!$B$2:$B$137&amp;LCI!$D$2:$D$137,0))*IF(OR($D123="Electric", $D123="Electric_green"), ($G123/$E123)*$B$94, $F123)</f>
        <v>0</v>
      </c>
      <c r="P123" s="154" cm="1">
        <f t="array" ref="P123">INDEX(LCI!P$2:P$137,MATCH($A$119&amp;$D123,LCI!$B$2:$B$137&amp;LCI!$D$2:$D$137,0))*IF(OR($D123="Electric", $D123="Electric_green"), ($G123/$E123)*$B$94, $F123)</f>
        <v>0</v>
      </c>
      <c r="Q123" s="154" cm="1">
        <f t="array" ref="Q123">INDEX(LCI!Q$2:Q$137,MATCH($A$119&amp;$D123,LCI!$B$2:$B$137&amp;LCI!$D$2:$D$137,0))*IF(OR($D123="Electric", $D123="Electric_green"), ($G123/$E123)*$B$94, $F123)</f>
        <v>0</v>
      </c>
      <c r="R123" s="154" cm="1">
        <f t="array" ref="R123">INDEX(LCI!R$2:R$137,MATCH($A$119&amp;$D123,LCI!$B$2:$B$137&amp;LCI!$D$2:$D$137,0))*IF(OR($D123="Electric", $D123="Electric_green"), ($G123/$E123)*$B$94, $F123)</f>
        <v>0</v>
      </c>
      <c r="S123" s="154" cm="1">
        <f t="array" ref="S123">INDEX(LCI!S$2:S$137,MATCH($A$119&amp;$D123,LCI!$B$2:$B$137&amp;LCI!$D$2:$D$137,0))*IF(OR($D123="Electric", $D123="Electric_green"), ($G123/$E123)*$B$94, $F123)</f>
        <v>0</v>
      </c>
      <c r="T123" s="154" cm="1">
        <f t="array" ref="T123">INDEX(LCI!T$2:T$137,MATCH($A$119&amp;$D123,LCI!$B$2:$B$137&amp;LCI!$D$2:$D$137,0))*IF(OR($D123="Electric", $D123="Electric_green"), ($G123/$E123)*$B$94, $F123)</f>
        <v>0</v>
      </c>
      <c r="U123" s="154" cm="1">
        <f t="array" ref="U123">INDEX(LCI!U$2:U$137,MATCH($A$119&amp;$D123,LCI!$B$2:$B$137&amp;LCI!$D$2:$D$137,0))*IF(OR($D123="Electric", $D123="Electric_green"), ($G123/$E123)*$B$94, $F123)</f>
        <v>0</v>
      </c>
      <c r="V123" s="154" cm="1">
        <f t="array" ref="V123">INDEX(LCI!V$2:V$137,MATCH($A$119&amp;$D123,LCI!$B$2:$B$137&amp;LCI!$D$2:$D$137,0))*IF(OR($D123="Electric", $D123="Electric_green"), ($G123/$E123)*$B$94, $F123)</f>
        <v>0</v>
      </c>
      <c r="W123" s="154" cm="1">
        <f t="array" ref="W123">INDEX(LCI!W$2:W$137,MATCH($A$119&amp;$D123,LCI!$B$2:$B$137&amp;LCI!$D$2:$D$137,0))*IF(OR($D123="Electric", $D123="Electric_green"), ($G123/$E123)*$B$94, $F123)</f>
        <v>0</v>
      </c>
      <c r="X123" s="154" cm="1">
        <f t="array" ref="X123">INDEX(LCI!X$2:X$137,MATCH($A$119&amp;$D123,LCI!$B$2:$B$137&amp;LCI!$D$2:$D$137,0))*IF(OR($D123="Electric", $D123="Electric_green"), ($G123/$E123)*$B$94, $F123)</f>
        <v>0</v>
      </c>
      <c r="Y123" s="154" cm="1">
        <f t="array" ref="Y123">INDEX(LCI!Y$2:Y$137,MATCH($A$119&amp;$D123,LCI!$B$2:$B$137&amp;LCI!$D$2:$D$137,0))*IF(OR($D123="Electric", $D123="Electric_green"), ($G123/$E123)*$B$94, $F123)</f>
        <v>0</v>
      </c>
      <c r="Z123" s="154" cm="1">
        <f t="array" ref="Z123">INDEX(LCI!Z$2:Z$137,MATCH($A$119&amp;$D123,LCI!$B$2:$B$137&amp;LCI!$D$2:$D$137,0))*IF(OR($D123="Electric", $D123="Electric_green"), ($G123/$E123)*$B$94, $F123)</f>
        <v>0</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25">
      <c r="A124" s="1" t="s">
        <v>220</v>
      </c>
      <c r="B124" s="1"/>
      <c r="C124" s="1"/>
      <c r="D124" s="1"/>
      <c r="E124" s="1"/>
      <c r="F124" s="1"/>
      <c r="G124" s="1"/>
      <c r="H124" s="1">
        <f>SUM(H121:H123)</f>
        <v>1.0426237398672052E-3</v>
      </c>
      <c r="I124" s="1">
        <f t="shared" ref="I124:Z124" si="0">SUM(I121:I123)</f>
        <v>0.8155136334106825</v>
      </c>
      <c r="J124" s="1">
        <f t="shared" si="0"/>
        <v>1.6854598265941009E-4</v>
      </c>
      <c r="K124" s="1">
        <f t="shared" si="0"/>
        <v>0.81530902328461363</v>
      </c>
      <c r="L124" s="1">
        <f t="shared" si="0"/>
        <v>3.6064143409459281E-5</v>
      </c>
      <c r="M124" s="1">
        <f t="shared" si="0"/>
        <v>0.360318899029544</v>
      </c>
      <c r="N124" s="1">
        <f t="shared" si="0"/>
        <v>10.832201025986118</v>
      </c>
      <c r="O124" s="1">
        <f t="shared" si="0"/>
        <v>8.6210813370133686E-6</v>
      </c>
      <c r="P124" s="1">
        <f t="shared" si="0"/>
        <v>2.3577119657643158E-4</v>
      </c>
      <c r="Q124" s="1">
        <f t="shared" si="0"/>
        <v>2.5631234341991953E-3</v>
      </c>
      <c r="R124" s="1">
        <f t="shared" si="0"/>
        <v>4.9836474974331733E-11</v>
      </c>
      <c r="S124" s="1">
        <f t="shared" si="0"/>
        <v>1.3283454471802367E-9</v>
      </c>
      <c r="T124" s="1">
        <f t="shared" si="0"/>
        <v>3.252458154336673E-3</v>
      </c>
      <c r="U124" s="1">
        <f t="shared" si="0"/>
        <v>0.55693142608471369</v>
      </c>
      <c r="V124" s="1">
        <f t="shared" si="0"/>
        <v>1.2716459215782692E-7</v>
      </c>
      <c r="W124" s="1">
        <f t="shared" si="0"/>
        <v>1.8377287858638062E-8</v>
      </c>
      <c r="X124" s="1">
        <f t="shared" si="0"/>
        <v>8.0322057861455981E-9</v>
      </c>
      <c r="Y124" s="1">
        <f t="shared" si="0"/>
        <v>2.0087214802376359E-3</v>
      </c>
      <c r="Z124" s="1">
        <f t="shared" si="0"/>
        <v>1.4660564039384863E-2</v>
      </c>
    </row>
    <row r="125" spans="1:1384" x14ac:dyDescent="0.25">
      <c r="A125" s="47"/>
      <c r="B125" s="38"/>
      <c r="C125" s="124"/>
    </row>
    <row r="127" spans="1:1384" x14ac:dyDescent="0.25">
      <c r="A127" s="35" t="s">
        <v>741</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25">
      <c r="A128" s="1" t="s">
        <v>742</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25">
      <c r="A129" s="1" t="s">
        <v>743</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25">
      <c r="A130" s="1" t="s">
        <v>220</v>
      </c>
      <c r="B130" s="1"/>
      <c r="C130" s="1"/>
      <c r="D130" s="1"/>
      <c r="E130" s="1"/>
      <c r="F130" s="1"/>
      <c r="G130" s="1"/>
      <c r="H130" s="1">
        <f t="shared" ref="H130:Z130" si="1">SUM(H128:H129)</f>
        <v>2.55864253327323E-4</v>
      </c>
      <c r="I130" s="1">
        <f t="shared" si="1"/>
        <v>0.20013047747929927</v>
      </c>
      <c r="J130" s="1">
        <f t="shared" si="1"/>
        <v>4.1361893418964866E-5</v>
      </c>
      <c r="K130" s="1">
        <f t="shared" si="1"/>
        <v>0.20008026529332268</v>
      </c>
      <c r="L130" s="1">
        <f t="shared" si="1"/>
        <v>8.8502925576258877E-6</v>
      </c>
      <c r="M130" s="1">
        <f t="shared" si="1"/>
        <v>8.8423774114005468E-2</v>
      </c>
      <c r="N130" s="1">
        <f t="shared" si="1"/>
        <v>2.6582677157901702</v>
      </c>
      <c r="O130" s="1">
        <f t="shared" si="1"/>
        <v>2.1156496392936459E-6</v>
      </c>
      <c r="P130" s="1">
        <f t="shared" si="1"/>
        <v>5.7859243811004693E-5</v>
      </c>
      <c r="Q130" s="1">
        <f t="shared" si="1"/>
        <v>6.2900127687546138E-4</v>
      </c>
      <c r="R130" s="1">
        <f t="shared" si="1"/>
        <v>1.2230080680301121E-11</v>
      </c>
      <c r="S130" s="1">
        <f t="shared" si="1"/>
        <v>3.2598156267457412E-10</v>
      </c>
      <c r="T130" s="1">
        <f t="shared" si="1"/>
        <v>7.9816691805205604E-4</v>
      </c>
      <c r="U130" s="1">
        <f t="shared" si="1"/>
        <v>0.13667331563717891</v>
      </c>
      <c r="V130" s="1">
        <f t="shared" si="1"/>
        <v>3.1206726048919648E-8</v>
      </c>
      <c r="W130" s="1">
        <f t="shared" si="1"/>
        <v>4.5098637757189311E-9</v>
      </c>
      <c r="X130" s="1">
        <f t="shared" si="1"/>
        <v>1.9711371010076017E-9</v>
      </c>
      <c r="Y130" s="1">
        <f t="shared" si="1"/>
        <v>4.9294870434181631E-4</v>
      </c>
      <c r="Z130" s="1">
        <f t="shared" si="1"/>
        <v>3.5977641097759529E-3</v>
      </c>
    </row>
    <row r="134" spans="1:26" ht="24" x14ac:dyDescent="0.4">
      <c r="A134" s="100" t="s">
        <v>744</v>
      </c>
    </row>
    <row r="135" spans="1:26" x14ac:dyDescent="0.25">
      <c r="E135" s="3"/>
      <c r="F135" s="3"/>
    </row>
    <row r="136" spans="1:26" x14ac:dyDescent="0.25">
      <c r="A136" s="62" t="s">
        <v>164</v>
      </c>
      <c r="B136" s="62" t="s">
        <v>745</v>
      </c>
      <c r="C136" s="294" t="s">
        <v>117</v>
      </c>
      <c r="D136" s="62" t="s">
        <v>746</v>
      </c>
      <c r="E136" s="62" t="s">
        <v>220</v>
      </c>
    </row>
    <row r="137" spans="1:26" x14ac:dyDescent="0.25">
      <c r="A137" s="1" t="s">
        <v>344</v>
      </c>
      <c r="B137" s="154">
        <f>H121+H122</f>
        <v>1.0426237398672052E-3</v>
      </c>
      <c r="C137" s="182">
        <f>'A5 - Construction'!H123</f>
        <v>0</v>
      </c>
      <c r="D137" s="154">
        <f>SUM(H128:H129)</f>
        <v>2.55864253327323E-4</v>
      </c>
      <c r="E137" s="154">
        <f>SUM(B137:D137)</f>
        <v>1.2984879931945282E-3</v>
      </c>
    </row>
    <row r="138" spans="1:26" x14ac:dyDescent="0.25">
      <c r="A138" s="1" t="s">
        <v>304</v>
      </c>
      <c r="B138" s="154">
        <f>I121+I122</f>
        <v>0.8155136334106825</v>
      </c>
      <c r="C138" s="182">
        <f>'A5 - Construction'!I123</f>
        <v>0</v>
      </c>
      <c r="D138" s="154">
        <f>SUM(I128:I129)</f>
        <v>0.20013047747929927</v>
      </c>
      <c r="E138" s="154">
        <f t="shared" ref="E138:E155" si="2">SUM(B138:D138)</f>
        <v>1.0156441108899819</v>
      </c>
    </row>
    <row r="139" spans="1:26" x14ac:dyDescent="0.25">
      <c r="A139" s="1" t="s">
        <v>305</v>
      </c>
      <c r="B139" s="154">
        <f>J121+J122</f>
        <v>1.6854598265941009E-4</v>
      </c>
      <c r="C139" s="182">
        <f>'A5 - Construction'!J123</f>
        <v>0</v>
      </c>
      <c r="D139" s="154">
        <f>SUM(J128:J129)</f>
        <v>4.1361893418964866E-5</v>
      </c>
      <c r="E139" s="154">
        <f t="shared" si="2"/>
        <v>2.0990787607837495E-4</v>
      </c>
    </row>
    <row r="140" spans="1:26" x14ac:dyDescent="0.25">
      <c r="A140" s="1" t="s">
        <v>306</v>
      </c>
      <c r="B140" s="154">
        <f>K121+K122</f>
        <v>0.81530902328461363</v>
      </c>
      <c r="C140" s="182">
        <f>'A5 - Construction'!K123</f>
        <v>0</v>
      </c>
      <c r="D140" s="154">
        <f>SUM(K128:K129)</f>
        <v>0.20008026529332268</v>
      </c>
      <c r="E140" s="154">
        <f t="shared" si="2"/>
        <v>1.0153892885779363</v>
      </c>
    </row>
    <row r="141" spans="1:26" x14ac:dyDescent="0.25">
      <c r="A141" s="1" t="s">
        <v>307</v>
      </c>
      <c r="B141" s="154">
        <f>L121+L122</f>
        <v>3.6064143409459281E-5</v>
      </c>
      <c r="C141" s="182">
        <f>'A5 - Construction'!L123</f>
        <v>0</v>
      </c>
      <c r="D141" s="154">
        <f>SUM(L128:L129)</f>
        <v>8.8502925576258877E-6</v>
      </c>
      <c r="E141" s="154">
        <f t="shared" si="2"/>
        <v>4.491443596708517E-5</v>
      </c>
    </row>
    <row r="142" spans="1:26" x14ac:dyDescent="0.25">
      <c r="A142" s="1" t="s">
        <v>308</v>
      </c>
      <c r="B142" s="154">
        <f>M121+M122</f>
        <v>0.360318899029544</v>
      </c>
      <c r="C142" s="182">
        <f>'A5 - Construction'!M123</f>
        <v>0</v>
      </c>
      <c r="D142" s="154">
        <f>SUM(M128:M129)</f>
        <v>8.8423774114005468E-2</v>
      </c>
      <c r="E142" s="154">
        <f t="shared" si="2"/>
        <v>0.44874267314354949</v>
      </c>
    </row>
    <row r="143" spans="1:26" x14ac:dyDescent="0.25">
      <c r="A143" s="1" t="s">
        <v>309</v>
      </c>
      <c r="B143" s="154">
        <f>N121+N122</f>
        <v>10.832201025986118</v>
      </c>
      <c r="C143" s="182">
        <f>'A5 - Construction'!N123</f>
        <v>0</v>
      </c>
      <c r="D143" s="154">
        <f>SUM(N128:N129)</f>
        <v>2.6582677157901702</v>
      </c>
      <c r="E143" s="154">
        <f t="shared" si="2"/>
        <v>13.490468741776288</v>
      </c>
    </row>
    <row r="144" spans="1:26" x14ac:dyDescent="0.25">
      <c r="A144" s="1" t="s">
        <v>310</v>
      </c>
      <c r="B144" s="154">
        <f>O121+O122</f>
        <v>8.6210813370133686E-6</v>
      </c>
      <c r="C144" s="182">
        <f>'A5 - Construction'!O123</f>
        <v>0</v>
      </c>
      <c r="D144" s="154">
        <f>SUM(O128:O129)</f>
        <v>2.1156496392936459E-6</v>
      </c>
      <c r="E144" s="154">
        <f t="shared" si="2"/>
        <v>1.0736730976307014E-5</v>
      </c>
    </row>
    <row r="145" spans="1:5" x14ac:dyDescent="0.25">
      <c r="A145" s="1" t="s">
        <v>311</v>
      </c>
      <c r="B145" s="154">
        <f>P121+P122</f>
        <v>2.3577119657643158E-4</v>
      </c>
      <c r="C145" s="182">
        <f>'A5 - Construction'!P123</f>
        <v>0</v>
      </c>
      <c r="D145" s="154">
        <f>SUM(P128:P129)</f>
        <v>5.7859243811004693E-5</v>
      </c>
      <c r="E145" s="154">
        <f t="shared" si="2"/>
        <v>2.9363044038743628E-4</v>
      </c>
    </row>
    <row r="146" spans="1:5" x14ac:dyDescent="0.25">
      <c r="A146" s="1" t="s">
        <v>312</v>
      </c>
      <c r="B146" s="154">
        <f>Q121+Q122</f>
        <v>2.5631234341991953E-3</v>
      </c>
      <c r="C146" s="182">
        <f>'A5 - Construction'!Q123</f>
        <v>0</v>
      </c>
      <c r="D146" s="154">
        <f>SUM(Q128:Q129)</f>
        <v>6.2900127687546138E-4</v>
      </c>
      <c r="E146" s="154">
        <f t="shared" si="2"/>
        <v>3.1921247110746568E-3</v>
      </c>
    </row>
    <row r="147" spans="1:5" x14ac:dyDescent="0.25">
      <c r="A147" s="1" t="s">
        <v>313</v>
      </c>
      <c r="B147" s="154">
        <f>R121+R122</f>
        <v>4.9836474974331733E-11</v>
      </c>
      <c r="C147" s="182">
        <f>'A5 - Construction'!R123</f>
        <v>0</v>
      </c>
      <c r="D147" s="154">
        <f>SUM(R128:R129)</f>
        <v>1.2230080680301121E-11</v>
      </c>
      <c r="E147" s="154">
        <f t="shared" si="2"/>
        <v>6.206655565463285E-11</v>
      </c>
    </row>
    <row r="148" spans="1:5" x14ac:dyDescent="0.25">
      <c r="A148" s="1" t="s">
        <v>345</v>
      </c>
      <c r="B148" s="154">
        <f>S121+S122</f>
        <v>1.3283454471802367E-9</v>
      </c>
      <c r="C148" s="182">
        <f>'A5 - Construction'!S123</f>
        <v>0</v>
      </c>
      <c r="D148" s="154">
        <f>SUM(S128:S129)</f>
        <v>3.2598156267457412E-10</v>
      </c>
      <c r="E148" s="154">
        <f t="shared" si="2"/>
        <v>1.6543270098548109E-9</v>
      </c>
    </row>
    <row r="149" spans="1:5" x14ac:dyDescent="0.25">
      <c r="A149" s="1" t="s">
        <v>315</v>
      </c>
      <c r="B149" s="154">
        <f>T121+T122</f>
        <v>3.252458154336673E-3</v>
      </c>
      <c r="C149" s="182">
        <f>'A5 - Construction'!T123</f>
        <v>0</v>
      </c>
      <c r="D149" s="154">
        <f>SUM(T128:T129)</f>
        <v>7.9816691805205604E-4</v>
      </c>
      <c r="E149" s="154">
        <f t="shared" si="2"/>
        <v>4.0506250723887291E-3</v>
      </c>
    </row>
    <row r="150" spans="1:5" x14ac:dyDescent="0.25">
      <c r="A150" s="1" t="s">
        <v>316</v>
      </c>
      <c r="B150" s="154">
        <f>U121+U122</f>
        <v>0.55693142608471369</v>
      </c>
      <c r="C150" s="182">
        <f>'A5 - Construction'!U123</f>
        <v>0</v>
      </c>
      <c r="D150" s="154">
        <f>SUM(U128:U129)</f>
        <v>0.13667331563717891</v>
      </c>
      <c r="E150" s="154">
        <f t="shared" si="2"/>
        <v>0.69360474172189257</v>
      </c>
    </row>
    <row r="151" spans="1:5" x14ac:dyDescent="0.25">
      <c r="A151" s="1" t="s">
        <v>317</v>
      </c>
      <c r="B151" s="154">
        <f>V121+V122</f>
        <v>1.2716459215782692E-7</v>
      </c>
      <c r="C151" s="182">
        <f>'A5 - Construction'!V123</f>
        <v>0</v>
      </c>
      <c r="D151" s="154">
        <f>SUM(V128:V129)</f>
        <v>3.1206726048919648E-8</v>
      </c>
      <c r="E151" s="154">
        <f t="shared" si="2"/>
        <v>1.5837131820674658E-7</v>
      </c>
    </row>
    <row r="152" spans="1:5" x14ac:dyDescent="0.25">
      <c r="A152" s="1" t="s">
        <v>318</v>
      </c>
      <c r="B152" s="154">
        <f>W121+W122</f>
        <v>1.8377287858638062E-8</v>
      </c>
      <c r="C152" s="182">
        <f>'A5 - Construction'!W123</f>
        <v>0</v>
      </c>
      <c r="D152" s="154">
        <f>SUM(W128:W129)</f>
        <v>4.5098637757189311E-9</v>
      </c>
      <c r="E152" s="154">
        <f t="shared" si="2"/>
        <v>2.2887151634356993E-8</v>
      </c>
    </row>
    <row r="153" spans="1:5" x14ac:dyDescent="0.25">
      <c r="A153" s="1" t="s">
        <v>319</v>
      </c>
      <c r="B153" s="154">
        <f>X121+X122</f>
        <v>8.0322057861455981E-9</v>
      </c>
      <c r="C153" s="182">
        <f>'A5 - Construction'!X123</f>
        <v>0</v>
      </c>
      <c r="D153" s="154">
        <f>SUM(X128:X129)</f>
        <v>1.9711371010076017E-9</v>
      </c>
      <c r="E153" s="154">
        <f t="shared" si="2"/>
        <v>1.0003342887153199E-8</v>
      </c>
    </row>
    <row r="154" spans="1:5" x14ac:dyDescent="0.25">
      <c r="A154" s="1" t="s">
        <v>320</v>
      </c>
      <c r="B154" s="154">
        <f>Y121+Y122</f>
        <v>2.0087214802376359E-3</v>
      </c>
      <c r="C154" s="182">
        <f>'A5 - Construction'!Y123</f>
        <v>0</v>
      </c>
      <c r="D154" s="154">
        <f>SUM(Y128:Y129)</f>
        <v>4.9294870434181631E-4</v>
      </c>
      <c r="E154" s="154">
        <f t="shared" si="2"/>
        <v>2.5016701845794521E-3</v>
      </c>
    </row>
    <row r="155" spans="1:5" x14ac:dyDescent="0.25">
      <c r="A155" s="1" t="s">
        <v>321</v>
      </c>
      <c r="B155" s="154">
        <f>Z121+Z122</f>
        <v>1.4660564039384863E-2</v>
      </c>
      <c r="C155" s="182">
        <f>'A5 - Construction'!Z123</f>
        <v>0</v>
      </c>
      <c r="D155" s="154">
        <f>SUM(Z128:Z129)</f>
        <v>3.5977641097759529E-3</v>
      </c>
      <c r="E155" s="154">
        <f t="shared" si="2"/>
        <v>1.8258328149160816E-2</v>
      </c>
    </row>
    <row r="160" spans="1:5" x14ac:dyDescent="0.25">
      <c r="B160" t="s">
        <v>682</v>
      </c>
    </row>
    <row r="161" spans="1:2" x14ac:dyDescent="0.25">
      <c r="A161" s="95" t="s">
        <v>683</v>
      </c>
      <c r="B161" s="1">
        <f>SUM($H$124:$Z$124)+SUM($H$130:$Z$130)</f>
        <v>16.693710174681662</v>
      </c>
    </row>
    <row r="162" spans="1:2" x14ac:dyDescent="0.25">
      <c r="A162" s="95" t="s">
        <v>684</v>
      </c>
      <c r="B162" s="1">
        <f>SUM($B$137:$D$155)</f>
        <v>16.693710174681666</v>
      </c>
    </row>
    <row r="163" spans="1:2" x14ac:dyDescent="0.25">
      <c r="A163" s="95" t="s">
        <v>62</v>
      </c>
      <c r="B163" s="204">
        <f>B161-B162</f>
        <v>0</v>
      </c>
    </row>
  </sheetData>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1"/>
  <sheetViews>
    <sheetView showGridLines="0" zoomScale="80" zoomScaleNormal="80" workbookViewId="0"/>
  </sheetViews>
  <sheetFormatPr defaultRowHeight="15" x14ac:dyDescent="0.25"/>
  <cols>
    <col min="1" max="1" width="48.140625" customWidth="1"/>
    <col min="2" max="2" width="61" customWidth="1"/>
    <col min="3" max="3" width="88" customWidth="1"/>
    <col min="4" max="4" width="61.7109375" customWidth="1"/>
    <col min="5" max="5" width="24.5703125" customWidth="1"/>
    <col min="6" max="6" width="20.7109375" customWidth="1"/>
    <col min="7" max="7" width="24.140625" customWidth="1"/>
    <col min="8" max="8" width="24" customWidth="1"/>
    <col min="9" max="9" width="22.85546875" customWidth="1"/>
    <col min="10" max="10" width="24.85546875" customWidth="1"/>
    <col min="11" max="11" width="24.5703125" customWidth="1"/>
    <col min="12" max="12" width="30.140625" customWidth="1"/>
    <col min="13" max="13" width="28.140625" customWidth="1"/>
    <col min="14" max="14" width="32.85546875" customWidth="1"/>
    <col min="15" max="15" width="38.140625" customWidth="1"/>
    <col min="16" max="16" width="35.140625" customWidth="1"/>
    <col min="17" max="17" width="36.85546875" customWidth="1"/>
    <col min="18" max="18" width="31.7109375" customWidth="1"/>
    <col min="19" max="19" width="32.85546875" customWidth="1"/>
    <col min="20" max="20" width="37.28515625" customWidth="1"/>
    <col min="21" max="22" width="35.85546875" customWidth="1"/>
    <col min="23" max="23" width="32.85546875" customWidth="1"/>
    <col min="24" max="24" width="29.140625" customWidth="1"/>
    <col min="25" max="26" width="32.140625" customWidth="1"/>
  </cols>
  <sheetData>
    <row r="1" spans="1:10" ht="24" x14ac:dyDescent="0.4">
      <c r="A1" s="100" t="s">
        <v>747</v>
      </c>
    </row>
    <row r="3" spans="1:10" s="28" customFormat="1" ht="19.899999999999999" customHeight="1" x14ac:dyDescent="0.3">
      <c r="A3" s="227" t="s">
        <v>748</v>
      </c>
      <c r="B3" s="295" t="s">
        <v>376</v>
      </c>
      <c r="C3" s="295" t="s">
        <v>377</v>
      </c>
      <c r="D3" s="62" t="s">
        <v>378</v>
      </c>
    </row>
    <row r="4" spans="1:10" s="28" customFormat="1" ht="19.899999999999999" customHeight="1" x14ac:dyDescent="0.25">
      <c r="A4" s="1" t="s">
        <v>687</v>
      </c>
      <c r="B4" s="183" t="s">
        <v>749</v>
      </c>
      <c r="C4" s="44"/>
      <c r="D4" s="53"/>
    </row>
    <row r="5" spans="1:10" x14ac:dyDescent="0.25">
      <c r="A5" s="1" t="s">
        <v>750</v>
      </c>
      <c r="B5" s="90" t="s">
        <v>751</v>
      </c>
      <c r="C5" s="201" t="s">
        <v>751</v>
      </c>
      <c r="D5" s="1" t="s">
        <v>752</v>
      </c>
    </row>
    <row r="6" spans="1:10" x14ac:dyDescent="0.25">
      <c r="A6" s="1" t="s">
        <v>577</v>
      </c>
      <c r="B6" s="152">
        <f>Input!$B$22/1000</f>
        <v>2.4</v>
      </c>
      <c r="C6" s="33"/>
      <c r="D6" s="1"/>
    </row>
    <row r="7" spans="1:10" ht="30" x14ac:dyDescent="0.25">
      <c r="A7" s="1" t="s">
        <v>385</v>
      </c>
      <c r="B7" s="90">
        <v>0.51</v>
      </c>
      <c r="C7" s="39" t="s">
        <v>386</v>
      </c>
      <c r="D7" s="1"/>
    </row>
    <row r="8" spans="1:10" x14ac:dyDescent="0.25">
      <c r="A8" s="1" t="s">
        <v>384</v>
      </c>
      <c r="B8" s="90">
        <v>45</v>
      </c>
      <c r="C8" s="2"/>
      <c r="D8" s="1"/>
    </row>
    <row r="9" spans="1:10" ht="45" x14ac:dyDescent="0.25">
      <c r="A9" s="1" t="s">
        <v>387</v>
      </c>
      <c r="B9" s="90">
        <v>0.25</v>
      </c>
      <c r="C9" s="39" t="s">
        <v>388</v>
      </c>
      <c r="D9" s="214" t="s">
        <v>389</v>
      </c>
    </row>
    <row r="10" spans="1:10" x14ac:dyDescent="0.25">
      <c r="A10" s="1" t="s">
        <v>753</v>
      </c>
      <c r="B10" s="90">
        <v>18</v>
      </c>
      <c r="C10" s="2"/>
      <c r="D10" s="1"/>
    </row>
    <row r="11" spans="1:10" s="3" customFormat="1" x14ac:dyDescent="0.25">
      <c r="A11" s="1" t="s">
        <v>754</v>
      </c>
      <c r="B11" s="90">
        <f>MIN(1.2,Input!$B$66)</f>
        <v>1.2</v>
      </c>
      <c r="C11" s="2"/>
      <c r="D11" s="18"/>
    </row>
    <row r="12" spans="1:10" s="3" customFormat="1" x14ac:dyDescent="0.25">
      <c r="A12" s="1" t="s">
        <v>124</v>
      </c>
      <c r="B12" s="90">
        <f>MIN(0.35,Input!$B$77)</f>
        <v>0.08</v>
      </c>
      <c r="C12" s="215"/>
      <c r="D12" s="18"/>
    </row>
    <row r="13" spans="1:10" ht="30" x14ac:dyDescent="0.25">
      <c r="A13" s="1" t="s">
        <v>483</v>
      </c>
      <c r="B13" s="90">
        <v>0.83</v>
      </c>
      <c r="C13" s="39" t="s">
        <v>699</v>
      </c>
      <c r="D13" s="214" t="s">
        <v>755</v>
      </c>
      <c r="H13" s="50"/>
    </row>
    <row r="14" spans="1:10" ht="13.9" customHeight="1" x14ac:dyDescent="0.25">
      <c r="A14" s="18" t="s">
        <v>484</v>
      </c>
      <c r="B14" s="152">
        <f>$B$10*$B$11*$B$12*60*$B$6*$B$13</f>
        <v>206.53055999999995</v>
      </c>
      <c r="C14" s="216" t="s">
        <v>756</v>
      </c>
      <c r="D14" s="1"/>
      <c r="G14" s="50"/>
      <c r="H14" s="50"/>
    </row>
    <row r="15" spans="1:10" x14ac:dyDescent="0.25">
      <c r="A15" s="1" t="s">
        <v>400</v>
      </c>
      <c r="B15" s="152">
        <f>$B$8*$B$7*$B$9</f>
        <v>5.7374999999999998</v>
      </c>
      <c r="C15" s="39" t="s">
        <v>401</v>
      </c>
      <c r="D15" s="1" t="s">
        <v>402</v>
      </c>
      <c r="G15" s="50"/>
      <c r="H15" s="50"/>
    </row>
    <row r="16" spans="1:10" x14ac:dyDescent="0.25">
      <c r="B16" s="29"/>
      <c r="C16" s="29"/>
      <c r="D16" s="404"/>
      <c r="E16" s="404"/>
      <c r="F16" s="404"/>
      <c r="G16" s="404"/>
      <c r="H16" s="404"/>
      <c r="I16" s="404"/>
      <c r="J16" s="38"/>
    </row>
    <row r="17" spans="1:12" ht="18.75" x14ac:dyDescent="0.3">
      <c r="A17" s="227" t="s">
        <v>757</v>
      </c>
      <c r="B17" s="295" t="s">
        <v>376</v>
      </c>
      <c r="C17" s="295" t="s">
        <v>377</v>
      </c>
      <c r="D17" s="62" t="s">
        <v>378</v>
      </c>
    </row>
    <row r="18" spans="1:12" x14ac:dyDescent="0.25">
      <c r="A18" s="1" t="s">
        <v>687</v>
      </c>
      <c r="B18" s="90" t="s">
        <v>758</v>
      </c>
      <c r="C18" s="2"/>
      <c r="D18" s="1"/>
    </row>
    <row r="19" spans="1:12" x14ac:dyDescent="0.25">
      <c r="A19" s="1" t="s">
        <v>750</v>
      </c>
      <c r="B19" s="90" t="s">
        <v>759</v>
      </c>
      <c r="C19" s="2" t="s">
        <v>759</v>
      </c>
      <c r="D19" s="30" t="s">
        <v>760</v>
      </c>
      <c r="I19" s="3" t="s">
        <v>761</v>
      </c>
      <c r="L19" s="50"/>
    </row>
    <row r="20" spans="1:12" x14ac:dyDescent="0.25">
      <c r="A20" s="1" t="s">
        <v>577</v>
      </c>
      <c r="B20" s="152">
        <f>Input!$B$22/1000</f>
        <v>2.4</v>
      </c>
      <c r="C20" s="2"/>
      <c r="D20" s="1"/>
      <c r="L20" s="50"/>
    </row>
    <row r="21" spans="1:12" ht="30" x14ac:dyDescent="0.25">
      <c r="A21" s="1" t="s">
        <v>385</v>
      </c>
      <c r="B21" s="90">
        <v>0.51</v>
      </c>
      <c r="C21" s="39" t="s">
        <v>386</v>
      </c>
      <c r="D21" s="1"/>
      <c r="I21" s="1" t="s">
        <v>762</v>
      </c>
      <c r="J21" s="1" t="s">
        <v>763</v>
      </c>
      <c r="K21" s="1" t="s">
        <v>764</v>
      </c>
      <c r="L21" s="50" t="s">
        <v>765</v>
      </c>
    </row>
    <row r="22" spans="1:12" x14ac:dyDescent="0.25">
      <c r="A22" s="1" t="s">
        <v>384</v>
      </c>
      <c r="B22" s="90">
        <v>571</v>
      </c>
      <c r="C22" s="2"/>
      <c r="D22" s="1"/>
      <c r="I22" s="1">
        <v>50</v>
      </c>
      <c r="J22" s="1">
        <v>2.86</v>
      </c>
      <c r="K22" s="1">
        <f>I22/J22</f>
        <v>17.482517482517483</v>
      </c>
      <c r="L22" s="50">
        <f>AVERAGE(K22:K26)</f>
        <v>18.032613080194253</v>
      </c>
    </row>
    <row r="23" spans="1:12" ht="45" x14ac:dyDescent="0.25">
      <c r="A23" s="1" t="s">
        <v>387</v>
      </c>
      <c r="B23" s="90">
        <v>0.25</v>
      </c>
      <c r="C23" s="39" t="s">
        <v>388</v>
      </c>
      <c r="D23" s="214" t="s">
        <v>389</v>
      </c>
      <c r="I23" s="1"/>
      <c r="J23" s="1"/>
      <c r="K23" s="1"/>
      <c r="L23" s="50"/>
    </row>
    <row r="24" spans="1:12" x14ac:dyDescent="0.25">
      <c r="A24" s="1" t="s">
        <v>753</v>
      </c>
      <c r="B24" s="90">
        <v>18</v>
      </c>
      <c r="C24" s="2"/>
      <c r="D24" s="1"/>
      <c r="I24" s="1">
        <v>50</v>
      </c>
      <c r="J24" s="1">
        <v>2.63</v>
      </c>
      <c r="K24" s="1">
        <f t="shared" ref="K24:K26" si="0">I24/J24</f>
        <v>19.011406844106464</v>
      </c>
      <c r="L24" s="50"/>
    </row>
    <row r="25" spans="1:12" ht="13.9" customHeight="1" x14ac:dyDescent="0.25">
      <c r="A25" s="1" t="s">
        <v>754</v>
      </c>
      <c r="B25" s="90">
        <f>MIN(2,Input!$B$66)</f>
        <v>2</v>
      </c>
      <c r="C25" s="2"/>
      <c r="D25" s="18"/>
      <c r="I25" s="1">
        <v>50</v>
      </c>
      <c r="J25" s="1">
        <v>2.65</v>
      </c>
      <c r="K25" s="1">
        <f t="shared" si="0"/>
        <v>18.867924528301888</v>
      </c>
      <c r="L25" s="3"/>
    </row>
    <row r="26" spans="1:12" x14ac:dyDescent="0.25">
      <c r="A26" s="1" t="s">
        <v>124</v>
      </c>
      <c r="B26" s="152">
        <f>MIN(0.35,Input!$B$77)</f>
        <v>0.08</v>
      </c>
      <c r="C26" s="2"/>
      <c r="D26" s="40"/>
      <c r="I26" s="22">
        <v>16.45</v>
      </c>
      <c r="J26" s="22">
        <v>0.98099999999999998</v>
      </c>
      <c r="K26" s="1">
        <f t="shared" si="0"/>
        <v>16.768603465851172</v>
      </c>
      <c r="L26" s="38"/>
    </row>
    <row r="27" spans="1:12" x14ac:dyDescent="0.25">
      <c r="A27" s="1" t="s">
        <v>698</v>
      </c>
      <c r="B27" s="152">
        <f>Input!$B$31/1000</f>
        <v>0.08</v>
      </c>
      <c r="C27" s="2"/>
      <c r="D27" s="1"/>
    </row>
    <row r="28" spans="1:12" x14ac:dyDescent="0.25">
      <c r="A28" s="1" t="s">
        <v>483</v>
      </c>
      <c r="B28" s="90">
        <v>0.83</v>
      </c>
      <c r="C28" s="49" t="s">
        <v>699</v>
      </c>
      <c r="D28" s="30" t="s">
        <v>755</v>
      </c>
    </row>
    <row r="29" spans="1:12" x14ac:dyDescent="0.25">
      <c r="A29" s="18" t="s">
        <v>484</v>
      </c>
      <c r="B29" s="152">
        <f>$B$24*$B$25*$B$26*60*$B$20*$B$28</f>
        <v>344.21759999999995</v>
      </c>
      <c r="C29" s="2" t="s">
        <v>756</v>
      </c>
      <c r="D29" s="1"/>
    </row>
    <row r="30" spans="1:12" ht="13.9" customHeight="1" x14ac:dyDescent="0.25">
      <c r="A30" s="1" t="s">
        <v>400</v>
      </c>
      <c r="B30" s="152">
        <f>$B$22*$B$21*$B$23</f>
        <v>72.802499999999995</v>
      </c>
      <c r="C30" s="39" t="s">
        <v>401</v>
      </c>
      <c r="D30" s="1" t="s">
        <v>402</v>
      </c>
    </row>
    <row r="31" spans="1:12" x14ac:dyDescent="0.25">
      <c r="B31" s="29"/>
      <c r="C31" s="29"/>
    </row>
    <row r="32" spans="1:12" ht="18.75" x14ac:dyDescent="0.3">
      <c r="A32" s="227" t="s">
        <v>766</v>
      </c>
      <c r="B32" s="295" t="s">
        <v>376</v>
      </c>
      <c r="C32" s="295" t="s">
        <v>377</v>
      </c>
      <c r="D32" s="62" t="s">
        <v>378</v>
      </c>
    </row>
    <row r="33" spans="1:10" x14ac:dyDescent="0.25">
      <c r="A33" s="1" t="s">
        <v>687</v>
      </c>
      <c r="B33" s="90" t="s">
        <v>767</v>
      </c>
      <c r="C33" s="2"/>
      <c r="D33" s="1"/>
    </row>
    <row r="34" spans="1:10" x14ac:dyDescent="0.25">
      <c r="A34" s="1" t="s">
        <v>750</v>
      </c>
      <c r="B34" s="90" t="s">
        <v>768</v>
      </c>
      <c r="C34" s="2"/>
      <c r="D34" s="18"/>
      <c r="E34" s="3"/>
      <c r="F34" s="3"/>
      <c r="G34" s="3"/>
      <c r="H34" s="3"/>
      <c r="I34" s="3"/>
      <c r="J34" s="3"/>
    </row>
    <row r="35" spans="1:10" x14ac:dyDescent="0.25">
      <c r="A35" s="1" t="s">
        <v>577</v>
      </c>
      <c r="B35" s="152">
        <f>Input!$B$22/1000</f>
        <v>2.4</v>
      </c>
      <c r="C35" s="2"/>
      <c r="D35" s="1"/>
    </row>
    <row r="36" spans="1:10" ht="30" x14ac:dyDescent="0.25">
      <c r="A36" s="1" t="s">
        <v>385</v>
      </c>
      <c r="B36" s="90">
        <v>0.51</v>
      </c>
      <c r="C36" s="39" t="s">
        <v>386</v>
      </c>
      <c r="D36" s="1"/>
    </row>
    <row r="37" spans="1:10" x14ac:dyDescent="0.25">
      <c r="A37" s="1" t="s">
        <v>384</v>
      </c>
      <c r="B37" s="90">
        <v>753</v>
      </c>
      <c r="C37" s="2"/>
      <c r="D37" s="1"/>
    </row>
    <row r="38" spans="1:10" ht="45" x14ac:dyDescent="0.25">
      <c r="A38" s="1" t="s">
        <v>387</v>
      </c>
      <c r="B38" s="90">
        <v>0.25</v>
      </c>
      <c r="C38" s="39" t="s">
        <v>388</v>
      </c>
      <c r="D38" s="214" t="s">
        <v>389</v>
      </c>
    </row>
    <row r="39" spans="1:10" x14ac:dyDescent="0.25">
      <c r="A39" s="1" t="s">
        <v>753</v>
      </c>
      <c r="B39" s="90">
        <v>18</v>
      </c>
      <c r="C39" s="2"/>
      <c r="D39" s="1"/>
    </row>
    <row r="40" spans="1:10" x14ac:dyDescent="0.25">
      <c r="A40" s="1" t="s">
        <v>754</v>
      </c>
      <c r="B40" s="90">
        <f>MIN(2.2,Input!$B$66)</f>
        <v>2.2000000000000002</v>
      </c>
      <c r="C40" s="2"/>
      <c r="D40" s="1"/>
    </row>
    <row r="41" spans="1:10" x14ac:dyDescent="0.25">
      <c r="A41" s="1" t="s">
        <v>124</v>
      </c>
      <c r="B41" s="90">
        <f>MIN(0.35,Input!$B$77)</f>
        <v>0.08</v>
      </c>
      <c r="C41" s="2"/>
      <c r="D41" s="1"/>
    </row>
    <row r="42" spans="1:10" x14ac:dyDescent="0.25">
      <c r="A42" s="1" t="s">
        <v>483</v>
      </c>
      <c r="B42" s="90">
        <v>0.83</v>
      </c>
      <c r="C42" s="2" t="s">
        <v>699</v>
      </c>
      <c r="D42" s="1" t="s">
        <v>755</v>
      </c>
    </row>
    <row r="43" spans="1:10" x14ac:dyDescent="0.25">
      <c r="A43" s="18" t="s">
        <v>484</v>
      </c>
      <c r="B43" s="152">
        <f>$B$39*$B$40*$B$41*60*$B$35*$B$42</f>
        <v>378.63936000000001</v>
      </c>
      <c r="C43" s="2" t="s">
        <v>756</v>
      </c>
      <c r="D43" s="1"/>
    </row>
    <row r="44" spans="1:10" ht="13.9" customHeight="1" x14ac:dyDescent="0.25">
      <c r="A44" s="1" t="s">
        <v>400</v>
      </c>
      <c r="B44" s="152">
        <f>$B$37*$B$36*$B$38</f>
        <v>96.007500000000007</v>
      </c>
      <c r="C44" s="39" t="s">
        <v>401</v>
      </c>
      <c r="D44" s="1" t="s">
        <v>402</v>
      </c>
    </row>
    <row r="45" spans="1:10" x14ac:dyDescent="0.25">
      <c r="B45" s="29"/>
      <c r="C45" s="29"/>
    </row>
    <row r="46" spans="1:10" x14ac:dyDescent="0.25">
      <c r="B46" s="29"/>
      <c r="C46" s="29"/>
    </row>
    <row r="47" spans="1:10" ht="18.75" x14ac:dyDescent="0.3">
      <c r="A47" s="227" t="s">
        <v>769</v>
      </c>
      <c r="B47" s="295" t="s">
        <v>376</v>
      </c>
      <c r="C47" s="295" t="s">
        <v>377</v>
      </c>
      <c r="D47" s="62" t="s">
        <v>378</v>
      </c>
    </row>
    <row r="48" spans="1:10" x14ac:dyDescent="0.25">
      <c r="A48" s="1" t="s">
        <v>770</v>
      </c>
      <c r="B48" s="90" t="s">
        <v>771</v>
      </c>
      <c r="C48" s="2" t="s">
        <v>377</v>
      </c>
      <c r="D48" s="1"/>
    </row>
    <row r="49" spans="1:5" x14ac:dyDescent="0.25">
      <c r="A49" s="1" t="s">
        <v>772</v>
      </c>
      <c r="B49" s="90" t="s">
        <v>773</v>
      </c>
      <c r="C49" s="2" t="s">
        <v>774</v>
      </c>
      <c r="D49" s="1" t="s">
        <v>775</v>
      </c>
    </row>
    <row r="50" spans="1:5" ht="30" x14ac:dyDescent="0.25">
      <c r="A50" s="1" t="s">
        <v>385</v>
      </c>
      <c r="B50" s="90">
        <v>0.51</v>
      </c>
      <c r="C50" s="39" t="s">
        <v>386</v>
      </c>
      <c r="D50" s="1"/>
    </row>
    <row r="51" spans="1:5" x14ac:dyDescent="0.25">
      <c r="A51" s="1" t="s">
        <v>384</v>
      </c>
      <c r="B51" s="90">
        <v>186</v>
      </c>
      <c r="C51" s="2"/>
      <c r="D51" s="1"/>
    </row>
    <row r="52" spans="1:5" ht="45" x14ac:dyDescent="0.25">
      <c r="A52" s="1" t="s">
        <v>387</v>
      </c>
      <c r="B52" s="90">
        <v>0.25</v>
      </c>
      <c r="C52" s="39" t="s">
        <v>388</v>
      </c>
      <c r="D52" s="214" t="s">
        <v>389</v>
      </c>
    </row>
    <row r="53" spans="1:5" x14ac:dyDescent="0.25">
      <c r="A53" s="1" t="s">
        <v>400</v>
      </c>
      <c r="B53" s="152">
        <f>$B$51*$B$50*$B$52</f>
        <v>23.715</v>
      </c>
      <c r="C53" s="39" t="s">
        <v>401</v>
      </c>
      <c r="D53" s="1" t="s">
        <v>446</v>
      </c>
    </row>
    <row r="54" spans="1:5" x14ac:dyDescent="0.25">
      <c r="B54" s="29"/>
      <c r="C54" s="29"/>
    </row>
    <row r="55" spans="1:5" x14ac:dyDescent="0.25">
      <c r="A55" s="1" t="s">
        <v>371</v>
      </c>
      <c r="B55" s="90">
        <v>0.51</v>
      </c>
      <c r="C55" s="90" t="s">
        <v>372</v>
      </c>
    </row>
    <row r="56" spans="1:5" x14ac:dyDescent="0.25">
      <c r="B56" s="29"/>
      <c r="C56" s="29"/>
    </row>
    <row r="57" spans="1:5" x14ac:dyDescent="0.25">
      <c r="B57" s="29"/>
      <c r="C57" s="29"/>
    </row>
    <row r="58" spans="1:5" x14ac:dyDescent="0.25">
      <c r="B58" s="29"/>
      <c r="C58" s="29"/>
    </row>
    <row r="59" spans="1:5" ht="21" x14ac:dyDescent="0.35">
      <c r="A59" s="99" t="s">
        <v>450</v>
      </c>
      <c r="B59" s="29"/>
      <c r="C59" s="29"/>
    </row>
    <row r="60" spans="1:5" ht="21" x14ac:dyDescent="0.35">
      <c r="A60" s="82"/>
      <c r="B60" s="29"/>
      <c r="C60" s="29"/>
    </row>
    <row r="61" spans="1:5" x14ac:dyDescent="0.25">
      <c r="A61" t="s">
        <v>730</v>
      </c>
      <c r="B61" s="29"/>
      <c r="C61" s="29"/>
    </row>
    <row r="63" spans="1:5" x14ac:dyDescent="0.25">
      <c r="A63" s="62" t="s">
        <v>452</v>
      </c>
      <c r="B63" s="62" t="s">
        <v>484</v>
      </c>
      <c r="C63" s="62" t="s">
        <v>400</v>
      </c>
      <c r="D63" s="62" t="s">
        <v>776</v>
      </c>
      <c r="E63" s="62" t="s">
        <v>384</v>
      </c>
    </row>
    <row r="64" spans="1:5" x14ac:dyDescent="0.25">
      <c r="A64" s="1" t="s">
        <v>127</v>
      </c>
      <c r="B64" s="154">
        <v>0</v>
      </c>
      <c r="C64" s="154">
        <v>0</v>
      </c>
      <c r="D64" s="154">
        <v>0</v>
      </c>
      <c r="E64" s="154">
        <v>0</v>
      </c>
    </row>
    <row r="65" spans="1:27" x14ac:dyDescent="0.25">
      <c r="A65" s="13" t="s">
        <v>777</v>
      </c>
      <c r="B65" s="154">
        <f>$B$14</f>
        <v>206.53055999999995</v>
      </c>
      <c r="C65" s="154">
        <f>$B$15</f>
        <v>5.7374999999999998</v>
      </c>
      <c r="D65" s="154">
        <f>$C$65/$B$65</f>
        <v>2.7780392402945119E-2</v>
      </c>
      <c r="E65" s="154">
        <f>$B$8</f>
        <v>45</v>
      </c>
    </row>
    <row r="66" spans="1:27" x14ac:dyDescent="0.25">
      <c r="A66" s="13" t="s">
        <v>778</v>
      </c>
      <c r="B66" s="154">
        <f>$B$29</f>
        <v>344.21759999999995</v>
      </c>
      <c r="C66" s="154">
        <f>$B$30</f>
        <v>72.802499999999995</v>
      </c>
      <c r="D66" s="154">
        <f>$C$66/$B$66</f>
        <v>0.21150138749442216</v>
      </c>
      <c r="E66" s="154">
        <f>$B$22</f>
        <v>571</v>
      </c>
    </row>
    <row r="67" spans="1:27" x14ac:dyDescent="0.25">
      <c r="A67" s="13" t="s">
        <v>779</v>
      </c>
      <c r="B67" s="154">
        <f>$B$43</f>
        <v>378.63936000000001</v>
      </c>
      <c r="C67" s="154">
        <f>$B$44</f>
        <v>96.007500000000007</v>
      </c>
      <c r="D67" s="154">
        <f>$C$67/$B$67</f>
        <v>0.25355921793233543</v>
      </c>
      <c r="E67" s="154">
        <f>$B$37</f>
        <v>753</v>
      </c>
    </row>
    <row r="68" spans="1:27" x14ac:dyDescent="0.25">
      <c r="A68" s="13" t="s">
        <v>130</v>
      </c>
      <c r="B68" s="154" t="s">
        <v>780</v>
      </c>
      <c r="C68" s="154">
        <f>$B$53</f>
        <v>23.715</v>
      </c>
      <c r="D68" s="174" t="s">
        <v>781</v>
      </c>
      <c r="E68" s="154">
        <f>$B$51</f>
        <v>186</v>
      </c>
    </row>
    <row r="71" spans="1:27" ht="24" x14ac:dyDescent="0.4">
      <c r="A71" s="100" t="s">
        <v>782</v>
      </c>
    </row>
    <row r="73" spans="1:27" ht="60" x14ac:dyDescent="0.25">
      <c r="A73" s="127" t="s">
        <v>463</v>
      </c>
      <c r="B73" s="127" t="s">
        <v>464</v>
      </c>
      <c r="C73" s="127" t="s">
        <v>465</v>
      </c>
      <c r="D73" s="127" t="s">
        <v>466</v>
      </c>
      <c r="E73" s="127" t="s">
        <v>484</v>
      </c>
      <c r="F73" s="127" t="s">
        <v>776</v>
      </c>
      <c r="G73" s="127" t="s">
        <v>384</v>
      </c>
      <c r="H73" s="101" t="s">
        <v>303</v>
      </c>
      <c r="I73" s="101" t="s">
        <v>304</v>
      </c>
      <c r="J73" s="101" t="s">
        <v>305</v>
      </c>
      <c r="K73" s="101" t="s">
        <v>306</v>
      </c>
      <c r="L73" s="101" t="s">
        <v>307</v>
      </c>
      <c r="M73" s="101" t="s">
        <v>308</v>
      </c>
      <c r="N73" s="101" t="s">
        <v>309</v>
      </c>
      <c r="O73" s="101" t="s">
        <v>310</v>
      </c>
      <c r="P73" s="101" t="s">
        <v>311</v>
      </c>
      <c r="Q73" s="101" t="s">
        <v>312</v>
      </c>
      <c r="R73" s="101" t="s">
        <v>313</v>
      </c>
      <c r="S73" s="101" t="s">
        <v>314</v>
      </c>
      <c r="T73" s="101" t="s">
        <v>315</v>
      </c>
      <c r="U73" s="101" t="s">
        <v>316</v>
      </c>
      <c r="V73" s="101" t="s">
        <v>317</v>
      </c>
      <c r="W73" s="101" t="s">
        <v>318</v>
      </c>
      <c r="X73" s="101" t="s">
        <v>319</v>
      </c>
      <c r="Y73" s="101" t="s">
        <v>320</v>
      </c>
      <c r="Z73" s="101" t="s">
        <v>321</v>
      </c>
      <c r="AA73" s="25"/>
    </row>
    <row r="74" spans="1:27" x14ac:dyDescent="0.25">
      <c r="A74" s="83" t="s">
        <v>783</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25">
      <c r="A75" s="1" t="s">
        <v>126</v>
      </c>
      <c r="B75" s="154" t="str">
        <f>Input!B80</f>
        <v>No_milling_machine</v>
      </c>
      <c r="C75" s="154">
        <v>1</v>
      </c>
      <c r="D75" s="154" t="str">
        <f>Input!C80</f>
        <v>No</v>
      </c>
      <c r="E75" s="154">
        <f>INDEX('C1 - Deconstruction'!$B$64:$B$67,MATCH(Input!$B80,'C1 - Deconstruction'!$A$64:$A$67,0))</f>
        <v>0</v>
      </c>
      <c r="F75" s="187">
        <f>INDEX('C1 - Deconstruction'!$D$64:$D$67,MATCH(Input!$B80,'C1 - Deconstruction'!$A$64:$A$67,0))</f>
        <v>0</v>
      </c>
      <c r="G75" s="187">
        <f>INDEX('C1 - Deconstruction'!$E$64:$E$68,MATCH(Input!$B80,'C1 -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25">
      <c r="A76" s="1" t="s">
        <v>128</v>
      </c>
      <c r="B76" s="154" t="str">
        <f>Input!B81</f>
        <v>No_milling_machine</v>
      </c>
      <c r="C76" s="154">
        <v>1</v>
      </c>
      <c r="D76" s="154" t="str">
        <f>Input!C81</f>
        <v>No</v>
      </c>
      <c r="E76" s="154">
        <f>INDEX('C1 - Deconstruction'!$B$64:$B$67,MATCH(Input!$B81,'C1 - Deconstruction'!$A$64:$A$67,0))</f>
        <v>0</v>
      </c>
      <c r="F76" s="187">
        <f>INDEX('C1 - Deconstruction'!$D$64:$D$67,MATCH(Input!$B81,'C1 - Deconstruction'!$A$64:$A$67,0))</f>
        <v>0</v>
      </c>
      <c r="G76" s="187">
        <f>INDEX('C1 - Deconstruction'!$E$64:$E$68,MATCH(Input!$B81,'C1 -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25">
      <c r="A77" s="1" t="s">
        <v>129</v>
      </c>
      <c r="B77" s="154" t="str">
        <f>Input!$B$82</f>
        <v>Sweeper_truck_volvo_186kW</v>
      </c>
      <c r="C77" s="154">
        <v>1</v>
      </c>
      <c r="D77" s="154" t="str">
        <f>Input!$C$82</f>
        <v>Diesel</v>
      </c>
      <c r="E77" s="154">
        <f>$E$75</f>
        <v>0</v>
      </c>
      <c r="F77" s="187">
        <f>IF($E$77=0,0,$C$68/$E$75)</f>
        <v>0</v>
      </c>
      <c r="G77" s="187">
        <f>INDEX('C1 - Deconstruction'!$E$64:$E$68,MATCH(Input!$B82,'C1 - Deconstruction'!$A$64:$A$68,0))</f>
        <v>186</v>
      </c>
      <c r="H77" s="154" cm="1">
        <f t="array" ref="H77">IF($E$77=0,0,INDEX(LCI!H$2:H$137,MATCH($A$74&amp;$D77,LCI!$B$2:$B$137&amp;LCI!$D$2:$D$137,0))*IF(OR($D77="Electric", $D77 = "Electric_green"), ($G77/$E77)*$B$55,$F77))*$C77</f>
        <v>0</v>
      </c>
      <c r="I77" s="154" cm="1">
        <f t="array" ref="I77">IF($E$77=0,0,INDEX(LCI!I$2:I$137,MATCH($A$74&amp;$D77,LCI!$B$2:$B$137&amp;LCI!$D$2:$D$137,0))*IF(OR($D77="Electric", $D77 = "Electric_green"), ($G77/$E77)*$B$55,$F77))*$C77</f>
        <v>0</v>
      </c>
      <c r="J77" s="154" cm="1">
        <f t="array" ref="J77">IF($E$77=0,0,INDEX(LCI!J$2:J$137,MATCH($A$74&amp;$D77,LCI!$B$2:$B$137&amp;LCI!$D$2:$D$137,0))*IF(OR($D77="Electric", $D77 = "Electric_green"), ($G77/$E77)*$B$55,$F77))*$C77</f>
        <v>0</v>
      </c>
      <c r="K77" s="154" cm="1">
        <f t="array" ref="K77">IF($E$77=0,0,INDEX(LCI!K$2:K$137,MATCH($A$74&amp;$D77,LCI!$B$2:$B$137&amp;LCI!$D$2:$D$137,0))*IF(OR($D77="Electric", $D77 = "Electric_green"), ($G77/$E77)*$B$55,$F77))*$C77</f>
        <v>0</v>
      </c>
      <c r="L77" s="154" cm="1">
        <f t="array" ref="L77">IF($E$77=0,0,INDEX(LCI!L$2:L$137,MATCH($A$74&amp;$D77,LCI!$B$2:$B$137&amp;LCI!$D$2:$D$137,0))*IF(OR($D77="Electric", $D77 = "Electric_green"), ($G77/$E77)*$B$55,$F77))*$C77</f>
        <v>0</v>
      </c>
      <c r="M77" s="154" cm="1">
        <f t="array" ref="M77">IF($E$77=0,0,INDEX(LCI!M$2:M$137,MATCH($A$74&amp;$D77,LCI!$B$2:$B$137&amp;LCI!$D$2:$D$137,0))*IF(OR($D77="Electric", $D77 = "Electric_green"), ($G77/$E77)*$B$55,$F77))*$C77</f>
        <v>0</v>
      </c>
      <c r="N77" s="154" cm="1">
        <f t="array" ref="N77">IF($E$77=0,0,INDEX(LCI!N$2:N$137,MATCH($A$74&amp;$D77,LCI!$B$2:$B$137&amp;LCI!$D$2:$D$137,0))*IF(OR($D77="Electric", $D77 = "Electric_green"), ($G77/$E77)*$B$55,$F77))*$C77</f>
        <v>0</v>
      </c>
      <c r="O77" s="154" cm="1">
        <f t="array" ref="O77">IF($E$77=0,0,INDEX(LCI!O$2:O$137,MATCH($A$74&amp;$D77,LCI!$B$2:$B$137&amp;LCI!$D$2:$D$137,0))*IF(OR($D77="Electric", $D77 = "Electric_green"), ($G77/$E77)*$B$55,$F77))*$C77</f>
        <v>0</v>
      </c>
      <c r="P77" s="154" cm="1">
        <f t="array" ref="P77">IF($E$77=0,0,INDEX(LCI!P$2:P$137,MATCH($A$74&amp;$D77,LCI!$B$2:$B$137&amp;LCI!$D$2:$D$137,0))*IF(OR($D77="Electric", $D77 = "Electric_green"), ($G77/$E77)*$B$55,$F77))*$C77</f>
        <v>0</v>
      </c>
      <c r="Q77" s="154" cm="1">
        <f t="array" ref="Q77">IF($E$77=0,0,INDEX(LCI!Q$2:Q$137,MATCH($A$74&amp;$D77,LCI!$B$2:$B$137&amp;LCI!$D$2:$D$137,0))*IF(OR($D77="Electric", $D77 = "Electric_green"), ($G77/$E77)*$B$55,$F77))*$C77</f>
        <v>0</v>
      </c>
      <c r="R77" s="154" cm="1">
        <f t="array" ref="R77">IF($E$77=0,0,INDEX(LCI!R$2:R$137,MATCH($A$74&amp;$D77,LCI!$B$2:$B$137&amp;LCI!$D$2:$D$137,0))*IF(OR($D77="Electric", $D77 = "Electric_green"), ($G77/$E77)*$B$55,$F77))*$C77</f>
        <v>0</v>
      </c>
      <c r="S77" s="154" cm="1">
        <f t="array" ref="S77">IF($E$77=0,0,INDEX(LCI!S$2:S$137,MATCH($A$74&amp;$D77,LCI!$B$2:$B$137&amp;LCI!$D$2:$D$137,0))*IF(OR($D77="Electric", $D77 = "Electric_green"), ($G77/$E77)*$B$55,$F77))*$C77</f>
        <v>0</v>
      </c>
      <c r="T77" s="154" cm="1">
        <f t="array" ref="T77">IF($E$77=0,0,INDEX(LCI!T$2:T$137,MATCH($A$74&amp;$D77,LCI!$B$2:$B$137&amp;LCI!$D$2:$D$137,0))*IF(OR($D77="Electric", $D77 = "Electric_green"), ($G77/$E77)*$B$55,$F77))*$C77</f>
        <v>0</v>
      </c>
      <c r="U77" s="154" cm="1">
        <f t="array" ref="U77">IF($E$77=0,0,INDEX(LCI!U$2:U$137,MATCH($A$74&amp;$D77,LCI!$B$2:$B$137&amp;LCI!$D$2:$D$137,0))*IF(OR($D77="Electric", $D77 = "Electric_green"), ($G77/$E77)*$B$55,$F77))*$C77</f>
        <v>0</v>
      </c>
      <c r="V77" s="154" cm="1">
        <f t="array" ref="V77">IF($E$77=0,0,INDEX(LCI!V$2:V$137,MATCH($A$74&amp;$D77,LCI!$B$2:$B$137&amp;LCI!$D$2:$D$137,0))*IF(OR($D77="Electric", $D77 = "Electric_green"), ($G77/$E77)*$B$55,$F77))*$C77</f>
        <v>0</v>
      </c>
      <c r="W77" s="154" cm="1">
        <f t="array" ref="W77">IF($E$77=0,0,INDEX(LCI!W$2:W$137,MATCH($A$74&amp;$D77,LCI!$B$2:$B$137&amp;LCI!$D$2:$D$137,0))*IF(OR($D77="Electric", $D77 = "Electric_green"), ($G77/$E77)*$B$55,$F77))*$C77</f>
        <v>0</v>
      </c>
      <c r="X77" s="154" cm="1">
        <f t="array" ref="X77">IF($E$77=0,0,INDEX(LCI!X$2:X$137,MATCH($A$74&amp;$D77,LCI!$B$2:$B$137&amp;LCI!$D$2:$D$137,0))*IF(OR($D77="Electric", $D77 = "Electric_green"), ($G77/$E77)*$B$55,$F77))*$C77</f>
        <v>0</v>
      </c>
      <c r="Y77" s="154" cm="1">
        <f t="array" ref="Y77">IF($E$77=0,0,INDEX(LCI!Y$2:Y$137,MATCH($A$74&amp;$D77,LCI!$B$2:$B$137&amp;LCI!$D$2:$D$137,0))*IF(OR($D77="Electric", $D77 = "Electric_green"), ($G77/$E77)*$B$55,$F77))*$C77</f>
        <v>0</v>
      </c>
      <c r="Z77" s="154" cm="1">
        <f t="array" ref="Z77">IF($E$77=0,0,INDEX(LCI!Z$2:Z$137,MATCH($A$74&amp;$D77,LCI!$B$2:$B$137&amp;LCI!$D$2:$D$137,0))*IF(OR($D77="Electric", $D77 = "Electric_green"), ($G77/$E77)*$B$55,$F77))*$C77</f>
        <v>0</v>
      </c>
    </row>
    <row r="78" spans="1:27" ht="13.9" customHeight="1" x14ac:dyDescent="0.25">
      <c r="A78" s="405" t="s">
        <v>220</v>
      </c>
      <c r="B78" s="406"/>
      <c r="C78" s="406"/>
      <c r="D78" s="406"/>
      <c r="E78" s="406"/>
      <c r="F78" s="406"/>
      <c r="G78" s="407"/>
      <c r="H78" s="174">
        <f>SUM(H75:H77)</f>
        <v>0</v>
      </c>
      <c r="I78" s="174">
        <f t="shared" ref="I78:Z78" si="1">SUM(I75:I77)</f>
        <v>0</v>
      </c>
      <c r="J78" s="174">
        <f t="shared" si="1"/>
        <v>0</v>
      </c>
      <c r="K78" s="174">
        <f t="shared" si="1"/>
        <v>0</v>
      </c>
      <c r="L78" s="174">
        <f t="shared" si="1"/>
        <v>0</v>
      </c>
      <c r="M78" s="174">
        <f t="shared" si="1"/>
        <v>0</v>
      </c>
      <c r="N78" s="174">
        <f t="shared" si="1"/>
        <v>0</v>
      </c>
      <c r="O78" s="174">
        <f t="shared" si="1"/>
        <v>0</v>
      </c>
      <c r="P78" s="174">
        <f t="shared" si="1"/>
        <v>0</v>
      </c>
      <c r="Q78" s="174">
        <f t="shared" si="1"/>
        <v>0</v>
      </c>
      <c r="R78" s="174">
        <f t="shared" si="1"/>
        <v>0</v>
      </c>
      <c r="S78" s="174">
        <f t="shared" si="1"/>
        <v>0</v>
      </c>
      <c r="T78" s="174">
        <f t="shared" si="1"/>
        <v>0</v>
      </c>
      <c r="U78" s="174">
        <f t="shared" si="1"/>
        <v>0</v>
      </c>
      <c r="V78" s="174">
        <f t="shared" si="1"/>
        <v>0</v>
      </c>
      <c r="W78" s="174">
        <f t="shared" si="1"/>
        <v>0</v>
      </c>
      <c r="X78" s="174">
        <f t="shared" si="1"/>
        <v>0</v>
      </c>
      <c r="Y78" s="174">
        <f t="shared" si="1"/>
        <v>0</v>
      </c>
      <c r="Z78" s="174">
        <f t="shared" si="1"/>
        <v>0</v>
      </c>
      <c r="AA78" s="3"/>
    </row>
    <row r="81" spans="1:2" ht="14.45" customHeight="1" x14ac:dyDescent="0.25"/>
    <row r="83" spans="1:2" ht="24" x14ac:dyDescent="0.4">
      <c r="A83" s="100" t="s">
        <v>784</v>
      </c>
    </row>
    <row r="84" spans="1:2" ht="18.75" x14ac:dyDescent="0.3">
      <c r="A84" s="74"/>
    </row>
    <row r="85" spans="1:2" x14ac:dyDescent="0.25">
      <c r="A85" s="62" t="s">
        <v>164</v>
      </c>
      <c r="B85" s="62" t="s">
        <v>785</v>
      </c>
    </row>
    <row r="86" spans="1:2" x14ac:dyDescent="0.25">
      <c r="A86" s="1" t="s">
        <v>344</v>
      </c>
      <c r="B86" s="174">
        <f>SUM(H75:H77)</f>
        <v>0</v>
      </c>
    </row>
    <row r="87" spans="1:2" x14ac:dyDescent="0.25">
      <c r="A87" s="1" t="s">
        <v>304</v>
      </c>
      <c r="B87" s="174">
        <f>SUM(I75:I77)</f>
        <v>0</v>
      </c>
    </row>
    <row r="88" spans="1:2" x14ac:dyDescent="0.25">
      <c r="A88" s="1" t="s">
        <v>305</v>
      </c>
      <c r="B88" s="174">
        <f>SUM(J75:J77)</f>
        <v>0</v>
      </c>
    </row>
    <row r="89" spans="1:2" x14ac:dyDescent="0.25">
      <c r="A89" s="1" t="s">
        <v>306</v>
      </c>
      <c r="B89" s="174">
        <f>SUM(K75:K77)</f>
        <v>0</v>
      </c>
    </row>
    <row r="90" spans="1:2" x14ac:dyDescent="0.25">
      <c r="A90" s="1" t="s">
        <v>307</v>
      </c>
      <c r="B90" s="174">
        <f>SUM(L75:L77)</f>
        <v>0</v>
      </c>
    </row>
    <row r="91" spans="1:2" x14ac:dyDescent="0.25">
      <c r="A91" s="1" t="s">
        <v>308</v>
      </c>
      <c r="B91" s="174">
        <f>SUM(M75:M77)</f>
        <v>0</v>
      </c>
    </row>
    <row r="92" spans="1:2" x14ac:dyDescent="0.25">
      <c r="A92" s="1" t="s">
        <v>309</v>
      </c>
      <c r="B92" s="174">
        <f>SUM(N75:N77)</f>
        <v>0</v>
      </c>
    </row>
    <row r="93" spans="1:2" x14ac:dyDescent="0.25">
      <c r="A93" s="1" t="s">
        <v>310</v>
      </c>
      <c r="B93" s="174">
        <f>SUM(O75:O77)</f>
        <v>0</v>
      </c>
    </row>
    <row r="94" spans="1:2" x14ac:dyDescent="0.25">
      <c r="A94" s="1" t="s">
        <v>311</v>
      </c>
      <c r="B94" s="174">
        <f>SUM(P75:P77)</f>
        <v>0</v>
      </c>
    </row>
    <row r="95" spans="1:2" x14ac:dyDescent="0.25">
      <c r="A95" s="1" t="s">
        <v>312</v>
      </c>
      <c r="B95" s="174">
        <f>SUM(Q75:Q77)</f>
        <v>0</v>
      </c>
    </row>
    <row r="96" spans="1:2" x14ac:dyDescent="0.25">
      <c r="A96" s="1" t="s">
        <v>313</v>
      </c>
      <c r="B96" s="174">
        <f>SUM(R75:R77)</f>
        <v>0</v>
      </c>
    </row>
    <row r="97" spans="1:2" x14ac:dyDescent="0.25">
      <c r="A97" s="1" t="s">
        <v>345</v>
      </c>
      <c r="B97" s="174">
        <f>SUM(S75:S77)</f>
        <v>0</v>
      </c>
    </row>
    <row r="98" spans="1:2" x14ac:dyDescent="0.25">
      <c r="A98" s="1" t="s">
        <v>315</v>
      </c>
      <c r="B98" s="174">
        <f>SUM(T75:T77)</f>
        <v>0</v>
      </c>
    </row>
    <row r="99" spans="1:2" x14ac:dyDescent="0.25">
      <c r="A99" s="1" t="s">
        <v>316</v>
      </c>
      <c r="B99" s="174">
        <f>SUM(U75:U77)</f>
        <v>0</v>
      </c>
    </row>
    <row r="100" spans="1:2" x14ac:dyDescent="0.25">
      <c r="A100" s="1" t="s">
        <v>317</v>
      </c>
      <c r="B100" s="174">
        <f>SUM(V75:V77)</f>
        <v>0</v>
      </c>
    </row>
    <row r="101" spans="1:2" x14ac:dyDescent="0.25">
      <c r="A101" s="1" t="s">
        <v>318</v>
      </c>
      <c r="B101" s="174">
        <f>SUM(W75:W77)</f>
        <v>0</v>
      </c>
    </row>
    <row r="102" spans="1:2" x14ac:dyDescent="0.25">
      <c r="A102" s="1" t="s">
        <v>319</v>
      </c>
      <c r="B102" s="174">
        <f>SUM(X75:X77)</f>
        <v>0</v>
      </c>
    </row>
    <row r="103" spans="1:2" x14ac:dyDescent="0.25">
      <c r="A103" s="1" t="s">
        <v>320</v>
      </c>
      <c r="B103" s="174">
        <f>SUM(Y75:Y77)</f>
        <v>0</v>
      </c>
    </row>
    <row r="104" spans="1:2" x14ac:dyDescent="0.25">
      <c r="A104" s="1" t="s">
        <v>321</v>
      </c>
      <c r="B104" s="174">
        <f>SUM(Z75:Z77)</f>
        <v>0</v>
      </c>
    </row>
    <row r="108" spans="1:2" x14ac:dyDescent="0.25">
      <c r="B108" t="s">
        <v>682</v>
      </c>
    </row>
    <row r="109" spans="1:2" x14ac:dyDescent="0.25">
      <c r="A109" s="95" t="s">
        <v>683</v>
      </c>
      <c r="B109" s="1">
        <f>SUM($H$78:$Z$78)</f>
        <v>0</v>
      </c>
    </row>
    <row r="110" spans="1:2" x14ac:dyDescent="0.25">
      <c r="A110" s="95" t="s">
        <v>684</v>
      </c>
      <c r="B110" s="1">
        <f>SUM($B$86:$B$104)</f>
        <v>0</v>
      </c>
    </row>
    <row r="111" spans="1:2" x14ac:dyDescent="0.25">
      <c r="A111" s="95" t="s">
        <v>62</v>
      </c>
      <c r="B111" s="204">
        <f>B109-B110</f>
        <v>0</v>
      </c>
    </row>
  </sheetData>
  <mergeCells count="2">
    <mergeCell ref="D16:I16"/>
    <mergeCell ref="A78:G78"/>
  </mergeCells>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5" x14ac:dyDescent="0.25"/>
  <cols>
    <col min="1" max="1" width="64.42578125" customWidth="1"/>
    <col min="2" max="2" width="42.5703125" customWidth="1"/>
    <col min="3" max="3" width="81.140625" bestFit="1" customWidth="1"/>
    <col min="4" max="4" width="50.42578125" customWidth="1"/>
    <col min="5" max="5" width="23.140625" customWidth="1"/>
    <col min="6" max="6" width="20" customWidth="1"/>
    <col min="7" max="7" width="19.7109375" customWidth="1"/>
    <col min="8" max="8" width="20.5703125" customWidth="1"/>
    <col min="9" max="9" width="17.85546875" customWidth="1"/>
    <col min="10" max="10" width="23.140625" customWidth="1"/>
    <col min="11" max="11" width="17.85546875" customWidth="1"/>
    <col min="12" max="12" width="21.140625" customWidth="1"/>
    <col min="13" max="13" width="18.28515625" customWidth="1"/>
    <col min="14" max="14" width="20.5703125" customWidth="1"/>
    <col min="15" max="15" width="22.42578125" customWidth="1"/>
    <col min="16" max="16" width="20.85546875" customWidth="1"/>
    <col min="17" max="17" width="25.28515625" customWidth="1"/>
    <col min="18" max="18" width="21.42578125" customWidth="1"/>
    <col min="19" max="19" width="31.42578125" customWidth="1"/>
    <col min="20" max="20" width="28.140625" customWidth="1"/>
    <col min="21" max="21" width="21.85546875" customWidth="1"/>
    <col min="22" max="22" width="27.42578125" customWidth="1"/>
    <col min="23" max="23" width="19.28515625" customWidth="1"/>
    <col min="24" max="24" width="24.28515625" customWidth="1"/>
    <col min="25" max="25" width="25.85546875" customWidth="1"/>
    <col min="26" max="26" width="27.85546875" customWidth="1"/>
    <col min="27" max="27" width="11.7109375" customWidth="1"/>
  </cols>
  <sheetData>
    <row r="1" spans="1:6" ht="24" x14ac:dyDescent="0.4">
      <c r="A1" s="100" t="s">
        <v>786</v>
      </c>
    </row>
    <row r="2" spans="1:6" ht="15" customHeight="1" x14ac:dyDescent="0.4">
      <c r="A2" s="100"/>
    </row>
    <row r="3" spans="1:6" x14ac:dyDescent="0.25">
      <c r="A3" s="1" t="s">
        <v>371</v>
      </c>
      <c r="B3" s="90">
        <v>0.51</v>
      </c>
      <c r="C3" s="2" t="s">
        <v>372</v>
      </c>
    </row>
    <row r="5" spans="1:6" ht="24" x14ac:dyDescent="0.4">
      <c r="A5" s="100" t="s">
        <v>787</v>
      </c>
      <c r="D5" s="24"/>
    </row>
    <row r="7" spans="1:6" x14ac:dyDescent="0.25">
      <c r="A7" s="62" t="s">
        <v>300</v>
      </c>
      <c r="B7" s="62" t="s">
        <v>788</v>
      </c>
      <c r="C7" s="62" t="s">
        <v>789</v>
      </c>
      <c r="D7" s="62" t="s">
        <v>790</v>
      </c>
      <c r="F7" s="3"/>
    </row>
    <row r="8" spans="1:6" x14ac:dyDescent="0.25">
      <c r="A8" s="1" t="s">
        <v>287</v>
      </c>
      <c r="B8" s="96" t="s">
        <v>67</v>
      </c>
      <c r="C8" s="96" t="s">
        <v>77</v>
      </c>
      <c r="D8" s="97">
        <f>Input!$L$39</f>
        <v>20</v>
      </c>
    </row>
    <row r="9" spans="1:6" x14ac:dyDescent="0.25">
      <c r="A9" s="73" t="s">
        <v>233</v>
      </c>
      <c r="B9" s="96" t="s">
        <v>67</v>
      </c>
      <c r="C9" s="96" t="s">
        <v>77</v>
      </c>
      <c r="D9" s="97">
        <f>Input!$L$49</f>
        <v>20</v>
      </c>
    </row>
    <row r="10" spans="1:6" x14ac:dyDescent="0.25">
      <c r="A10" s="73" t="s">
        <v>243</v>
      </c>
      <c r="B10" s="96" t="s">
        <v>67</v>
      </c>
      <c r="C10" s="96" t="s">
        <v>77</v>
      </c>
      <c r="D10" s="97">
        <v>128</v>
      </c>
    </row>
    <row r="11" spans="1:6" x14ac:dyDescent="0.25">
      <c r="A11" s="73" t="s">
        <v>288</v>
      </c>
      <c r="B11" s="96" t="s">
        <v>67</v>
      </c>
      <c r="C11" s="96" t="s">
        <v>77</v>
      </c>
      <c r="D11" s="97">
        <v>95</v>
      </c>
    </row>
    <row r="12" spans="1:6" x14ac:dyDescent="0.25">
      <c r="A12" s="73" t="s">
        <v>791</v>
      </c>
      <c r="B12" s="96" t="s">
        <v>67</v>
      </c>
      <c r="C12" s="96" t="s">
        <v>77</v>
      </c>
      <c r="D12" s="97">
        <f>Input!$L$51</f>
        <v>20</v>
      </c>
    </row>
    <row r="15" spans="1:6" ht="15.75" x14ac:dyDescent="0.25">
      <c r="A15" s="81" t="s">
        <v>792</v>
      </c>
      <c r="B15" s="3"/>
    </row>
    <row r="16" spans="1:6" x14ac:dyDescent="0.25">
      <c r="A16" s="1" t="s">
        <v>793</v>
      </c>
      <c r="B16" s="165">
        <f>Input!$B$51+Input!$B$52</f>
        <v>0.41000000000000003</v>
      </c>
    </row>
    <row r="17" spans="1:25" x14ac:dyDescent="0.25">
      <c r="A17" s="1" t="s">
        <v>794</v>
      </c>
      <c r="B17" s="190">
        <f>100%-$B$16</f>
        <v>0.59</v>
      </c>
      <c r="C17" s="11"/>
    </row>
    <row r="20" spans="1:25" ht="24" x14ac:dyDescent="0.4">
      <c r="A20" s="100" t="s">
        <v>795</v>
      </c>
    </row>
    <row r="21" spans="1:25" x14ac:dyDescent="0.25">
      <c r="A21" s="3"/>
    </row>
    <row r="22" spans="1:25" ht="15.75" x14ac:dyDescent="0.25">
      <c r="A22" s="81" t="s">
        <v>547</v>
      </c>
    </row>
    <row r="23" spans="1:25" x14ac:dyDescent="0.25">
      <c r="A23" s="62" t="s">
        <v>375</v>
      </c>
      <c r="B23" s="304" t="s">
        <v>376</v>
      </c>
      <c r="C23" s="295" t="s">
        <v>377</v>
      </c>
      <c r="D23" s="62" t="s">
        <v>378</v>
      </c>
    </row>
    <row r="24" spans="1:25" x14ac:dyDescent="0.25">
      <c r="A24" s="1" t="s">
        <v>677</v>
      </c>
      <c r="B24" s="106">
        <v>1.24</v>
      </c>
      <c r="C24" t="s">
        <v>550</v>
      </c>
      <c r="D24" s="20" t="s">
        <v>551</v>
      </c>
    </row>
    <row r="25" spans="1:25" x14ac:dyDescent="0.25">
      <c r="A25" s="1" t="s">
        <v>552</v>
      </c>
      <c r="B25" s="106">
        <v>36.286999999999999</v>
      </c>
    </row>
    <row r="26" spans="1:25" x14ac:dyDescent="0.25">
      <c r="A26" s="1" t="s">
        <v>678</v>
      </c>
      <c r="B26" s="163">
        <f>$B$24/$B$25</f>
        <v>3.417201752693802E-2</v>
      </c>
    </row>
    <row r="27" spans="1:25" x14ac:dyDescent="0.25">
      <c r="A27" s="3"/>
    </row>
    <row r="29" spans="1:25" ht="90" x14ac:dyDescent="0.25">
      <c r="A29" s="104" t="s">
        <v>464</v>
      </c>
      <c r="B29" s="104" t="s">
        <v>301</v>
      </c>
      <c r="C29" s="103" t="s">
        <v>640</v>
      </c>
      <c r="D29" s="103" t="s">
        <v>60</v>
      </c>
      <c r="E29" s="103" t="s">
        <v>556</v>
      </c>
      <c r="F29" s="103" t="s">
        <v>557</v>
      </c>
      <c r="G29" s="302" t="s">
        <v>303</v>
      </c>
      <c r="H29" s="302" t="s">
        <v>304</v>
      </c>
      <c r="I29" s="302" t="s">
        <v>305</v>
      </c>
      <c r="J29" s="302" t="s">
        <v>306</v>
      </c>
      <c r="K29" s="302" t="s">
        <v>307</v>
      </c>
      <c r="L29" s="302" t="s">
        <v>308</v>
      </c>
      <c r="M29" s="302" t="s">
        <v>309</v>
      </c>
      <c r="N29" s="302" t="s">
        <v>310</v>
      </c>
      <c r="O29" s="302" t="s">
        <v>311</v>
      </c>
      <c r="P29" s="302" t="s">
        <v>312</v>
      </c>
      <c r="Q29" s="302" t="s">
        <v>313</v>
      </c>
      <c r="R29" s="302" t="s">
        <v>314</v>
      </c>
      <c r="S29" s="302" t="s">
        <v>315</v>
      </c>
      <c r="T29" s="302" t="s">
        <v>316</v>
      </c>
      <c r="U29" s="302" t="s">
        <v>317</v>
      </c>
      <c r="V29" s="302" t="s">
        <v>318</v>
      </c>
      <c r="W29" s="302" t="s">
        <v>319</v>
      </c>
      <c r="X29" s="302" t="s">
        <v>320</v>
      </c>
      <c r="Y29" s="302" t="s">
        <v>321</v>
      </c>
    </row>
    <row r="30" spans="1:25" x14ac:dyDescent="0.25">
      <c r="A30" s="1" t="s">
        <v>796</v>
      </c>
      <c r="B30" s="1" t="s">
        <v>797</v>
      </c>
      <c r="C30" s="191">
        <f>$B$17</f>
        <v>0.59</v>
      </c>
      <c r="D30" s="154">
        <f>$D$12</f>
        <v>20</v>
      </c>
      <c r="E30" s="154" t="str">
        <f>$B$12</f>
        <v>Truck</v>
      </c>
      <c r="F30" s="154" t="str">
        <f>$C$12</f>
        <v>Diesel_Euro5</v>
      </c>
      <c r="G30" s="154" cm="1">
        <f t="array" ref="G30">INDEX(LCI!H$2:H$137,MATCH('D- Benefits &amp; Burdens'!$E$30&amp;'D- Benefits &amp; Burdens'!$F$30,LCI!$B$2:$B$137&amp;LCI!$D$2:$D$137,0))*IF(AND($E30="Truck",$F30="Electric"),$B$26,1)*$D$30*$C$30</f>
        <v>5.2242966E-3</v>
      </c>
      <c r="H30" s="154" cm="1">
        <f t="array" ref="H30">INDEX(LCI!I$2:I$137,MATCH('D- Benefits &amp; Burdens'!$E$30&amp;'D- Benefits &amp; Burdens'!$F$30,LCI!$B$2:$B$137&amp;LCI!$D$2:$D$137,0))*IF(AND($E30="Truck",$F30="Electric"),$B$26,1)*$D$30*$C$30</f>
        <v>1.9096641982</v>
      </c>
      <c r="I30" s="154" cm="1">
        <f t="array" ref="I30">INDEX(LCI!J$2:J$137,MATCH('D- Benefits &amp; Burdens'!$E$30&amp;'D- Benefits &amp; Burdens'!$F$30,LCI!$B$2:$B$137&amp;LCI!$D$2:$D$137,0))*IF(AND($E30="Truck",$F30="Electric"),$B$26,1)*$D$30*$C$30</f>
        <v>8.8262583999999995E-4</v>
      </c>
      <c r="J30" s="154" cm="1">
        <f t="array" ref="J30">INDEX(LCI!K$2:K$137,MATCH('D- Benefits &amp; Burdens'!$E$30&amp;'D- Benefits &amp; Burdens'!$F$30,LCI!$B$2:$B$137&amp;LCI!$D$2:$D$137,0))*IF(AND($E30="Truck",$F30="Electric"),$B$26,1)*$D$30*$C$30</f>
        <v>1.9086314149999999</v>
      </c>
      <c r="K30" s="154" cm="1">
        <f t="array" ref="K30">INDEX(LCI!L$2:L$137,MATCH('D- Benefits &amp; Burdens'!$E$30&amp;'D- Benefits &amp; Burdens'!$F$30,LCI!$B$2:$B$137&amp;LCI!$D$2:$D$137,0))*IF(AND($E30="Truck",$F30="Electric"),$B$26,1)*$D$30*$C$30</f>
        <v>1.5015382000000001E-4</v>
      </c>
      <c r="L30" s="154" cm="1">
        <f t="array" ref="L30">INDEX(LCI!M$2:M$137,MATCH('D- Benefits &amp; Burdens'!$E$30&amp;'D- Benefits &amp; Burdens'!$F$30,LCI!$B$2:$B$137&amp;LCI!$D$2:$D$137,0))*IF(AND($E30="Truck",$F30="Electric"),$B$26,1)*$D$30*$C$30</f>
        <v>1.6229345704</v>
      </c>
      <c r="M30" s="154" cm="1">
        <f t="array" ref="M30">INDEX(LCI!N$2:N$137,MATCH('D- Benefits &amp; Burdens'!$E$30&amp;'D- Benefits &amp; Burdens'!$F$30,LCI!$B$2:$B$137&amp;LCI!$D$2:$D$137,0))*IF(AND($E30="Truck",$F30="Electric"),$B$26,1)*$D$30*$C$30</f>
        <v>25.676087398</v>
      </c>
      <c r="N30" s="154" cm="1">
        <f t="array" ref="N30">INDEX(LCI!O$2:O$137,MATCH('D- Benefits &amp; Burdens'!$E$30&amp;'D- Benefits &amp; Burdens'!$F$30,LCI!$B$2:$B$137&amp;LCI!$D$2:$D$137,0))*IF(AND($E30="Truck",$F30="Electric"),$B$26,1)*$D$30*$C$30</f>
        <v>4.3931399999999998E-5</v>
      </c>
      <c r="O30" s="154" cm="1">
        <f t="array" ref="O30">INDEX(LCI!P$2:P$137,MATCH('D- Benefits &amp; Burdens'!$E$30&amp;'D- Benefits &amp; Burdens'!$F$30,LCI!$B$2:$B$137&amp;LCI!$D$2:$D$137,0))*IF(AND($E30="Truck",$F30="Electric"),$B$26,1)*$D$30*$C$30</f>
        <v>1.8744771999999997E-3</v>
      </c>
      <c r="P30" s="154" cm="1">
        <f t="array" ref="P30">INDEX(LCI!Q$2:Q$137,MATCH('D- Benefits &amp; Burdens'!$E$30&amp;'D- Benefits &amp; Burdens'!$F$30,LCI!$B$2:$B$137&amp;LCI!$D$2:$D$137,0))*IF(AND($E30="Truck",$F30="Electric"),$B$26,1)*$D$30*$C$30</f>
        <v>2.0447688999999998E-2</v>
      </c>
      <c r="Q30" s="154" cm="1">
        <f t="array" ref="Q30">INDEX(LCI!R$2:R$137,MATCH('D- Benefits &amp; Burdens'!$E$30&amp;'D- Benefits &amp; Burdens'!$F$30,LCI!$B$2:$B$137&amp;LCI!$D$2:$D$137,0))*IF(AND($E30="Truck",$F30="Electric"),$B$26,1)*$D$30*$C$30</f>
        <v>1.7849977999999998E-10</v>
      </c>
      <c r="R30" s="154" cm="1">
        <f t="array" ref="R30">INDEX(LCI!S$2:S$137,MATCH('D- Benefits &amp; Burdens'!$E$30&amp;'D- Benefits &amp; Burdens'!$F$30,LCI!$B$2:$B$137&amp;LCI!$D$2:$D$137,0))*IF(AND($E30="Truck",$F30="Electric"),$B$26,1)*$D$30*$C$30</f>
        <v>1.3686230000000001E-8</v>
      </c>
      <c r="S30" s="154" cm="1">
        <f t="array" ref="S30">INDEX(LCI!T$2:T$137,MATCH('D- Benefits &amp; Burdens'!$E$30&amp;'D- Benefits &amp; Burdens'!$F$30,LCI!$B$2:$B$137&amp;LCI!$D$2:$D$137,0))*IF(AND($E30="Truck",$F30="Electric"),$B$26,1)*$D$30*$C$30</f>
        <v>1.1559610399999998E-2</v>
      </c>
      <c r="T30" s="154" cm="1">
        <f t="array" ref="T30">INDEX(LCI!U$2:U$137,MATCH('D- Benefits &amp; Burdens'!$E$30&amp;'D- Benefits &amp; Burdens'!$F$30,LCI!$B$2:$B$137&amp;LCI!$D$2:$D$137,0))*IF(AND($E30="Truck",$F30="Electric"),$B$26,1)*$D$30*$C$30</f>
        <v>1.6111937119999999</v>
      </c>
      <c r="U30" s="154" cm="1">
        <f t="array" ref="U30">INDEX(LCI!V$2:V$137,MATCH('D- Benefits &amp; Burdens'!$E$30&amp;'D- Benefits &amp; Burdens'!$F$30,LCI!$B$2:$B$137&amp;LCI!$D$2:$D$137,0))*IF(AND($E30="Truck",$F30="Electric"),$B$26,1)*$D$30*$C$30</f>
        <v>2.0699677999999997E-6</v>
      </c>
      <c r="V30" s="154" cm="1">
        <f t="array" ref="V30">INDEX(LCI!W$2:W$137,MATCH('D- Benefits &amp; Burdens'!$E$30&amp;'D- Benefits &amp; Burdens'!$F$30,LCI!$B$2:$B$137&amp;LCI!$D$2:$D$137,0))*IF(AND($E30="Truck",$F30="Electric"),$B$26,1)*$D$30*$C$30</f>
        <v>4.2478347999999997E-8</v>
      </c>
      <c r="W30" s="154" cm="1">
        <f t="array" ref="W30">INDEX(LCI!X$2:X$137,MATCH('D- Benefits &amp; Burdens'!$E$30&amp;'D- Benefits &amp; Burdens'!$F$30,LCI!$B$2:$B$137&amp;LCI!$D$2:$D$137,0))*IF(AND($E30="Truck",$F30="Electric"),$B$26,1)*$D$30*$C$30</f>
        <v>1.2912740000000001E-7</v>
      </c>
      <c r="X30" s="154" cm="1">
        <f t="array" ref="X30">INDEX(LCI!Y$2:Y$137,MATCH('D- Benefits &amp; Burdens'!$E$30&amp;'D- Benefits &amp; Burdens'!$F$30,LCI!$B$2:$B$137&amp;LCI!$D$2:$D$137,0))*IF(AND($E30="Truck",$F30="Electric"),$B$26,1)*$D$30*$C$30</f>
        <v>8.2252490000000004E-3</v>
      </c>
      <c r="Y30" s="154" cm="1">
        <f t="array" ref="Y30">INDEX(LCI!Z$2:Z$137,MATCH('D- Benefits &amp; Burdens'!$E$30&amp;'D- Benefits &amp; Burdens'!$F$30,LCI!$B$2:$B$137&amp;LCI!$D$2:$D$137,0))*IF(AND($E30="Truck",$F30="Electric"),$B$26,1)*$D$30*$C$30</f>
        <v>5.7952655599999993E-2</v>
      </c>
    </row>
    <row r="31" spans="1:25" ht="13.9" customHeight="1" x14ac:dyDescent="0.25">
      <c r="C31" s="92"/>
    </row>
    <row r="32" spans="1:25" ht="13.9" customHeight="1" x14ac:dyDescent="0.25">
      <c r="C32" s="92"/>
    </row>
    <row r="33" spans="1:4" ht="24" x14ac:dyDescent="0.4">
      <c r="A33" s="100" t="s">
        <v>798</v>
      </c>
    </row>
    <row r="34" spans="1:4" ht="13.9" customHeight="1" x14ac:dyDescent="0.3">
      <c r="A34" s="72"/>
      <c r="B34" s="29"/>
    </row>
    <row r="35" spans="1:4" ht="13.9" customHeight="1" x14ac:dyDescent="0.25">
      <c r="A35" s="81" t="s">
        <v>799</v>
      </c>
      <c r="B35" s="29"/>
    </row>
    <row r="36" spans="1:4" ht="13.9" customHeight="1" x14ac:dyDescent="0.25">
      <c r="A36" s="62" t="s">
        <v>375</v>
      </c>
      <c r="B36" s="304" t="s">
        <v>376</v>
      </c>
      <c r="C36" s="295" t="s">
        <v>377</v>
      </c>
      <c r="D36" s="62" t="s">
        <v>378</v>
      </c>
    </row>
    <row r="37" spans="1:4" ht="13.9" customHeight="1" x14ac:dyDescent="0.25">
      <c r="A37" s="2" t="s">
        <v>379</v>
      </c>
      <c r="B37" s="90" t="s">
        <v>380</v>
      </c>
      <c r="C37" s="201" t="s">
        <v>800</v>
      </c>
      <c r="D37" s="1" t="s">
        <v>801</v>
      </c>
    </row>
    <row r="38" spans="1:4" ht="13.9" customHeight="1" x14ac:dyDescent="0.25">
      <c r="A38" s="2" t="s">
        <v>383</v>
      </c>
      <c r="B38" s="90">
        <v>1</v>
      </c>
      <c r="C38" s="33"/>
      <c r="D38" s="1"/>
    </row>
    <row r="39" spans="1:4" ht="13.9" customHeight="1" x14ac:dyDescent="0.25">
      <c r="A39" s="2" t="s">
        <v>384</v>
      </c>
      <c r="B39" s="90">
        <v>263.2</v>
      </c>
      <c r="C39" s="1"/>
      <c r="D39" s="1"/>
    </row>
    <row r="40" spans="1:4" ht="13.9" customHeight="1" x14ac:dyDescent="0.25">
      <c r="A40" s="2" t="s">
        <v>387</v>
      </c>
      <c r="B40" s="90">
        <v>0.25</v>
      </c>
      <c r="C40" s="53" t="s">
        <v>388</v>
      </c>
      <c r="D40" s="30" t="s">
        <v>727</v>
      </c>
    </row>
    <row r="41" spans="1:4" ht="13.9" customHeight="1" x14ac:dyDescent="0.25">
      <c r="A41" s="2" t="s">
        <v>385</v>
      </c>
      <c r="B41" s="90">
        <v>0.51</v>
      </c>
      <c r="C41" s="218" t="s">
        <v>386</v>
      </c>
      <c r="D41" s="1"/>
    </row>
    <row r="42" spans="1:4" ht="13.9" customHeight="1" x14ac:dyDescent="0.25">
      <c r="A42" s="42" t="s">
        <v>802</v>
      </c>
      <c r="B42" s="152">
        <f>$B$39*$B$40*$B$41</f>
        <v>33.558</v>
      </c>
      <c r="C42" s="53" t="s">
        <v>401</v>
      </c>
      <c r="D42" s="1" t="s">
        <v>402</v>
      </c>
    </row>
    <row r="43" spans="1:4" ht="13.9" customHeight="1" x14ac:dyDescent="0.25">
      <c r="A43" s="2" t="s">
        <v>390</v>
      </c>
      <c r="B43" s="90">
        <v>2.2000000000000002</v>
      </c>
      <c r="C43" s="1"/>
      <c r="D43" s="1"/>
    </row>
    <row r="44" spans="1:4" ht="13.9" customHeight="1" x14ac:dyDescent="0.25">
      <c r="A44" s="2" t="s">
        <v>393</v>
      </c>
      <c r="B44" s="90">
        <v>0.45</v>
      </c>
      <c r="C44" s="1" t="s">
        <v>394</v>
      </c>
      <c r="D44" s="1"/>
    </row>
    <row r="45" spans="1:4" ht="13.9" customHeight="1" x14ac:dyDescent="0.25">
      <c r="A45" s="2" t="s">
        <v>395</v>
      </c>
      <c r="B45" s="152">
        <f>60/$B$44</f>
        <v>133.33333333333334</v>
      </c>
      <c r="C45" s="1"/>
      <c r="D45" s="1"/>
    </row>
    <row r="46" spans="1:4" ht="13.9" customHeight="1" x14ac:dyDescent="0.25">
      <c r="A46" s="2" t="s">
        <v>396</v>
      </c>
      <c r="B46" s="90">
        <v>5.4</v>
      </c>
      <c r="C46" s="8"/>
      <c r="D46" s="1"/>
    </row>
    <row r="47" spans="1:4" ht="13.9" customHeight="1" x14ac:dyDescent="0.25">
      <c r="A47" s="42" t="s">
        <v>397</v>
      </c>
      <c r="B47" s="152">
        <f>$B$43*$B$45*$B$46</f>
        <v>1584.0000000000002</v>
      </c>
      <c r="C47" s="8"/>
      <c r="D47" s="1"/>
    </row>
    <row r="48" spans="1:4" ht="13.9" customHeight="1" x14ac:dyDescent="0.25">
      <c r="A48" s="42" t="s">
        <v>803</v>
      </c>
      <c r="B48" s="152">
        <f>$B$17/$B$47</f>
        <v>3.7247474747474738E-4</v>
      </c>
      <c r="C48" s="13" t="s">
        <v>804</v>
      </c>
      <c r="D48" s="1"/>
    </row>
    <row r="49" spans="1:4" ht="13.9" customHeight="1" x14ac:dyDescent="0.3">
      <c r="A49" s="72"/>
      <c r="B49" s="29"/>
    </row>
    <row r="50" spans="1:4" ht="18.75" x14ac:dyDescent="0.3">
      <c r="A50" s="116" t="s">
        <v>805</v>
      </c>
      <c r="B50" s="116"/>
      <c r="C50" s="116"/>
    </row>
    <row r="51" spans="1:4" ht="13.9" customHeight="1" x14ac:dyDescent="0.3">
      <c r="A51" s="75"/>
      <c r="B51" s="75"/>
      <c r="C51" s="75"/>
    </row>
    <row r="52" spans="1:4" ht="13.9" customHeight="1" x14ac:dyDescent="0.25">
      <c r="A52" s="62" t="s">
        <v>375</v>
      </c>
      <c r="B52" s="304" t="s">
        <v>376</v>
      </c>
      <c r="C52" s="295" t="s">
        <v>377</v>
      </c>
      <c r="D52" s="62" t="s">
        <v>378</v>
      </c>
    </row>
    <row r="53" spans="1:4" ht="13.9" customHeight="1" x14ac:dyDescent="0.25">
      <c r="A53" s="1" t="s">
        <v>806</v>
      </c>
      <c r="B53" s="90">
        <v>0.25</v>
      </c>
      <c r="C53" s="223" t="s">
        <v>388</v>
      </c>
      <c r="D53" s="214" t="s">
        <v>492</v>
      </c>
    </row>
    <row r="54" spans="1:4" ht="13.9" customHeight="1" x14ac:dyDescent="0.25">
      <c r="A54" s="1" t="s">
        <v>385</v>
      </c>
      <c r="B54" s="90">
        <v>0.51</v>
      </c>
      <c r="C54" s="53" t="s">
        <v>386</v>
      </c>
      <c r="D54" s="1"/>
    </row>
    <row r="55" spans="1:4" ht="13.9" customHeight="1" x14ac:dyDescent="0.25">
      <c r="A55" s="1" t="s">
        <v>404</v>
      </c>
      <c r="B55" s="90" t="s">
        <v>405</v>
      </c>
      <c r="C55" s="46" t="s">
        <v>405</v>
      </c>
      <c r="D55" s="30" t="s">
        <v>807</v>
      </c>
    </row>
    <row r="56" spans="1:4" ht="13.9" customHeight="1" x14ac:dyDescent="0.25">
      <c r="A56" s="1" t="s">
        <v>407</v>
      </c>
      <c r="B56" s="90">
        <v>1</v>
      </c>
      <c r="C56" s="1"/>
      <c r="D56" s="1"/>
    </row>
    <row r="57" spans="1:4" ht="13.9" customHeight="1" x14ac:dyDescent="0.25">
      <c r="A57" s="1" t="s">
        <v>408</v>
      </c>
      <c r="B57" s="90">
        <v>400</v>
      </c>
      <c r="C57" s="1"/>
      <c r="D57" s="1"/>
    </row>
    <row r="58" spans="1:4" ht="13.9" customHeight="1" x14ac:dyDescent="0.25">
      <c r="A58" s="1" t="s">
        <v>384</v>
      </c>
      <c r="B58" s="90">
        <v>200</v>
      </c>
      <c r="C58" s="1"/>
      <c r="D58" s="1"/>
    </row>
    <row r="59" spans="1:4" ht="13.9" customHeight="1" x14ac:dyDescent="0.25">
      <c r="A59" s="1" t="s">
        <v>808</v>
      </c>
      <c r="B59" s="152">
        <f>$B$53*$B$54*$B$58</f>
        <v>25.5</v>
      </c>
      <c r="C59" s="53" t="s">
        <v>401</v>
      </c>
      <c r="D59" s="1"/>
    </row>
    <row r="60" spans="1:4" ht="13.9" customHeight="1" x14ac:dyDescent="0.25">
      <c r="A60" s="1" t="s">
        <v>410</v>
      </c>
      <c r="B60" s="152">
        <f>$B$17/$B$57</f>
        <v>1.475E-3</v>
      </c>
      <c r="C60" s="1" t="s">
        <v>809</v>
      </c>
      <c r="D60" s="1"/>
    </row>
    <row r="61" spans="1:4" ht="13.9" customHeight="1" x14ac:dyDescent="0.25">
      <c r="B61" s="29"/>
    </row>
    <row r="62" spans="1:4" ht="18.75" x14ac:dyDescent="0.3">
      <c r="A62" s="116" t="s">
        <v>810</v>
      </c>
      <c r="B62" s="116"/>
      <c r="C62" s="116"/>
    </row>
    <row r="63" spans="1:4" ht="13.9" customHeight="1" x14ac:dyDescent="0.3">
      <c r="A63" s="74"/>
      <c r="B63" s="29"/>
    </row>
    <row r="64" spans="1:4" ht="13.9" customHeight="1" x14ac:dyDescent="0.25">
      <c r="A64" s="62" t="s">
        <v>375</v>
      </c>
      <c r="B64" s="304" t="s">
        <v>376</v>
      </c>
      <c r="C64" s="295" t="s">
        <v>377</v>
      </c>
      <c r="D64" s="62" t="s">
        <v>378</v>
      </c>
    </row>
    <row r="65" spans="1:4" ht="13.9" customHeight="1" x14ac:dyDescent="0.25">
      <c r="A65" s="1" t="s">
        <v>806</v>
      </c>
      <c r="B65" s="90">
        <v>0.25</v>
      </c>
      <c r="C65" s="223" t="s">
        <v>388</v>
      </c>
      <c r="D65" s="214" t="s">
        <v>727</v>
      </c>
    </row>
    <row r="66" spans="1:4" ht="13.9" customHeight="1" x14ac:dyDescent="0.25">
      <c r="A66" s="1" t="s">
        <v>385</v>
      </c>
      <c r="B66" s="90">
        <v>0.51</v>
      </c>
      <c r="C66" s="53" t="s">
        <v>386</v>
      </c>
      <c r="D66" s="1"/>
    </row>
    <row r="67" spans="1:4" ht="13.9" customHeight="1" x14ac:dyDescent="0.25">
      <c r="A67" s="1" t="s">
        <v>413</v>
      </c>
      <c r="B67" s="90" t="s">
        <v>414</v>
      </c>
      <c r="C67" s="219" t="s">
        <v>414</v>
      </c>
      <c r="D67" s="30" t="s">
        <v>415</v>
      </c>
    </row>
    <row r="68" spans="1:4" ht="13.9" customHeight="1" x14ac:dyDescent="0.25">
      <c r="A68" s="1" t="s">
        <v>443</v>
      </c>
      <c r="B68" s="90">
        <v>1</v>
      </c>
      <c r="C68" s="1"/>
      <c r="D68" s="1"/>
    </row>
    <row r="69" spans="1:4" ht="13.9" customHeight="1" x14ac:dyDescent="0.25">
      <c r="A69" s="1" t="s">
        <v>408</v>
      </c>
      <c r="B69" s="90">
        <v>500</v>
      </c>
      <c r="C69" s="1"/>
      <c r="D69" s="1"/>
    </row>
    <row r="70" spans="1:4" ht="13.9" customHeight="1" x14ac:dyDescent="0.25">
      <c r="A70" s="1" t="s">
        <v>384</v>
      </c>
      <c r="B70" s="113">
        <v>55</v>
      </c>
      <c r="C70" s="1"/>
      <c r="D70" s="1"/>
    </row>
    <row r="71" spans="1:4" ht="13.9" customHeight="1" x14ac:dyDescent="0.25">
      <c r="A71" s="1" t="s">
        <v>808</v>
      </c>
      <c r="B71" s="152">
        <f>$B$70*$B$66*$B$65</f>
        <v>7.0125000000000002</v>
      </c>
      <c r="C71" s="53" t="s">
        <v>401</v>
      </c>
      <c r="D71" s="1" t="s">
        <v>402</v>
      </c>
    </row>
    <row r="72" spans="1:4" ht="13.9" customHeight="1" x14ac:dyDescent="0.25">
      <c r="A72" s="6" t="s">
        <v>417</v>
      </c>
      <c r="B72" s="152">
        <f>B60</f>
        <v>1.475E-3</v>
      </c>
      <c r="C72" s="53" t="s">
        <v>811</v>
      </c>
      <c r="D72" s="1"/>
    </row>
    <row r="73" spans="1:4" ht="13.9" customHeight="1" x14ac:dyDescent="0.25">
      <c r="A73" s="55"/>
      <c r="B73" s="29"/>
      <c r="C73" s="28"/>
    </row>
    <row r="74" spans="1:4" ht="18.75" x14ac:dyDescent="0.3">
      <c r="A74" s="116" t="s">
        <v>812</v>
      </c>
      <c r="B74" s="116"/>
      <c r="C74" s="116"/>
    </row>
    <row r="75" spans="1:4" ht="13.9" customHeight="1" x14ac:dyDescent="0.3">
      <c r="A75" s="74"/>
      <c r="B75" s="29"/>
    </row>
    <row r="76" spans="1:4" ht="13.9" customHeight="1" x14ac:dyDescent="0.25">
      <c r="A76" s="62" t="s">
        <v>375</v>
      </c>
      <c r="B76" s="304" t="s">
        <v>376</v>
      </c>
      <c r="C76" s="295" t="s">
        <v>377</v>
      </c>
      <c r="D76" s="62" t="s">
        <v>378</v>
      </c>
    </row>
    <row r="77" spans="1:4" ht="13.9" customHeight="1" x14ac:dyDescent="0.25">
      <c r="A77" s="1" t="s">
        <v>420</v>
      </c>
      <c r="B77" s="90" t="s">
        <v>421</v>
      </c>
      <c r="C77" s="1" t="s">
        <v>421</v>
      </c>
      <c r="D77" s="225" t="s">
        <v>422</v>
      </c>
    </row>
    <row r="78" spans="1:4" ht="13.9" customHeight="1" x14ac:dyDescent="0.25">
      <c r="A78" s="1" t="s">
        <v>423</v>
      </c>
      <c r="B78" s="90">
        <v>1</v>
      </c>
      <c r="C78" s="1"/>
      <c r="D78" s="1"/>
    </row>
    <row r="79" spans="1:4" ht="13.9" customHeight="1" x14ac:dyDescent="0.25">
      <c r="A79" s="1" t="s">
        <v>384</v>
      </c>
      <c r="B79" s="90">
        <v>99</v>
      </c>
      <c r="C79" s="1"/>
      <c r="D79" s="1"/>
    </row>
    <row r="80" spans="1:4" ht="13.9" customHeight="1" x14ac:dyDescent="0.25">
      <c r="A80" s="2" t="s">
        <v>387</v>
      </c>
      <c r="B80" s="90">
        <v>0.25</v>
      </c>
      <c r="C80" s="223" t="s">
        <v>388</v>
      </c>
      <c r="D80" s="214" t="s">
        <v>492</v>
      </c>
    </row>
    <row r="81" spans="1:4" ht="13.9" customHeight="1" x14ac:dyDescent="0.25">
      <c r="A81" s="2" t="s">
        <v>385</v>
      </c>
      <c r="B81" s="90">
        <v>0.51</v>
      </c>
      <c r="C81" s="53" t="s">
        <v>386</v>
      </c>
      <c r="D81" s="1"/>
    </row>
    <row r="82" spans="1:4" ht="13.9" customHeight="1" x14ac:dyDescent="0.25">
      <c r="A82" s="1" t="s">
        <v>408</v>
      </c>
      <c r="B82" s="90">
        <v>500</v>
      </c>
      <c r="C82" s="1"/>
      <c r="D82" s="1"/>
    </row>
    <row r="83" spans="1:4" ht="13.9" customHeight="1" x14ac:dyDescent="0.25">
      <c r="A83" s="2" t="s">
        <v>813</v>
      </c>
      <c r="B83" s="152">
        <f>$B$82*$B$81*$B$80</f>
        <v>63.75</v>
      </c>
      <c r="C83" s="53" t="s">
        <v>401</v>
      </c>
      <c r="D83" s="1" t="s">
        <v>402</v>
      </c>
    </row>
    <row r="84" spans="1:4" ht="13.9" customHeight="1" x14ac:dyDescent="0.25">
      <c r="A84" s="2" t="s">
        <v>410</v>
      </c>
      <c r="B84" s="152">
        <f>B60</f>
        <v>1.475E-3</v>
      </c>
      <c r="C84" s="53" t="s">
        <v>811</v>
      </c>
      <c r="D84" s="1"/>
    </row>
    <row r="85" spans="1:4" ht="13.9" customHeight="1" x14ac:dyDescent="0.25">
      <c r="A85" s="29"/>
      <c r="B85" s="29"/>
      <c r="C85" s="28"/>
    </row>
    <row r="86" spans="1:4" ht="13.9" customHeight="1" x14ac:dyDescent="0.25"/>
    <row r="87" spans="1:4" ht="13.9" customHeight="1" x14ac:dyDescent="0.25"/>
    <row r="88" spans="1:4" ht="21" x14ac:dyDescent="0.35">
      <c r="A88" s="99" t="s">
        <v>450</v>
      </c>
      <c r="B88" s="29"/>
    </row>
    <row r="89" spans="1:4" ht="21" x14ac:dyDescent="0.35">
      <c r="A89" s="99"/>
      <c r="B89" s="29"/>
    </row>
    <row r="90" spans="1:4" x14ac:dyDescent="0.25">
      <c r="A90" t="s">
        <v>730</v>
      </c>
      <c r="B90" s="29"/>
    </row>
    <row r="91" spans="1:4" ht="13.9" customHeight="1" x14ac:dyDescent="0.25"/>
    <row r="92" spans="1:4" ht="13.9" customHeight="1" x14ac:dyDescent="0.25">
      <c r="A92" s="308" t="s">
        <v>452</v>
      </c>
      <c r="B92" s="303" t="s">
        <v>453</v>
      </c>
      <c r="C92" s="308" t="s">
        <v>454</v>
      </c>
      <c r="D92" s="308" t="s">
        <v>400</v>
      </c>
    </row>
    <row r="93" spans="1:4" ht="13.9" customHeight="1" x14ac:dyDescent="0.25">
      <c r="A93" s="1" t="s">
        <v>455</v>
      </c>
      <c r="B93" s="192">
        <v>0</v>
      </c>
      <c r="C93" s="192">
        <v>0</v>
      </c>
      <c r="D93" s="154">
        <v>0</v>
      </c>
    </row>
    <row r="94" spans="1:4" ht="13.9" customHeight="1" x14ac:dyDescent="0.25">
      <c r="A94" s="1" t="s">
        <v>358</v>
      </c>
      <c r="B94" s="152">
        <f>$B$60</f>
        <v>1.475E-3</v>
      </c>
      <c r="C94" s="152">
        <f>$B$58</f>
        <v>200</v>
      </c>
      <c r="D94" s="154">
        <f>$B$59</f>
        <v>25.5</v>
      </c>
    </row>
    <row r="95" spans="1:4" ht="13.9" customHeight="1" x14ac:dyDescent="0.25">
      <c r="A95" s="1" t="s">
        <v>457</v>
      </c>
      <c r="B95" s="152">
        <v>0</v>
      </c>
      <c r="C95" s="152">
        <v>0</v>
      </c>
      <c r="D95" s="154">
        <v>0</v>
      </c>
    </row>
    <row r="96" spans="1:4" ht="13.9" customHeight="1" x14ac:dyDescent="0.25">
      <c r="A96" s="1" t="s">
        <v>362</v>
      </c>
      <c r="B96" s="152">
        <f>$B$72</f>
        <v>1.475E-3</v>
      </c>
      <c r="C96" s="152">
        <f>$B$70</f>
        <v>55</v>
      </c>
      <c r="D96" s="154">
        <f>$B$71</f>
        <v>7.0125000000000002</v>
      </c>
    </row>
    <row r="97" spans="1:26" ht="13.9" customHeight="1" x14ac:dyDescent="0.25">
      <c r="A97" s="1" t="s">
        <v>459</v>
      </c>
      <c r="B97" s="152">
        <v>0</v>
      </c>
      <c r="C97" s="152">
        <v>0</v>
      </c>
      <c r="D97" s="154">
        <v>0</v>
      </c>
    </row>
    <row r="98" spans="1:26" ht="13.9" customHeight="1" x14ac:dyDescent="0.25">
      <c r="A98" s="1" t="s">
        <v>364</v>
      </c>
      <c r="B98" s="152">
        <f>$B$84</f>
        <v>1.475E-3</v>
      </c>
      <c r="C98" s="152">
        <f>$B$79</f>
        <v>99</v>
      </c>
      <c r="D98" s="154">
        <f>$B$83</f>
        <v>63.75</v>
      </c>
    </row>
    <row r="99" spans="1:26" ht="13.9" customHeight="1" x14ac:dyDescent="0.25">
      <c r="A99" s="1" t="s">
        <v>461</v>
      </c>
      <c r="B99" s="152">
        <v>0</v>
      </c>
      <c r="C99" s="152">
        <v>0</v>
      </c>
      <c r="D99" s="154">
        <v>0</v>
      </c>
    </row>
    <row r="100" spans="1:26" ht="13.9" customHeight="1" x14ac:dyDescent="0.25">
      <c r="A100" s="1" t="s">
        <v>360</v>
      </c>
      <c r="B100" s="152">
        <f>$B$48</f>
        <v>3.7247474747474738E-4</v>
      </c>
      <c r="C100" s="152">
        <f>$B$39</f>
        <v>263.2</v>
      </c>
      <c r="D100" s="154">
        <f>$B$42</f>
        <v>33.558</v>
      </c>
    </row>
    <row r="101" spans="1:26" ht="13.9" customHeight="1" x14ac:dyDescent="0.25">
      <c r="A101" s="1" t="s">
        <v>360</v>
      </c>
      <c r="B101" s="152">
        <f>$B$48</f>
        <v>3.7247474747474738E-4</v>
      </c>
      <c r="C101" s="152">
        <f>$B$39</f>
        <v>263.2</v>
      </c>
      <c r="D101" s="154">
        <f>$B$42</f>
        <v>33.558</v>
      </c>
    </row>
    <row r="102" spans="1:26" ht="13.9" customHeight="1" x14ac:dyDescent="0.25"/>
    <row r="103" spans="1:26" ht="13.9" customHeight="1" x14ac:dyDescent="0.25"/>
    <row r="104" spans="1:26" ht="90" x14ac:dyDescent="0.25">
      <c r="A104" s="302" t="s">
        <v>463</v>
      </c>
      <c r="B104" s="302" t="s">
        <v>464</v>
      </c>
      <c r="C104" s="302" t="s">
        <v>738</v>
      </c>
      <c r="D104" s="302" t="s">
        <v>466</v>
      </c>
      <c r="E104" s="302" t="s">
        <v>814</v>
      </c>
      <c r="F104" s="302" t="s">
        <v>384</v>
      </c>
      <c r="G104" s="302" t="s">
        <v>400</v>
      </c>
      <c r="H104" s="302" t="s">
        <v>303</v>
      </c>
      <c r="I104" s="302" t="s">
        <v>304</v>
      </c>
      <c r="J104" s="302" t="s">
        <v>305</v>
      </c>
      <c r="K104" s="302" t="s">
        <v>306</v>
      </c>
      <c r="L104" s="302" t="s">
        <v>307</v>
      </c>
      <c r="M104" s="302" t="s">
        <v>308</v>
      </c>
      <c r="N104" s="302" t="s">
        <v>309</v>
      </c>
      <c r="O104" s="302" t="s">
        <v>310</v>
      </c>
      <c r="P104" s="302" t="s">
        <v>311</v>
      </c>
      <c r="Q104" s="302" t="s">
        <v>312</v>
      </c>
      <c r="R104" s="302" t="s">
        <v>313</v>
      </c>
      <c r="S104" s="302" t="s">
        <v>314</v>
      </c>
      <c r="T104" s="302" t="s">
        <v>315</v>
      </c>
      <c r="U104" s="302" t="s">
        <v>316</v>
      </c>
      <c r="V104" s="302" t="s">
        <v>317</v>
      </c>
      <c r="W104" s="302" t="s">
        <v>318</v>
      </c>
      <c r="X104" s="302" t="s">
        <v>319</v>
      </c>
      <c r="Y104" s="302" t="s">
        <v>320</v>
      </c>
      <c r="Z104" s="302" t="s">
        <v>321</v>
      </c>
    </row>
    <row r="105" spans="1:26" ht="13.9" customHeight="1" x14ac:dyDescent="0.25">
      <c r="A105" s="73" t="s">
        <v>467</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3.9" customHeight="1" x14ac:dyDescent="0.25">
      <c r="A106" s="1" t="s">
        <v>468</v>
      </c>
      <c r="B106" s="154" t="str">
        <f>'C3'' - Secondary Raw Material '!$B$7</f>
        <v>Mobile_jaw_crusher_400tph_RAP</v>
      </c>
      <c r="C106" s="154">
        <f>$B$56</f>
        <v>1</v>
      </c>
      <c r="D106" s="154" t="str">
        <f>'C3'' - Secondary Raw Material '!$C$7</f>
        <v>Diesel</v>
      </c>
      <c r="E106" s="154">
        <f>INDEX($B$93:$B$101,MATCH($B106,$A$93:$A$101,0))</f>
        <v>1.475E-3</v>
      </c>
      <c r="F106" s="154">
        <f>INDEX($C$93:$C$101,MATCH($B106,$A$93:$A$101,0))</f>
        <v>200</v>
      </c>
      <c r="G106" s="154">
        <f>INDEX($D$93:$D$101,MATCH($B106,$A$93:$A$101,0))</f>
        <v>25.5</v>
      </c>
      <c r="H106" s="154" cm="1">
        <f t="array" ref="H106">INDEX(LCI!H$2:H$137,MATCH($A$105&amp;$D106,LCI!$B$2:$B$137&amp;LCI!$D$2:$D$137,0))*IF($D106="Electric",($F106*$E106)*$B$3,$G106*$E106)</f>
        <v>1.9947962332413725E-4</v>
      </c>
      <c r="I106" s="154" cm="1">
        <f t="array" ref="I106">INDEX(LCI!I$2:I$137,MATCH($A$105&amp;$D106,LCI!$B$2:$B$137&amp;LCI!$D$2:$D$137,0))*IF($D106="Electric",($F106*$E106)*$B$3,$G106*$E106)</f>
        <v>0.1560278614307988</v>
      </c>
      <c r="J106" s="154" cm="1">
        <f t="array" ref="J106">INDEX(LCI!J$2:J$137,MATCH($A$105&amp;$D106,LCI!$B$2:$B$137&amp;LCI!$D$2:$D$137,0))*IF($D106="Electric",($F106*$E106)*$B$3,$G106*$E106)</f>
        <v>3.2247001337201405E-5</v>
      </c>
      <c r="K106" s="154" cm="1">
        <f t="array" ref="K106">INDEX(LCI!K$2:K$137,MATCH($A$105&amp;$D106,LCI!$B$2:$B$137&amp;LCI!$D$2:$D$137,0))*IF($D106="Electric",($F106*$E106)*$B$3,$G106*$E106)</f>
        <v>0.15598871446980431</v>
      </c>
      <c r="L106" s="154" cm="1">
        <f t="array" ref="L106">INDEX(LCI!L$2:L$137,MATCH($A$105&amp;$D106,LCI!$B$2:$B$137&amp;LCI!$D$2:$D$137,0))*IF($D106="Electric",($F106*$E106)*$B$3,$G106*$E106)</f>
        <v>6.8999596572996537E-6</v>
      </c>
      <c r="M106" s="154" cm="1">
        <f t="array" ref="M106">INDEX(LCI!M$2:M$137,MATCH($A$105&amp;$D106,LCI!$B$2:$B$137&amp;LCI!$D$2:$D$137,0))*IF($D106="Electric",($F106*$E106)*$B$3,$G106*$E106)</f>
        <v>6.8937887664188305E-2</v>
      </c>
      <c r="N106" s="154" cm="1">
        <f t="array" ref="N106">INDEX(LCI!N$2:N$137,MATCH($A$105&amp;$D106,LCI!$B$2:$B$137&amp;LCI!$D$2:$D$137,0))*IF($D106="Electric",($F106*$E106)*$B$3,$G106*$E106)</f>
        <v>2.0724670826220173</v>
      </c>
      <c r="O106" s="154" cm="1">
        <f t="array" ref="O106">INDEX(LCI!O$2:O$137,MATCH($A$105&amp;$D106,LCI!$B$2:$B$137&amp;LCI!$D$2:$D$137,0))*IF($D106="Electric",($F106*$E106)*$B$3,$G106*$E106)</f>
        <v>1.6494253794501278E-6</v>
      </c>
      <c r="P106" s="154" cm="1">
        <f t="array" ref="P106">INDEX(LCI!P$2:P$137,MATCH($A$105&amp;$D106,LCI!$B$2:$B$137&amp;LCI!$D$2:$D$137,0))*IF($D106="Electric",($F106*$E106)*$B$3,$G106*$E106)</f>
        <v>4.5108841939219524E-5</v>
      </c>
      <c r="Q106" s="154" cm="1">
        <f t="array" ref="Q106">INDEX(LCI!Q$2:Q$137,MATCH($A$105&amp;$D106,LCI!$B$2:$B$137&amp;LCI!$D$2:$D$137,0))*IF($D106="Electric",($F106*$E106)*$B$3,$G106*$E106)</f>
        <v>4.9038869693533509E-4</v>
      </c>
      <c r="R106" s="154" cm="1">
        <f t="array" ref="R106">INDEX(LCI!R$2:R$137,MATCH($A$105&amp;$D106,LCI!$B$2:$B$137&amp;LCI!$D$2:$D$137,0))*IF($D106="Electric",($F106*$E106)*$B$3,$G106*$E106)</f>
        <v>9.5349461896471663E-12</v>
      </c>
      <c r="S106" s="154" cm="1">
        <f t="array" ref="S106">INDEX(LCI!S$2:S$137,MATCH($A$105&amp;$D106,LCI!$B$2:$B$137&amp;LCI!$D$2:$D$137,0))*IF($D106="Electric",($F106*$E106)*$B$3,$G106*$E106)</f>
        <v>2.5414522930543996E-10</v>
      </c>
      <c r="T106" s="154" cm="1">
        <f t="array" ref="T106">INDEX(LCI!T$2:T$137,MATCH($A$105&amp;$D106,LCI!$B$2:$B$137&amp;LCI!$D$2:$D$137,0))*IF($D106="Electric",($F106*$E106)*$B$3,$G106*$E106)</f>
        <v>6.2227542180003797E-4</v>
      </c>
      <c r="U106" s="154" cm="1">
        <f t="array" ref="U106">INDEX(LCI!U$2:U$137,MATCH($A$105&amp;$D106,LCI!$B$2:$B$137&amp;LCI!$D$2:$D$137,0))*IF($D106="Electric",($F106*$E106)*$B$3,$G106*$E106)</f>
        <v>0.1065547108172534</v>
      </c>
      <c r="V106" s="154" cm="1">
        <f t="array" ref="V106">INDEX(LCI!V$2:V$137,MATCH($A$105&amp;$D106,LCI!$B$2:$B$137&amp;LCI!$D$2:$D$137,0))*IF($D106="Electric",($F106*$E106)*$B$3,$G106*$E106)</f>
        <v>2.4329721234854784E-8</v>
      </c>
      <c r="W106" s="154" cm="1">
        <f t="array" ref="W106">INDEX(LCI!W$2:W$137,MATCH($A$105&amp;$D106,LCI!$B$2:$B$137&amp;LCI!$D$2:$D$137,0))*IF($D106="Electric",($F106*$E106)*$B$3,$G106*$E106)</f>
        <v>3.516028188872116E-9</v>
      </c>
      <c r="X106" s="154" cm="1">
        <f t="array" ref="X106">INDEX(LCI!X$2:X$137,MATCH($A$105&amp;$D106,LCI!$B$2:$B$137&amp;LCI!$D$2:$D$137,0))*IF($D106="Electric",($F106*$E106)*$B$3,$G106*$E106)</f>
        <v>1.5367589701020554E-9</v>
      </c>
      <c r="Y106" s="154" cm="1">
        <f t="array" ref="Y106">INDEX(LCI!Y$2:Y$137,MATCH($A$105&amp;$D106,LCI!$B$2:$B$137&amp;LCI!$D$2:$D$137,0))*IF($D106="Electric",($F106*$E106)*$B$3,$G106*$E106)</f>
        <v>3.8431793648967022E-4</v>
      </c>
      <c r="Z106" s="154" cm="1">
        <f t="array" ref="Z106">INDEX(LCI!Z$2:Z$137,MATCH($A$105&amp;$D106,LCI!$B$2:$B$137&amp;LCI!$D$2:$D$137,0))*IF($D106="Electric",($F106*$E106)*$B$3,$G106*$E106)</f>
        <v>2.8049273006850624E-3</v>
      </c>
    </row>
    <row r="107" spans="1:26" ht="13.9" customHeight="1" x14ac:dyDescent="0.25">
      <c r="A107" s="1" t="s">
        <v>469</v>
      </c>
      <c r="B107" s="154" t="str">
        <f>'C3'' - Secondary Raw Material '!$B$8</f>
        <v>Wheel_loader_338tph_Komatsu_WA500_RAP</v>
      </c>
      <c r="C107" s="154">
        <f>$B$38</f>
        <v>1</v>
      </c>
      <c r="D107" s="154" t="str">
        <f>'C3'' - Secondary Raw Material '!$C$8</f>
        <v>Diesel</v>
      </c>
      <c r="E107" s="154">
        <f>INDEX($B$93:$B$101,MATCH($B107,$A$93:$A$101,0))</f>
        <v>3.7247474747474738E-4</v>
      </c>
      <c r="F107" s="154">
        <f>INDEX($C$93:$C$101,MATCH($B107,$A$93:$A$101,0))</f>
        <v>263.2</v>
      </c>
      <c r="G107" s="154">
        <f t="shared" ref="G107:G109" si="0">INDEX($D$93:$D$101,MATCH($B107,$A$93:$A$101,0))</f>
        <v>33.558</v>
      </c>
      <c r="H107" s="154" cm="1">
        <f t="array" ref="H107">INDEX(LCI!H$2:H$137,MATCH($A$105&amp;$D107,LCI!$B$2:$B$137&amp;LCI!$D$2:$D$137,0))*IF($D107="Electric",($F107*$E107)*$B$3,$G107*$E107)</f>
        <v>6.6291713205698119E-5</v>
      </c>
      <c r="I107" s="154" cm="1">
        <f t="array" ref="I107">INDEX(LCI!I$2:I$137,MATCH($A$105&amp;$D107,LCI!$B$2:$B$137&amp;LCI!$D$2:$D$137,0))*IF($D107="Electric",($F107*$E107)*$B$3,$G107*$E107)</f>
        <v>5.1851683243164429E-2</v>
      </c>
      <c r="J107" s="154" cm="1">
        <f t="array" ref="J107">INDEX(LCI!J$2:J$137,MATCH($A$105&amp;$D107,LCI!$B$2:$B$137&amp;LCI!$D$2:$D$137,0))*IF($D107="Electric",($F107*$E107)*$B$3,$G107*$E107)</f>
        <v>1.0716427717110362E-5</v>
      </c>
      <c r="K107" s="154" cm="1">
        <f t="array" ref="K107">INDEX(LCI!K$2:K$137,MATCH($A$105&amp;$D107,LCI!$B$2:$B$137&amp;LCI!$D$2:$D$137,0))*IF($D107="Electric",($F107*$E107)*$B$3,$G107*$E107)</f>
        <v>5.1838673798551109E-2</v>
      </c>
      <c r="L107" s="154" cm="1">
        <f t="array" ref="L107">INDEX(LCI!L$2:L$137,MATCH($A$105&amp;$D107,LCI!$B$2:$B$137&amp;LCI!$D$2:$D$137,0))*IF($D107="Electric",($F107*$E107)*$B$3,$G107*$E107)</f>
        <v>2.2930168962137227E-6</v>
      </c>
      <c r="M107" s="154" cm="1">
        <f t="array" ref="M107">INDEX(LCI!M$2:M$137,MATCH($A$105&amp;$D107,LCI!$B$2:$B$137&amp;LCI!$D$2:$D$137,0))*IF($D107="Electric",($F107*$E107)*$B$3,$G107*$E107)</f>
        <v>2.2909661658098934E-2</v>
      </c>
      <c r="N107" s="154" cm="1">
        <f t="array" ref="N107">INDEX(LCI!N$2:N$137,MATCH($A$105&amp;$D107,LCI!$B$2:$B$137&amp;LCI!$D$2:$D$137,0))*IF($D107="Electric",($F107*$E107)*$B$3,$G107*$E107)</f>
        <v>0.68872895978044801</v>
      </c>
      <c r="O107" s="154" cm="1">
        <f t="array" ref="O107">INDEX(LCI!O$2:O$137,MATCH($A$105&amp;$D107,LCI!$B$2:$B$137&amp;LCI!$D$2:$D$137,0))*IF($D107="Electric",($F107*$E107)*$B$3,$G107*$E107)</f>
        <v>5.4814237357484025E-7</v>
      </c>
      <c r="P107" s="154" cm="1">
        <f t="array" ref="P107">INDEX(LCI!P$2:P$137,MATCH($A$105&amp;$D107,LCI!$B$2:$B$137&amp;LCI!$D$2:$D$137,0))*IF($D107="Electric",($F107*$E107)*$B$3,$G107*$E107)</f>
        <v>1.4990716159599211E-5</v>
      </c>
      <c r="Q107" s="154" cm="1">
        <f t="array" ref="Q107">INDEX(LCI!Q$2:Q$137,MATCH($A$105&amp;$D107,LCI!$B$2:$B$137&amp;LCI!$D$2:$D$137,0))*IF($D107="Electric",($F107*$E107)*$B$3,$G107*$E107)</f>
        <v>1.6296755686032849E-4</v>
      </c>
      <c r="R107" s="154" cm="1">
        <f t="array" ref="R107">INDEX(LCI!R$2:R$137,MATCH($A$105&amp;$D107,LCI!$B$2:$B$137&amp;LCI!$D$2:$D$137,0))*IF($D107="Electric",($F107*$E107)*$B$3,$G107*$E107)</f>
        <v>3.1686841377716333E-12</v>
      </c>
      <c r="S107" s="154" cm="1">
        <f t="array" ref="S107">INDEX(LCI!S$2:S$137,MATCH($A$105&amp;$D107,LCI!$B$2:$B$137&amp;LCI!$D$2:$D$137,0))*IF($D107="Electric",($F107*$E107)*$B$3,$G107*$E107)</f>
        <v>8.4458364082312857E-11</v>
      </c>
      <c r="T107" s="154" cm="1">
        <f t="array" ref="T107">INDEX(LCI!T$2:T$137,MATCH($A$105&amp;$D107,LCI!$B$2:$B$137&amp;LCI!$D$2:$D$137,0))*IF($D107="Electric",($F107*$E107)*$B$3,$G107*$E107)</f>
        <v>2.0679657956789132E-4</v>
      </c>
      <c r="U107" s="154" cm="1">
        <f t="array" ref="U107">INDEX(LCI!U$2:U$137,MATCH($A$105&amp;$D107,LCI!$B$2:$B$137&amp;LCI!$D$2:$D$137,0))*IF($D107="Electric",($F107*$E107)*$B$3,$G107*$E107)</f>
        <v>3.5410605918056927E-2</v>
      </c>
      <c r="V107" s="154" cm="1">
        <f t="array" ref="V107">INDEX(LCI!V$2:V$137,MATCH($A$105&amp;$D107,LCI!$B$2:$B$137&amp;LCI!$D$2:$D$137,0))*IF($D107="Electric",($F107*$E107)*$B$3,$G107*$E107)</f>
        <v>8.0853316022901231E-9</v>
      </c>
      <c r="W107" s="154" cm="1">
        <f t="array" ref="W107">INDEX(LCI!W$2:W$137,MATCH($A$105&amp;$D107,LCI!$B$2:$B$137&amp;LCI!$D$2:$D$137,0))*IF($D107="Electric",($F107*$E107)*$B$3,$G107*$E107)</f>
        <v>1.1684578526655815E-9</v>
      </c>
      <c r="X107" s="154" cm="1">
        <f t="array" ref="X107">INDEX(LCI!X$2:X$137,MATCH($A$105&amp;$D107,LCI!$B$2:$B$137&amp;LCI!$D$2:$D$137,0))*IF($D107="Electric",($F107*$E107)*$B$3,$G107*$E107)</f>
        <v>5.1070070824603647E-10</v>
      </c>
      <c r="Y107" s="154" cm="1">
        <f t="array" ref="Y107">INDEX(LCI!Y$2:Y$137,MATCH($A$105&amp;$D107,LCI!$B$2:$B$137&amp;LCI!$D$2:$D$137,0))*IF($D107="Electric",($F107*$E107)*$B$3,$G107*$E107)</f>
        <v>1.2771777889404189E-4</v>
      </c>
      <c r="Z107" s="154" cm="1">
        <f t="array" ref="Z107">INDEX(LCI!Z$2:Z$137,MATCH($A$105&amp;$D107,LCI!$B$2:$B$137&amp;LCI!$D$2:$D$137,0))*IF($D107="Electric",($F107*$E107)*$B$3,$G107*$E107)</f>
        <v>9.3214250699533857E-4</v>
      </c>
    </row>
    <row r="108" spans="1:26" ht="13.9" customHeight="1" x14ac:dyDescent="0.25">
      <c r="A108" s="1" t="s">
        <v>470</v>
      </c>
      <c r="B108" s="154" t="str">
        <f>'C3'' - Secondary Raw Material '!$B$9</f>
        <v>Tracked_stacker_500tph_RAP</v>
      </c>
      <c r="C108" s="154">
        <f>$B$68</f>
        <v>1</v>
      </c>
      <c r="D108" s="154" t="str">
        <f>'C3'' - Secondary Raw Material '!$C$9</f>
        <v>Diesel</v>
      </c>
      <c r="E108" s="154">
        <f>INDEX($B$93:$B$101,MATCH($B108,$A$93:$A$101,0))</f>
        <v>1.475E-3</v>
      </c>
      <c r="F108" s="154">
        <f>INDEX($C$93:$C$101,MATCH($B108,$A$93:$A$101,0))</f>
        <v>55</v>
      </c>
      <c r="G108" s="154">
        <f t="shared" si="0"/>
        <v>7.0125000000000002</v>
      </c>
      <c r="H108" s="154" cm="1">
        <f t="array" ref="H108">INDEX(LCI!H$2:H$137,MATCH($A$105&amp;$D108,LCI!$B$2:$B$137&amp;LCI!$D$2:$D$137,0))*IF($D108="Electric",($F108*$E108)*$B$3,$G108*$E108)</f>
        <v>5.4856896414137748E-5</v>
      </c>
      <c r="I108" s="154" cm="1">
        <f t="array" ref="I108">INDEX(LCI!I$2:I$137,MATCH($A$105&amp;$D108,LCI!$B$2:$B$137&amp;LCI!$D$2:$D$137,0))*IF($D108="Electric",($F108*$E108)*$B$3,$G108*$E108)</f>
        <v>4.2907661893469666E-2</v>
      </c>
      <c r="J108" s="154" cm="1">
        <f t="array" ref="J108">INDEX(LCI!J$2:J$137,MATCH($A$105&amp;$D108,LCI!$B$2:$B$137&amp;LCI!$D$2:$D$137,0))*IF($D108="Electric",($F108*$E108)*$B$3,$G108*$E108)</f>
        <v>8.867925367730386E-6</v>
      </c>
      <c r="K108" s="154" cm="1">
        <f t="array" ref="K108">INDEX(LCI!K$2:K$137,MATCH($A$105&amp;$D108,LCI!$B$2:$B$137&amp;LCI!$D$2:$D$137,0))*IF($D108="Electric",($F108*$E108)*$B$3,$G108*$E108)</f>
        <v>4.289689647919618E-2</v>
      </c>
      <c r="L108" s="154" cm="1">
        <f t="array" ref="L108">INDEX(LCI!L$2:L$137,MATCH($A$105&amp;$D108,LCI!$B$2:$B$137&amp;LCI!$D$2:$D$137,0))*IF($D108="Electric",($F108*$E108)*$B$3,$G108*$E108)</f>
        <v>1.8974889057574047E-6</v>
      </c>
      <c r="M108" s="154" cm="1">
        <f t="array" ref="M108">INDEX(LCI!M$2:M$137,MATCH($A$105&amp;$D108,LCI!$B$2:$B$137&amp;LCI!$D$2:$D$137,0))*IF($D108="Electric",($F108*$E108)*$B$3,$G108*$E108)</f>
        <v>1.8957919107651783E-2</v>
      </c>
      <c r="N108" s="154" cm="1">
        <f t="array" ref="N108">INDEX(LCI!N$2:N$137,MATCH($A$105&amp;$D108,LCI!$B$2:$B$137&amp;LCI!$D$2:$D$137,0))*IF($D108="Electric",($F108*$E108)*$B$3,$G108*$E108)</f>
        <v>0.56992844772105478</v>
      </c>
      <c r="O108" s="154" cm="1">
        <f t="array" ref="O108">INDEX(LCI!O$2:O$137,MATCH($A$105&amp;$D108,LCI!$B$2:$B$137&amp;LCI!$D$2:$D$137,0))*IF($D108="Electric",($F108*$E108)*$B$3,$G108*$E108)</f>
        <v>4.5359197934878515E-7</v>
      </c>
      <c r="P108" s="154" cm="1">
        <f t="array" ref="P108">INDEX(LCI!P$2:P$137,MATCH($A$105&amp;$D108,LCI!$B$2:$B$137&amp;LCI!$D$2:$D$137,0))*IF($D108="Electric",($F108*$E108)*$B$3,$G108*$E108)</f>
        <v>1.2404931533285369E-5</v>
      </c>
      <c r="Q108" s="154" cm="1">
        <f t="array" ref="Q108">INDEX(LCI!Q$2:Q$137,MATCH($A$105&amp;$D108,LCI!$B$2:$B$137&amp;LCI!$D$2:$D$137,0))*IF($D108="Electric",($F108*$E108)*$B$3,$G108*$E108)</f>
        <v>1.3485689165721718E-4</v>
      </c>
      <c r="R108" s="154" cm="1">
        <f t="array" ref="R108">INDEX(LCI!R$2:R$137,MATCH($A$105&amp;$D108,LCI!$B$2:$B$137&amp;LCI!$D$2:$D$137,0))*IF($D108="Electric",($F108*$E108)*$B$3,$G108*$E108)</f>
        <v>2.6221102021529711E-12</v>
      </c>
      <c r="S108" s="154" cm="1">
        <f t="array" ref="S108">INDEX(LCI!S$2:S$137,MATCH($A$105&amp;$D108,LCI!$B$2:$B$137&amp;LCI!$D$2:$D$137,0))*IF($D108="Electric",($F108*$E108)*$B$3,$G108*$E108)</f>
        <v>6.9889938058996001E-11</v>
      </c>
      <c r="T108" s="154" cm="1">
        <f t="array" ref="T108">INDEX(LCI!T$2:T$137,MATCH($A$105&amp;$D108,LCI!$B$2:$B$137&amp;LCI!$D$2:$D$137,0))*IF($D108="Electric",($F108*$E108)*$B$3,$G108*$E108)</f>
        <v>1.7112574099501044E-4</v>
      </c>
      <c r="U108" s="154" cm="1">
        <f t="array" ref="U108">INDEX(LCI!U$2:U$137,MATCH($A$105&amp;$D108,LCI!$B$2:$B$137&amp;LCI!$D$2:$D$137,0))*IF($D108="Electric",($F108*$E108)*$B$3,$G108*$E108)</f>
        <v>2.9302545474744684E-2</v>
      </c>
      <c r="V108" s="154" cm="1">
        <f t="array" ref="V108">INDEX(LCI!V$2:V$137,MATCH($A$105&amp;$D108,LCI!$B$2:$B$137&amp;LCI!$D$2:$D$137,0))*IF($D108="Electric",($F108*$E108)*$B$3,$G108*$E108)</f>
        <v>6.6906733395850651E-9</v>
      </c>
      <c r="W108" s="154" cm="1">
        <f t="array" ref="W108">INDEX(LCI!W$2:W$137,MATCH($A$105&amp;$D108,LCI!$B$2:$B$137&amp;LCI!$D$2:$D$137,0))*IF($D108="Electric",($F108*$E108)*$B$3,$G108*$E108)</f>
        <v>9.6690775193983183E-10</v>
      </c>
      <c r="X108" s="154" cm="1">
        <f t="array" ref="X108">INDEX(LCI!X$2:X$137,MATCH($A$105&amp;$D108,LCI!$B$2:$B$137&amp;LCI!$D$2:$D$137,0))*IF($D108="Electric",($F108*$E108)*$B$3,$G108*$E108)</f>
        <v>4.2260871677806527E-10</v>
      </c>
      <c r="Y108" s="154" cm="1">
        <f t="array" ref="Y108">INDEX(LCI!Y$2:Y$137,MATCH($A$105&amp;$D108,LCI!$B$2:$B$137&amp;LCI!$D$2:$D$137,0))*IF($D108="Electric",($F108*$E108)*$B$3,$G108*$E108)</f>
        <v>1.0568743253465931E-4</v>
      </c>
      <c r="Z108" s="154" cm="1">
        <f t="array" ref="Z108">INDEX(LCI!Z$2:Z$137,MATCH($A$105&amp;$D108,LCI!$B$2:$B$137&amp;LCI!$D$2:$D$137,0))*IF($D108="Electric",($F108*$E108)*$B$3,$G108*$E108)</f>
        <v>7.7135500768839218E-4</v>
      </c>
    </row>
    <row r="109" spans="1:26" ht="13.9" customHeight="1" x14ac:dyDescent="0.25">
      <c r="A109" s="1" t="s">
        <v>363</v>
      </c>
      <c r="B109" s="154" t="str">
        <f>'C3'' - Secondary Raw Material '!$B$10</f>
        <v>Mobile_screener_500tph_RAP</v>
      </c>
      <c r="C109" s="154">
        <f>$B$78</f>
        <v>1</v>
      </c>
      <c r="D109" s="154" t="str">
        <f>'C3'' - Secondary Raw Material '!$C$10</f>
        <v>Diesel</v>
      </c>
      <c r="E109" s="154">
        <f>INDEX($B$93:$B$101,MATCH($B109,$A$93:$A$101,0))</f>
        <v>1.475E-3</v>
      </c>
      <c r="F109" s="154">
        <f>INDEX($C$93:$C$101,MATCH($B109,$A$93:$A$101,0))</f>
        <v>99</v>
      </c>
      <c r="G109" s="154">
        <f t="shared" si="0"/>
        <v>63.75</v>
      </c>
      <c r="H109" s="154" cm="1">
        <f t="array" ref="H109">INDEX(LCI!H$2:H$137,MATCH($A$105&amp;$D109,LCI!$B$2:$B$137&amp;LCI!$D$2:$D$137,0))*IF($D109="Electric",($F109*$E109)*$B$3,$G109*$E109)</f>
        <v>4.9869905831034312E-4</v>
      </c>
      <c r="I109" s="154" cm="1">
        <f t="array" ref="I109">INDEX(LCI!I$2:I$137,MATCH($A$105&amp;$D109,LCI!$B$2:$B$137&amp;LCI!$D$2:$D$137,0))*IF($D109="Electric",($F109*$E109)*$B$3,$G109*$E109)</f>
        <v>0.39006965357699697</v>
      </c>
      <c r="J109" s="154" cm="1">
        <f t="array" ref="J109">INDEX(LCI!J$2:J$137,MATCH($A$105&amp;$D109,LCI!$B$2:$B$137&amp;LCI!$D$2:$D$137,0))*IF($D109="Electric",($F109*$E109)*$B$3,$G109*$E109)</f>
        <v>8.0617503343003498E-5</v>
      </c>
      <c r="K109" s="154" cm="1">
        <f t="array" ref="K109">INDEX(LCI!K$2:K$137,MATCH($A$105&amp;$D109,LCI!$B$2:$B$137&amp;LCI!$D$2:$D$137,0))*IF($D109="Electric",($F109*$E109)*$B$3,$G109*$E109)</f>
        <v>0.38997178617451073</v>
      </c>
      <c r="L109" s="154" cm="1">
        <f t="array" ref="L109">INDEX(LCI!L$2:L$137,MATCH($A$105&amp;$D109,LCI!$B$2:$B$137&amp;LCI!$D$2:$D$137,0))*IF($D109="Electric",($F109*$E109)*$B$3,$G109*$E109)</f>
        <v>1.7249899143249134E-5</v>
      </c>
      <c r="M109" s="154" cm="1">
        <f t="array" ref="M109">INDEX(LCI!M$2:M$137,MATCH($A$105&amp;$D109,LCI!$B$2:$B$137&amp;LCI!$D$2:$D$137,0))*IF($D109="Electric",($F109*$E109)*$B$3,$G109*$E109)</f>
        <v>0.17234471916047076</v>
      </c>
      <c r="N109" s="154" cm="1">
        <f t="array" ref="N109">INDEX(LCI!N$2:N$137,MATCH($A$105&amp;$D109,LCI!$B$2:$B$137&amp;LCI!$D$2:$D$137,0))*IF($D109="Electric",($F109*$E109)*$B$3,$G109*$E109)</f>
        <v>5.1811677065550432</v>
      </c>
      <c r="O109" s="154" cm="1">
        <f t="array" ref="O109">INDEX(LCI!O$2:O$137,MATCH($A$105&amp;$D109,LCI!$B$2:$B$137&amp;LCI!$D$2:$D$137,0))*IF($D109="Electric",($F109*$E109)*$B$3,$G109*$E109)</f>
        <v>4.1235634486253189E-6</v>
      </c>
      <c r="P109" s="154" cm="1">
        <f t="array" ref="P109">INDEX(LCI!P$2:P$137,MATCH($A$105&amp;$D109,LCI!$B$2:$B$137&amp;LCI!$D$2:$D$137,0))*IF($D109="Electric",($F109*$E109)*$B$3,$G109*$E109)</f>
        <v>1.1277210484804881E-4</v>
      </c>
      <c r="Q109" s="154" cm="1">
        <f t="array" ref="Q109">INDEX(LCI!Q$2:Q$137,MATCH($A$105&amp;$D109,LCI!$B$2:$B$137&amp;LCI!$D$2:$D$137,0))*IF($D109="Electric",($F109*$E109)*$B$3,$G109*$E109)</f>
        <v>1.2259717423383379E-3</v>
      </c>
      <c r="R109" s="154" cm="1">
        <f t="array" ref="R109">INDEX(LCI!R$2:R$137,MATCH($A$105&amp;$D109,LCI!$B$2:$B$137&amp;LCI!$D$2:$D$137,0))*IF($D109="Electric",($F109*$E109)*$B$3,$G109*$E109)</f>
        <v>2.3837365474117916E-11</v>
      </c>
      <c r="S109" s="154" cm="1">
        <f t="array" ref="S109">INDEX(LCI!S$2:S$137,MATCH($A$105&amp;$D109,LCI!$B$2:$B$137&amp;LCI!$D$2:$D$137,0))*IF($D109="Electric",($F109*$E109)*$B$3,$G109*$E109)</f>
        <v>6.3536307326359995E-10</v>
      </c>
      <c r="T109" s="154" cm="1">
        <f t="array" ref="T109">INDEX(LCI!T$2:T$137,MATCH($A$105&amp;$D109,LCI!$B$2:$B$137&amp;LCI!$D$2:$D$137,0))*IF($D109="Electric",($F109*$E109)*$B$3,$G109*$E109)</f>
        <v>1.5556885545000947E-3</v>
      </c>
      <c r="U109" s="154" cm="1">
        <f t="array" ref="U109">INDEX(LCI!U$2:U$137,MATCH($A$105&amp;$D109,LCI!$B$2:$B$137&amp;LCI!$D$2:$D$137,0))*IF($D109="Electric",($F109*$E109)*$B$3,$G109*$E109)</f>
        <v>0.26638677704313352</v>
      </c>
      <c r="V109" s="154" cm="1">
        <f t="array" ref="V109">INDEX(LCI!V$2:V$137,MATCH($A$105&amp;$D109,LCI!$B$2:$B$137&amp;LCI!$D$2:$D$137,0))*IF($D109="Electric",($F109*$E109)*$B$3,$G109*$E109)</f>
        <v>6.0824303087136956E-8</v>
      </c>
      <c r="W109" s="154" cm="1">
        <f t="array" ref="W109">INDEX(LCI!W$2:W$137,MATCH($A$105&amp;$D109,LCI!$B$2:$B$137&amp;LCI!$D$2:$D$137,0))*IF($D109="Electric",($F109*$E109)*$B$3,$G109*$E109)</f>
        <v>8.7900704721802887E-9</v>
      </c>
      <c r="X109" s="154" cm="1">
        <f t="array" ref="X109">INDEX(LCI!X$2:X$137,MATCH($A$105&amp;$D109,LCI!$B$2:$B$137&amp;LCI!$D$2:$D$137,0))*IF($D109="Electric",($F109*$E109)*$B$3,$G109*$E109)</f>
        <v>3.8418974252551386E-9</v>
      </c>
      <c r="Y109" s="154" cm="1">
        <f t="array" ref="Y109">INDEX(LCI!Y$2:Y$137,MATCH($A$105&amp;$D109,LCI!$B$2:$B$137&amp;LCI!$D$2:$D$137,0))*IF($D109="Electric",($F109*$E109)*$B$3,$G109*$E109)</f>
        <v>9.6079484122417555E-4</v>
      </c>
      <c r="Z109" s="154" cm="1">
        <f t="array" ref="Z109">INDEX(LCI!Z$2:Z$137,MATCH($A$105&amp;$D109,LCI!$B$2:$B$137&amp;LCI!$D$2:$D$137,0))*IF($D109="Electric",($F109*$E109)*$B$3,$G109*$E109)</f>
        <v>7.0123182517126551E-3</v>
      </c>
    </row>
    <row r="110" spans="1:26" ht="13.9" customHeight="1" x14ac:dyDescent="0.25">
      <c r="A110" s="395" t="s">
        <v>220</v>
      </c>
      <c r="B110" s="395"/>
      <c r="C110" s="395"/>
      <c r="D110" s="395"/>
      <c r="E110" s="395"/>
      <c r="F110" s="395"/>
      <c r="G110" s="21"/>
      <c r="H110" s="1">
        <f>SUM(H106:H109)</f>
        <v>8.1932729125431625E-4</v>
      </c>
      <c r="I110" s="1">
        <f t="shared" ref="I110:Z110" si="1">SUM(I106:I109)</f>
        <v>0.64085686014442989</v>
      </c>
      <c r="J110" s="1">
        <f t="shared" si="1"/>
        <v>1.3244885776504564E-4</v>
      </c>
      <c r="K110" s="1">
        <f t="shared" si="1"/>
        <v>0.64069607092206238</v>
      </c>
      <c r="L110" s="1">
        <f t="shared" si="1"/>
        <v>2.8340364602519918E-5</v>
      </c>
      <c r="M110" s="1">
        <f t="shared" si="1"/>
        <v>0.28315018759040977</v>
      </c>
      <c r="N110" s="1">
        <f t="shared" si="1"/>
        <v>8.5122921966785636</v>
      </c>
      <c r="O110" s="1">
        <f t="shared" si="1"/>
        <v>6.7747231809990723E-6</v>
      </c>
      <c r="P110" s="1">
        <f t="shared" si="1"/>
        <v>1.8527659448015291E-4</v>
      </c>
      <c r="Q110" s="1">
        <f t="shared" si="1"/>
        <v>2.0141848877912186E-3</v>
      </c>
      <c r="R110" s="1">
        <f t="shared" si="1"/>
        <v>3.9163106003689684E-11</v>
      </c>
      <c r="S110" s="1">
        <f t="shared" si="1"/>
        <v>1.0438566047103489E-9</v>
      </c>
      <c r="T110" s="1">
        <f t="shared" si="1"/>
        <v>2.5558862968630344E-3</v>
      </c>
      <c r="U110" s="1">
        <f t="shared" si="1"/>
        <v>0.43765463925318848</v>
      </c>
      <c r="V110" s="1">
        <f t="shared" si="1"/>
        <v>9.9930029263866931E-8</v>
      </c>
      <c r="W110" s="1">
        <f t="shared" si="1"/>
        <v>1.4441464265657818E-8</v>
      </c>
      <c r="X110" s="1">
        <f t="shared" si="1"/>
        <v>6.3119658203812956E-9</v>
      </c>
      <c r="Y110" s="1">
        <f t="shared" si="1"/>
        <v>1.5785179891425469E-3</v>
      </c>
      <c r="Z110" s="1">
        <f t="shared" si="1"/>
        <v>1.1520743067081448E-2</v>
      </c>
    </row>
    <row r="111" spans="1:26" ht="13.9" customHeight="1" x14ac:dyDescent="0.25">
      <c r="A111" s="15"/>
      <c r="B111" s="15"/>
      <c r="C111" s="15"/>
      <c r="D111" s="15"/>
      <c r="E111" s="15"/>
      <c r="F111" s="15"/>
      <c r="G111" s="15"/>
    </row>
    <row r="112" spans="1:26" ht="13.9" customHeight="1" x14ac:dyDescent="0.25"/>
    <row r="113" spans="1:4" ht="24" x14ac:dyDescent="0.4">
      <c r="A113" s="100" t="s">
        <v>815</v>
      </c>
    </row>
    <row r="114" spans="1:4" ht="13.9" customHeight="1" x14ac:dyDescent="0.25"/>
    <row r="115" spans="1:4" ht="13.9" customHeight="1" x14ac:dyDescent="0.25">
      <c r="A115" s="62" t="s">
        <v>612</v>
      </c>
      <c r="B115" s="62" t="s">
        <v>816</v>
      </c>
      <c r="C115" s="62" t="s">
        <v>377</v>
      </c>
      <c r="D115" s="62" t="s">
        <v>378</v>
      </c>
    </row>
    <row r="116" spans="1:4" ht="13.9" customHeight="1" x14ac:dyDescent="0.25">
      <c r="A116" s="1" t="s">
        <v>817</v>
      </c>
      <c r="B116" s="130">
        <v>0.61799999999999999</v>
      </c>
      <c r="C116" s="417" t="s">
        <v>818</v>
      </c>
      <c r="D116" s="419" t="s">
        <v>819</v>
      </c>
    </row>
    <row r="117" spans="1:4" ht="13.9" customHeight="1" x14ac:dyDescent="0.25">
      <c r="A117" s="1" t="s">
        <v>820</v>
      </c>
      <c r="B117" s="130">
        <v>0.38200000000000001</v>
      </c>
      <c r="C117" s="418"/>
      <c r="D117" s="420"/>
    </row>
    <row r="118" spans="1:4" ht="13.9" customHeight="1" x14ac:dyDescent="0.25"/>
    <row r="119" spans="1:4" ht="13.9" customHeight="1" x14ac:dyDescent="0.25"/>
    <row r="120" spans="1:4" ht="13.9" customHeight="1" x14ac:dyDescent="0.25">
      <c r="A120" s="302" t="s">
        <v>612</v>
      </c>
      <c r="B120" s="302" t="s">
        <v>821</v>
      </c>
      <c r="C120" s="62" t="s">
        <v>377</v>
      </c>
      <c r="D120" s="62" t="s">
        <v>378</v>
      </c>
    </row>
    <row r="121" spans="1:4" ht="13.9" customHeight="1" x14ac:dyDescent="0.25">
      <c r="A121" s="89" t="s">
        <v>822</v>
      </c>
      <c r="B121" s="193">
        <v>5.3999999999999999E-2</v>
      </c>
      <c r="C121" s="414" t="s">
        <v>818</v>
      </c>
      <c r="D121" s="415" t="s">
        <v>823</v>
      </c>
    </row>
    <row r="122" spans="1:4" ht="13.9" customHeight="1" x14ac:dyDescent="0.25">
      <c r="A122" s="1" t="s">
        <v>824</v>
      </c>
      <c r="B122" s="194">
        <v>9.9000000000000005E-2</v>
      </c>
      <c r="C122" s="414"/>
      <c r="D122" s="416"/>
    </row>
    <row r="123" spans="1:4" ht="13.9" customHeight="1" x14ac:dyDescent="0.25">
      <c r="A123" s="1" t="s">
        <v>825</v>
      </c>
      <c r="B123" s="194">
        <v>0.35499999999999998</v>
      </c>
      <c r="C123" s="414"/>
      <c r="D123" s="416"/>
    </row>
    <row r="124" spans="1:4" ht="13.9" customHeight="1" x14ac:dyDescent="0.25">
      <c r="A124" s="1" t="s">
        <v>826</v>
      </c>
      <c r="B124" s="194">
        <v>0.49199999999999999</v>
      </c>
      <c r="C124" s="414"/>
      <c r="D124" s="416"/>
    </row>
    <row r="125" spans="1:4" ht="13.9" customHeight="1" x14ac:dyDescent="0.25"/>
    <row r="126" spans="1:4" ht="18.75" x14ac:dyDescent="0.3">
      <c r="A126" s="116" t="s">
        <v>827</v>
      </c>
    </row>
    <row r="127" spans="1:4" ht="13.9" customHeight="1" x14ac:dyDescent="0.25">
      <c r="A127" s="36"/>
    </row>
    <row r="128" spans="1:4" ht="13.9" customHeight="1" x14ac:dyDescent="0.25">
      <c r="A128" s="1" t="s">
        <v>828</v>
      </c>
      <c r="B128" s="169">
        <f>$B$17*$B$116</f>
        <v>0.36462</v>
      </c>
      <c r="C128" s="91"/>
    </row>
    <row r="129" spans="1:23" ht="13.9" customHeight="1" x14ac:dyDescent="0.25">
      <c r="A129" s="1" t="s">
        <v>829</v>
      </c>
      <c r="B129" s="169">
        <f>$B$16*$B$117</f>
        <v>0.15662000000000001</v>
      </c>
    </row>
    <row r="130" spans="1:23" ht="13.9" customHeight="1" x14ac:dyDescent="0.25"/>
    <row r="131" spans="1:23" ht="13.9" customHeight="1" x14ac:dyDescent="0.25">
      <c r="A131" s="1" t="s">
        <v>830</v>
      </c>
      <c r="B131" s="195">
        <f>-1*$B$128*$B$121</f>
        <v>-1.9689479999999999E-2</v>
      </c>
    </row>
    <row r="132" spans="1:23" ht="13.9" customHeight="1" x14ac:dyDescent="0.25">
      <c r="A132" s="1" t="s">
        <v>831</v>
      </c>
      <c r="B132" s="195">
        <f>-1*$B$128*$B$122</f>
        <v>-3.6097379999999998E-2</v>
      </c>
    </row>
    <row r="133" spans="1:23" ht="13.9" customHeight="1" x14ac:dyDescent="0.25">
      <c r="A133" s="1" t="s">
        <v>832</v>
      </c>
      <c r="B133" s="195">
        <f>-1*($B$128+B129)*$B$124</f>
        <v>-0.25645008000000002</v>
      </c>
    </row>
    <row r="134" spans="1:23" ht="13.9" customHeight="1" x14ac:dyDescent="0.25">
      <c r="A134" s="1" t="s">
        <v>833</v>
      </c>
      <c r="B134" s="195">
        <f>-1*($B$128+B129)*$B$123</f>
        <v>-0.18504020000000002</v>
      </c>
    </row>
    <row r="135" spans="1:23" ht="13.9" customHeight="1" x14ac:dyDescent="0.25"/>
    <row r="136" spans="1:23" ht="13.9" customHeight="1" x14ac:dyDescent="0.25"/>
    <row r="137" spans="1:23" ht="13.9" customHeight="1" x14ac:dyDescent="0.25"/>
    <row r="138" spans="1:23" ht="105" x14ac:dyDescent="0.25">
      <c r="A138" s="103" t="s">
        <v>300</v>
      </c>
      <c r="B138" s="103" t="s">
        <v>301</v>
      </c>
      <c r="C138" s="103" t="s">
        <v>640</v>
      </c>
      <c r="D138" s="103" t="s">
        <v>834</v>
      </c>
      <c r="E138" s="103" t="s">
        <v>303</v>
      </c>
      <c r="F138" s="103" t="s">
        <v>304</v>
      </c>
      <c r="G138" s="103" t="s">
        <v>305</v>
      </c>
      <c r="H138" s="103" t="s">
        <v>306</v>
      </c>
      <c r="I138" s="103" t="s">
        <v>307</v>
      </c>
      <c r="J138" s="103" t="s">
        <v>308</v>
      </c>
      <c r="K138" s="103" t="s">
        <v>309</v>
      </c>
      <c r="L138" s="103" t="s">
        <v>310</v>
      </c>
      <c r="M138" s="103" t="s">
        <v>311</v>
      </c>
      <c r="N138" s="103" t="s">
        <v>312</v>
      </c>
      <c r="O138" s="103" t="s">
        <v>313</v>
      </c>
      <c r="P138" s="103" t="s">
        <v>314</v>
      </c>
      <c r="Q138" s="103" t="s">
        <v>315</v>
      </c>
      <c r="R138" s="103" t="s">
        <v>316</v>
      </c>
      <c r="S138" s="103" t="s">
        <v>317</v>
      </c>
      <c r="T138" s="103" t="s">
        <v>318</v>
      </c>
      <c r="U138" s="103" t="s">
        <v>319</v>
      </c>
      <c r="V138" s="103" t="s">
        <v>320</v>
      </c>
      <c r="W138" s="103" t="s">
        <v>321</v>
      </c>
    </row>
    <row r="139" spans="1:23" ht="13.9" customHeight="1" x14ac:dyDescent="0.25">
      <c r="A139" s="1" t="s">
        <v>830</v>
      </c>
      <c r="B139" s="1" t="s">
        <v>63</v>
      </c>
      <c r="C139" s="195">
        <f>$B$131</f>
        <v>-1.9689479999999999E-2</v>
      </c>
      <c r="D139" s="176" t="str">
        <f>Input!C39</f>
        <v>Conventional_Bitumen</v>
      </c>
      <c r="E139" s="154" cm="1">
        <f t="array" ref="E139">INDEX(LCI!H$2:H$137,MATCH('D- Benefits &amp; Burdens'!$B139&amp;'D- Benefits &amp; Burdens'!$D139,LCI!$B$2:$B$137&amp;LCI!$D$2:$D$137,0))*$C$139</f>
        <v>-3.3865905599999996E-2</v>
      </c>
      <c r="F139" s="154" cm="1">
        <f t="array" ref="F139">INDEX(LCI!I$2:I$137,MATCH('D- Benefits &amp; Burdens'!$B139&amp;'D- Benefits &amp; Burdens'!$D139,LCI!$B$2:$B$137&amp;LCI!$D$2:$D$137,0))*$C$139</f>
        <v>-10.435424399999999</v>
      </c>
      <c r="G139" s="154" cm="1">
        <f t="array" ref="G139">INDEX(LCI!J$2:J$137,MATCH('D- Benefits &amp; Burdens'!$B139&amp;'D- Benefits &amp; Burdens'!$D139,LCI!$B$2:$B$137&amp;LCI!$D$2:$D$137,0))*$C$139</f>
        <v>-4.1347908000000003E-2</v>
      </c>
      <c r="H139" s="154" cm="1">
        <f t="array" ref="H139">INDEX(LCI!K$2:K$137,MATCH('D- Benefits &amp; Burdens'!$B139&amp;'D- Benefits &amp; Burdens'!$D139,LCI!$B$2:$B$137&amp;LCI!$D$2:$D$137,0))*$C$139</f>
        <v>-10.39604544</v>
      </c>
      <c r="I139" s="154" cm="1">
        <f t="array" ref="I139">INDEX(LCI!L$2:L$137,MATCH('D- Benefits &amp; Burdens'!$B139&amp;'D- Benefits &amp; Burdens'!$D139,LCI!$B$2:$B$137&amp;LCI!$D$2:$D$137,0))*$C$139</f>
        <v>-5.2177122000000003E-3</v>
      </c>
      <c r="J139" s="154" cm="1">
        <f t="array" ref="J139">INDEX(LCI!M$2:M$137,MATCH('D- Benefits &amp; Burdens'!$B139&amp;'D- Benefits &amp; Burdens'!$D139,LCI!$B$2:$B$137&amp;LCI!$D$2:$D$137,0))*$C$139</f>
        <v>-561.15017999999998</v>
      </c>
      <c r="K139" s="154" cm="1">
        <f t="array" ref="K139">INDEX(LCI!N$2:N$137,MATCH('D- Benefits &amp; Burdens'!$B139&amp;'D- Benefits &amp; Burdens'!$D139,LCI!$B$2:$B$137&amp;LCI!$D$2:$D$137,0))*$C$139</f>
        <v>-901.7781839999999</v>
      </c>
      <c r="L139" s="154" cm="1">
        <f t="array" ref="L139">INDEX(LCI!O$2:O$137,MATCH('D- Benefits &amp; Burdens'!$B139&amp;'D- Benefits &amp; Burdens'!$D139,LCI!$B$2:$B$137&amp;LCI!$D$2:$D$137,0))*$C$139</f>
        <v>-8.7618185999999986E-6</v>
      </c>
      <c r="M139" s="154" cm="1">
        <f t="array" ref="M139">INDEX(LCI!P$2:P$137,MATCH('D- Benefits &amp; Burdens'!$B139&amp;'D- Benefits &amp; Burdens'!$D139,LCI!$B$2:$B$137&amp;LCI!$D$2:$D$137,0))*$C$139</f>
        <v>-8.742129119999999E-3</v>
      </c>
      <c r="N139" s="154" cm="1">
        <f t="array" ref="N139">INDEX(LCI!Q$2:Q$137,MATCH('D- Benefits &amp; Burdens'!$B139&amp;'D- Benefits &amp; Burdens'!$D139,LCI!$B$2:$B$137&amp;LCI!$D$2:$D$137,0))*$C$139</f>
        <v>-9.5690872800000007E-2</v>
      </c>
      <c r="O139" s="154" cm="1">
        <f t="array" ref="O139">INDEX(LCI!R$2:R$137,MATCH('D- Benefits &amp; Burdens'!$B139&amp;'D- Benefits &amp; Burdens'!$D139,LCI!$B$2:$B$137&amp;LCI!$D$2:$D$137,0))*$C$139</f>
        <v>-9.7659820799999992E-9</v>
      </c>
      <c r="P139" s="154" cm="1">
        <f t="array" ref="P139">INDEX(LCI!S$2:S$137,MATCH('D- Benefits &amp; Burdens'!$B139&amp;'D- Benefits &amp; Burdens'!$D139,LCI!$B$2:$B$137&amp;LCI!$D$2:$D$137,0))*$C$139</f>
        <v>-2.8155956399999999E-7</v>
      </c>
      <c r="Q139" s="154" cm="1">
        <f t="array" ref="Q139">INDEX(LCI!T$2:T$137,MATCH('D- Benefits &amp; Burdens'!$B139&amp;'D- Benefits &amp; Burdens'!$D139,LCI!$B$2:$B$137&amp;LCI!$D$2:$D$137,0))*$C$139</f>
        <v>-0.14865557399999998</v>
      </c>
      <c r="R139" s="154" cm="1">
        <f t="array" ref="R139">INDEX(LCI!U$2:U$137,MATCH('D- Benefits &amp; Burdens'!$B139&amp;'D- Benefits &amp; Burdens'!$D139,LCI!$B$2:$B$137&amp;LCI!$D$2:$D$137,0))*$C$139</f>
        <v>-5.1783332399999997</v>
      </c>
      <c r="S139" s="154" cm="1">
        <f t="array" ref="S139">INDEX(LCI!V$2:V$137,MATCH('D- Benefits &amp; Burdens'!$B139&amp;'D- Benefits &amp; Burdens'!$D139,LCI!$B$2:$B$137&amp;LCI!$D$2:$D$137,0))*$C$139</f>
        <v>-2.0083269599999999E-6</v>
      </c>
      <c r="T139" s="154" cm="1">
        <f t="array" ref="T139">INDEX(LCI!W$2:W$137,MATCH('D- Benefits &amp; Burdens'!$B139&amp;'D- Benefits &amp; Burdens'!$D139,LCI!$B$2:$B$137&amp;LCI!$D$2:$D$137,0))*$C$139</f>
        <v>-6.5369073599999996E-12</v>
      </c>
      <c r="U139" s="154" cm="1">
        <f t="array" ref="U139">INDEX(LCI!X$2:X$137,MATCH('D- Benefits &amp; Burdens'!$B139&amp;'D- Benefits &amp; Burdens'!$D139,LCI!$B$2:$B$137&amp;LCI!$D$2:$D$137,0))*$C$139</f>
        <v>-5.2767806399999999E-7</v>
      </c>
      <c r="V139" s="154" cm="1">
        <f t="array" ref="V139">INDEX(LCI!Y$2:Y$137,MATCH('D- Benefits &amp; Burdens'!$B139&amp;'D- Benefits &amp; Burdens'!$D139,LCI!$B$2:$B$137&amp;LCI!$D$2:$D$137,0))*$C$139</f>
        <v>-3.9969644399999997E-2</v>
      </c>
      <c r="W139" s="154" cm="1">
        <f t="array" ref="W139">INDEX(LCI!Z$2:Z$137,MATCH('D- Benefits &amp; Burdens'!$B139&amp;'D- Benefits &amp; Burdens'!$D139,LCI!$B$2:$B$137&amp;LCI!$D$2:$D$137,0))*$C$139</f>
        <v>-0.14196115079999999</v>
      </c>
    </row>
    <row r="140" spans="1:23" ht="13.9" customHeight="1" x14ac:dyDescent="0.25">
      <c r="A140" s="1" t="s">
        <v>831</v>
      </c>
      <c r="B140" s="1" t="s">
        <v>86</v>
      </c>
      <c r="C140" s="195">
        <f>$B$132</f>
        <v>-3.6097379999999998E-2</v>
      </c>
      <c r="D140" s="176" t="str">
        <f>Input!C49</f>
        <v>Cement</v>
      </c>
      <c r="E140" s="154" cm="1">
        <f t="array" ref="E140">INDEX(LCI!H$2:H$137,MATCH('D- Benefits &amp; Burdens'!$B140&amp;'D- Benefits &amp; Burdens'!$D140,LCI!$B$2:$B$137&amp;LCI!$D$2:$D$137,0))*$C$140</f>
        <v>-5.6208313155636506E-2</v>
      </c>
      <c r="F140" s="154" cm="1">
        <f t="array" ref="F140">INDEX(LCI!I$2:I$137,MATCH('D- Benefits &amp; Burdens'!$B140&amp;'D- Benefits &amp; Burdens'!$D140,LCI!$B$2:$B$137&amp;LCI!$D$2:$D$137,0))*$C$140</f>
        <v>-19.58956751944017</v>
      </c>
      <c r="G140" s="154" cm="1">
        <f t="array" ref="G140">INDEX(LCI!J$2:J$137,MATCH('D- Benefits &amp; Burdens'!$B140&amp;'D- Benefits &amp; Burdens'!$D140,LCI!$B$2:$B$137&amp;LCI!$D$2:$D$137,0))*$C$140</f>
        <v>-0.29716823177504659</v>
      </c>
      <c r="H140" s="154" cm="1">
        <f t="array" ref="H140">INDEX(LCI!K$2:K$137,MATCH('D- Benefits &amp; Burdens'!$B140&amp;'D- Benefits &amp; Burdens'!$D140,LCI!$B$2:$B$137&amp;LCI!$D$2:$D$137,0))*$C$140</f>
        <v>-19.283814704514366</v>
      </c>
      <c r="I140" s="154" cm="1">
        <f t="array" ref="I140">INDEX(LCI!L$2:L$137,MATCH('D- Benefits &amp; Burdens'!$B140&amp;'D- Benefits &amp; Burdens'!$D140,LCI!$B$2:$B$137&amp;LCI!$D$2:$D$137,0))*$C$140</f>
        <v>-8.5845831507574619E-3</v>
      </c>
      <c r="J140" s="154" cm="1">
        <f t="array" ref="J140">INDEX(LCI!M$2:M$137,MATCH('D- Benefits &amp; Burdens'!$B140&amp;'D- Benefits &amp; Burdens'!$D140,LCI!$B$2:$B$137&amp;LCI!$D$2:$D$137,0))*$C$140</f>
        <v>-53.350278952319726</v>
      </c>
      <c r="K140" s="154" cm="1">
        <f t="array" ref="K140">INDEX(LCI!N$2:N$137,MATCH('D- Benefits &amp; Burdens'!$B140&amp;'D- Benefits &amp; Burdens'!$D140,LCI!$B$2:$B$137&amp;LCI!$D$2:$D$137,0))*$C$140</f>
        <v>-103.37094765328328</v>
      </c>
      <c r="L140" s="154" cm="1">
        <f t="array" ref="L140">INDEX(LCI!O$2:O$137,MATCH('D- Benefits &amp; Burdens'!$B140&amp;'D- Benefits &amp; Burdens'!$D140,LCI!$B$2:$B$137&amp;LCI!$D$2:$D$137,0))*$C$140</f>
        <v>-2.7632038391447625E-3</v>
      </c>
      <c r="M140" s="154" cm="1">
        <f t="array" ref="M140">INDEX(LCI!P$2:P$137,MATCH('D- Benefits &amp; Burdens'!$B140&amp;'D- Benefits &amp; Burdens'!$D140,LCI!$B$2:$B$137&amp;LCI!$D$2:$D$137,0))*$C$140</f>
        <v>-1.3295838345363787E-2</v>
      </c>
      <c r="N140" s="154" cm="1">
        <f t="array" ref="N140">INDEX(LCI!Q$2:Q$137,MATCH('D- Benefits &amp; Burdens'!$B140&amp;'D- Benefits &amp; Burdens'!$D140,LCI!$B$2:$B$137&amp;LCI!$D$2:$D$137,0))*$C$140</f>
        <v>-0.14792730813290791</v>
      </c>
      <c r="O140" s="154" cm="1">
        <f t="array" ref="O140">INDEX(LCI!R$2:R$137,MATCH('D- Benefits &amp; Burdens'!$B140&amp;'D- Benefits &amp; Burdens'!$D140,LCI!$B$2:$B$137&amp;LCI!$D$2:$D$137,0))*$C$140</f>
        <v>-2.3758263723139958E-9</v>
      </c>
      <c r="P140" s="154" cm="1">
        <f t="array" ref="P140">INDEX(LCI!S$2:S$137,MATCH('D- Benefits &amp; Burdens'!$B140&amp;'D- Benefits &amp; Burdens'!$D140,LCI!$B$2:$B$137&amp;LCI!$D$2:$D$137,0))*$C$140</f>
        <v>-1.2844588965888433E-7</v>
      </c>
      <c r="Q140" s="154" cm="1">
        <f t="array" ref="Q140">INDEX(LCI!T$2:T$137,MATCH('D- Benefits &amp; Burdens'!$B140&amp;'D- Benefits &amp; Burdens'!$D140,LCI!$B$2:$B$137&amp;LCI!$D$2:$D$137,0))*$C$140</f>
        <v>-0.8448222976847386</v>
      </c>
      <c r="R140" s="154" cm="1">
        <f t="array" ref="R140">INDEX(LCI!U$2:U$137,MATCH('D- Benefits &amp; Burdens'!$B140&amp;'D- Benefits &amp; Burdens'!$D140,LCI!$B$2:$B$137&amp;LCI!$D$2:$D$137,0))*$C$140</f>
        <v>-33.101337302727082</v>
      </c>
      <c r="S140" s="154" cm="1">
        <f t="array" ref="S140">INDEX(LCI!V$2:V$137,MATCH('D- Benefits &amp; Burdens'!$B140&amp;'D- Benefits &amp; Burdens'!$D140,LCI!$B$2:$B$137&amp;LCI!$D$2:$D$137,0))*$C$140</f>
        <v>-6.5830153266825973E-5</v>
      </c>
      <c r="T140" s="154" cm="1">
        <f t="array" ref="T140">INDEX(LCI!W$2:W$137,MATCH('D- Benefits &amp; Burdens'!$B140&amp;'D- Benefits &amp; Burdens'!$D140,LCI!$B$2:$B$137&amp;LCI!$D$2:$D$137,0))*$C$140</f>
        <v>-9.3357248219403563E-8</v>
      </c>
      <c r="U140" s="154" cm="1">
        <f t="array" ref="U140">INDEX(LCI!X$2:X$137,MATCH('D- Benefits &amp; Burdens'!$B140&amp;'D- Benefits &amp; Burdens'!$D140,LCI!$B$2:$B$137&amp;LCI!$D$2:$D$137,0))*$C$140</f>
        <v>-4.4643083980117118E-7</v>
      </c>
      <c r="V140" s="154" cm="1">
        <f t="array" ref="V140">INDEX(LCI!Y$2:Y$137,MATCH('D- Benefits &amp; Burdens'!$B140&amp;'D- Benefits &amp; Burdens'!$D140,LCI!$B$2:$B$137&amp;LCI!$D$2:$D$137,0))*$C$140</f>
        <v>-4.3095630594899549E-2</v>
      </c>
      <c r="W140" s="154" cm="1">
        <f t="array" ref="W140">INDEX(LCI!Z$2:Z$137,MATCH('D- Benefits &amp; Burdens'!$B140&amp;'D- Benefits &amp; Burdens'!$D140,LCI!$B$2:$B$137&amp;LCI!$D$2:$D$137,0))*$C$140</f>
        <v>-2.0193799005542212</v>
      </c>
    </row>
    <row r="141" spans="1:23" ht="13.9" customHeight="1" x14ac:dyDescent="0.25">
      <c r="A141" s="1" t="s">
        <v>832</v>
      </c>
      <c r="B141" s="1" t="s">
        <v>69</v>
      </c>
      <c r="C141" s="195">
        <f>$B$133</f>
        <v>-0.25645008000000002</v>
      </c>
      <c r="D141" s="94"/>
      <c r="E141" s="154">
        <f>INDEX(LCI!H$2:H$137,MATCH('D- Benefits &amp; Burdens'!$B$141,LCI!$D$2:$D$137,0))*$C$141</f>
        <v>-1.3960382058064044E-2</v>
      </c>
      <c r="F141" s="154">
        <f>INDEX(LCI!I$2:I$137,MATCH('D- Benefits &amp; Burdens'!$B$141,LCI!$D$2:$D$137,0))*$C$141</f>
        <v>-0.72547501694082206</v>
      </c>
      <c r="G141" s="154">
        <f>INDEX(LCI!J$2:J$137,MATCH('D- Benefits &amp; Burdens'!$B$141,LCI!$D$2:$D$137,0))*$C$141</f>
        <v>-2.2361715149516645E-3</v>
      </c>
      <c r="H141" s="154">
        <f>INDEX(LCI!K$2:K$137,MATCH('D- Benefits &amp; Burdens'!$B$141,LCI!$D$2:$D$137,0))*$C$141</f>
        <v>-0.72300036108193522</v>
      </c>
      <c r="I141" s="154">
        <f>INDEX(LCI!L$2:L$137,MATCH('D- Benefits &amp; Burdens'!$B$141,LCI!$D$2:$D$137,0))*$C$141</f>
        <v>-2.3848434393506342E-4</v>
      </c>
      <c r="J141" s="154">
        <f>INDEX(LCI!M$2:M$137,MATCH('D- Benefits &amp; Burdens'!$B$141,LCI!$D$2:$D$137,0))*$C$141</f>
        <v>-7.1685307312791462</v>
      </c>
      <c r="K141" s="154">
        <f>INDEX(LCI!N$2:N$137,MATCH('D- Benefits &amp; Burdens'!$B$141,LCI!$D$2:$D$137,0))*$C$141</f>
        <v>-10.279795854635511</v>
      </c>
      <c r="L141" s="154">
        <f>INDEX(LCI!O$2:O$137,MATCH('D- Benefits &amp; Burdens'!$B$141,LCI!$D$2:$D$137,0))*$C$141</f>
        <v>-5.3605434442295689E-5</v>
      </c>
      <c r="M141" s="154">
        <f>INDEX(LCI!P$2:P$137,MATCH('D- Benefits &amp; Burdens'!$B$141,LCI!$D$2:$D$137,0))*$C$141</f>
        <v>-5.0146547118943216E-3</v>
      </c>
      <c r="N141" s="154">
        <f>INDEX(LCI!Q$2:Q$137,MATCH('D- Benefits &amp; Burdens'!$B$141,LCI!$D$2:$D$137,0))*$C$141</f>
        <v>-6.9943421394914898E-2</v>
      </c>
      <c r="O141" s="154">
        <f>INDEX(LCI!R$2:R$137,MATCH('D- Benefits &amp; Burdens'!$B$141,LCI!$D$2:$D$137,0))*$C$141</f>
        <v>-1.3074217943355367E-10</v>
      </c>
      <c r="P141" s="154">
        <f>INDEX(LCI!S$2:S$137,MATCH('D- Benefits &amp; Burdens'!$B$141,LCI!$D$2:$D$137,0))*$C$141</f>
        <v>-3.4706627624601451E-9</v>
      </c>
      <c r="Q141" s="154">
        <f>INDEX(LCI!T$2:T$137,MATCH('D- Benefits &amp; Burdens'!$B$141,LCI!$D$2:$D$137,0))*$C$141</f>
        <v>-2.7425616527417308E-2</v>
      </c>
      <c r="R141" s="154">
        <f>INDEX(LCI!U$2:U$137,MATCH('D- Benefits &amp; Burdens'!$B$141,LCI!$D$2:$D$137,0))*$C$141</f>
        <v>-8.4549619335314645</v>
      </c>
      <c r="S141" s="154">
        <f>INDEX(LCI!V$2:V$137,MATCH('D- Benefits &amp; Burdens'!$B$141,LCI!$D$2:$D$137,0))*$C$141</f>
        <v>-2.1027177039817372E-6</v>
      </c>
      <c r="T141" s="154">
        <f>INDEX(LCI!W$2:W$137,MATCH('D- Benefits &amp; Burdens'!$B$141,LCI!$D$2:$D$137,0))*$C$141</f>
        <v>-1.1958361168644021E-8</v>
      </c>
      <c r="U141" s="154">
        <f>INDEX(LCI!X$2:X$137,MATCH('D- Benefits &amp; Burdens'!$B$141,LCI!$D$2:$D$137,0))*$C$141</f>
        <v>-2.2609655816336632E-7</v>
      </c>
      <c r="V141" s="154">
        <f>INDEX(LCI!Y$2:Y$137,MATCH('D- Benefits &amp; Burdens'!$B$141,LCI!$D$2:$D$137,0))*$C$141</f>
        <v>-1.5796288438723424E-2</v>
      </c>
      <c r="W141" s="154">
        <f>INDEX(LCI!Z$2:Z$137,MATCH('D- Benefits &amp; Burdens'!$B$141,LCI!$D$2:$D$137,0))*$C$141</f>
        <v>-1.0323723999226222</v>
      </c>
    </row>
    <row r="142" spans="1:23" ht="13.9" customHeight="1" x14ac:dyDescent="0.25">
      <c r="A142" s="9" t="s">
        <v>833</v>
      </c>
      <c r="B142" s="9" t="s">
        <v>80</v>
      </c>
      <c r="C142" s="196">
        <f>B134</f>
        <v>-0.18504020000000002</v>
      </c>
      <c r="D142" s="94"/>
      <c r="E142" s="154">
        <f>INDEX(LCI!H$2:H$137,MATCH('D- Benefits &amp; Burdens'!$B$142,LCI!$D$2:$D$137,0))*$C$142</f>
        <v>-8.5073821289970136E-3</v>
      </c>
      <c r="F142" s="154">
        <f>INDEX(LCI!I$2:I$137,MATCH('D- Benefits &amp; Burdens'!$B$142,LCI!$D$2:$D$137,0))*$C$142</f>
        <v>-0.96495648777860554</v>
      </c>
      <c r="G142" s="154">
        <f>INDEX(LCI!J$2:J$137,MATCH('D- Benefits &amp; Burdens'!$B$142,LCI!$D$2:$D$137,0))*$C$142</f>
        <v>2.3215122512829309E-4</v>
      </c>
      <c r="H142" s="154">
        <f>INDEX(LCI!K$2:K$137,MATCH('D- Benefits &amp; Burdens'!$B$142,LCI!$D$2:$D$137,0))*$C$142</f>
        <v>-0.96505584777410203</v>
      </c>
      <c r="I142" s="154">
        <f>INDEX(LCI!L$2:L$137,MATCH('D- Benefits &amp; Burdens'!$B$142,LCI!$D$2:$D$137,0))*$C$142</f>
        <v>-1.3279122963215021E-4</v>
      </c>
      <c r="J142" s="154">
        <f>INDEX(LCI!M$2:M$137,MATCH('D- Benefits &amp; Burdens'!$B$142,LCI!$D$2:$D$137,0))*$C$142</f>
        <v>-0.82411145720854018</v>
      </c>
      <c r="K142" s="154">
        <f>INDEX(LCI!N$2:N$137,MATCH('D- Benefits &amp; Burdens'!$B$142,LCI!$D$2:$D$137,0))*$C$142</f>
        <v>-12.54275635359949</v>
      </c>
      <c r="L142" s="154">
        <f>INDEX(LCI!O$2:O$137,MATCH('D- Benefits &amp; Burdens'!$B$142,LCI!$D$2:$D$137,0))*$C$142</f>
        <v>-4.3522585174738216E-5</v>
      </c>
      <c r="M142" s="154">
        <f>INDEX(LCI!P$2:P$137,MATCH('D- Benefits &amp; Burdens'!$B$142,LCI!$D$2:$D$137,0))*$C$142</f>
        <v>-3.9041994226242816E-3</v>
      </c>
      <c r="N142" s="154">
        <f>INDEX(LCI!Q$2:Q$137,MATCH('D- Benefits &amp; Burdens'!$B$142,LCI!$D$2:$D$137,0))*$C$142</f>
        <v>-4.287975932355817E-2</v>
      </c>
      <c r="O142" s="154">
        <f>INDEX(LCI!R$2:R$137,MATCH('D- Benefits &amp; Burdens'!$B$142,LCI!$D$2:$D$137,0))*$C$142</f>
        <v>-1.135163988275099E-10</v>
      </c>
      <c r="P142" s="154">
        <f>INDEX(LCI!S$2:S$137,MATCH('D- Benefits &amp; Burdens'!$B$142,LCI!$D$2:$D$137,0))*$C$142</f>
        <v>-1.8297351112332823E-9</v>
      </c>
      <c r="Q142" s="154">
        <f>INDEX(LCI!T$2:T$137,MATCH('D- Benefits &amp; Burdens'!$B$142,LCI!$D$2:$D$137,0))*$C$142</f>
        <v>-8.2447895345751799E-3</v>
      </c>
      <c r="R142" s="154">
        <f>INDEX(LCI!U$2:U$137,MATCH('D- Benefits &amp; Burdens'!$B$142,LCI!$D$2:$D$137,0))*$C$142</f>
        <v>-452.55008281379742</v>
      </c>
      <c r="S142" s="154">
        <f>INDEX(LCI!V$2:V$137,MATCH('D- Benefits &amp; Burdens'!$B$142,LCI!$D$2:$D$137,0))*$C$142</f>
        <v>-6.1904328155101664E-7</v>
      </c>
      <c r="T142" s="154">
        <f>INDEX(LCI!W$2:W$137,MATCH('D- Benefits &amp; Burdens'!$B$142,LCI!$D$2:$D$137,0))*$C$142</f>
        <v>-1.4078766263156694E-8</v>
      </c>
      <c r="U142" s="154">
        <f>INDEX(LCI!X$2:X$137,MATCH('D- Benefits &amp; Burdens'!$B$142,LCI!$D$2:$D$137,0))*$C$142</f>
        <v>-2.4028332369208438E-7</v>
      </c>
      <c r="V142" s="154">
        <f>INDEX(LCI!Y$2:Y$137,MATCH('D- Benefits &amp; Burdens'!$B$142,LCI!$D$2:$D$137,0))*$C$142</f>
        <v>-1.2793041676728199E-2</v>
      </c>
      <c r="W142" s="154">
        <f>INDEX(LCI!Z$2:Z$137,MATCH('D- Benefits &amp; Burdens'!$B$142,LCI!$D$2:$D$137,0))*$C$142</f>
        <v>-1.23451694155461</v>
      </c>
    </row>
    <row r="143" spans="1:23" ht="13.9" customHeight="1" x14ac:dyDescent="0.25">
      <c r="A143" s="399" t="s">
        <v>220</v>
      </c>
      <c r="B143" s="400"/>
      <c r="C143" s="400"/>
      <c r="D143" s="413"/>
      <c r="E143" s="154">
        <f>SUM(E139:E142)</f>
        <v>-0.11254198294269757</v>
      </c>
      <c r="F143" s="154">
        <f t="shared" ref="F143:W143" si="2">SUM(F139:F142)</f>
        <v>-31.715423424159596</v>
      </c>
      <c r="G143" s="154">
        <f t="shared" si="2"/>
        <v>-0.3405201600648699</v>
      </c>
      <c r="H143" s="154">
        <f t="shared" si="2"/>
        <v>-31.367916353370404</v>
      </c>
      <c r="I143" s="154">
        <f t="shared" si="2"/>
        <v>-1.4173570924324676E-2</v>
      </c>
      <c r="J143" s="154">
        <f t="shared" si="2"/>
        <v>-622.49310114080743</v>
      </c>
      <c r="K143" s="154">
        <f t="shared" si="2"/>
        <v>-1027.9716838615182</v>
      </c>
      <c r="L143" s="154">
        <f t="shared" si="2"/>
        <v>-2.8690936773617965E-3</v>
      </c>
      <c r="M143" s="154">
        <f t="shared" si="2"/>
        <v>-3.0956821599882389E-2</v>
      </c>
      <c r="N143" s="154">
        <f t="shared" si="2"/>
        <v>-0.35644136165138096</v>
      </c>
      <c r="O143" s="154">
        <f t="shared" si="2"/>
        <v>-1.2386067030575058E-8</v>
      </c>
      <c r="P143" s="154">
        <f t="shared" si="2"/>
        <v>-4.1530585153257775E-7</v>
      </c>
      <c r="Q143" s="154">
        <f t="shared" si="2"/>
        <v>-1.0291482777467311</v>
      </c>
      <c r="R143" s="154">
        <f t="shared" si="2"/>
        <v>-499.28471529005594</v>
      </c>
      <c r="S143" s="154">
        <f t="shared" si="2"/>
        <v>-7.0560241212358723E-5</v>
      </c>
      <c r="T143" s="154">
        <f t="shared" si="2"/>
        <v>-1.1940091255856428E-7</v>
      </c>
      <c r="U143" s="154">
        <f t="shared" si="2"/>
        <v>-1.4404887856566217E-6</v>
      </c>
      <c r="V143" s="154">
        <f t="shared" si="2"/>
        <v>-0.11165460511035116</v>
      </c>
      <c r="W143" s="154">
        <f t="shared" si="2"/>
        <v>-4.4282303928314537</v>
      </c>
    </row>
    <row r="144" spans="1:23" ht="13.9" customHeight="1" x14ac:dyDescent="0.25"/>
    <row r="145" spans="1:25" ht="13.9" customHeight="1" x14ac:dyDescent="0.25"/>
    <row r="146" spans="1:25" ht="13.9" customHeight="1" x14ac:dyDescent="0.25"/>
    <row r="147" spans="1:25" ht="24" x14ac:dyDescent="0.4">
      <c r="A147" s="100" t="s">
        <v>835</v>
      </c>
    </row>
    <row r="148" spans="1:25" ht="13.9" customHeight="1" x14ac:dyDescent="0.4">
      <c r="A148" s="100"/>
    </row>
    <row r="149" spans="1:25" ht="90" x14ac:dyDescent="0.25">
      <c r="A149" s="302" t="s">
        <v>464</v>
      </c>
      <c r="B149" s="302" t="s">
        <v>301</v>
      </c>
      <c r="C149" s="302" t="s">
        <v>640</v>
      </c>
      <c r="D149" s="302" t="s">
        <v>60</v>
      </c>
      <c r="E149" s="302" t="s">
        <v>556</v>
      </c>
      <c r="F149" s="302" t="s">
        <v>557</v>
      </c>
      <c r="G149" s="309" t="s">
        <v>303</v>
      </c>
      <c r="H149" s="309" t="s">
        <v>304</v>
      </c>
      <c r="I149" s="309" t="s">
        <v>305</v>
      </c>
      <c r="J149" s="309" t="s">
        <v>306</v>
      </c>
      <c r="K149" s="309" t="s">
        <v>307</v>
      </c>
      <c r="L149" s="309" t="s">
        <v>308</v>
      </c>
      <c r="M149" s="309" t="s">
        <v>309</v>
      </c>
      <c r="N149" s="309" t="s">
        <v>310</v>
      </c>
      <c r="O149" s="309" t="s">
        <v>311</v>
      </c>
      <c r="P149" s="309" t="s">
        <v>312</v>
      </c>
      <c r="Q149" s="309" t="s">
        <v>313</v>
      </c>
      <c r="R149" s="309" t="s">
        <v>314</v>
      </c>
      <c r="S149" s="309" t="s">
        <v>315</v>
      </c>
      <c r="T149" s="309" t="s">
        <v>316</v>
      </c>
      <c r="U149" s="309" t="s">
        <v>317</v>
      </c>
      <c r="V149" s="309" t="s">
        <v>318</v>
      </c>
      <c r="W149" s="309" t="s">
        <v>319</v>
      </c>
      <c r="X149" s="309" t="s">
        <v>320</v>
      </c>
      <c r="Y149" s="309" t="s">
        <v>321</v>
      </c>
    </row>
    <row r="150" spans="1:25" ht="13.9" customHeight="1" x14ac:dyDescent="0.25">
      <c r="A150" s="89" t="s">
        <v>830</v>
      </c>
      <c r="B150" s="311" t="s">
        <v>63</v>
      </c>
      <c r="C150" s="195">
        <f>$B$131</f>
        <v>-1.9689479999999999E-2</v>
      </c>
      <c r="D150" s="154">
        <f>$D$8</f>
        <v>20</v>
      </c>
      <c r="E150" s="154" t="str">
        <f>$B$8</f>
        <v>Truck</v>
      </c>
      <c r="F150" s="154" t="str">
        <f>$C$8</f>
        <v>Diesel_Euro5</v>
      </c>
      <c r="G150" s="154" cm="1">
        <f t="array" ref="G150">INDEX(LCI!H$2:H$137,MATCH('D- Benefits &amp; Burdens'!$E150&amp;'D- Benefits &amp; Burdens'!$F150,LCI!$B$2:$B$137&amp;LCI!$D$2:$D$137,0))*$C150*$D150</f>
        <v>-1.7434522613519999E-4</v>
      </c>
      <c r="H150" s="154" cm="1">
        <f t="array" ref="H150">INDEX(LCI!I$2:I$137,MATCH('D- Benefits &amp; Burdens'!$E150&amp;'D- Benefits &amp; Burdens'!$F150,LCI!$B$2:$B$137&amp;LCI!$D$2:$D$137,0))*$C150*$D150</f>
        <v>-6.3729313622330391E-2</v>
      </c>
      <c r="I150" s="154" cm="1">
        <f t="array" ref="I150">INDEX(LCI!J$2:J$137,MATCH('D- Benefits &amp; Burdens'!$E150&amp;'D- Benefits &amp; Burdens'!$F150,LCI!$B$2:$B$137&amp;LCI!$D$2:$D$137,0))*$C150*$D150</f>
        <v>-2.9454989532479996E-5</v>
      </c>
      <c r="J150" s="154" cm="1">
        <f t="array" ref="J150">INDEX(LCI!K$2:K$137,MATCH('D- Benefits &amp; Burdens'!$E150&amp;'D- Benefits &amp; Burdens'!$F150,LCI!$B$2:$B$137&amp;LCI!$D$2:$D$137,0))*$C150*$D150</f>
        <v>-6.3694847581379999E-2</v>
      </c>
      <c r="K150" s="154" cm="1">
        <f t="array" ref="K150">INDEX(LCI!L$2:L$137,MATCH('D- Benefits &amp; Burdens'!$E150&amp;'D- Benefits &amp; Burdens'!$F150,LCI!$B$2:$B$137&amp;LCI!$D$2:$D$137,0))*$C150*$D150</f>
        <v>-5.0109332810399999E-6</v>
      </c>
      <c r="L150" s="154" cm="1">
        <f t="array" ref="L150">INDEX(LCI!M$2:M$137,MATCH('D- Benefits &amp; Burdens'!$E150&amp;'D- Benefits &amp; Burdens'!$F150,LCI!$B$2:$B$137&amp;LCI!$D$2:$D$137,0))*$C150*$D150</f>
        <v>-5.4160572483388798E-2</v>
      </c>
      <c r="M150" s="154" cm="1">
        <f t="array" ref="M150">INDEX(LCI!N$2:N$137,MATCH('D- Benefits &amp; Burdens'!$E150&amp;'D- Benefits &amp; Burdens'!$F150,LCI!$B$2:$B$137&amp;LCI!$D$2:$D$137,0))*$C150*$D150</f>
        <v>-0.85686238864605591</v>
      </c>
      <c r="N150" s="154" cm="1">
        <f t="array" ref="N150">INDEX(LCI!O$2:O$137,MATCH('D- Benefits &amp; Burdens'!$E150&amp;'D- Benefits &amp; Burdens'!$F150,LCI!$B$2:$B$137&amp;LCI!$D$2:$D$137,0))*$C150*$D150</f>
        <v>-1.4660786807999999E-6</v>
      </c>
      <c r="O150" s="154" cm="1">
        <f t="array" ref="O150">INDEX(LCI!P$2:P$137,MATCH('D- Benefits &amp; Burdens'!$E150&amp;'D- Benefits &amp; Burdens'!$F150,LCI!$B$2:$B$137&amp;LCI!$D$2:$D$137,0))*$C150*$D150</f>
        <v>-6.2555053118399992E-5</v>
      </c>
      <c r="P150" s="154" cm="1">
        <f t="array" ref="P150">INDEX(LCI!Q$2:Q$137,MATCH('D- Benefits &amp; Burdens'!$E150&amp;'D- Benefits &amp; Burdens'!$F150,LCI!$B$2:$B$137&amp;LCI!$D$2:$D$137,0))*$C150*$D150</f>
        <v>-6.8238027730799992E-4</v>
      </c>
      <c r="Q150" s="154" cm="1">
        <f t="array" ref="Q150">INDEX(LCI!R$2:R$137,MATCH('D- Benefits &amp; Burdens'!$E150&amp;'D- Benefits &amp; Burdens'!$F150,LCI!$B$2:$B$137&amp;LCI!$D$2:$D$137,0))*$C150*$D150</f>
        <v>-5.9568946581599989E-12</v>
      </c>
      <c r="R150" s="154" cm="1">
        <f t="array" ref="R150">INDEX(LCI!S$2:S$137,MATCH('D- Benefits &amp; Burdens'!$E150&amp;'D- Benefits &amp; Burdens'!$F150,LCI!$B$2:$B$137&amp;LCI!$D$2:$D$137,0))*$C150*$D150</f>
        <v>-4.5673686755999998E-10</v>
      </c>
      <c r="S150" s="154" cm="1">
        <f t="array" ref="S150">INDEX(LCI!T$2:T$137,MATCH('D- Benefits &amp; Burdens'!$E150&amp;'D- Benefits &amp; Burdens'!$F150,LCI!$B$2:$B$137&amp;LCI!$D$2:$D$137,0))*$C150*$D150</f>
        <v>-3.8576731826879995E-4</v>
      </c>
      <c r="T150" s="154" cm="1">
        <f t="array" ref="T150">INDEX(LCI!U$2:U$137,MATCH('D- Benefits &amp; Burdens'!$E150&amp;'D- Benefits &amp; Burdens'!$F150,LCI!$B$2:$B$137&amp;LCI!$D$2:$D$137,0))*$C150*$D150</f>
        <v>-5.3768756556864E-2</v>
      </c>
      <c r="U150" s="154" cm="1">
        <f t="array" ref="U150">INDEX(LCI!V$2:V$137,MATCH('D- Benefits &amp; Burdens'!$E150&amp;'D- Benefits &amp; Burdens'!$F150,LCI!$B$2:$B$137&amp;LCI!$D$2:$D$137,0))*$C150*$D150</f>
        <v>-6.9078965421599994E-8</v>
      </c>
      <c r="V150" s="154" cm="1">
        <f t="array" ref="V150">INDEX(LCI!W$2:W$137,MATCH('D- Benefits &amp; Burdens'!$E150&amp;'D- Benefits &amp; Burdens'!$F150,LCI!$B$2:$B$137&amp;LCI!$D$2:$D$137,0))*$C150*$D150</f>
        <v>-1.4175874294559999E-9</v>
      </c>
      <c r="W150" s="154" cm="1">
        <f t="array" ref="W150">INDEX(LCI!X$2:X$137,MATCH('D- Benefits &amp; Burdens'!$E150&amp;'D- Benefits &amp; Burdens'!$F150,LCI!$B$2:$B$137&amp;LCI!$D$2:$D$137,0))*$C150*$D150</f>
        <v>-4.3092395928000001E-9</v>
      </c>
      <c r="X150" s="154" cm="1">
        <f t="array" ref="X150">INDEX(LCI!Y$2:Y$137,MATCH('D- Benefits &amp; Burdens'!$E150&amp;'D- Benefits &amp; Burdens'!$F150,LCI!$B$2:$B$137&amp;LCI!$D$2:$D$137,0))*$C150*$D150</f>
        <v>-2.7449300962800001E-4</v>
      </c>
      <c r="Y150" s="154" cm="1">
        <f t="array" ref="Y150">INDEX(LCI!Z$2:Z$137,MATCH('D- Benefits &amp; Burdens'!$E150&amp;'D- Benefits &amp; Burdens'!$F150,LCI!$B$2:$B$137&amp;LCI!$D$2:$D$137,0))*$C150*$D150</f>
        <v>-1.9339960226831998E-3</v>
      </c>
    </row>
    <row r="151" spans="1:25" ht="13.9" customHeight="1" x14ac:dyDescent="0.25">
      <c r="A151" s="1" t="s">
        <v>831</v>
      </c>
      <c r="B151" s="141" t="str">
        <f>Input!$C$49</f>
        <v>Cement</v>
      </c>
      <c r="C151" s="195">
        <f>$B$132</f>
        <v>-3.6097379999999998E-2</v>
      </c>
      <c r="D151" s="154">
        <f>$D$9</f>
        <v>20</v>
      </c>
      <c r="E151" s="154" t="str">
        <f>$B$9</f>
        <v>Truck</v>
      </c>
      <c r="F151" s="154" t="str">
        <f>$C$9</f>
        <v>Diesel_Euro5</v>
      </c>
      <c r="G151" s="154" cm="1">
        <f t="array" ref="G151">INDEX(LCI!H$2:H$137,MATCH('D- Benefits &amp; Burdens'!$E151&amp;'D- Benefits &amp; Burdens'!$F151,LCI!$B$2:$B$137&amp;LCI!$D$2:$D$137,0))*$C151*$D151</f>
        <v>-3.1963291458119998E-4</v>
      </c>
      <c r="H151" s="154" cm="1">
        <f t="array" ref="H151">INDEX(LCI!I$2:I$137,MATCH('D- Benefits &amp; Burdens'!$E151&amp;'D- Benefits &amp; Burdens'!$F151,LCI!$B$2:$B$137&amp;LCI!$D$2:$D$137,0))*$C151*$D151</f>
        <v>-0.1168370749742724</v>
      </c>
      <c r="I151" s="154" cm="1">
        <f t="array" ref="I151">INDEX(LCI!J$2:J$137,MATCH('D- Benefits &amp; Burdens'!$E151&amp;'D- Benefits &amp; Burdens'!$F151,LCI!$B$2:$B$137&amp;LCI!$D$2:$D$137,0))*$C151*$D151</f>
        <v>-5.4000814142879996E-5</v>
      </c>
      <c r="J151" s="154" cm="1">
        <f t="array" ref="J151">INDEX(LCI!K$2:K$137,MATCH('D- Benefits &amp; Burdens'!$E151&amp;'D- Benefits &amp; Burdens'!$F151,LCI!$B$2:$B$137&amp;LCI!$D$2:$D$137,0))*$C151*$D151</f>
        <v>-0.11677388723252999</v>
      </c>
      <c r="K151" s="154" cm="1">
        <f t="array" ref="K151">INDEX(LCI!L$2:L$137,MATCH('D- Benefits &amp; Burdens'!$E151&amp;'D- Benefits &amp; Burdens'!$F151,LCI!$B$2:$B$137&amp;LCI!$D$2:$D$137,0))*$C151*$D151</f>
        <v>-9.1867110152399995E-6</v>
      </c>
      <c r="L151" s="154" cm="1">
        <f t="array" ref="L151">INDEX(LCI!M$2:M$137,MATCH('D- Benefits &amp; Burdens'!$E151&amp;'D- Benefits &amp; Burdens'!$F151,LCI!$B$2:$B$137&amp;LCI!$D$2:$D$137,0))*$C151*$D151</f>
        <v>-9.9294382886212798E-2</v>
      </c>
      <c r="M151" s="154" cm="1">
        <f t="array" ref="M151">INDEX(LCI!N$2:N$137,MATCH('D- Benefits &amp; Burdens'!$E151&amp;'D- Benefits &amp; Burdens'!$F151,LCI!$B$2:$B$137&amp;LCI!$D$2:$D$137,0))*$C151*$D151</f>
        <v>-1.570914379184436</v>
      </c>
      <c r="N151" s="154" cm="1">
        <f t="array" ref="N151">INDEX(LCI!O$2:O$137,MATCH('D- Benefits &amp; Burdens'!$E151&amp;'D- Benefits &amp; Burdens'!$F151,LCI!$B$2:$B$137&amp;LCI!$D$2:$D$137,0))*$C151*$D151</f>
        <v>-2.6878109148000001E-6</v>
      </c>
      <c r="O151" s="154" cm="1">
        <f t="array" ref="O151">INDEX(LCI!P$2:P$137,MATCH('D- Benefits &amp; Burdens'!$E151&amp;'D- Benefits &amp; Burdens'!$F151,LCI!$B$2:$B$137&amp;LCI!$D$2:$D$137,0))*$C151*$D151</f>
        <v>-1.146842640504E-4</v>
      </c>
      <c r="P151" s="154" cm="1">
        <f t="array" ref="P151">INDEX(LCI!Q$2:Q$137,MATCH('D- Benefits &amp; Burdens'!$E151&amp;'D- Benefits &amp; Burdens'!$F151,LCI!$B$2:$B$137&amp;LCI!$D$2:$D$137,0))*$C151*$D151</f>
        <v>-1.2510305083979997E-3</v>
      </c>
      <c r="Q151" s="154" cm="1">
        <f t="array" ref="Q151">INDEX(LCI!R$2:R$137,MATCH('D- Benefits &amp; Burdens'!$E151&amp;'D- Benefits &amp; Burdens'!$F151,LCI!$B$2:$B$137&amp;LCI!$D$2:$D$137,0))*$C151*$D151</f>
        <v>-1.0920973539959999E-11</v>
      </c>
      <c r="R151" s="154" cm="1">
        <f t="array" ref="R151">INDEX(LCI!S$2:S$137,MATCH('D- Benefits &amp; Burdens'!$E151&amp;'D- Benefits &amp; Burdens'!$F151,LCI!$B$2:$B$137&amp;LCI!$D$2:$D$137,0))*$C151*$D151</f>
        <v>-8.3735092386000004E-10</v>
      </c>
      <c r="S151" s="154" cm="1">
        <f t="array" ref="S151">INDEX(LCI!T$2:T$137,MATCH('D- Benefits &amp; Burdens'!$E151&amp;'D- Benefits &amp; Burdens'!$F151,LCI!$B$2:$B$137&amp;LCI!$D$2:$D$137,0))*$C151*$D151</f>
        <v>-7.0724008349279995E-4</v>
      </c>
      <c r="T151" s="154" cm="1">
        <f t="array" ref="T151">INDEX(LCI!U$2:U$137,MATCH('D- Benefits &amp; Burdens'!$E151&amp;'D- Benefits &amp; Burdens'!$F151,LCI!$B$2:$B$137&amp;LCI!$D$2:$D$137,0))*$C151*$D151</f>
        <v>-9.8576053687583987E-2</v>
      </c>
      <c r="U151" s="154" cm="1">
        <f t="array" ref="U151">INDEX(LCI!V$2:V$137,MATCH('D- Benefits &amp; Burdens'!$E151&amp;'D- Benefits &amp; Burdens'!$F151,LCI!$B$2:$B$137&amp;LCI!$D$2:$D$137,0))*$C151*$D151</f>
        <v>-1.2664476993959998E-7</v>
      </c>
      <c r="V151" s="154" cm="1">
        <f t="array" ref="V151">INDEX(LCI!W$2:W$137,MATCH('D- Benefits &amp; Burdens'!$E151&amp;'D- Benefits &amp; Burdens'!$F151,LCI!$B$2:$B$137&amp;LCI!$D$2:$D$137,0))*$C151*$D151</f>
        <v>-2.5989102873359998E-9</v>
      </c>
      <c r="W151" s="154" cm="1">
        <f t="array" ref="W151">INDEX(LCI!X$2:X$137,MATCH('D- Benefits &amp; Burdens'!$E151&amp;'D- Benefits &amp; Burdens'!$F151,LCI!$B$2:$B$137&amp;LCI!$D$2:$D$137,0))*$C151*$D151</f>
        <v>-7.9002725867999995E-9</v>
      </c>
      <c r="X151" s="154" cm="1">
        <f t="array" ref="X151">INDEX(LCI!Y$2:Y$137,MATCH('D- Benefits &amp; Burdens'!$E151&amp;'D- Benefits &amp; Burdens'!$F151,LCI!$B$2:$B$137&amp;LCI!$D$2:$D$137,0))*$C151*$D151</f>
        <v>-5.0323718431800001E-4</v>
      </c>
      <c r="Y151" s="154" cm="1">
        <f t="array" ref="Y151">INDEX(LCI!Z$2:Z$137,MATCH('D- Benefits &amp; Burdens'!$E151&amp;'D- Benefits &amp; Burdens'!$F151,LCI!$B$2:$B$137&amp;LCI!$D$2:$D$137,0))*$C151*$D151</f>
        <v>-3.5456593749191995E-3</v>
      </c>
    </row>
    <row r="152" spans="1:25" ht="13.9" customHeight="1" x14ac:dyDescent="0.25">
      <c r="A152" s="1" t="s">
        <v>832</v>
      </c>
      <c r="B152" s="141" t="str">
        <f>Input!$A$40</f>
        <v>Virgin crushed coarse aggregate 1 (&gt;2 mm)</v>
      </c>
      <c r="C152" s="195">
        <f>$B$133</f>
        <v>-0.25645008000000002</v>
      </c>
      <c r="D152" s="154">
        <f>$D$10</f>
        <v>128</v>
      </c>
      <c r="E152" s="154" t="str">
        <f>$B$10</f>
        <v>Truck</v>
      </c>
      <c r="F152" s="154" t="str">
        <f>$C$10</f>
        <v>Diesel_Euro5</v>
      </c>
      <c r="G152" s="154" cm="1">
        <f t="array" ref="G152">INDEX(LCI!H$2:H$137,MATCH('D- Benefits &amp; Burdens'!$E152&amp;'D- Benefits &amp; Burdens'!$F152,LCI!$B$2:$B$137&amp;LCI!$D$2:$D$137,0))*$C152*$D152</f>
        <v>-1.4533112200826882E-2</v>
      </c>
      <c r="H152" s="154" cm="1">
        <f t="array" ref="H152">INDEX(LCI!I$2:I$137,MATCH('D- Benefits &amp; Burdens'!$E152&amp;'D- Benefits &amp; Burdens'!$F152,LCI!$B$2:$B$137&amp;LCI!$D$2:$D$137,0))*$C152*$D152</f>
        <v>-5.3123637846945186</v>
      </c>
      <c r="I152" s="154" cm="1">
        <f t="array" ref="I152">INDEX(LCI!J$2:J$137,MATCH('D- Benefits &amp; Burdens'!$E152&amp;'D- Benefits &amp; Burdens'!$F152,LCI!$B$2:$B$137&amp;LCI!$D$2:$D$137,0))*$C152*$D152</f>
        <v>-2.455316255219712E-3</v>
      </c>
      <c r="J152" s="154" cm="1">
        <f t="array" ref="J152">INDEX(LCI!K$2:K$137,MATCH('D- Benefits &amp; Burdens'!$E152&amp;'D- Benefits &amp; Burdens'!$F152,LCI!$B$2:$B$137&amp;LCI!$D$2:$D$137,0))*$C152*$D152</f>
        <v>-5.3094907559838722</v>
      </c>
      <c r="K152" s="154" cm="1">
        <f t="array" ref="K152">INDEX(LCI!L$2:L$137,MATCH('D- Benefits &amp; Burdens'!$E152&amp;'D- Benefits &amp; Burdens'!$F152,LCI!$B$2:$B$137&amp;LCI!$D$2:$D$137,0))*$C152*$D152</f>
        <v>-4.1770260774297605E-4</v>
      </c>
      <c r="L152" s="154" cm="1">
        <f t="array" ref="L152">INDEX(LCI!M$2:M$137,MATCH('D- Benefits &amp; Burdens'!$E152&amp;'D- Benefits &amp; Burdens'!$F152,LCI!$B$2:$B$137&amp;LCI!$D$2:$D$137,0))*$C152*$D152</f>
        <v>-4.5147303095739195</v>
      </c>
      <c r="M152" s="154" cm="1">
        <f t="array" ref="M152">INDEX(LCI!N$2:N$137,MATCH('D- Benefits &amp; Burdens'!$E152&amp;'D- Benefits &amp; Burdens'!$F152,LCI!$B$2:$B$137&amp;LCI!$D$2:$D$137,0))*$C152*$D152</f>
        <v>-71.426545543637616</v>
      </c>
      <c r="N152" s="154" cm="1">
        <f t="array" ref="N152">INDEX(LCI!O$2:O$137,MATCH('D- Benefits &amp; Burdens'!$E152&amp;'D- Benefits &amp; Burdens'!$F152,LCI!$B$2:$B$137&amp;LCI!$D$2:$D$137,0))*$C152*$D152</f>
        <v>-1.2220974692352002E-4</v>
      </c>
      <c r="O152" s="154" cm="1">
        <f t="array" ref="O152">INDEX(LCI!P$2:P$137,MATCH('D- Benefits &amp; Burdens'!$E152&amp;'D- Benefits &amp; Burdens'!$F152,LCI!$B$2:$B$137&amp;LCI!$D$2:$D$137,0))*$C152*$D152</f>
        <v>-5.2144794890649606E-3</v>
      </c>
      <c r="P152" s="154" cm="1">
        <f t="array" ref="P152">INDEX(LCI!Q$2:Q$137,MATCH('D- Benefits &amp; Burdens'!$E152&amp;'D- Benefits &amp; Burdens'!$F152,LCI!$B$2:$B$137&amp;LCI!$D$2:$D$137,0))*$C152*$D152</f>
        <v>-5.6882022832435201E-2</v>
      </c>
      <c r="Q152" s="154" cm="1">
        <f t="array" ref="Q152">INDEX(LCI!R$2:R$137,MATCH('D- Benefits &amp; Burdens'!$E152&amp;'D- Benefits &amp; Burdens'!$F152,LCI!$B$2:$B$137&amp;LCI!$D$2:$D$137,0))*$C152*$D152</f>
        <v>-4.9655628866150401E-10</v>
      </c>
      <c r="R152" s="154" cm="1">
        <f t="array" ref="R152">INDEX(LCI!S$2:S$137,MATCH('D- Benefits &amp; Burdens'!$E152&amp;'D- Benefits &amp; Burdens'!$F152,LCI!$B$2:$B$137&amp;LCI!$D$2:$D$137,0))*$C152*$D152</f>
        <v>-3.8072784036864009E-8</v>
      </c>
      <c r="S152" s="154" cm="1">
        <f t="array" ref="S152">INDEX(LCI!T$2:T$137,MATCH('D- Benefits &amp; Burdens'!$E152&amp;'D- Benefits &amp; Burdens'!$F152,LCI!$B$2:$B$137&amp;LCI!$D$2:$D$137,0))*$C152*$D152</f>
        <v>-3.215688690819072E-2</v>
      </c>
      <c r="T152" s="154" cm="1">
        <f t="array" ref="T152">INDEX(LCI!U$2:U$137,MATCH('D- Benefits &amp; Burdens'!$E152&amp;'D- Benefits &amp; Burdens'!$F152,LCI!$B$2:$B$137&amp;LCI!$D$2:$D$137,0))*$C152*$D152</f>
        <v>-4.4820692212924422</v>
      </c>
      <c r="U152" s="154" cm="1">
        <f t="array" ref="U152">INDEX(LCI!V$2:V$137,MATCH('D- Benefits &amp; Burdens'!$E152&amp;'D- Benefits &amp; Burdens'!$F152,LCI!$B$2:$B$137&amp;LCI!$D$2:$D$137,0))*$C152*$D152</f>
        <v>-5.75830137391104E-6</v>
      </c>
      <c r="V152" s="154" cm="1">
        <f t="array" ref="V152">INDEX(LCI!W$2:W$137,MATCH('D- Benefits &amp; Burdens'!$E152&amp;'D- Benefits &amp; Burdens'!$F152,LCI!$B$2:$B$137&amp;LCI!$D$2:$D$137,0))*$C152*$D152</f>
        <v>-1.1816760127856641E-7</v>
      </c>
      <c r="W152" s="154" cm="1">
        <f t="array" ref="W152">INDEX(LCI!X$2:X$137,MATCH('D- Benefits &amp; Burdens'!$E152&amp;'D- Benefits &amp; Burdens'!$F152,LCI!$B$2:$B$137&amp;LCI!$D$2:$D$137,0))*$C152*$D152</f>
        <v>-3.5921065285632006E-7</v>
      </c>
      <c r="X152" s="154" cm="1">
        <f t="array" ref="X152">INDEX(LCI!Y$2:Y$137,MATCH('D- Benefits &amp; Burdens'!$E152&amp;'D- Benefits &amp; Burdens'!$F152,LCI!$B$2:$B$137&amp;LCI!$D$2:$D$137,0))*$C152*$D152</f>
        <v>-2.2881255745843203E-2</v>
      </c>
      <c r="Y152" s="154" cm="1">
        <f t="array" ref="Y152">INDEX(LCI!Z$2:Z$137,MATCH('D- Benefits &amp; Burdens'!$E152&amp;'D- Benefits &amp; Burdens'!$F152,LCI!$B$2:$B$137&amp;LCI!$D$2:$D$137,0))*$C152*$D152</f>
        <v>-0.16121451568631809</v>
      </c>
    </row>
    <row r="153" spans="1:25" ht="13.9" customHeight="1" x14ac:dyDescent="0.25">
      <c r="A153" s="1" t="s">
        <v>833</v>
      </c>
      <c r="B153" s="141" t="s">
        <v>80</v>
      </c>
      <c r="C153" s="195">
        <f>$B$134</f>
        <v>-0.18504020000000002</v>
      </c>
      <c r="D153" s="154">
        <f>$D$11</f>
        <v>95</v>
      </c>
      <c r="E153" s="154" t="str">
        <f>$B$11</f>
        <v>Truck</v>
      </c>
      <c r="F153" s="154" t="str">
        <f>$C$11</f>
        <v>Diesel_Euro5</v>
      </c>
      <c r="G153" s="154" cm="1">
        <f t="array" ref="G153">INDEX(LCI!H$2:H$137,MATCH('D- Benefits &amp; Burdens'!$E153&amp;'D- Benefits &amp; Burdens'!$F153,LCI!$B$2:$B$137&amp;LCI!$D$2:$D$137,0))*$C153*$D153</f>
        <v>-7.7827935876030006E-3</v>
      </c>
      <c r="H153" s="154" cm="1">
        <f t="array" ref="H153">INDEX(LCI!I$2:I$137,MATCH('D- Benefits &amp; Burdens'!$E153&amp;'D- Benefits &amp; Burdens'!$F153,LCI!$B$2:$B$137&amp;LCI!$D$2:$D$137,0))*$C153*$D153</f>
        <v>-2.8448848551642314</v>
      </c>
      <c r="I153" s="154" cm="1">
        <f t="array" ref="I153">INDEX(LCI!J$2:J$137,MATCH('D- Benefits &amp; Burdens'!$E153&amp;'D- Benefits &amp; Burdens'!$F153,LCI!$B$2:$B$137&amp;LCI!$D$2:$D$137,0))*$C153*$D153</f>
        <v>-1.3148745666172002E-3</v>
      </c>
      <c r="J153" s="154" cm="1">
        <f t="array" ref="J153">INDEX(LCI!K$2:K$137,MATCH('D- Benefits &amp; Burdens'!$E153&amp;'D- Benefits &amp; Burdens'!$F153,LCI!$B$2:$B$137&amp;LCI!$D$2:$D$137,0))*$C153*$D153</f>
        <v>-2.8433462866100752</v>
      </c>
      <c r="K153" s="154" cm="1">
        <f t="array" ref="K153">INDEX(LCI!L$2:L$137,MATCH('D- Benefits &amp; Burdens'!$E153&amp;'D- Benefits &amp; Burdens'!$F153,LCI!$B$2:$B$137&amp;LCI!$D$2:$D$137,0))*$C153*$D153</f>
        <v>-2.2368871389310003E-4</v>
      </c>
      <c r="L153" s="154" cm="1">
        <f t="array" ref="L153">INDEX(LCI!M$2:M$137,MATCH('D- Benefits &amp; Burdens'!$E153&amp;'D- Benefits &amp; Burdens'!$F153,LCI!$B$2:$B$137&amp;LCI!$D$2:$D$137,0))*$C153*$D153</f>
        <v>-2.4177350052461319</v>
      </c>
      <c r="M153" s="154" cm="1">
        <f t="array" ref="M153">INDEX(LCI!N$2:N$137,MATCH('D- Benefits &amp; Burdens'!$E153&amp;'D- Benefits &amp; Burdens'!$F153,LCI!$B$2:$B$137&amp;LCI!$D$2:$D$137,0))*$C153*$D153</f>
        <v>-38.250448559120592</v>
      </c>
      <c r="N153" s="154" cm="1">
        <f t="array" ref="N153">INDEX(LCI!O$2:O$137,MATCH('D- Benefits &amp; Burdens'!$E153&amp;'D- Benefits &amp; Burdens'!$F153,LCI!$B$2:$B$137&amp;LCI!$D$2:$D$137,0))*$C153*$D153</f>
        <v>-6.5445943137000011E-5</v>
      </c>
      <c r="O153" s="154" cm="1">
        <f t="array" ref="O153">INDEX(LCI!P$2:P$137,MATCH('D- Benefits &amp; Burdens'!$E153&amp;'D- Benefits &amp; Burdens'!$F153,LCI!$B$2:$B$137&amp;LCI!$D$2:$D$137,0))*$C153*$D153</f>
        <v>-2.7924657134260002E-3</v>
      </c>
      <c r="P153" s="154" cm="1">
        <f t="array" ref="P153">INDEX(LCI!Q$2:Q$137,MATCH('D- Benefits &amp; Burdens'!$E153&amp;'D- Benefits &amp; Burdens'!$F153,LCI!$B$2:$B$137&amp;LCI!$D$2:$D$137,0))*$C153*$D153</f>
        <v>-3.0461544398245E-2</v>
      </c>
      <c r="Q153" s="154" cm="1">
        <f t="array" ref="Q153">INDEX(LCI!R$2:R$137,MATCH('D- Benefits &amp; Burdens'!$E153&amp;'D- Benefits &amp; Burdens'!$F153,LCI!$B$2:$B$137&amp;LCI!$D$2:$D$137,0))*$C153*$D153</f>
        <v>-2.659165528949E-10</v>
      </c>
      <c r="R153" s="154" cm="1">
        <f t="array" ref="R153">INDEX(LCI!S$2:S$137,MATCH('D- Benefits &amp; Burdens'!$E153&amp;'D- Benefits &amp; Burdens'!$F153,LCI!$B$2:$B$137&amp;LCI!$D$2:$D$137,0))*$C153*$D153</f>
        <v>-2.0388793217150004E-8</v>
      </c>
      <c r="S153" s="154" cm="1">
        <f t="array" ref="S153">INDEX(LCI!T$2:T$137,MATCH('D- Benefits &amp; Burdens'!$E153&amp;'D- Benefits &amp; Burdens'!$F153,LCI!$B$2:$B$137&amp;LCI!$D$2:$D$137,0))*$C153*$D153</f>
        <v>-1.7220703299332001E-2</v>
      </c>
      <c r="T153" s="154" cm="1">
        <f t="array" ref="T153">INDEX(LCI!U$2:U$137,MATCH('D- Benefits &amp; Burdens'!$E153&amp;'D- Benefits &amp; Burdens'!$F153,LCI!$B$2:$B$137&amp;LCI!$D$2:$D$137,0))*$C153*$D153</f>
        <v>-2.4002442912869602</v>
      </c>
      <c r="U153" s="154" cm="1">
        <f t="array" ref="U153">INDEX(LCI!V$2:V$137,MATCH('D- Benefits &amp; Burdens'!$E153&amp;'D- Benefits &amp; Burdens'!$F153,LCI!$B$2:$B$137&amp;LCI!$D$2:$D$137,0))*$C153*$D153</f>
        <v>-3.083694007799E-6</v>
      </c>
      <c r="V153" s="154" cm="1">
        <f t="array" ref="V153">INDEX(LCI!W$2:W$137,MATCH('D- Benefits &amp; Burdens'!$E153&amp;'D- Benefits &amp; Burdens'!$F153,LCI!$B$2:$B$137&amp;LCI!$D$2:$D$137,0))*$C153*$D153</f>
        <v>-6.3281287365340006E-8</v>
      </c>
      <c r="W153" s="154" cm="1">
        <f t="array" ref="W153">INDEX(LCI!X$2:X$137,MATCH('D- Benefits &amp; Burdens'!$E153&amp;'D- Benefits &amp; Burdens'!$F153,LCI!$B$2:$B$137&amp;LCI!$D$2:$D$137,0))*$C153*$D153</f>
        <v>-1.9236501631700004E-7</v>
      </c>
      <c r="X153" s="154" cm="1">
        <f t="array" ref="X153">INDEX(LCI!Y$2:Y$137,MATCH('D- Benefits &amp; Burdens'!$E153&amp;'D- Benefits &amp; Burdens'!$F153,LCI!$B$2:$B$137&amp;LCI!$D$2:$D$137,0))*$C153*$D153</f>
        <v>-1.2253403678045002E-2</v>
      </c>
      <c r="Y153" s="154" cm="1">
        <f t="array" ref="Y153">INDEX(LCI!Z$2:Z$137,MATCH('D- Benefits &amp; Burdens'!$E153&amp;'D- Benefits &amp; Burdens'!$F153,LCI!$B$2:$B$137&amp;LCI!$D$2:$D$137,0))*$C153*$D153</f>
        <v>-8.6333834183198011E-2</v>
      </c>
    </row>
    <row r="154" spans="1:25" ht="13.9" customHeight="1" x14ac:dyDescent="0.25">
      <c r="C154" s="312"/>
      <c r="D154" s="1"/>
      <c r="E154" s="1"/>
      <c r="F154" s="1"/>
      <c r="G154" s="154">
        <f>SUM(G150:G153)</f>
        <v>-2.2809883929146284E-2</v>
      </c>
      <c r="H154" s="154">
        <f t="shared" ref="H154:Y154" si="3">SUM(H150:H153)</f>
        <v>-8.3378150284553527</v>
      </c>
      <c r="I154" s="154">
        <f t="shared" si="3"/>
        <v>-3.8536466255122718E-3</v>
      </c>
      <c r="J154" s="154">
        <f t="shared" si="3"/>
        <v>-8.3333057774078565</v>
      </c>
      <c r="K154" s="154">
        <f t="shared" si="3"/>
        <v>-6.5558896593235604E-4</v>
      </c>
      <c r="L154" s="154">
        <f t="shared" si="3"/>
        <v>-7.0859202701896526</v>
      </c>
      <c r="M154" s="154">
        <f t="shared" si="3"/>
        <v>-112.10477087058871</v>
      </c>
      <c r="N154" s="154">
        <f t="shared" si="3"/>
        <v>-1.9180957965612001E-4</v>
      </c>
      <c r="O154" s="154">
        <f t="shared" si="3"/>
        <v>-8.1841845196597603E-3</v>
      </c>
      <c r="P154" s="154">
        <f t="shared" si="3"/>
        <v>-8.9276978016386205E-2</v>
      </c>
      <c r="Q154" s="154">
        <f t="shared" si="3"/>
        <v>-7.7935070975452398E-10</v>
      </c>
      <c r="R154" s="154">
        <f t="shared" si="3"/>
        <v>-5.9755665045434012E-8</v>
      </c>
      <c r="S154" s="154">
        <f t="shared" si="3"/>
        <v>-5.0470597609284323E-2</v>
      </c>
      <c r="T154" s="154">
        <f t="shared" si="3"/>
        <v>-7.0346583228238497</v>
      </c>
      <c r="U154" s="154">
        <f t="shared" si="3"/>
        <v>-9.0377191170712411E-6</v>
      </c>
      <c r="V154" s="154">
        <f t="shared" si="3"/>
        <v>-1.8546538636069842E-7</v>
      </c>
      <c r="W154" s="154">
        <f t="shared" si="3"/>
        <v>-5.6378518135292013E-7</v>
      </c>
      <c r="X154" s="154">
        <f t="shared" si="3"/>
        <v>-3.5912389617834203E-2</v>
      </c>
      <c r="Y154" s="154">
        <f t="shared" si="3"/>
        <v>-0.25302800526711849</v>
      </c>
    </row>
    <row r="155" spans="1:25" ht="13.9" customHeight="1" x14ac:dyDescent="0.25"/>
    <row r="157" spans="1:25" ht="24" x14ac:dyDescent="0.4">
      <c r="A157" s="100" t="s">
        <v>836</v>
      </c>
    </row>
    <row r="158" spans="1:25" ht="13.9" customHeight="1" x14ac:dyDescent="0.4">
      <c r="A158" s="100"/>
    </row>
    <row r="159" spans="1:25" ht="13.9" customHeight="1" x14ac:dyDescent="0.25">
      <c r="A159" s="421" t="s">
        <v>164</v>
      </c>
      <c r="B159" s="408" t="s">
        <v>252</v>
      </c>
      <c r="C159" s="410"/>
      <c r="D159" s="408" t="s">
        <v>254</v>
      </c>
      <c r="E159" s="409"/>
      <c r="F159" s="409"/>
      <c r="G159" s="409"/>
      <c r="H159" s="409"/>
      <c r="I159" s="409"/>
      <c r="J159" s="409"/>
      <c r="K159" s="410"/>
      <c r="L159" s="372" t="s">
        <v>253</v>
      </c>
      <c r="M159" s="376" t="s">
        <v>837</v>
      </c>
      <c r="N159" s="372" t="s">
        <v>256</v>
      </c>
    </row>
    <row r="160" spans="1:25" ht="13.9" customHeight="1" x14ac:dyDescent="0.25">
      <c r="A160" s="421"/>
      <c r="B160" s="104" t="s">
        <v>838</v>
      </c>
      <c r="C160" s="102" t="s">
        <v>839</v>
      </c>
      <c r="D160" s="103" t="s">
        <v>840</v>
      </c>
      <c r="E160" s="103" t="s">
        <v>267</v>
      </c>
      <c r="F160" s="103" t="s">
        <v>841</v>
      </c>
      <c r="G160" s="103" t="s">
        <v>842</v>
      </c>
      <c r="H160" s="103" t="s">
        <v>843</v>
      </c>
      <c r="I160" s="103" t="s">
        <v>844</v>
      </c>
      <c r="J160" s="103" t="s">
        <v>845</v>
      </c>
      <c r="K160" s="103" t="s">
        <v>846</v>
      </c>
      <c r="L160" s="372"/>
      <c r="M160" s="376"/>
      <c r="N160" s="372"/>
    </row>
    <row r="161" spans="1:14" ht="13.9" customHeight="1" x14ac:dyDescent="0.25">
      <c r="A161" s="53" t="s">
        <v>303</v>
      </c>
      <c r="B161" s="154" cm="1">
        <f t="array" ref="B161">INDEX(LCI!H$2:H$137,MATCH('D- Benefits &amp; Burdens'!$E$30&amp;'D- Benefits &amp; Burdens'!$F$30,LCI!$B$2:$B$137&amp;LCI!$D$2:$D$137,0))*IF(AND($E30="Truck",$F30="Electric"),$B$26,1)*$D$30*$C$30</f>
        <v>5.2242966E-3</v>
      </c>
      <c r="C161" s="154">
        <f>SUM(H106:H109)</f>
        <v>8.1932729125431625E-4</v>
      </c>
      <c r="D161" s="154" cm="1">
        <f t="array" ref="D161">INDEX(LCI!H$2:H$137,MATCH('D- Benefits &amp; Burdens'!$B139&amp;'D- Benefits &amp; Burdens'!$D139,LCI!$B$2:$B$137&amp;LCI!$D$2:$D$137,0))*$C$139</f>
        <v>-3.3865905599999996E-2</v>
      </c>
      <c r="E161" s="154" cm="1">
        <f t="array" ref="E161">INDEX(LCI!H$2:H$137,MATCH('D- Benefits &amp; Burdens'!$B140&amp;'D- Benefits &amp; Burdens'!$D140,LCI!$B$2:$B$137&amp;LCI!$D$2:$D$137,0))*$C$140</f>
        <v>-5.6208313155636506E-2</v>
      </c>
      <c r="F161" s="154">
        <f>INDEX(LCI!H$2:H$137,MATCH('D- Benefits &amp; Burdens'!$B$141,LCI!$D$2:$D$137,0))*$C$141</f>
        <v>-1.3960382058064044E-2</v>
      </c>
      <c r="G161" s="154">
        <f>INDEX(LCI!H$2:H$137,MATCH('D- Benefits &amp; Burdens'!$B$142,LCI!$D$2:$D$137,0))*$C$142</f>
        <v>-8.5073821289970136E-3</v>
      </c>
      <c r="H161" s="154" cm="1">
        <f t="array" ref="H161">INDEX(LCI!H$2:H$137,MATCH('D- Benefits &amp; Burdens'!$E150&amp;'D- Benefits &amp; Burdens'!$F150,LCI!$B$2:$B$137&amp;LCI!$D$2:$D$137,0))*$C150*$D150</f>
        <v>-1.7434522613519999E-4</v>
      </c>
      <c r="I161" s="154" cm="1">
        <f t="array" ref="I161">INDEX(LCI!H$2:H$137,MATCH('D- Benefits &amp; Burdens'!$E151&amp;'D- Benefits &amp; Burdens'!$F151,LCI!$B$2:$B$137&amp;LCI!$D$2:$D$137,0))*$C151*$D151</f>
        <v>-3.1963291458119998E-4</v>
      </c>
      <c r="J161" s="154" cm="1">
        <f t="array" ref="J161">INDEX(LCI!H$2:H$137,MATCH('D- Benefits &amp; Burdens'!$E152&amp;'D- Benefits &amp; Burdens'!$F152,LCI!$B$2:$B$137&amp;LCI!$D$2:$D$137,0))*$C152*$D152</f>
        <v>-1.4533112200826882E-2</v>
      </c>
      <c r="K161" s="154" cm="1">
        <f t="array" ref="K161">INDEX(LCI!H$2:H$137,MATCH('D- Benefits &amp; Burdens'!$E153&amp;'D- Benefits &amp; Burdens'!$F153,LCI!$B$2:$B$137&amp;LCI!$D$2:$D$137,0))*$C153*$D153</f>
        <v>-7.7827935876030006E-3</v>
      </c>
      <c r="L161" s="154">
        <f>SUM(B161:C161)</f>
        <v>6.0436238912543166E-3</v>
      </c>
      <c r="M161" s="154">
        <f>SUM(D161:K161)</f>
        <v>-0.13535186687184386</v>
      </c>
      <c r="N161" s="154">
        <f>SUM(L161:M161)</f>
        <v>-0.12930824298058954</v>
      </c>
    </row>
    <row r="162" spans="1:14" ht="13.9" customHeight="1" x14ac:dyDescent="0.25">
      <c r="A162" s="53" t="s">
        <v>304</v>
      </c>
      <c r="B162" s="154" cm="1">
        <f t="array" ref="B162">INDEX(LCI!I$2:I$137,MATCH('D- Benefits &amp; Burdens'!$E$30&amp;'D- Benefits &amp; Burdens'!$F$30,LCI!$B$2:$B$137&amp;LCI!$D$2:$D$137,0))*IF(AND($E30="Truck",$F30="Electric"),$B$26,1)*$D$30*$C$30</f>
        <v>1.9096641982</v>
      </c>
      <c r="C162" s="154">
        <f>SUM(I106:I109)</f>
        <v>0.64085686014442989</v>
      </c>
      <c r="D162" s="154" cm="1">
        <f t="array" ref="D162">INDEX(LCI!I$2:I$137,MATCH('D- Benefits &amp; Burdens'!$B139&amp;'D- Benefits &amp; Burdens'!$D139,LCI!$B$2:$B$137&amp;LCI!$D$2:$D$137,0))*$C$139</f>
        <v>-10.435424399999999</v>
      </c>
      <c r="E162" s="154" cm="1">
        <f t="array" ref="E162">INDEX(LCI!I$2:I$137,MATCH('D- Benefits &amp; Burdens'!$B140&amp;'D- Benefits &amp; Burdens'!$D140,LCI!$B$2:$B$137&amp;LCI!$D$2:$D$137,0))*$C$140</f>
        <v>-19.58956751944017</v>
      </c>
      <c r="F162" s="154">
        <f>INDEX(LCI!I$2:I$137,MATCH('D- Benefits &amp; Burdens'!$B$141,LCI!$D$2:$D$137,0))*$C$141</f>
        <v>-0.72547501694082206</v>
      </c>
      <c r="G162" s="154">
        <f>INDEX(LCI!I$2:I$137,MATCH('D- Benefits &amp; Burdens'!$B$142,LCI!$D$2:$D$137,0))*$C$142</f>
        <v>-0.96495648777860554</v>
      </c>
      <c r="H162" s="154" cm="1">
        <f t="array" ref="H162">INDEX(LCI!I$2:I$137,MATCH('D- Benefits &amp; Burdens'!$E150&amp;'D- Benefits &amp; Burdens'!$F150,LCI!$B$2:$B$137&amp;LCI!$D$2:$D$137,0))*$C150*$D150</f>
        <v>-6.3729313622330391E-2</v>
      </c>
      <c r="I162" s="154" cm="1">
        <f t="array" ref="I162">INDEX(LCI!I$2:I$137,MATCH('D- Benefits &amp; Burdens'!$E151&amp;'D- Benefits &amp; Burdens'!$F151,LCI!$B$2:$B$137&amp;LCI!$D$2:$D$137,0))*$C151*$D151</f>
        <v>-0.1168370749742724</v>
      </c>
      <c r="J162" s="154" cm="1">
        <f t="array" ref="J162">INDEX(LCI!I$2:I$137,MATCH('D- Benefits &amp; Burdens'!$E152&amp;'D- Benefits &amp; Burdens'!$F152,LCI!$B$2:$B$137&amp;LCI!$D$2:$D$137,0))*$C152*$D152</f>
        <v>-5.3123637846945186</v>
      </c>
      <c r="K162" s="154" cm="1">
        <f t="array" ref="K162">INDEX(LCI!I$2:I$137,MATCH('D- Benefits &amp; Burdens'!$E153&amp;'D- Benefits &amp; Burdens'!$F153,LCI!$B$2:$B$137&amp;LCI!$D$2:$D$137,0))*$C153*$D153</f>
        <v>-2.8448848551642314</v>
      </c>
      <c r="L162" s="154">
        <f t="shared" ref="L162:L179" si="4">SUM(B162:C162)</f>
        <v>2.55052105834443</v>
      </c>
      <c r="M162" s="154">
        <f t="shared" ref="M162:M179" si="5">SUM(D162:K162)</f>
        <v>-40.053238452614949</v>
      </c>
      <c r="N162" s="154">
        <f t="shared" ref="N162:N179" si="6">SUM(L162:M162)</f>
        <v>-37.502717394270519</v>
      </c>
    </row>
    <row r="163" spans="1:14" ht="13.9" customHeight="1" x14ac:dyDescent="0.25">
      <c r="A163" s="53" t="s">
        <v>305</v>
      </c>
      <c r="B163" s="154" cm="1">
        <f t="array" ref="B163">INDEX(LCI!J$2:J$137,MATCH('D- Benefits &amp; Burdens'!$E$30&amp;'D- Benefits &amp; Burdens'!$F$30,LCI!$B$2:$B$137&amp;LCI!$D$2:$D$137,0))*IF(AND($E30="Truck",$F30="Electric"),$B$26,1)*$D$30*$C$30</f>
        <v>8.8262583999999995E-4</v>
      </c>
      <c r="C163" s="154">
        <f>SUM(J106:J109)</f>
        <v>1.3244885776504564E-4</v>
      </c>
      <c r="D163" s="154" cm="1">
        <f t="array" ref="D163">INDEX(LCI!J$2:J$137,MATCH('D- Benefits &amp; Burdens'!$B139&amp;'D- Benefits &amp; Burdens'!$D139,LCI!$B$2:$B$137&amp;LCI!$D$2:$D$137,0))*$C$139</f>
        <v>-4.1347908000000003E-2</v>
      </c>
      <c r="E163" s="154" cm="1">
        <f t="array" ref="E163">INDEX(LCI!J$2:J$137,MATCH('D- Benefits &amp; Burdens'!$B140&amp;'D- Benefits &amp; Burdens'!$D140,LCI!$B$2:$B$137&amp;LCI!$D$2:$D$137,0))*$C$140</f>
        <v>-0.29716823177504659</v>
      </c>
      <c r="F163" s="154">
        <f>INDEX(LCI!J$2:J$137,MATCH('D- Benefits &amp; Burdens'!$B$141,LCI!$D$2:$D$137,0))*$C$141</f>
        <v>-2.2361715149516645E-3</v>
      </c>
      <c r="G163" s="154">
        <f>INDEX(LCI!J$2:J$137,MATCH('D- Benefits &amp; Burdens'!$B$142,LCI!$D$2:$D$137,0))*$C$142</f>
        <v>2.3215122512829309E-4</v>
      </c>
      <c r="H163" s="154" cm="1">
        <f t="array" ref="H163">INDEX(LCI!J$2:J$137,MATCH('D- Benefits &amp; Burdens'!$E150&amp;'D- Benefits &amp; Burdens'!$F150,LCI!$B$2:$B$137&amp;LCI!$D$2:$D$137,0))*$C150*$D150</f>
        <v>-2.9454989532479996E-5</v>
      </c>
      <c r="I163" s="154" cm="1">
        <f t="array" ref="I163">INDEX(LCI!J$2:J$137,MATCH('D- Benefits &amp; Burdens'!$E151&amp;'D- Benefits &amp; Burdens'!$F151,LCI!$B$2:$B$137&amp;LCI!$D$2:$D$137,0))*$C151*$D151</f>
        <v>-5.4000814142879996E-5</v>
      </c>
      <c r="J163" s="154" cm="1">
        <f t="array" ref="J163">INDEX(LCI!J$2:J$137,MATCH('D- Benefits &amp; Burdens'!$E152&amp;'D- Benefits &amp; Burdens'!$F152,LCI!$B$2:$B$137&amp;LCI!$D$2:$D$137,0))*$C152*$D152</f>
        <v>-2.455316255219712E-3</v>
      </c>
      <c r="K163" s="154" cm="1">
        <f t="array" ref="K163">INDEX(LCI!J$2:J$137,MATCH('D- Benefits &amp; Burdens'!$E153&amp;'D- Benefits &amp; Burdens'!$F153,LCI!$B$2:$B$137&amp;LCI!$D$2:$D$137,0))*$C153*$D153</f>
        <v>-1.3148745666172002E-3</v>
      </c>
      <c r="L163" s="154">
        <f t="shared" si="4"/>
        <v>1.0150746977650455E-3</v>
      </c>
      <c r="M163" s="154">
        <f t="shared" si="5"/>
        <v>-0.3443738066903822</v>
      </c>
      <c r="N163" s="154">
        <f t="shared" si="6"/>
        <v>-0.34335873199261713</v>
      </c>
    </row>
    <row r="164" spans="1:14" ht="13.9" customHeight="1" x14ac:dyDescent="0.25">
      <c r="A164" s="53" t="s">
        <v>306</v>
      </c>
      <c r="B164" s="154" cm="1">
        <f t="array" ref="B164">INDEX(LCI!K$2:K$137,MATCH('D- Benefits &amp; Burdens'!$E$30&amp;'D- Benefits &amp; Burdens'!$F$30,LCI!$B$2:$B$137&amp;LCI!$D$2:$D$137,0))*IF(AND($E30="Truck",$F30="Electric"),$B$26,1)*$D$30*$C$30</f>
        <v>1.9086314149999999</v>
      </c>
      <c r="C164" s="154">
        <f>SUM(K106:K109)</f>
        <v>0.64069607092206238</v>
      </c>
      <c r="D164" s="154" cm="1">
        <f t="array" ref="D164">INDEX(LCI!K$2:K$137,MATCH('D- Benefits &amp; Burdens'!$B139&amp;'D- Benefits &amp; Burdens'!$D139,LCI!$B$2:$B$137&amp;LCI!$D$2:$D$137,0))*$C$139</f>
        <v>-10.39604544</v>
      </c>
      <c r="E164" s="154" cm="1">
        <f t="array" ref="E164">INDEX(LCI!K$2:K$137,MATCH('D- Benefits &amp; Burdens'!$B140&amp;'D- Benefits &amp; Burdens'!$D140,LCI!$B$2:$B$137&amp;LCI!$D$2:$D$137,0))*$C$140</f>
        <v>-19.283814704514366</v>
      </c>
      <c r="F164" s="154">
        <f>INDEX(LCI!K$2:K$137,MATCH('D- Benefits &amp; Burdens'!$B$141,LCI!$D$2:$D$137,0))*$C$141</f>
        <v>-0.72300036108193522</v>
      </c>
      <c r="G164" s="154">
        <f>INDEX(LCI!K$2:K$137,MATCH('D- Benefits &amp; Burdens'!$B$142,LCI!$D$2:$D$137,0))*$C$142</f>
        <v>-0.96505584777410203</v>
      </c>
      <c r="H164" s="154" cm="1">
        <f t="array" ref="H164">INDEX(LCI!K$2:K$137,MATCH('D- Benefits &amp; Burdens'!$E150&amp;'D- Benefits &amp; Burdens'!$F150,LCI!$B$2:$B$137&amp;LCI!$D$2:$D$137,0))*$C150*$D150</f>
        <v>-6.3694847581379999E-2</v>
      </c>
      <c r="I164" s="154" cm="1">
        <f t="array" ref="I164">INDEX(LCI!K$2:K$137,MATCH('D- Benefits &amp; Burdens'!$E151&amp;'D- Benefits &amp; Burdens'!$F151,LCI!$B$2:$B$137&amp;LCI!$D$2:$D$137,0))*$C151*$D151</f>
        <v>-0.11677388723252999</v>
      </c>
      <c r="J164" s="154" cm="1">
        <f t="array" ref="J164">INDEX(LCI!K$2:K$137,MATCH('D- Benefits &amp; Burdens'!$E152&amp;'D- Benefits &amp; Burdens'!$F152,LCI!$B$2:$B$137&amp;LCI!$D$2:$D$137,0))*$C152*$D152</f>
        <v>-5.3094907559838722</v>
      </c>
      <c r="K164" s="154" cm="1">
        <f t="array" ref="K164">INDEX(LCI!K$2:K$137,MATCH('D- Benefits &amp; Burdens'!$E153&amp;'D- Benefits &amp; Burdens'!$F153,LCI!$B$2:$B$137&amp;LCI!$D$2:$D$137,0))*$C153*$D153</f>
        <v>-2.8433462866100752</v>
      </c>
      <c r="L164" s="154">
        <f t="shared" si="4"/>
        <v>2.5493274859220625</v>
      </c>
      <c r="M164" s="154">
        <f t="shared" si="5"/>
        <v>-39.701222130778262</v>
      </c>
      <c r="N164" s="154">
        <f t="shared" si="6"/>
        <v>-37.151894644856199</v>
      </c>
    </row>
    <row r="165" spans="1:14" ht="13.9" customHeight="1" x14ac:dyDescent="0.25">
      <c r="A165" s="53" t="s">
        <v>307</v>
      </c>
      <c r="B165" s="154" cm="1">
        <f t="array" ref="B165">INDEX(LCI!L$2:L$137,MATCH('D- Benefits &amp; Burdens'!$E$30&amp;'D- Benefits &amp; Burdens'!$F$30,LCI!$B$2:$B$137&amp;LCI!$D$2:$D$137,0))*IF(AND($E30="Truck",$F30="Electric"),$B$26,1)*$D$30*$C$30</f>
        <v>1.5015382000000001E-4</v>
      </c>
      <c r="C165" s="154">
        <f>SUM(L106:L109)</f>
        <v>2.8340364602519918E-5</v>
      </c>
      <c r="D165" s="154" cm="1">
        <f t="array" ref="D165">INDEX(LCI!L$2:L$137,MATCH('D- Benefits &amp; Burdens'!$B139&amp;'D- Benefits &amp; Burdens'!$D139,LCI!$B$2:$B$137&amp;LCI!$D$2:$D$137,0))*$C$139</f>
        <v>-5.2177122000000003E-3</v>
      </c>
      <c r="E165" s="154" cm="1">
        <f t="array" ref="E165">INDEX(LCI!L$2:L$137,MATCH('D- Benefits &amp; Burdens'!$B140&amp;'D- Benefits &amp; Burdens'!$D140,LCI!$B$2:$B$137&amp;LCI!$D$2:$D$137,0))*$C$140</f>
        <v>-8.5845831507574619E-3</v>
      </c>
      <c r="F165" s="154">
        <f>INDEX(LCI!L$2:L$137,MATCH('D- Benefits &amp; Burdens'!$B$141,LCI!$D$2:$D$137,0))*$C$141</f>
        <v>-2.3848434393506342E-4</v>
      </c>
      <c r="G165" s="154">
        <f>INDEX(LCI!L$2:L$137,MATCH('D- Benefits &amp; Burdens'!$B$142,LCI!$D$2:$D$137,0))*$C$142</f>
        <v>-1.3279122963215021E-4</v>
      </c>
      <c r="H165" s="154" cm="1">
        <f t="array" ref="H165">INDEX(LCI!L$2:L$137,MATCH('D- Benefits &amp; Burdens'!$E150&amp;'D- Benefits &amp; Burdens'!$F150,LCI!$B$2:$B$137&amp;LCI!$D$2:$D$137,0))*$C150*$D150</f>
        <v>-5.0109332810399999E-6</v>
      </c>
      <c r="I165" s="154" cm="1">
        <f t="array" ref="I165">INDEX(LCI!L$2:L$137,MATCH('D- Benefits &amp; Burdens'!$E151&amp;'D- Benefits &amp; Burdens'!$F151,LCI!$B$2:$B$137&amp;LCI!$D$2:$D$137,0))*$C151*$D151</f>
        <v>-9.1867110152399995E-6</v>
      </c>
      <c r="J165" s="154" cm="1">
        <f t="array" ref="J165">INDEX(LCI!L$2:L$137,MATCH('D- Benefits &amp; Burdens'!$E152&amp;'D- Benefits &amp; Burdens'!$F152,LCI!$B$2:$B$137&amp;LCI!$D$2:$D$137,0))*$C152*$D152</f>
        <v>-4.1770260774297605E-4</v>
      </c>
      <c r="K165" s="154" cm="1">
        <f t="array" ref="K165">INDEX(LCI!L$2:L$137,MATCH('D- Benefits &amp; Burdens'!$E153&amp;'D- Benefits &amp; Burdens'!$F153,LCI!$B$2:$B$137&amp;LCI!$D$2:$D$137,0))*$C153*$D153</f>
        <v>-2.2368871389310003E-4</v>
      </c>
      <c r="L165" s="154">
        <f t="shared" si="4"/>
        <v>1.7849418460251992E-4</v>
      </c>
      <c r="M165" s="154">
        <f t="shared" si="5"/>
        <v>-1.4829159890257033E-2</v>
      </c>
      <c r="N165" s="154">
        <f t="shared" si="6"/>
        <v>-1.4650665705654512E-2</v>
      </c>
    </row>
    <row r="166" spans="1:14" ht="13.9" customHeight="1" x14ac:dyDescent="0.25">
      <c r="A166" s="53" t="s">
        <v>308</v>
      </c>
      <c r="B166" s="154" cm="1">
        <f t="array" ref="B166">INDEX(LCI!M$2:M$137,MATCH('D- Benefits &amp; Burdens'!$E$30&amp;'D- Benefits &amp; Burdens'!$F$30,LCI!$B$2:$B$137&amp;LCI!$D$2:$D$137,0))*IF(AND($E30="Truck",$F30="Electric"),$B$26,1)*$D$30*$C$30</f>
        <v>1.6229345704</v>
      </c>
      <c r="C166" s="154">
        <f>SUM(M106:M109)</f>
        <v>0.28315018759040977</v>
      </c>
      <c r="D166" s="154" cm="1">
        <f t="array" ref="D166">INDEX(LCI!M$2:M$137,MATCH('D- Benefits &amp; Burdens'!$B139&amp;'D- Benefits &amp; Burdens'!$D139,LCI!$B$2:$B$137&amp;LCI!$D$2:$D$137,0))*$C$139</f>
        <v>-561.15017999999998</v>
      </c>
      <c r="E166" s="154" cm="1">
        <f t="array" ref="E166">INDEX(LCI!M$2:M$137,MATCH('D- Benefits &amp; Burdens'!$B140&amp;'D- Benefits &amp; Burdens'!$D140,LCI!$B$2:$B$137&amp;LCI!$D$2:$D$137,0))*$C$140</f>
        <v>-53.350278952319726</v>
      </c>
      <c r="F166" s="154">
        <f>INDEX(LCI!M$2:M$137,MATCH('D- Benefits &amp; Burdens'!$B$141,LCI!$D$2:$D$137,0))*$C$141</f>
        <v>-7.1685307312791462</v>
      </c>
      <c r="G166" s="154">
        <f>INDEX(LCI!M$2:M$137,MATCH('D- Benefits &amp; Burdens'!$B$142,LCI!$D$2:$D$137,0))*$C$142</f>
        <v>-0.82411145720854018</v>
      </c>
      <c r="H166" s="154" cm="1">
        <f t="array" ref="H166">INDEX(LCI!M$2:M$137,MATCH('D- Benefits &amp; Burdens'!$E150&amp;'D- Benefits &amp; Burdens'!$F150,LCI!$B$2:$B$137&amp;LCI!$D$2:$D$137,0))*$C150*$D150</f>
        <v>-5.4160572483388798E-2</v>
      </c>
      <c r="I166" s="154" cm="1">
        <f t="array" ref="I166">INDEX(LCI!M$2:M$137,MATCH('D- Benefits &amp; Burdens'!$E151&amp;'D- Benefits &amp; Burdens'!$F151,LCI!$B$2:$B$137&amp;LCI!$D$2:$D$137,0))*$C151*$D151</f>
        <v>-9.9294382886212798E-2</v>
      </c>
      <c r="J166" s="154" cm="1">
        <f t="array" ref="J166">INDEX(LCI!M$2:M$137,MATCH('D- Benefits &amp; Burdens'!$E152&amp;'D- Benefits &amp; Burdens'!$F152,LCI!$B$2:$B$137&amp;LCI!$D$2:$D$137,0))*$C152*$D152</f>
        <v>-4.5147303095739195</v>
      </c>
      <c r="K166" s="154" cm="1">
        <f t="array" ref="K166">INDEX(LCI!M$2:M$137,MATCH('D- Benefits &amp; Burdens'!$E153&amp;'D- Benefits &amp; Burdens'!$F153,LCI!$B$2:$B$137&amp;LCI!$D$2:$D$137,0))*$C153*$D153</f>
        <v>-2.4177350052461319</v>
      </c>
      <c r="L166" s="154">
        <f t="shared" si="4"/>
        <v>1.9060847579904099</v>
      </c>
      <c r="M166" s="154">
        <f t="shared" si="5"/>
        <v>-629.57902141099714</v>
      </c>
      <c r="N166" s="154">
        <f t="shared" si="6"/>
        <v>-627.67293665300679</v>
      </c>
    </row>
    <row r="167" spans="1:14" ht="13.9" customHeight="1" x14ac:dyDescent="0.25">
      <c r="A167" s="53" t="s">
        <v>309</v>
      </c>
      <c r="B167" s="154" cm="1">
        <f t="array" ref="B167">INDEX(LCI!N$2:N$137,MATCH('D- Benefits &amp; Burdens'!$E$30&amp;'D- Benefits &amp; Burdens'!$F$30,LCI!$B$2:$B$137&amp;LCI!$D$2:$D$137,0))*IF(AND($E30="Truck",$F30="Electric"),$B$26,1)*$D$30*$C$30</f>
        <v>25.676087398</v>
      </c>
      <c r="C167" s="154">
        <f>SUM(N106:N109)</f>
        <v>8.5122921966785636</v>
      </c>
      <c r="D167" s="154" cm="1">
        <f t="array" ref="D167">INDEX(LCI!N$2:N$137,MATCH('D- Benefits &amp; Burdens'!$B139&amp;'D- Benefits &amp; Burdens'!$D139,LCI!$B$2:$B$137&amp;LCI!$D$2:$D$137,0))*$C$139</f>
        <v>-901.7781839999999</v>
      </c>
      <c r="E167" s="154" cm="1">
        <f t="array" ref="E167">INDEX(LCI!N$2:N$137,MATCH('D- Benefits &amp; Burdens'!$B140&amp;'D- Benefits &amp; Burdens'!$D140,LCI!$B$2:$B$137&amp;LCI!$D$2:$D$137,0))*$C$140</f>
        <v>-103.37094765328328</v>
      </c>
      <c r="F167" s="154">
        <f>INDEX(LCI!N$2:N$137,MATCH('D- Benefits &amp; Burdens'!$B$141,LCI!$D$2:$D$137,0))*$C$141</f>
        <v>-10.279795854635511</v>
      </c>
      <c r="G167" s="154">
        <f>INDEX(LCI!N$2:N$137,MATCH('D- Benefits &amp; Burdens'!$B$142,LCI!$D$2:$D$137,0))*$C$142</f>
        <v>-12.54275635359949</v>
      </c>
      <c r="H167" s="154" cm="1">
        <f t="array" ref="H167">INDEX(LCI!N$2:N$137,MATCH('D- Benefits &amp; Burdens'!$E150&amp;'D- Benefits &amp; Burdens'!$F150,LCI!$B$2:$B$137&amp;LCI!$D$2:$D$137,0))*$C150*$D150</f>
        <v>-0.85686238864605591</v>
      </c>
      <c r="I167" s="154" cm="1">
        <f t="array" ref="I167">INDEX(LCI!N$2:N$137,MATCH('D- Benefits &amp; Burdens'!$E151&amp;'D- Benefits &amp; Burdens'!$F151,LCI!$B$2:$B$137&amp;LCI!$D$2:$D$137,0))*$C151*$D151</f>
        <v>-1.570914379184436</v>
      </c>
      <c r="J167" s="154" cm="1">
        <f t="array" ref="J167">INDEX(LCI!N$2:N$137,MATCH('D- Benefits &amp; Burdens'!$E152&amp;'D- Benefits &amp; Burdens'!$F152,LCI!$B$2:$B$137&amp;LCI!$D$2:$D$137,0))*$C152*$D152</f>
        <v>-71.426545543637616</v>
      </c>
      <c r="K167" s="154" cm="1">
        <f t="array" ref="K167">INDEX(LCI!N$2:N$137,MATCH('D- Benefits &amp; Burdens'!$E153&amp;'D- Benefits &amp; Burdens'!$F153,LCI!$B$2:$B$137&amp;LCI!$D$2:$D$137,0))*$C153*$D153</f>
        <v>-38.250448559120592</v>
      </c>
      <c r="L167" s="154">
        <f t="shared" si="4"/>
        <v>34.188379594678565</v>
      </c>
      <c r="M167" s="154">
        <f t="shared" si="5"/>
        <v>-1140.0764547321066</v>
      </c>
      <c r="N167" s="154">
        <f t="shared" si="6"/>
        <v>-1105.8880751374281</v>
      </c>
    </row>
    <row r="168" spans="1:14" ht="13.9" customHeight="1" x14ac:dyDescent="0.25">
      <c r="A168" s="53" t="s">
        <v>310</v>
      </c>
      <c r="B168" s="154" cm="1">
        <f t="array" ref="B168">INDEX(LCI!O$2:O$137,MATCH('D- Benefits &amp; Burdens'!$E$30&amp;'D- Benefits &amp; Burdens'!$F$30,LCI!$B$2:$B$137&amp;LCI!$D$2:$D$137,0))*IF(AND($E30="Truck",$F30="Electric"),$B$26,1)*$D$30*$C$30</f>
        <v>4.3931399999999998E-5</v>
      </c>
      <c r="C168" s="154">
        <f>SUM(O106:O109)</f>
        <v>6.7747231809990723E-6</v>
      </c>
      <c r="D168" s="154" cm="1">
        <f t="array" ref="D168">INDEX(LCI!O$2:O$137,MATCH('D- Benefits &amp; Burdens'!$B139&amp;'D- Benefits &amp; Burdens'!$D139,LCI!$B$2:$B$137&amp;LCI!$D$2:$D$137,0))*$C$139</f>
        <v>-8.7618185999999986E-6</v>
      </c>
      <c r="E168" s="154" cm="1">
        <f t="array" ref="E168">INDEX(LCI!O$2:O$137,MATCH('D- Benefits &amp; Burdens'!$B140&amp;'D- Benefits &amp; Burdens'!$D140,LCI!$B$2:$B$137&amp;LCI!$D$2:$D$137,0))*$C$140</f>
        <v>-2.7632038391447625E-3</v>
      </c>
      <c r="F168" s="154">
        <f>INDEX(LCI!O$2:O$137,MATCH('D- Benefits &amp; Burdens'!$B$141,LCI!$D$2:$D$137,0))*$C$141</f>
        <v>-5.3605434442295689E-5</v>
      </c>
      <c r="G168" s="154">
        <f>INDEX(LCI!O$2:O$137,MATCH('D- Benefits &amp; Burdens'!$B$142,LCI!$D$2:$D$137,0))*$C$142</f>
        <v>-4.3522585174738216E-5</v>
      </c>
      <c r="H168" s="154" cm="1">
        <f t="array" ref="H168">INDEX(LCI!O$2:O$137,MATCH('D- Benefits &amp; Burdens'!$E150&amp;'D- Benefits &amp; Burdens'!$F150,LCI!$B$2:$B$137&amp;LCI!$D$2:$D$137,0))*$C150*$D150</f>
        <v>-1.4660786807999999E-6</v>
      </c>
      <c r="I168" s="154" cm="1">
        <f t="array" ref="I168">INDEX(LCI!O$2:O$137,MATCH('D- Benefits &amp; Burdens'!$E151&amp;'D- Benefits &amp; Burdens'!$F151,LCI!$B$2:$B$137&amp;LCI!$D$2:$D$137,0))*$C151*$D151</f>
        <v>-2.6878109148000001E-6</v>
      </c>
      <c r="J168" s="154" cm="1">
        <f t="array" ref="J168">INDEX(LCI!O$2:O$137,MATCH('D- Benefits &amp; Burdens'!$E152&amp;'D- Benefits &amp; Burdens'!$F152,LCI!$B$2:$B$137&amp;LCI!$D$2:$D$137,0))*$C152*$D152</f>
        <v>-1.2220974692352002E-4</v>
      </c>
      <c r="K168" s="154" cm="1">
        <f t="array" ref="K168">INDEX(LCI!O$2:O$137,MATCH('D- Benefits &amp; Burdens'!$E153&amp;'D- Benefits &amp; Burdens'!$F153,LCI!$B$2:$B$137&amp;LCI!$D$2:$D$137,0))*$C153*$D153</f>
        <v>-6.5445943137000011E-5</v>
      </c>
      <c r="L168" s="154">
        <f t="shared" si="4"/>
        <v>5.0706123180999071E-5</v>
      </c>
      <c r="M168" s="154">
        <f t="shared" si="5"/>
        <v>-3.0609032570179163E-3</v>
      </c>
      <c r="N168" s="154">
        <f t="shared" si="6"/>
        <v>-3.0101971338369173E-3</v>
      </c>
    </row>
    <row r="169" spans="1:14" ht="13.9" customHeight="1" x14ac:dyDescent="0.25">
      <c r="A169" s="53" t="s">
        <v>311</v>
      </c>
      <c r="B169" s="154" cm="1">
        <f t="array" ref="B169">INDEX(LCI!P$2:P$137,MATCH('D- Benefits &amp; Burdens'!$E$30&amp;'D- Benefits &amp; Burdens'!$F$30,LCI!$B$2:$B$137&amp;LCI!$D$2:$D$137,0))*IF(AND($E30="Truck",$F30="Electric"),$B$26,1)*$D$30*$C$30</f>
        <v>1.8744771999999997E-3</v>
      </c>
      <c r="C169" s="154">
        <f>SUM(P106:P109)</f>
        <v>1.8527659448015291E-4</v>
      </c>
      <c r="D169" s="154" cm="1">
        <f t="array" ref="D169">INDEX(LCI!P$2:P$137,MATCH('D- Benefits &amp; Burdens'!$B139&amp;'D- Benefits &amp; Burdens'!$D139,LCI!$B$2:$B$137&amp;LCI!$D$2:$D$137,0))*$C$139</f>
        <v>-8.742129119999999E-3</v>
      </c>
      <c r="E169" s="154" cm="1">
        <f t="array" ref="E169">INDEX(LCI!P$2:P$137,MATCH('D- Benefits &amp; Burdens'!$B140&amp;'D- Benefits &amp; Burdens'!$D140,LCI!$B$2:$B$137&amp;LCI!$D$2:$D$137,0))*$C$140</f>
        <v>-1.3295838345363787E-2</v>
      </c>
      <c r="F169" s="154">
        <f>INDEX(LCI!P$2:P$137,MATCH('D- Benefits &amp; Burdens'!$B$141,LCI!$D$2:$D$137,0))*$C$141</f>
        <v>-5.0146547118943216E-3</v>
      </c>
      <c r="G169" s="154">
        <f>INDEX(LCI!P$2:P$137,MATCH('D- Benefits &amp; Burdens'!$B$142,LCI!$D$2:$D$137,0))*$C$142</f>
        <v>-3.9041994226242816E-3</v>
      </c>
      <c r="H169" s="154" cm="1">
        <f t="array" ref="H169">INDEX(LCI!P$2:P$137,MATCH('D- Benefits &amp; Burdens'!$E150&amp;'D- Benefits &amp; Burdens'!$F150,LCI!$B$2:$B$137&amp;LCI!$D$2:$D$137,0))*$C150*$D150</f>
        <v>-6.2555053118399992E-5</v>
      </c>
      <c r="I169" s="154" cm="1">
        <f t="array" ref="I169">INDEX(LCI!P$2:P$137,MATCH('D- Benefits &amp; Burdens'!$E151&amp;'D- Benefits &amp; Burdens'!$F151,LCI!$B$2:$B$137&amp;LCI!$D$2:$D$137,0))*$C151*$D151</f>
        <v>-1.146842640504E-4</v>
      </c>
      <c r="J169" s="154" cm="1">
        <f t="array" ref="J169">INDEX(LCI!P$2:P$137,MATCH('D- Benefits &amp; Burdens'!$E152&amp;'D- Benefits &amp; Burdens'!$F152,LCI!$B$2:$B$137&amp;LCI!$D$2:$D$137,0))*$C152*$D152</f>
        <v>-5.2144794890649606E-3</v>
      </c>
      <c r="K169" s="154" cm="1">
        <f t="array" ref="K169">INDEX(LCI!P$2:P$137,MATCH('D- Benefits &amp; Burdens'!$E153&amp;'D- Benefits &amp; Burdens'!$F153,LCI!$B$2:$B$137&amp;LCI!$D$2:$D$137,0))*$C153*$D153</f>
        <v>-2.7924657134260002E-3</v>
      </c>
      <c r="L169" s="154">
        <f t="shared" si="4"/>
        <v>2.0597537944801528E-3</v>
      </c>
      <c r="M169" s="154">
        <f t="shared" si="5"/>
        <v>-3.9141006119542153E-2</v>
      </c>
      <c r="N169" s="154">
        <f t="shared" si="6"/>
        <v>-3.7081252325062E-2</v>
      </c>
    </row>
    <row r="170" spans="1:14" ht="13.9" customHeight="1" x14ac:dyDescent="0.25">
      <c r="A170" s="53" t="s">
        <v>312</v>
      </c>
      <c r="B170" s="154" cm="1">
        <f t="array" ref="B170">INDEX(LCI!Q$2:Q$137,MATCH('D- Benefits &amp; Burdens'!$E$30&amp;'D- Benefits &amp; Burdens'!$F$30,LCI!$B$2:$B$137&amp;LCI!$D$2:$D$137,0))*IF(AND($E30="Truck",$F30="Electric"),$B$26,1)*$D$30*$C$30</f>
        <v>2.0447688999999998E-2</v>
      </c>
      <c r="C170" s="154">
        <f>SUM(Q106:Q109)</f>
        <v>2.0141848877912186E-3</v>
      </c>
      <c r="D170" s="154" cm="1">
        <f t="array" ref="D170">INDEX(LCI!Q$2:Q$137,MATCH('D- Benefits &amp; Burdens'!$B139&amp;'D- Benefits &amp; Burdens'!$D139,LCI!$B$2:$B$137&amp;LCI!$D$2:$D$137,0))*$C$139</f>
        <v>-9.5690872800000007E-2</v>
      </c>
      <c r="E170" s="154" cm="1">
        <f t="array" ref="E170">INDEX(LCI!Q$2:Q$137,MATCH('D- Benefits &amp; Burdens'!$B140&amp;'D- Benefits &amp; Burdens'!$D140,LCI!$B$2:$B$137&amp;LCI!$D$2:$D$137,0))*$C$140</f>
        <v>-0.14792730813290791</v>
      </c>
      <c r="F170" s="154">
        <f>INDEX(LCI!Q$2:Q$137,MATCH('D- Benefits &amp; Burdens'!$B$141,LCI!$D$2:$D$137,0))*$C$141</f>
        <v>-6.9943421394914898E-2</v>
      </c>
      <c r="G170" s="154">
        <f>INDEX(LCI!Q$2:Q$137,MATCH('D- Benefits &amp; Burdens'!$B$142,LCI!$D$2:$D$137,0))*$C$142</f>
        <v>-4.287975932355817E-2</v>
      </c>
      <c r="H170" s="154" cm="1">
        <f t="array" ref="H170">INDEX(LCI!Q$2:Q$137,MATCH('D- Benefits &amp; Burdens'!$E150&amp;'D- Benefits &amp; Burdens'!$F150,LCI!$B$2:$B$137&amp;LCI!$D$2:$D$137,0))*$C150*$D150</f>
        <v>-6.8238027730799992E-4</v>
      </c>
      <c r="I170" s="154" cm="1">
        <f t="array" ref="I170">INDEX(LCI!Q$2:Q$137,MATCH('D- Benefits &amp; Burdens'!$E151&amp;'D- Benefits &amp; Burdens'!$F151,LCI!$B$2:$B$137&amp;LCI!$D$2:$D$137,0))*$C151*$D151</f>
        <v>-1.2510305083979997E-3</v>
      </c>
      <c r="J170" s="154" cm="1">
        <f t="array" ref="J170">INDEX(LCI!Q$2:Q$137,MATCH('D- Benefits &amp; Burdens'!$E152&amp;'D- Benefits &amp; Burdens'!$F152,LCI!$B$2:$B$137&amp;LCI!$D$2:$D$137,0))*$C152*$D152</f>
        <v>-5.6882022832435201E-2</v>
      </c>
      <c r="K170" s="154" cm="1">
        <f t="array" ref="K170">INDEX(LCI!Q$2:Q$137,MATCH('D- Benefits &amp; Burdens'!$E153&amp;'D- Benefits &amp; Burdens'!$F153,LCI!$B$2:$B$137&amp;LCI!$D$2:$D$137,0))*$C153*$D153</f>
        <v>-3.0461544398245E-2</v>
      </c>
      <c r="L170" s="154">
        <f t="shared" si="4"/>
        <v>2.2461873887791216E-2</v>
      </c>
      <c r="M170" s="154">
        <f t="shared" si="5"/>
        <v>-0.44571833966776714</v>
      </c>
      <c r="N170" s="154">
        <f t="shared" si="6"/>
        <v>-0.42325646577997594</v>
      </c>
    </row>
    <row r="171" spans="1:14" ht="13.9" customHeight="1" x14ac:dyDescent="0.25">
      <c r="A171" s="53" t="s">
        <v>313</v>
      </c>
      <c r="B171" s="154" cm="1">
        <f t="array" ref="B171">INDEX(LCI!R$2:R$137,MATCH('D- Benefits &amp; Burdens'!$E$30&amp;'D- Benefits &amp; Burdens'!$F$30,LCI!$B$2:$B$137&amp;LCI!$D$2:$D$137,0))*IF(AND($E30="Truck",$F30="Electric"),$B$26,1)*$D$30*$C$30</f>
        <v>1.7849977999999998E-10</v>
      </c>
      <c r="C171" s="154">
        <f>SUM(R106:R109)</f>
        <v>3.9163106003689684E-11</v>
      </c>
      <c r="D171" s="154" cm="1">
        <f t="array" ref="D171">INDEX(LCI!R$2:R$137,MATCH('D- Benefits &amp; Burdens'!$B139&amp;'D- Benefits &amp; Burdens'!$D139,LCI!$B$2:$B$137&amp;LCI!$D$2:$D$137,0))*$C$139</f>
        <v>-9.7659820799999992E-9</v>
      </c>
      <c r="E171" s="154" cm="1">
        <f t="array" ref="E171">INDEX(LCI!R$2:R$137,MATCH('D- Benefits &amp; Burdens'!$B140&amp;'D- Benefits &amp; Burdens'!$D140,LCI!$B$2:$B$137&amp;LCI!$D$2:$D$137,0))*$C$140</f>
        <v>-2.3758263723139958E-9</v>
      </c>
      <c r="F171" s="154">
        <f>INDEX(LCI!R$2:R$137,MATCH('D- Benefits &amp; Burdens'!$B$141,LCI!$D$2:$D$137,0))*$C$141</f>
        <v>-1.3074217943355367E-10</v>
      </c>
      <c r="G171" s="154">
        <f>INDEX(LCI!R$2:R$137,MATCH('D- Benefits &amp; Burdens'!$B$142,LCI!$D$2:$D$137,0))*$C$142</f>
        <v>-1.135163988275099E-10</v>
      </c>
      <c r="H171" s="154" cm="1">
        <f t="array" ref="H171">INDEX(LCI!R$2:R$137,MATCH('D- Benefits &amp; Burdens'!$E150&amp;'D- Benefits &amp; Burdens'!$F150,LCI!$B$2:$B$137&amp;LCI!$D$2:$D$137,0))*$C150*$D150</f>
        <v>-5.9568946581599989E-12</v>
      </c>
      <c r="I171" s="154" cm="1">
        <f t="array" ref="I171">INDEX(LCI!R$2:R$137,MATCH('D- Benefits &amp; Burdens'!$E151&amp;'D- Benefits &amp; Burdens'!$F151,LCI!$B$2:$B$137&amp;LCI!$D$2:$D$137,0))*$C151*$D151</f>
        <v>-1.0920973539959999E-11</v>
      </c>
      <c r="J171" s="154" cm="1">
        <f t="array" ref="J171">INDEX(LCI!R$2:R$137,MATCH('D- Benefits &amp; Burdens'!$E152&amp;'D- Benefits &amp; Burdens'!$F152,LCI!$B$2:$B$137&amp;LCI!$D$2:$D$137,0))*$C152*$D152</f>
        <v>-4.9655628866150401E-10</v>
      </c>
      <c r="K171" s="154" cm="1">
        <f t="array" ref="K171">INDEX(LCI!R$2:R$137,MATCH('D- Benefits &amp; Burdens'!$E153&amp;'D- Benefits &amp; Burdens'!$F153,LCI!$B$2:$B$137&amp;LCI!$D$2:$D$137,0))*$C153*$D153</f>
        <v>-2.659165528949E-10</v>
      </c>
      <c r="L171" s="154">
        <f t="shared" si="4"/>
        <v>2.1766288600368966E-10</v>
      </c>
      <c r="M171" s="154">
        <f t="shared" si="5"/>
        <v>-1.3165417740329583E-8</v>
      </c>
      <c r="N171" s="154">
        <f t="shared" si="6"/>
        <v>-1.2947754854325893E-8</v>
      </c>
    </row>
    <row r="172" spans="1:14" ht="13.9" customHeight="1" x14ac:dyDescent="0.25">
      <c r="A172" s="53" t="s">
        <v>314</v>
      </c>
      <c r="B172" s="154" cm="1">
        <f t="array" ref="B172">INDEX(LCI!S$2:S$137,MATCH('D- Benefits &amp; Burdens'!$E$30&amp;'D- Benefits &amp; Burdens'!$F$30,LCI!$B$2:$B$137&amp;LCI!$D$2:$D$137,0))*IF(AND($E30="Truck",$F30="Electric"),$B$26,1)*$D$30*$C$30</f>
        <v>1.3686230000000001E-8</v>
      </c>
      <c r="C172" s="154">
        <f>SUM(S106:S109)</f>
        <v>1.0438566047103489E-9</v>
      </c>
      <c r="D172" s="154" cm="1">
        <f t="array" ref="D172">INDEX(LCI!S$2:S$137,MATCH('D- Benefits &amp; Burdens'!$B139&amp;'D- Benefits &amp; Burdens'!$D139,LCI!$B$2:$B$137&amp;LCI!$D$2:$D$137,0))*$C$139</f>
        <v>-2.8155956399999999E-7</v>
      </c>
      <c r="E172" s="154" cm="1">
        <f t="array" ref="E172">INDEX(LCI!S$2:S$137,MATCH('D- Benefits &amp; Burdens'!$B140&amp;'D- Benefits &amp; Burdens'!$D140,LCI!$B$2:$B$137&amp;LCI!$D$2:$D$137,0))*$C$140</f>
        <v>-1.2844588965888433E-7</v>
      </c>
      <c r="F172" s="154">
        <f>INDEX(LCI!S$2:S$137,MATCH('D- Benefits &amp; Burdens'!$B$141,LCI!$D$2:$D$137,0))*$C$141</f>
        <v>-3.4706627624601451E-9</v>
      </c>
      <c r="G172" s="154">
        <f>INDEX(LCI!S$2:S$137,MATCH('D- Benefits &amp; Burdens'!$B$142,LCI!$D$2:$D$137,0))*$C$142</f>
        <v>-1.8297351112332823E-9</v>
      </c>
      <c r="H172" s="154" cm="1">
        <f t="array" ref="H172">INDEX(LCI!S$2:S$137,MATCH('D- Benefits &amp; Burdens'!$E150&amp;'D- Benefits &amp; Burdens'!$F150,LCI!$B$2:$B$137&amp;LCI!$D$2:$D$137,0))*$C150*$D150</f>
        <v>-4.5673686755999998E-10</v>
      </c>
      <c r="I172" s="154" cm="1">
        <f t="array" ref="I172">INDEX(LCI!S$2:S$137,MATCH('D- Benefits &amp; Burdens'!$E151&amp;'D- Benefits &amp; Burdens'!$F151,LCI!$B$2:$B$137&amp;LCI!$D$2:$D$137,0))*$C151*$D151</f>
        <v>-8.3735092386000004E-10</v>
      </c>
      <c r="J172" s="154" cm="1">
        <f t="array" ref="J172">INDEX(LCI!S$2:S$137,MATCH('D- Benefits &amp; Burdens'!$E152&amp;'D- Benefits &amp; Burdens'!$F152,LCI!$B$2:$B$137&amp;LCI!$D$2:$D$137,0))*$C152*$D152</f>
        <v>-3.8072784036864009E-8</v>
      </c>
      <c r="K172" s="154" cm="1">
        <f t="array" ref="K172">INDEX(LCI!S$2:S$137,MATCH('D- Benefits &amp; Burdens'!$E153&amp;'D- Benefits &amp; Burdens'!$F153,LCI!$B$2:$B$137&amp;LCI!$D$2:$D$137,0))*$C153*$D153</f>
        <v>-2.0388793217150004E-8</v>
      </c>
      <c r="L172" s="154">
        <f t="shared" si="4"/>
        <v>1.473008660471035E-8</v>
      </c>
      <c r="M172" s="154">
        <f t="shared" si="5"/>
        <v>-4.750615165780118E-7</v>
      </c>
      <c r="N172" s="154">
        <f t="shared" si="6"/>
        <v>-4.6033142997330146E-7</v>
      </c>
    </row>
    <row r="173" spans="1:14" ht="13.9" customHeight="1" x14ac:dyDescent="0.25">
      <c r="A173" s="53" t="s">
        <v>315</v>
      </c>
      <c r="B173" s="154" cm="1">
        <f t="array" ref="B173">INDEX(LCI!T$2:T$137,MATCH('D- Benefits &amp; Burdens'!$E$30&amp;'D- Benefits &amp; Burdens'!$F$30,LCI!$B$2:$B$137&amp;LCI!$D$2:$D$137,0))*IF(AND($E30="Truck",$F30="Electric"),$B$26,1)*$D$30*$C$30</f>
        <v>1.1559610399999998E-2</v>
      </c>
      <c r="C173" s="154">
        <f>SUM(T106:T109)</f>
        <v>2.5558862968630344E-3</v>
      </c>
      <c r="D173" s="154" cm="1">
        <f t="array" ref="D173">INDEX(LCI!T$2:T$137,MATCH('D- Benefits &amp; Burdens'!$B139&amp;'D- Benefits &amp; Burdens'!$D139,LCI!$B$2:$B$137&amp;LCI!$D$2:$D$137,0))*$C$139</f>
        <v>-0.14865557399999998</v>
      </c>
      <c r="E173" s="154" cm="1">
        <f t="array" ref="E173">INDEX(LCI!T$2:T$137,MATCH('D- Benefits &amp; Burdens'!$B140&amp;'D- Benefits &amp; Burdens'!$D140,LCI!$B$2:$B$137&amp;LCI!$D$2:$D$137,0))*$C$140</f>
        <v>-0.8448222976847386</v>
      </c>
      <c r="F173" s="154">
        <f>INDEX(LCI!T$2:T$137,MATCH('D- Benefits &amp; Burdens'!$B$141,LCI!$D$2:$D$137,0))*$C$141</f>
        <v>-2.7425616527417308E-2</v>
      </c>
      <c r="G173" s="154">
        <f>INDEX(LCI!T$2:T$137,MATCH('D- Benefits &amp; Burdens'!$B$142,LCI!$D$2:$D$137,0))*$C$142</f>
        <v>-8.2447895345751799E-3</v>
      </c>
      <c r="H173" s="154" cm="1">
        <f t="array" ref="H173">INDEX(LCI!T$2:T$137,MATCH('D- Benefits &amp; Burdens'!$E150&amp;'D- Benefits &amp; Burdens'!$F150,LCI!$B$2:$B$137&amp;LCI!$D$2:$D$137,0))*$C150*$D150</f>
        <v>-3.8576731826879995E-4</v>
      </c>
      <c r="I173" s="154" cm="1">
        <f t="array" ref="I173">INDEX(LCI!T$2:T$137,MATCH('D- Benefits &amp; Burdens'!$E151&amp;'D- Benefits &amp; Burdens'!$F151,LCI!$B$2:$B$137&amp;LCI!$D$2:$D$137,0))*$C151*$D151</f>
        <v>-7.0724008349279995E-4</v>
      </c>
      <c r="J173" s="154" cm="1">
        <f t="array" ref="J173">INDEX(LCI!T$2:T$137,MATCH('D- Benefits &amp; Burdens'!$E152&amp;'D- Benefits &amp; Burdens'!$F152,LCI!$B$2:$B$137&amp;LCI!$D$2:$D$137,0))*$C152*$D152</f>
        <v>-3.215688690819072E-2</v>
      </c>
      <c r="K173" s="154" cm="1">
        <f t="array" ref="K173">INDEX(LCI!T$2:T$137,MATCH('D- Benefits &amp; Burdens'!$E153&amp;'D- Benefits &amp; Burdens'!$F153,LCI!$B$2:$B$137&amp;LCI!$D$2:$D$137,0))*$C153*$D153</f>
        <v>-1.7220703299332001E-2</v>
      </c>
      <c r="L173" s="154">
        <f t="shared" si="4"/>
        <v>1.4115496696863033E-2</v>
      </c>
      <c r="M173" s="154">
        <f t="shared" si="5"/>
        <v>-1.0796188753560154</v>
      </c>
      <c r="N173" s="154">
        <f t="shared" si="6"/>
        <v>-1.0655033786591523</v>
      </c>
    </row>
    <row r="174" spans="1:14" ht="13.9" customHeight="1" x14ac:dyDescent="0.25">
      <c r="A174" s="53" t="s">
        <v>316</v>
      </c>
      <c r="B174" s="154" cm="1">
        <f t="array" ref="B174">INDEX(LCI!U$2:U$137,MATCH('D- Benefits &amp; Burdens'!$E$30&amp;'D- Benefits &amp; Burdens'!$F$30,LCI!$B$2:$B$137&amp;LCI!$D$2:$D$137,0))*IF(AND($E30="Truck",$F30="Electric"),$B$26,1)*$D$30*$C$30</f>
        <v>1.6111937119999999</v>
      </c>
      <c r="C174" s="154">
        <f>SUM(U106:U109)</f>
        <v>0.43765463925318848</v>
      </c>
      <c r="D174" s="154" cm="1">
        <f t="array" ref="D174">INDEX(LCI!U$2:U$137,MATCH('D- Benefits &amp; Burdens'!$B139&amp;'D- Benefits &amp; Burdens'!$D139,LCI!$B$2:$B$137&amp;LCI!$D$2:$D$137,0))*$C$139</f>
        <v>-5.1783332399999997</v>
      </c>
      <c r="E174" s="154" cm="1">
        <f t="array" ref="E174">INDEX(LCI!U$2:U$137,MATCH('D- Benefits &amp; Burdens'!$B140&amp;'D- Benefits &amp; Burdens'!$D140,LCI!$B$2:$B$137&amp;LCI!$D$2:$D$137,0))*$C$140</f>
        <v>-33.101337302727082</v>
      </c>
      <c r="F174" s="154">
        <f>INDEX(LCI!U$2:U$137,MATCH('D- Benefits &amp; Burdens'!$B$141,LCI!$D$2:$D$137,0))*$C$141</f>
        <v>-8.4549619335314645</v>
      </c>
      <c r="G174" s="154">
        <f>INDEX(LCI!U$2:U$137,MATCH('D- Benefits &amp; Burdens'!$B$142,LCI!$D$2:$D$137,0))*$C$142</f>
        <v>-452.55008281379742</v>
      </c>
      <c r="H174" s="154" cm="1">
        <f t="array" ref="H174">INDEX(LCI!U$2:U$137,MATCH('D- Benefits &amp; Burdens'!$E150&amp;'D- Benefits &amp; Burdens'!$F150,LCI!$B$2:$B$137&amp;LCI!$D$2:$D$137,0))*$C150*$D150</f>
        <v>-5.3768756556864E-2</v>
      </c>
      <c r="I174" s="154" cm="1">
        <f t="array" ref="I174">INDEX(LCI!U$2:U$137,MATCH('D- Benefits &amp; Burdens'!$E151&amp;'D- Benefits &amp; Burdens'!$F151,LCI!$B$2:$B$137&amp;LCI!$D$2:$D$137,0))*$C151*$D151</f>
        <v>-9.8576053687583987E-2</v>
      </c>
      <c r="J174" s="154" cm="1">
        <f t="array" ref="J174">INDEX(LCI!U$2:U$137,MATCH('D- Benefits &amp; Burdens'!$E152&amp;'D- Benefits &amp; Burdens'!$F152,LCI!$B$2:$B$137&amp;LCI!$D$2:$D$137,0))*$C152*$D152</f>
        <v>-4.4820692212924422</v>
      </c>
      <c r="K174" s="154" cm="1">
        <f t="array" ref="K174">INDEX(LCI!U$2:U$137,MATCH('D- Benefits &amp; Burdens'!$E153&amp;'D- Benefits &amp; Burdens'!$F153,LCI!$B$2:$B$137&amp;LCI!$D$2:$D$137,0))*$C153*$D153</f>
        <v>-2.4002442912869602</v>
      </c>
      <c r="L174" s="154">
        <f t="shared" si="4"/>
        <v>2.0488483512531883</v>
      </c>
      <c r="M174" s="154">
        <f t="shared" si="5"/>
        <v>-506.31937361287976</v>
      </c>
      <c r="N174" s="154">
        <f t="shared" si="6"/>
        <v>-504.27052526162657</v>
      </c>
    </row>
    <row r="175" spans="1:14" ht="13.9" customHeight="1" x14ac:dyDescent="0.25">
      <c r="A175" s="53" t="s">
        <v>317</v>
      </c>
      <c r="B175" s="154" cm="1">
        <f t="array" ref="B175">INDEX(LCI!V$2:V$137,MATCH('D- Benefits &amp; Burdens'!$E$30&amp;'D- Benefits &amp; Burdens'!$F$30,LCI!$B$2:$B$137&amp;LCI!$D$2:$D$137,0))*IF(AND($E30="Truck",$F30="Electric"),$B$26,1)*$D$30*$C$30</f>
        <v>2.0699677999999997E-6</v>
      </c>
      <c r="C175" s="154">
        <f>SUM(V106:V109)</f>
        <v>9.9930029263866931E-8</v>
      </c>
      <c r="D175" s="154" cm="1">
        <f t="array" ref="D175">INDEX(LCI!V$2:V$137,MATCH('D- Benefits &amp; Burdens'!$B139&amp;'D- Benefits &amp; Burdens'!$D139,LCI!$B$2:$B$137&amp;LCI!$D$2:$D$137,0))*$C$139</f>
        <v>-2.0083269599999999E-6</v>
      </c>
      <c r="E175" s="154" cm="1">
        <f t="array" ref="E175">INDEX(LCI!V$2:V$137,MATCH('D- Benefits &amp; Burdens'!$B140&amp;'D- Benefits &amp; Burdens'!$D140,LCI!$B$2:$B$137&amp;LCI!$D$2:$D$137,0))*$C$140</f>
        <v>-6.5830153266825973E-5</v>
      </c>
      <c r="F175" s="154">
        <f>INDEX(LCI!V$2:V$137,MATCH('D- Benefits &amp; Burdens'!$B$141,LCI!$D$2:$D$137,0))*$C$141</f>
        <v>-2.1027177039817372E-6</v>
      </c>
      <c r="G175" s="154">
        <f>INDEX(LCI!V$2:V$137,MATCH('D- Benefits &amp; Burdens'!$B$142,LCI!$D$2:$D$137,0))*$C$142</f>
        <v>-6.1904328155101664E-7</v>
      </c>
      <c r="H175" s="154" cm="1">
        <f t="array" ref="H175">INDEX(LCI!V$2:V$137,MATCH('D- Benefits &amp; Burdens'!$E150&amp;'D- Benefits &amp; Burdens'!$F150,LCI!$B$2:$B$137&amp;LCI!$D$2:$D$137,0))*$C150*$D150</f>
        <v>-6.9078965421599994E-8</v>
      </c>
      <c r="I175" s="154" cm="1">
        <f t="array" ref="I175">INDEX(LCI!V$2:V$137,MATCH('D- Benefits &amp; Burdens'!$E151&amp;'D- Benefits &amp; Burdens'!$F151,LCI!$B$2:$B$137&amp;LCI!$D$2:$D$137,0))*$C151*$D151</f>
        <v>-1.2664476993959998E-7</v>
      </c>
      <c r="J175" s="154" cm="1">
        <f t="array" ref="J175">INDEX(LCI!V$2:V$137,MATCH('D- Benefits &amp; Burdens'!$E152&amp;'D- Benefits &amp; Burdens'!$F152,LCI!$B$2:$B$137&amp;LCI!$D$2:$D$137,0))*$C152*$D152</f>
        <v>-5.75830137391104E-6</v>
      </c>
      <c r="K175" s="154" cm="1">
        <f t="array" ref="K175">INDEX(LCI!V$2:V$137,MATCH('D- Benefits &amp; Burdens'!$E153&amp;'D- Benefits &amp; Burdens'!$F153,LCI!$B$2:$B$137&amp;LCI!$D$2:$D$137,0))*$C153*$D153</f>
        <v>-3.083694007799E-6</v>
      </c>
      <c r="L175" s="154">
        <f t="shared" si="4"/>
        <v>2.1698978292638667E-6</v>
      </c>
      <c r="M175" s="154">
        <f t="shared" si="5"/>
        <v>-7.9597960329429968E-5</v>
      </c>
      <c r="N175" s="154">
        <f t="shared" si="6"/>
        <v>-7.7428062500166099E-5</v>
      </c>
    </row>
    <row r="176" spans="1:14" ht="13.9" customHeight="1" x14ac:dyDescent="0.25">
      <c r="A176" s="53" t="s">
        <v>318</v>
      </c>
      <c r="B176" s="154" cm="1">
        <f t="array" ref="B176">INDEX(LCI!W$2:W$137,MATCH('D- Benefits &amp; Burdens'!$E$30&amp;'D- Benefits &amp; Burdens'!$F$30,LCI!$B$2:$B$137&amp;LCI!$D$2:$D$137,0))*IF(AND($E30="Truck",$F30="Electric"),$B$26,1)*$D$30*$C$30</f>
        <v>4.2478347999999997E-8</v>
      </c>
      <c r="C176" s="154">
        <f>SUM(W106:W109)</f>
        <v>1.4441464265657818E-8</v>
      </c>
      <c r="D176" s="154" cm="1">
        <f t="array" ref="D176">INDEX(LCI!W$2:W$137,MATCH('D- Benefits &amp; Burdens'!$B139&amp;'D- Benefits &amp; Burdens'!$D139,LCI!$B$2:$B$137&amp;LCI!$D$2:$D$137,0))*$C$139</f>
        <v>-6.5369073599999996E-12</v>
      </c>
      <c r="E176" s="154" cm="1">
        <f t="array" ref="E176">INDEX(LCI!W$2:W$137,MATCH('D- Benefits &amp; Burdens'!$B140&amp;'D- Benefits &amp; Burdens'!$D140,LCI!$B$2:$B$137&amp;LCI!$D$2:$D$137,0))*$C$140</f>
        <v>-9.3357248219403563E-8</v>
      </c>
      <c r="F176" s="154">
        <f>INDEX(LCI!W$2:W$137,MATCH('D- Benefits &amp; Burdens'!$B$141,LCI!$D$2:$D$137,0))*$C$141</f>
        <v>-1.1958361168644021E-8</v>
      </c>
      <c r="G176" s="154">
        <f>INDEX(LCI!W$2:W$137,MATCH('D- Benefits &amp; Burdens'!$B$142,LCI!$D$2:$D$137,0))*$C$142</f>
        <v>-1.4078766263156694E-8</v>
      </c>
      <c r="H176" s="154" cm="1">
        <f t="array" ref="H176">INDEX(LCI!W$2:W$137,MATCH('D- Benefits &amp; Burdens'!$E150&amp;'D- Benefits &amp; Burdens'!$F150,LCI!$B$2:$B$137&amp;LCI!$D$2:$D$137,0))*$C150*$D150</f>
        <v>-1.4175874294559999E-9</v>
      </c>
      <c r="I176" s="154" cm="1">
        <f t="array" ref="I176">INDEX(LCI!W$2:W$137,MATCH('D- Benefits &amp; Burdens'!$E151&amp;'D- Benefits &amp; Burdens'!$F151,LCI!$B$2:$B$137&amp;LCI!$D$2:$D$137,0))*$C151*$D151</f>
        <v>-2.5989102873359998E-9</v>
      </c>
      <c r="J176" s="154" cm="1">
        <f t="array" ref="J176">INDEX(LCI!W$2:W$137,MATCH('D- Benefits &amp; Burdens'!$E152&amp;'D- Benefits &amp; Burdens'!$F152,LCI!$B$2:$B$137&amp;LCI!$D$2:$D$137,0))*$C152*$D152</f>
        <v>-1.1816760127856641E-7</v>
      </c>
      <c r="K176" s="154" cm="1">
        <f t="array" ref="K176">INDEX(LCI!W$2:W$137,MATCH('D- Benefits &amp; Burdens'!$E153&amp;'D- Benefits &amp; Burdens'!$F153,LCI!$B$2:$B$137&amp;LCI!$D$2:$D$137,0))*$C153*$D153</f>
        <v>-6.3281287365340006E-8</v>
      </c>
      <c r="L176" s="154">
        <f t="shared" si="4"/>
        <v>5.6919812265657818E-8</v>
      </c>
      <c r="M176" s="154">
        <f t="shared" si="5"/>
        <v>-3.048662989192627E-7</v>
      </c>
      <c r="N176" s="154">
        <f t="shared" si="6"/>
        <v>-2.4794648665360488E-7</v>
      </c>
    </row>
    <row r="177" spans="1:14" ht="13.9" customHeight="1" x14ac:dyDescent="0.25">
      <c r="A177" s="53" t="s">
        <v>319</v>
      </c>
      <c r="B177" s="154" cm="1">
        <f t="array" ref="B177">INDEX(LCI!X$2:X$137,MATCH('D- Benefits &amp; Burdens'!$E$30&amp;'D- Benefits &amp; Burdens'!$F$30,LCI!$B$2:$B$137&amp;LCI!$D$2:$D$137,0))*IF(AND($E30="Truck",$F30="Electric"),$B$26,1)*$D$30*$C$30</f>
        <v>1.2912740000000001E-7</v>
      </c>
      <c r="C177" s="154">
        <f>SUM(X106:X109)</f>
        <v>6.3119658203812956E-9</v>
      </c>
      <c r="D177" s="154" cm="1">
        <f t="array" ref="D177">INDEX(LCI!X$2:X$137,MATCH('D- Benefits &amp; Burdens'!$B139&amp;'D- Benefits &amp; Burdens'!$D139,LCI!$B$2:$B$137&amp;LCI!$D$2:$D$137,0))*$C$139</f>
        <v>-5.2767806399999999E-7</v>
      </c>
      <c r="E177" s="154" cm="1">
        <f t="array" ref="E177">INDEX(LCI!X$2:X$137,MATCH('D- Benefits &amp; Burdens'!$B140&amp;'D- Benefits &amp; Burdens'!$D140,LCI!$B$2:$B$137&amp;LCI!$D$2:$D$137,0))*$C$140</f>
        <v>-4.4643083980117118E-7</v>
      </c>
      <c r="F177" s="154">
        <f>INDEX(LCI!X$2:X$137,MATCH('D- Benefits &amp; Burdens'!$B$141,LCI!$D$2:$D$137,0))*$C$141</f>
        <v>-2.2609655816336632E-7</v>
      </c>
      <c r="G177" s="154">
        <f>INDEX(LCI!X$2:X$137,MATCH('D- Benefits &amp; Burdens'!$B$142,LCI!$D$2:$D$137,0))*$C$142</f>
        <v>-2.4028332369208438E-7</v>
      </c>
      <c r="H177" s="154" cm="1">
        <f t="array" ref="H177">INDEX(LCI!X$2:X$137,MATCH('D- Benefits &amp; Burdens'!$E150&amp;'D- Benefits &amp; Burdens'!$F150,LCI!$B$2:$B$137&amp;LCI!$D$2:$D$137,0))*$C150*$D150</f>
        <v>-4.3092395928000001E-9</v>
      </c>
      <c r="I177" s="154" cm="1">
        <f t="array" ref="I177">INDEX(LCI!X$2:X$137,MATCH('D- Benefits &amp; Burdens'!$E151&amp;'D- Benefits &amp; Burdens'!$F151,LCI!$B$2:$B$137&amp;LCI!$D$2:$D$137,0))*$C151*$D151</f>
        <v>-7.9002725867999995E-9</v>
      </c>
      <c r="J177" s="154" cm="1">
        <f t="array" ref="J177">INDEX(LCI!X$2:X$137,MATCH('D- Benefits &amp; Burdens'!$E152&amp;'D- Benefits &amp; Burdens'!$F152,LCI!$B$2:$B$137&amp;LCI!$D$2:$D$137,0))*$C152*$D152</f>
        <v>-3.5921065285632006E-7</v>
      </c>
      <c r="K177" s="154" cm="1">
        <f t="array" ref="K177">INDEX(LCI!X$2:X$137,MATCH('D- Benefits &amp; Burdens'!$E153&amp;'D- Benefits &amp; Burdens'!$F153,LCI!$B$2:$B$137&amp;LCI!$D$2:$D$137,0))*$C153*$D153</f>
        <v>-1.9236501631700004E-7</v>
      </c>
      <c r="L177" s="154">
        <f t="shared" si="4"/>
        <v>1.3543936582038129E-7</v>
      </c>
      <c r="M177" s="154">
        <f t="shared" si="5"/>
        <v>-2.004273967009542E-6</v>
      </c>
      <c r="N177" s="154">
        <f t="shared" si="6"/>
        <v>-1.8688346011891607E-6</v>
      </c>
    </row>
    <row r="178" spans="1:14" ht="13.9" customHeight="1" x14ac:dyDescent="0.25">
      <c r="A178" s="53" t="s">
        <v>320</v>
      </c>
      <c r="B178" s="154" cm="1">
        <f t="array" ref="B178">INDEX(LCI!Y$2:Y$137,MATCH('D- Benefits &amp; Burdens'!$E$30&amp;'D- Benefits &amp; Burdens'!$F$30,LCI!$B$2:$B$137&amp;LCI!$D$2:$D$137,0))*IF(AND($E30="Truck",$F30="Electric"),$B$26,1)*$D$30*$C$30</f>
        <v>8.2252490000000004E-3</v>
      </c>
      <c r="C178" s="154">
        <f>SUM(Y106:Y109)</f>
        <v>1.5785179891425469E-3</v>
      </c>
      <c r="D178" s="154" cm="1">
        <f t="array" ref="D178">INDEX(LCI!Y$2:Y$137,MATCH('D- Benefits &amp; Burdens'!$B139&amp;'D- Benefits &amp; Burdens'!$D139,LCI!$B$2:$B$137&amp;LCI!$D$2:$D$137,0))*$C$139</f>
        <v>-3.9969644399999997E-2</v>
      </c>
      <c r="E178" s="154" cm="1">
        <f t="array" ref="E178">INDEX(LCI!Y$2:Y$137,MATCH('D- Benefits &amp; Burdens'!$B140&amp;'D- Benefits &amp; Burdens'!$D140,LCI!$B$2:$B$137&amp;LCI!$D$2:$D$137,0))*$C$140</f>
        <v>-4.3095630594899549E-2</v>
      </c>
      <c r="F178" s="154">
        <f>INDEX(LCI!Y$2:Y$137,MATCH('D- Benefits &amp; Burdens'!$B$141,LCI!$D$2:$D$137,0))*$C$141</f>
        <v>-1.5796288438723424E-2</v>
      </c>
      <c r="G178" s="154">
        <f>INDEX(LCI!Y$2:Y$137,MATCH('D- Benefits &amp; Burdens'!$B$142,LCI!$D$2:$D$137,0))*$C$142</f>
        <v>-1.2793041676728199E-2</v>
      </c>
      <c r="H178" s="154" cm="1">
        <f t="array" ref="H178">INDEX(LCI!Y$2:Y$137,MATCH('D- Benefits &amp; Burdens'!$E150&amp;'D- Benefits &amp; Burdens'!$F150,LCI!$B$2:$B$137&amp;LCI!$D$2:$D$137,0))*$C150*$D150</f>
        <v>-2.7449300962800001E-4</v>
      </c>
      <c r="I178" s="154" cm="1">
        <f t="array" ref="I178">INDEX(LCI!Y$2:Y$137,MATCH('D- Benefits &amp; Burdens'!$E151&amp;'D- Benefits &amp; Burdens'!$F151,LCI!$B$2:$B$137&amp;LCI!$D$2:$D$137,0))*$C151*$D151</f>
        <v>-5.0323718431800001E-4</v>
      </c>
      <c r="J178" s="154" cm="1">
        <f t="array" ref="J178">INDEX(LCI!Y$2:Y$137,MATCH('D- Benefits &amp; Burdens'!$E152&amp;'D- Benefits &amp; Burdens'!$F152,LCI!$B$2:$B$137&amp;LCI!$D$2:$D$137,0))*$C152*$D152</f>
        <v>-2.2881255745843203E-2</v>
      </c>
      <c r="K178" s="154" cm="1">
        <f t="array" ref="K178">INDEX(LCI!Y$2:Y$137,MATCH('D- Benefits &amp; Burdens'!$E153&amp;'D- Benefits &amp; Burdens'!$F153,LCI!$B$2:$B$137&amp;LCI!$D$2:$D$137,0))*$C153*$D153</f>
        <v>-1.2253403678045002E-2</v>
      </c>
      <c r="L178" s="154">
        <f t="shared" si="4"/>
        <v>9.8037669891425476E-3</v>
      </c>
      <c r="M178" s="154">
        <f t="shared" si="5"/>
        <v>-0.14756699472818535</v>
      </c>
      <c r="N178" s="154">
        <f t="shared" si="6"/>
        <v>-0.13776322773904282</v>
      </c>
    </row>
    <row r="179" spans="1:14" ht="13.9" customHeight="1" x14ac:dyDescent="0.25">
      <c r="A179" s="53" t="s">
        <v>321</v>
      </c>
      <c r="B179" s="154" cm="1">
        <f t="array" ref="B179">INDEX(LCI!Z$2:Z$137,MATCH('D- Benefits &amp; Burdens'!$E$30&amp;'D- Benefits &amp; Burdens'!$F$30,LCI!$B$2:$B$137&amp;LCI!$D$2:$D$137,0))*IF(AND($E30="Truck",$F30="Electric"),$B$26,1)*$D$30*$C$30</f>
        <v>5.7952655599999993E-2</v>
      </c>
      <c r="C179" s="154">
        <f>SUM(Z106:Z109)</f>
        <v>1.1520743067081448E-2</v>
      </c>
      <c r="D179" s="154" cm="1">
        <f t="array" ref="D179">INDEX(LCI!Z$2:Z$137,MATCH('D- Benefits &amp; Burdens'!$B139&amp;'D- Benefits &amp; Burdens'!$D139,LCI!$B$2:$B$137&amp;LCI!$D$2:$D$137,0))*$C$139</f>
        <v>-0.14196115079999999</v>
      </c>
      <c r="E179" s="154" cm="1">
        <f t="array" ref="E179">INDEX(LCI!Z$2:Z$137,MATCH('D- Benefits &amp; Burdens'!$B140&amp;'D- Benefits &amp; Burdens'!$D140,LCI!$B$2:$B$137&amp;LCI!$D$2:$D$137,0))*$C$140</f>
        <v>-2.0193799005542212</v>
      </c>
      <c r="F179" s="154">
        <f>INDEX(LCI!Z$2:Z$137,MATCH('D- Benefits &amp; Burdens'!$B$141,LCI!$D$2:$D$137,0))*$C$141</f>
        <v>-1.0323723999226222</v>
      </c>
      <c r="G179" s="154">
        <f>INDEX(LCI!Z$2:Z$137,MATCH('D- Benefits &amp; Burdens'!$B$142,LCI!$D$2:$D$137,0))*$C$142</f>
        <v>-1.23451694155461</v>
      </c>
      <c r="H179" s="154" cm="1">
        <f t="array" ref="H179">INDEX(LCI!Z$2:Z$137,MATCH('D- Benefits &amp; Burdens'!$E150&amp;'D- Benefits &amp; Burdens'!$F150,LCI!$B$2:$B$137&amp;LCI!$D$2:$D$137,0))*$C150*$D150</f>
        <v>-1.9339960226831998E-3</v>
      </c>
      <c r="I179" s="154" cm="1">
        <f t="array" ref="I179">INDEX(LCI!Z$2:Z$137,MATCH('D- Benefits &amp; Burdens'!$E151&amp;'D- Benefits &amp; Burdens'!$F151,LCI!$B$2:$B$137&amp;LCI!$D$2:$D$137,0))*$C151*$D151</f>
        <v>-3.5456593749191995E-3</v>
      </c>
      <c r="J179" s="154" cm="1">
        <f t="array" ref="J179">INDEX(LCI!Z$2:Z$137,MATCH('D- Benefits &amp; Burdens'!$E152&amp;'D- Benefits &amp; Burdens'!$F152,LCI!$B$2:$B$137&amp;LCI!$D$2:$D$137,0))*$C152*$D152</f>
        <v>-0.16121451568631809</v>
      </c>
      <c r="K179" s="154" cm="1">
        <f t="array" ref="K179">INDEX(LCI!Z$2:Z$137,MATCH('D- Benefits &amp; Burdens'!$E153&amp;'D- Benefits &amp; Burdens'!$F153,LCI!$B$2:$B$137&amp;LCI!$D$2:$D$137,0))*$C153*$D153</f>
        <v>-8.6333834183198011E-2</v>
      </c>
      <c r="L179" s="154">
        <f t="shared" si="4"/>
        <v>6.9473398667081437E-2</v>
      </c>
      <c r="M179" s="154">
        <f t="shared" si="5"/>
        <v>-4.6812583980985716</v>
      </c>
      <c r="N179" s="154">
        <f t="shared" si="6"/>
        <v>-4.6117849994314906</v>
      </c>
    </row>
    <row r="180" spans="1:14" ht="13.9" customHeight="1" x14ac:dyDescent="0.25"/>
    <row r="181" spans="1:14" ht="13.9" customHeight="1" x14ac:dyDescent="0.25"/>
    <row r="182" spans="1:14" ht="13.9" customHeight="1" x14ac:dyDescent="0.25"/>
    <row r="183" spans="1:14" ht="24" x14ac:dyDescent="0.4">
      <c r="A183" s="100" t="s">
        <v>847</v>
      </c>
    </row>
    <row r="184" spans="1:14" ht="13.9" customHeight="1" x14ac:dyDescent="0.25"/>
    <row r="185" spans="1:14" ht="13.9" customHeight="1" x14ac:dyDescent="0.25">
      <c r="A185" s="411" t="s">
        <v>164</v>
      </c>
      <c r="B185" s="408" t="s">
        <v>252</v>
      </c>
      <c r="C185" s="410"/>
      <c r="D185" s="408" t="s">
        <v>254</v>
      </c>
      <c r="E185" s="409"/>
      <c r="F185" s="409"/>
      <c r="G185" s="409"/>
      <c r="H185" s="409"/>
      <c r="I185" s="409"/>
      <c r="J185" s="409"/>
      <c r="K185" s="410"/>
      <c r="L185" s="372" t="s">
        <v>253</v>
      </c>
      <c r="M185" s="376" t="s">
        <v>837</v>
      </c>
      <c r="N185" s="372" t="s">
        <v>256</v>
      </c>
    </row>
    <row r="186" spans="1:14" ht="13.9" customHeight="1" x14ac:dyDescent="0.25">
      <c r="A186" s="412"/>
      <c r="B186" s="104" t="s">
        <v>838</v>
      </c>
      <c r="C186" s="102" t="s">
        <v>839</v>
      </c>
      <c r="D186" s="103" t="s">
        <v>840</v>
      </c>
      <c r="E186" s="103" t="s">
        <v>267</v>
      </c>
      <c r="F186" s="103" t="s">
        <v>841</v>
      </c>
      <c r="G186" s="103" t="s">
        <v>842</v>
      </c>
      <c r="H186" s="103" t="s">
        <v>843</v>
      </c>
      <c r="I186" s="103" t="s">
        <v>844</v>
      </c>
      <c r="J186" s="103" t="s">
        <v>845</v>
      </c>
      <c r="K186" s="103" t="s">
        <v>846</v>
      </c>
      <c r="L186" s="372"/>
      <c r="M186" s="376"/>
      <c r="N186" s="372"/>
    </row>
    <row r="187" spans="1:14" ht="13.9" customHeight="1" x14ac:dyDescent="0.25">
      <c r="A187" s="53" t="s">
        <v>303</v>
      </c>
      <c r="B187" s="154">
        <f>B161*Input!$C$31</f>
        <v>1.0030649472E-3</v>
      </c>
      <c r="C187" s="154">
        <f>C161*Input!$C$31</f>
        <v>1.5731083992082871E-4</v>
      </c>
      <c r="D187" s="154">
        <f>D161*Input!$C$31</f>
        <v>-6.5022538751999997E-3</v>
      </c>
      <c r="E187" s="154">
        <f>E161*Input!$C$31</f>
        <v>-1.0791996125882209E-2</v>
      </c>
      <c r="F187" s="154">
        <f>F161*Input!$C$31</f>
        <v>-2.6803933551482963E-3</v>
      </c>
      <c r="G187" s="154">
        <f>G161*Input!$C$31</f>
        <v>-1.6334173687674266E-3</v>
      </c>
      <c r="H187" s="154">
        <f>H161*Input!$C$31</f>
        <v>-3.3474283417958398E-5</v>
      </c>
      <c r="I187" s="154">
        <f>I161*Input!$C$31</f>
        <v>-6.1369519599590393E-5</v>
      </c>
      <c r="J187" s="154">
        <f>J161*Input!$C$31</f>
        <v>-2.7903575425587612E-3</v>
      </c>
      <c r="K187" s="154">
        <f>K161*Input!$C$31</f>
        <v>-1.4942963688197761E-3</v>
      </c>
      <c r="L187" s="154">
        <f>SUM(B187:C187)</f>
        <v>1.1603757871208288E-3</v>
      </c>
      <c r="M187" s="154">
        <f>SUM(D187:K187)</f>
        <v>-2.5987558439394019E-2</v>
      </c>
      <c r="N187" s="154">
        <f>SUM(L187:M187)</f>
        <v>-2.482718265227319E-2</v>
      </c>
    </row>
    <row r="188" spans="1:14" ht="13.9" customHeight="1" x14ac:dyDescent="0.25">
      <c r="A188" s="53" t="s">
        <v>304</v>
      </c>
      <c r="B188" s="154">
        <f>B162*Input!$C$31</f>
        <v>0.36665552605439999</v>
      </c>
      <c r="C188" s="154">
        <f>C162*Input!$C$31</f>
        <v>0.12304451714773054</v>
      </c>
      <c r="D188" s="154">
        <f>D162*Input!$C$31</f>
        <v>-2.0036014847999999</v>
      </c>
      <c r="E188" s="154">
        <f>E162*Input!$C$31</f>
        <v>-3.7611969637325124</v>
      </c>
      <c r="F188" s="154">
        <f>F162*Input!$C$31</f>
        <v>-0.13929120325263783</v>
      </c>
      <c r="G188" s="154">
        <f>G162*Input!$C$31</f>
        <v>-0.18527164565349227</v>
      </c>
      <c r="H188" s="154">
        <f>H162*Input!$C$31</f>
        <v>-1.2236028215487435E-2</v>
      </c>
      <c r="I188" s="154">
        <f>I162*Input!$C$31</f>
        <v>-2.2432718395060301E-2</v>
      </c>
      <c r="J188" s="154">
        <f>J162*Input!$C$31</f>
        <v>-1.0199738466613475</v>
      </c>
      <c r="K188" s="154">
        <f>K162*Input!$C$31</f>
        <v>-0.54621789219153249</v>
      </c>
      <c r="L188" s="154">
        <f t="shared" ref="L188:L205" si="7">SUM(B188:C188)</f>
        <v>0.48970004320213056</v>
      </c>
      <c r="M188" s="154">
        <f t="shared" ref="M188:M205" si="8">SUM(D188:K188)</f>
        <v>-7.6902217829020705</v>
      </c>
      <c r="N188" s="154">
        <f t="shared" ref="N188:N205" si="9">SUM(L188:M188)</f>
        <v>-7.2005217396999397</v>
      </c>
    </row>
    <row r="189" spans="1:14" ht="13.9" customHeight="1" x14ac:dyDescent="0.25">
      <c r="A189" s="53" t="s">
        <v>305</v>
      </c>
      <c r="B189" s="154">
        <f>B163*Input!$C$31</f>
        <v>1.6946416127999999E-4</v>
      </c>
      <c r="C189" s="154">
        <f>C163*Input!$C$31</f>
        <v>2.5430180690888764E-5</v>
      </c>
      <c r="D189" s="154">
        <f>D163*Input!$C$31</f>
        <v>-7.9387983360000008E-3</v>
      </c>
      <c r="E189" s="154">
        <f>E163*Input!$C$31</f>
        <v>-5.7056300500808947E-2</v>
      </c>
      <c r="F189" s="154">
        <f>F163*Input!$C$31</f>
        <v>-4.2934493087071961E-4</v>
      </c>
      <c r="G189" s="154">
        <f>G163*Input!$C$31</f>
        <v>4.4573035224632274E-5</v>
      </c>
      <c r="H189" s="154">
        <f>H163*Input!$C$31</f>
        <v>-5.6553579902361591E-6</v>
      </c>
      <c r="I189" s="154">
        <f>I163*Input!$C$31</f>
        <v>-1.036815631543296E-5</v>
      </c>
      <c r="J189" s="154">
        <f>J163*Input!$C$31</f>
        <v>-4.7142072100218472E-4</v>
      </c>
      <c r="K189" s="154">
        <f>K163*Input!$C$31</f>
        <v>-2.5245591679050241E-4</v>
      </c>
      <c r="L189" s="154">
        <f t="shared" si="7"/>
        <v>1.9489434197088876E-4</v>
      </c>
      <c r="M189" s="154">
        <f t="shared" si="8"/>
        <v>-6.6119770884553397E-2</v>
      </c>
      <c r="N189" s="154">
        <f t="shared" si="9"/>
        <v>-6.5924876542582514E-2</v>
      </c>
    </row>
    <row r="190" spans="1:14" ht="13.9" customHeight="1" x14ac:dyDescent="0.25">
      <c r="A190" s="53" t="s">
        <v>306</v>
      </c>
      <c r="B190" s="154">
        <f>B164*Input!$C$31</f>
        <v>0.36645723168</v>
      </c>
      <c r="C190" s="154">
        <f>C164*Input!$C$31</f>
        <v>0.12301364561703598</v>
      </c>
      <c r="D190" s="154">
        <f>D164*Input!$C$31</f>
        <v>-1.99604072448</v>
      </c>
      <c r="E190" s="154">
        <f>E164*Input!$C$31</f>
        <v>-3.7024924232667584</v>
      </c>
      <c r="F190" s="154">
        <f>F164*Input!$C$31</f>
        <v>-0.13881606932773158</v>
      </c>
      <c r="G190" s="154">
        <f>G164*Input!$C$31</f>
        <v>-0.18529072277262759</v>
      </c>
      <c r="H190" s="154">
        <f>H164*Input!$C$31</f>
        <v>-1.222941073562496E-2</v>
      </c>
      <c r="I190" s="154">
        <f>I164*Input!$C$31</f>
        <v>-2.2420586348645757E-2</v>
      </c>
      <c r="J190" s="154">
        <f>J164*Input!$C$31</f>
        <v>-1.0194222251489036</v>
      </c>
      <c r="K190" s="154">
        <f>K164*Input!$C$31</f>
        <v>-0.54592248702913448</v>
      </c>
      <c r="L190" s="154">
        <f t="shared" si="7"/>
        <v>0.48947087729703598</v>
      </c>
      <c r="M190" s="154">
        <f t="shared" si="8"/>
        <v>-7.6226346491094255</v>
      </c>
      <c r="N190" s="154">
        <f t="shared" si="9"/>
        <v>-7.1331637718123897</v>
      </c>
    </row>
    <row r="191" spans="1:14" ht="13.9" customHeight="1" x14ac:dyDescent="0.25">
      <c r="A191" s="53" t="s">
        <v>307</v>
      </c>
      <c r="B191" s="154">
        <f>B165*Input!$C$31</f>
        <v>2.8829533440000002E-5</v>
      </c>
      <c r="C191" s="154">
        <f>C165*Input!$C$31</f>
        <v>5.4413500036838242E-6</v>
      </c>
      <c r="D191" s="154">
        <f>D165*Input!$C$31</f>
        <v>-1.0018007424000002E-3</v>
      </c>
      <c r="E191" s="154">
        <f>E165*Input!$C$31</f>
        <v>-1.6482399649454327E-3</v>
      </c>
      <c r="F191" s="154">
        <f>F165*Input!$C$31</f>
        <v>-4.5788994035532173E-5</v>
      </c>
      <c r="G191" s="154">
        <f>G165*Input!$C$31</f>
        <v>-2.549591608937284E-5</v>
      </c>
      <c r="H191" s="154">
        <f>H165*Input!$C$31</f>
        <v>-9.6209918995968006E-7</v>
      </c>
      <c r="I191" s="154">
        <f>I165*Input!$C$31</f>
        <v>-1.7638485149260799E-6</v>
      </c>
      <c r="J191" s="154">
        <f>J165*Input!$C$31</f>
        <v>-8.0198900686651408E-5</v>
      </c>
      <c r="K191" s="154">
        <f>K165*Input!$C$31</f>
        <v>-4.2948233067475207E-5</v>
      </c>
      <c r="L191" s="154">
        <f t="shared" si="7"/>
        <v>3.4270883443683824E-5</v>
      </c>
      <c r="M191" s="154">
        <f t="shared" si="8"/>
        <v>-2.8471986989293497E-3</v>
      </c>
      <c r="N191" s="154">
        <f t="shared" si="9"/>
        <v>-2.8129278154856658E-3</v>
      </c>
    </row>
    <row r="192" spans="1:14" ht="13.9" customHeight="1" x14ac:dyDescent="0.25">
      <c r="A192" s="53" t="s">
        <v>308</v>
      </c>
      <c r="B192" s="154">
        <f>B166*Input!$C$31</f>
        <v>0.31160343751680003</v>
      </c>
      <c r="C192" s="154">
        <f>C166*Input!$C$31</f>
        <v>5.4364836017358677E-2</v>
      </c>
      <c r="D192" s="154">
        <f>D166*Input!$C$31</f>
        <v>-107.74083456</v>
      </c>
      <c r="E192" s="154">
        <f>E166*Input!$C$31</f>
        <v>-10.243253558845387</v>
      </c>
      <c r="F192" s="154">
        <f>F166*Input!$C$31</f>
        <v>-1.3763579004055961</v>
      </c>
      <c r="G192" s="154">
        <f>G166*Input!$C$31</f>
        <v>-0.15822939978403971</v>
      </c>
      <c r="H192" s="154">
        <f>H166*Input!$C$31</f>
        <v>-1.039882991681065E-2</v>
      </c>
      <c r="I192" s="154">
        <f>I166*Input!$C$31</f>
        <v>-1.9064521514152857E-2</v>
      </c>
      <c r="J192" s="154">
        <f>J166*Input!$C$31</f>
        <v>-0.86682821943819255</v>
      </c>
      <c r="K192" s="154">
        <f>K166*Input!$C$31</f>
        <v>-0.46420512100725736</v>
      </c>
      <c r="L192" s="154">
        <f t="shared" si="7"/>
        <v>0.36596827353415873</v>
      </c>
      <c r="M192" s="154">
        <f t="shared" si="8"/>
        <v>-120.87917211091141</v>
      </c>
      <c r="N192" s="154">
        <f t="shared" si="9"/>
        <v>-120.51320383737725</v>
      </c>
    </row>
    <row r="193" spans="1:14" ht="13.9" customHeight="1" x14ac:dyDescent="0.25">
      <c r="A193" s="53" t="s">
        <v>309</v>
      </c>
      <c r="B193" s="154">
        <f>B167*Input!$C$31</f>
        <v>4.9298087804159998</v>
      </c>
      <c r="C193" s="154">
        <f>C167*Input!$C$31</f>
        <v>1.6343601017622842</v>
      </c>
      <c r="D193" s="154">
        <f>D167*Input!$C$31</f>
        <v>-173.14141132799998</v>
      </c>
      <c r="E193" s="154">
        <f>E167*Input!$C$31</f>
        <v>-19.847221949430391</v>
      </c>
      <c r="F193" s="154">
        <f>F167*Input!$C$31</f>
        <v>-1.973720804090018</v>
      </c>
      <c r="G193" s="154">
        <f>G167*Input!$C$31</f>
        <v>-2.408209219891102</v>
      </c>
      <c r="H193" s="154">
        <f>H167*Input!$C$31</f>
        <v>-0.16451757862004274</v>
      </c>
      <c r="I193" s="154">
        <f>I167*Input!$C$31</f>
        <v>-0.30161556080341173</v>
      </c>
      <c r="J193" s="154">
        <f>J167*Input!$C$31</f>
        <v>-13.713896744378422</v>
      </c>
      <c r="K193" s="154">
        <f>K167*Input!$C$31</f>
        <v>-7.3440861233511541</v>
      </c>
      <c r="L193" s="154">
        <f t="shared" si="7"/>
        <v>6.5641688821782838</v>
      </c>
      <c r="M193" s="154">
        <f t="shared" si="8"/>
        <v>-218.89467930856452</v>
      </c>
      <c r="N193" s="154">
        <f t="shared" si="9"/>
        <v>-212.33051042638624</v>
      </c>
    </row>
    <row r="194" spans="1:14" ht="13.9" customHeight="1" x14ac:dyDescent="0.25">
      <c r="A194" s="53" t="s">
        <v>310</v>
      </c>
      <c r="B194" s="154">
        <f>B168*Input!$C$31</f>
        <v>8.4348288000000004E-6</v>
      </c>
      <c r="C194" s="154">
        <f>C168*Input!$C$31</f>
        <v>1.300746850751822E-6</v>
      </c>
      <c r="D194" s="154">
        <f>D168*Input!$C$31</f>
        <v>-1.6822691711999998E-6</v>
      </c>
      <c r="E194" s="154">
        <f>E168*Input!$C$31</f>
        <v>-5.3053513711579436E-4</v>
      </c>
      <c r="F194" s="154">
        <f>F168*Input!$C$31</f>
        <v>-1.0292243412920773E-5</v>
      </c>
      <c r="G194" s="154">
        <f>G168*Input!$C$31</f>
        <v>-8.3563363535497379E-6</v>
      </c>
      <c r="H194" s="154">
        <f>H168*Input!$C$31</f>
        <v>-2.814871067136E-7</v>
      </c>
      <c r="I194" s="154">
        <f>I168*Input!$C$31</f>
        <v>-5.1605969564160007E-7</v>
      </c>
      <c r="J194" s="154">
        <f>J168*Input!$C$31</f>
        <v>-2.3464271409315843E-5</v>
      </c>
      <c r="K194" s="154">
        <f>K168*Input!$C$31</f>
        <v>-1.2565621082304002E-5</v>
      </c>
      <c r="L194" s="154">
        <f t="shared" si="7"/>
        <v>9.7355756507518222E-6</v>
      </c>
      <c r="M194" s="154">
        <f t="shared" si="8"/>
        <v>-5.8769342534744002E-4</v>
      </c>
      <c r="N194" s="154">
        <f t="shared" si="9"/>
        <v>-5.7795784969668816E-4</v>
      </c>
    </row>
    <row r="195" spans="1:14" ht="13.9" customHeight="1" x14ac:dyDescent="0.25">
      <c r="A195" s="53" t="s">
        <v>311</v>
      </c>
      <c r="B195" s="154">
        <f>B169*Input!$C$31</f>
        <v>3.5989962239999992E-4</v>
      </c>
      <c r="C195" s="154">
        <f>C169*Input!$C$31</f>
        <v>3.5573106140189357E-5</v>
      </c>
      <c r="D195" s="154">
        <f>D169*Input!$C$31</f>
        <v>-1.6784887910399999E-3</v>
      </c>
      <c r="E195" s="154">
        <f>E169*Input!$C$31</f>
        <v>-2.5528009623098473E-3</v>
      </c>
      <c r="F195" s="154">
        <f>F169*Input!$C$31</f>
        <v>-9.6281370468370979E-4</v>
      </c>
      <c r="G195" s="154">
        <f>G169*Input!$C$31</f>
        <v>-7.4960628914386206E-4</v>
      </c>
      <c r="H195" s="154">
        <f>H169*Input!$C$31</f>
        <v>-1.2010570198732799E-5</v>
      </c>
      <c r="I195" s="154">
        <f>I169*Input!$C$31</f>
        <v>-2.2019378697676801E-5</v>
      </c>
      <c r="J195" s="154">
        <f>J169*Input!$C$31</f>
        <v>-1.0011800619004725E-3</v>
      </c>
      <c r="K195" s="154">
        <f>K169*Input!$C$31</f>
        <v>-5.3615341697779207E-4</v>
      </c>
      <c r="L195" s="154">
        <f t="shared" si="7"/>
        <v>3.9547272854018929E-4</v>
      </c>
      <c r="M195" s="154">
        <f t="shared" si="8"/>
        <v>-7.5150731749520925E-3</v>
      </c>
      <c r="N195" s="154">
        <f t="shared" si="9"/>
        <v>-7.1196004464119033E-3</v>
      </c>
    </row>
    <row r="196" spans="1:14" ht="13.9" customHeight="1" x14ac:dyDescent="0.25">
      <c r="A196" s="53" t="s">
        <v>312</v>
      </c>
      <c r="B196" s="154">
        <f>B170*Input!$C$31</f>
        <v>3.9259562880000001E-3</v>
      </c>
      <c r="C196" s="154">
        <f>C170*Input!$C$31</f>
        <v>3.8672349845591397E-4</v>
      </c>
      <c r="D196" s="154">
        <f>D170*Input!$C$31</f>
        <v>-1.8372647577600001E-2</v>
      </c>
      <c r="E196" s="154">
        <f>E170*Input!$C$31</f>
        <v>-2.8402043161518321E-2</v>
      </c>
      <c r="F196" s="154">
        <f>F170*Input!$C$31</f>
        <v>-1.3429136907823661E-2</v>
      </c>
      <c r="G196" s="154">
        <f>G170*Input!$C$31</f>
        <v>-8.232913790123168E-3</v>
      </c>
      <c r="H196" s="154">
        <f>H170*Input!$C$31</f>
        <v>-1.3101701324313598E-4</v>
      </c>
      <c r="I196" s="154">
        <f>I170*Input!$C$31</f>
        <v>-2.4019785761241594E-4</v>
      </c>
      <c r="J196" s="154">
        <f>J170*Input!$C$31</f>
        <v>-1.0921348383827559E-2</v>
      </c>
      <c r="K196" s="154">
        <f>K170*Input!$C$31</f>
        <v>-5.8486165244630399E-3</v>
      </c>
      <c r="L196" s="154">
        <f t="shared" si="7"/>
        <v>4.3126797864559141E-3</v>
      </c>
      <c r="M196" s="154">
        <f t="shared" si="8"/>
        <v>-8.5577921216211314E-2</v>
      </c>
      <c r="N196" s="154">
        <f t="shared" si="9"/>
        <v>-8.12652414297554E-2</v>
      </c>
    </row>
    <row r="197" spans="1:14" ht="13.9" customHeight="1" x14ac:dyDescent="0.25">
      <c r="A197" s="53" t="s">
        <v>313</v>
      </c>
      <c r="B197" s="154">
        <f>B171*Input!$C$31</f>
        <v>3.4271957759999996E-11</v>
      </c>
      <c r="C197" s="154">
        <f>C171*Input!$C$31</f>
        <v>7.5193163527084202E-12</v>
      </c>
      <c r="D197" s="154">
        <f>D171*Input!$C$31</f>
        <v>-1.87506855936E-9</v>
      </c>
      <c r="E197" s="154">
        <f>E171*Input!$C$31</f>
        <v>-4.5615866348428723E-10</v>
      </c>
      <c r="F197" s="154">
        <f>F171*Input!$C$31</f>
        <v>-2.5102498451242305E-11</v>
      </c>
      <c r="G197" s="154">
        <f>G171*Input!$C$31</f>
        <v>-2.1795148574881901E-11</v>
      </c>
      <c r="H197" s="154">
        <f>H171*Input!$C$31</f>
        <v>-1.1437237743667198E-12</v>
      </c>
      <c r="I197" s="154">
        <f>I171*Input!$C$31</f>
        <v>-2.0968269196723198E-12</v>
      </c>
      <c r="J197" s="154">
        <f>J171*Input!$C$31</f>
        <v>-9.5338807423008772E-11</v>
      </c>
      <c r="K197" s="154">
        <f>K171*Input!$C$31</f>
        <v>-5.1055978155820801E-11</v>
      </c>
      <c r="L197" s="154">
        <f t="shared" si="7"/>
        <v>4.1791274112708416E-11</v>
      </c>
      <c r="M197" s="154">
        <f t="shared" si="8"/>
        <v>-2.5277602061432802E-9</v>
      </c>
      <c r="N197" s="154">
        <f t="shared" si="9"/>
        <v>-2.4859689320305719E-9</v>
      </c>
    </row>
    <row r="198" spans="1:14" ht="13.9" customHeight="1" x14ac:dyDescent="0.25">
      <c r="A198" s="53" t="s">
        <v>314</v>
      </c>
      <c r="B198" s="154">
        <f>B172*Input!$C$31</f>
        <v>2.6277561600000003E-9</v>
      </c>
      <c r="C198" s="154">
        <f>C172*Input!$C$31</f>
        <v>2.0042046810438699E-10</v>
      </c>
      <c r="D198" s="154">
        <f>D172*Input!$C$31</f>
        <v>-5.4059436287999998E-8</v>
      </c>
      <c r="E198" s="154">
        <f>E172*Input!$C$31</f>
        <v>-2.4661610814505791E-8</v>
      </c>
      <c r="F198" s="154">
        <f>F172*Input!$C$31</f>
        <v>-6.6636725039234789E-10</v>
      </c>
      <c r="G198" s="154">
        <f>G172*Input!$C$31</f>
        <v>-3.5130914135679023E-10</v>
      </c>
      <c r="H198" s="154">
        <f>H172*Input!$C$31</f>
        <v>-8.7693478571519998E-11</v>
      </c>
      <c r="I198" s="154">
        <f>I172*Input!$C$31</f>
        <v>-1.6077137738112002E-10</v>
      </c>
      <c r="J198" s="154">
        <f>J172*Input!$C$31</f>
        <v>-7.30997453507789E-9</v>
      </c>
      <c r="K198" s="154">
        <f>K172*Input!$C$31</f>
        <v>-3.9146482976928007E-9</v>
      </c>
      <c r="L198" s="154">
        <f t="shared" si="7"/>
        <v>2.8281766281043871E-9</v>
      </c>
      <c r="M198" s="154">
        <f t="shared" si="8"/>
        <v>-9.121181118297824E-8</v>
      </c>
      <c r="N198" s="154">
        <f t="shared" si="9"/>
        <v>-8.8383634554873855E-8</v>
      </c>
    </row>
    <row r="199" spans="1:14" ht="13.9" customHeight="1" x14ac:dyDescent="0.25">
      <c r="A199" s="53" t="s">
        <v>315</v>
      </c>
      <c r="B199" s="154">
        <f>B173*Input!$C$31</f>
        <v>2.2194451967999995E-3</v>
      </c>
      <c r="C199" s="154">
        <f>C173*Input!$C$31</f>
        <v>4.9073016899770264E-4</v>
      </c>
      <c r="D199" s="154">
        <f>D173*Input!$C$31</f>
        <v>-2.8541870207999996E-2</v>
      </c>
      <c r="E199" s="154">
        <f>E173*Input!$C$31</f>
        <v>-0.16220588115546983</v>
      </c>
      <c r="F199" s="154">
        <f>F173*Input!$C$31</f>
        <v>-5.2657183732641236E-3</v>
      </c>
      <c r="G199" s="154">
        <f>G173*Input!$C$31</f>
        <v>-1.5829995906384345E-3</v>
      </c>
      <c r="H199" s="154">
        <f>H173*Input!$C$31</f>
        <v>-7.4067325107609596E-5</v>
      </c>
      <c r="I199" s="154">
        <f>I173*Input!$C$31</f>
        <v>-1.3579009603061759E-4</v>
      </c>
      <c r="J199" s="154">
        <f>J173*Input!$C$31</f>
        <v>-6.1741222863726181E-3</v>
      </c>
      <c r="K199" s="154">
        <f>K173*Input!$C$31</f>
        <v>-3.3063750334717443E-3</v>
      </c>
      <c r="L199" s="154">
        <f t="shared" si="7"/>
        <v>2.710175365797702E-3</v>
      </c>
      <c r="M199" s="154">
        <f t="shared" si="8"/>
        <v>-0.207286824068355</v>
      </c>
      <c r="N199" s="154">
        <f t="shared" si="9"/>
        <v>-0.20457664870255729</v>
      </c>
    </row>
    <row r="200" spans="1:14" ht="13.9" customHeight="1" x14ac:dyDescent="0.25">
      <c r="A200" s="53" t="s">
        <v>316</v>
      </c>
      <c r="B200" s="154">
        <f>B174*Input!$C$31</f>
        <v>0.30934919270400002</v>
      </c>
      <c r="C200" s="154">
        <f>C174*Input!$C$31</f>
        <v>8.4029690736612192E-2</v>
      </c>
      <c r="D200" s="154">
        <f>D174*Input!$C$31</f>
        <v>-0.99423998207999997</v>
      </c>
      <c r="E200" s="154">
        <f>E174*Input!$C$31</f>
        <v>-6.3554567621236</v>
      </c>
      <c r="F200" s="154">
        <f>F174*Input!$C$31</f>
        <v>-1.6233526912380412</v>
      </c>
      <c r="G200" s="154">
        <f>G174*Input!$C$31</f>
        <v>-86.889615900249112</v>
      </c>
      <c r="H200" s="154">
        <f>H174*Input!$C$31</f>
        <v>-1.0323601258917889E-2</v>
      </c>
      <c r="I200" s="154">
        <f>I174*Input!$C$31</f>
        <v>-1.8926602308016127E-2</v>
      </c>
      <c r="J200" s="154">
        <f>J174*Input!$C$31</f>
        <v>-0.86055729048814888</v>
      </c>
      <c r="K200" s="154">
        <f>K174*Input!$C$31</f>
        <v>-0.46084690392709637</v>
      </c>
      <c r="L200" s="154">
        <f t="shared" si="7"/>
        <v>0.39337888344061223</v>
      </c>
      <c r="M200" s="154">
        <f t="shared" si="8"/>
        <v>-97.213319733672918</v>
      </c>
      <c r="N200" s="154">
        <f t="shared" si="9"/>
        <v>-96.8199408502323</v>
      </c>
    </row>
    <row r="201" spans="1:14" ht="13.9" customHeight="1" x14ac:dyDescent="0.25">
      <c r="A201" s="53" t="s">
        <v>317</v>
      </c>
      <c r="B201" s="154">
        <f>B175*Input!$C$31</f>
        <v>3.9743381759999998E-7</v>
      </c>
      <c r="C201" s="154">
        <f>C175*Input!$C$31</f>
        <v>1.9186565618662451E-8</v>
      </c>
      <c r="D201" s="154">
        <f>D175*Input!$C$31</f>
        <v>-3.8559877631999996E-7</v>
      </c>
      <c r="E201" s="154">
        <f>E175*Input!$C$31</f>
        <v>-1.2639389427230587E-5</v>
      </c>
      <c r="F201" s="154">
        <f>F175*Input!$C$31</f>
        <v>-4.0372179916449357E-7</v>
      </c>
      <c r="G201" s="154">
        <f>G175*Input!$C$31</f>
        <v>-1.188563100577952E-7</v>
      </c>
      <c r="H201" s="154">
        <f>H175*Input!$C$31</f>
        <v>-1.32631613609472E-8</v>
      </c>
      <c r="I201" s="154">
        <f>I175*Input!$C$31</f>
        <v>-2.4315795828403197E-8</v>
      </c>
      <c r="J201" s="154">
        <f>J175*Input!$C$31</f>
        <v>-1.1055938637909197E-6</v>
      </c>
      <c r="K201" s="154">
        <f>K175*Input!$C$31</f>
        <v>-5.9206924949740798E-7</v>
      </c>
      <c r="L201" s="154">
        <f t="shared" si="7"/>
        <v>4.1662038321866245E-7</v>
      </c>
      <c r="M201" s="154">
        <f t="shared" si="8"/>
        <v>-1.5282808383250554E-5</v>
      </c>
      <c r="N201" s="154">
        <f t="shared" si="9"/>
        <v>-1.4866188000031891E-5</v>
      </c>
    </row>
    <row r="202" spans="1:14" ht="13.9" customHeight="1" x14ac:dyDescent="0.25">
      <c r="A202" s="53" t="s">
        <v>318</v>
      </c>
      <c r="B202" s="154">
        <f>B176*Input!$C$31</f>
        <v>8.155842815999999E-9</v>
      </c>
      <c r="C202" s="154">
        <f>C176*Input!$C$31</f>
        <v>2.7727611390063009E-9</v>
      </c>
      <c r="D202" s="154">
        <f>D176*Input!$C$31</f>
        <v>-1.25508621312E-12</v>
      </c>
      <c r="E202" s="154">
        <f>E176*Input!$C$31</f>
        <v>-1.7924591658125484E-8</v>
      </c>
      <c r="F202" s="154">
        <f>F176*Input!$C$31</f>
        <v>-2.2960053443796522E-9</v>
      </c>
      <c r="G202" s="154">
        <f>G176*Input!$C$31</f>
        <v>-2.7031231225260854E-9</v>
      </c>
      <c r="H202" s="154">
        <f>H176*Input!$C$31</f>
        <v>-2.7217678645555197E-10</v>
      </c>
      <c r="I202" s="154">
        <f>I176*Input!$C$31</f>
        <v>-4.9899077516851198E-10</v>
      </c>
      <c r="J202" s="154">
        <f>J176*Input!$C$31</f>
        <v>-2.2688179445484751E-8</v>
      </c>
      <c r="K202" s="154">
        <f>K176*Input!$C$31</f>
        <v>-1.2150007174145281E-8</v>
      </c>
      <c r="L202" s="154">
        <f t="shared" si="7"/>
        <v>1.0928603955006299E-8</v>
      </c>
      <c r="M202" s="154">
        <f t="shared" si="8"/>
        <v>-5.853432939249844E-8</v>
      </c>
      <c r="N202" s="154">
        <f t="shared" si="9"/>
        <v>-4.7605725437492138E-8</v>
      </c>
    </row>
    <row r="203" spans="1:14" ht="13.9" customHeight="1" x14ac:dyDescent="0.25">
      <c r="A203" s="53" t="s">
        <v>319</v>
      </c>
      <c r="B203" s="154">
        <f>B177*Input!$C$31</f>
        <v>2.4792460800000003E-8</v>
      </c>
      <c r="C203" s="154">
        <f>C177*Input!$C$31</f>
        <v>1.2118974375132088E-9</v>
      </c>
      <c r="D203" s="154">
        <f>D177*Input!$C$31</f>
        <v>-1.01314188288E-7</v>
      </c>
      <c r="E203" s="154">
        <f>E177*Input!$C$31</f>
        <v>-8.5714721241824866E-8</v>
      </c>
      <c r="F203" s="154">
        <f>F177*Input!$C$31</f>
        <v>-4.3410539167366331E-8</v>
      </c>
      <c r="G203" s="154">
        <f>G177*Input!$C$31</f>
        <v>-4.6134398148880204E-8</v>
      </c>
      <c r="H203" s="154">
        <f>H177*Input!$C$31</f>
        <v>-8.2737400181760009E-10</v>
      </c>
      <c r="I203" s="154">
        <f>I177*Input!$C$31</f>
        <v>-1.5168523366655999E-9</v>
      </c>
      <c r="J203" s="154">
        <f>J177*Input!$C$31</f>
        <v>-6.8968445348413449E-8</v>
      </c>
      <c r="K203" s="154">
        <f>K177*Input!$C$31</f>
        <v>-3.6934083132864008E-8</v>
      </c>
      <c r="L203" s="154">
        <f t="shared" si="7"/>
        <v>2.6004358237513211E-8</v>
      </c>
      <c r="M203" s="154">
        <f t="shared" si="8"/>
        <v>-3.848206016658321E-7</v>
      </c>
      <c r="N203" s="154">
        <f t="shared" si="9"/>
        <v>-3.588162434283189E-7</v>
      </c>
    </row>
    <row r="204" spans="1:14" ht="13.9" customHeight="1" x14ac:dyDescent="0.25">
      <c r="A204" s="53" t="s">
        <v>320</v>
      </c>
      <c r="B204" s="154">
        <f>B178*Input!$C$31</f>
        <v>1.5792478080000002E-3</v>
      </c>
      <c r="C204" s="154">
        <f>C178*Input!$C$31</f>
        <v>3.0307545391536903E-4</v>
      </c>
      <c r="D204" s="154">
        <f>D178*Input!$C$31</f>
        <v>-7.6741717248E-3</v>
      </c>
      <c r="E204" s="154">
        <f>E178*Input!$C$31</f>
        <v>-8.2743610742207138E-3</v>
      </c>
      <c r="F204" s="154">
        <f>F178*Input!$C$31</f>
        <v>-3.0328873802348976E-3</v>
      </c>
      <c r="G204" s="154">
        <f>G178*Input!$C$31</f>
        <v>-2.4562640019318142E-3</v>
      </c>
      <c r="H204" s="154">
        <f>H178*Input!$C$31</f>
        <v>-5.2702657848575999E-5</v>
      </c>
      <c r="I204" s="154">
        <f>I178*Input!$C$31</f>
        <v>-9.6621539389055998E-5</v>
      </c>
      <c r="J204" s="154">
        <f>J178*Input!$C$31</f>
        <v>-4.3932011032018952E-3</v>
      </c>
      <c r="K204" s="154">
        <f>K178*Input!$C$31</f>
        <v>-2.3526535061846403E-3</v>
      </c>
      <c r="L204" s="154">
        <f t="shared" si="7"/>
        <v>1.8823232619153691E-3</v>
      </c>
      <c r="M204" s="154">
        <f t="shared" si="8"/>
        <v>-2.833286298781159E-2</v>
      </c>
      <c r="N204" s="154">
        <f t="shared" si="9"/>
        <v>-2.645053972589622E-2</v>
      </c>
    </row>
    <row r="205" spans="1:14" ht="13.9" customHeight="1" x14ac:dyDescent="0.25">
      <c r="A205" s="53" t="s">
        <v>321</v>
      </c>
      <c r="B205" s="154">
        <f>B179*Input!$C$31</f>
        <v>1.1126909875199998E-2</v>
      </c>
      <c r="C205" s="154">
        <f>C179*Input!$C$31</f>
        <v>2.2119826688796382E-3</v>
      </c>
      <c r="D205" s="154">
        <f>D179*Input!$C$31</f>
        <v>-2.72565409536E-2</v>
      </c>
      <c r="E205" s="154">
        <f>E179*Input!$C$31</f>
        <v>-0.38772094090641046</v>
      </c>
      <c r="F205" s="154">
        <f>F179*Input!$C$31</f>
        <v>-0.19821550078514347</v>
      </c>
      <c r="G205" s="154">
        <f>G179*Input!$C$31</f>
        <v>-0.23702725277848513</v>
      </c>
      <c r="H205" s="154">
        <f>H179*Input!$C$31</f>
        <v>-3.7132723635517438E-4</v>
      </c>
      <c r="I205" s="154">
        <f>I179*Input!$C$31</f>
        <v>-6.8076659998448632E-4</v>
      </c>
      <c r="J205" s="154">
        <f>J179*Input!$C$31</f>
        <v>-3.0953187011773072E-2</v>
      </c>
      <c r="K205" s="154">
        <f>K179*Input!$C$31</f>
        <v>-1.6576096163174018E-2</v>
      </c>
      <c r="L205" s="154">
        <f t="shared" si="7"/>
        <v>1.3338892544079637E-2</v>
      </c>
      <c r="M205" s="154">
        <f t="shared" si="8"/>
        <v>-0.89880161243492585</v>
      </c>
      <c r="N205" s="154">
        <f t="shared" si="9"/>
        <v>-0.88546271989084624</v>
      </c>
    </row>
    <row r="206" spans="1:14" ht="13.9" customHeight="1" x14ac:dyDescent="0.25"/>
    <row r="207" spans="1:14" ht="13.9" customHeight="1" x14ac:dyDescent="0.25"/>
    <row r="208" spans="1:14" ht="13.9" customHeight="1" x14ac:dyDescent="0.25"/>
    <row r="209" spans="1:3" ht="13.9" customHeight="1" x14ac:dyDescent="0.25">
      <c r="B209" t="s">
        <v>570</v>
      </c>
    </row>
    <row r="210" spans="1:3" ht="13.9" customHeight="1" x14ac:dyDescent="0.25">
      <c r="B210" s="205" t="s">
        <v>848</v>
      </c>
      <c r="C210" s="205" t="s">
        <v>849</v>
      </c>
    </row>
    <row r="211" spans="1:3" ht="13.9" customHeight="1" x14ac:dyDescent="0.25">
      <c r="A211" s="95" t="s">
        <v>683</v>
      </c>
      <c r="B211" s="1">
        <f>SUM(G$30:Y$30)+SUM(H$110:Z$110)+SUM(E$143:W$143)+SUM(G$154:Y$154)</f>
        <v>-2319.2519462710579</v>
      </c>
      <c r="C211" s="1">
        <f>+SUM(B161:N179)*Input!C31</f>
        <v>-1335.8891210521297</v>
      </c>
    </row>
    <row r="212" spans="1:3" ht="13.9" customHeight="1" x14ac:dyDescent="0.25">
      <c r="A212" s="95" t="s">
        <v>684</v>
      </c>
      <c r="B212" s="1">
        <f>SUM($B$161:$K$179)</f>
        <v>-2319.2519462710607</v>
      </c>
      <c r="C212" s="1">
        <f>+SUM(B187:N205)</f>
        <v>-1335.8891210521308</v>
      </c>
    </row>
    <row r="213" spans="1:3" ht="13.9" customHeight="1" x14ac:dyDescent="0.25">
      <c r="A213" s="148" t="s">
        <v>62</v>
      </c>
      <c r="B213" s="204">
        <f>B211-B212</f>
        <v>0</v>
      </c>
      <c r="C213" s="204">
        <f>C211-C212</f>
        <v>0</v>
      </c>
    </row>
    <row r="214" spans="1:3" ht="13.9" customHeight="1" x14ac:dyDescent="0.2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zoomScale="84" zoomScaleNormal="84" workbookViewId="0"/>
  </sheetViews>
  <sheetFormatPr defaultColWidth="8.85546875" defaultRowHeight="15" x14ac:dyDescent="0.25"/>
  <cols>
    <col min="1" max="1" width="8.85546875" style="28"/>
    <col min="2" max="2" width="57.85546875" style="242" customWidth="1"/>
    <col min="3" max="3" width="9.140625" style="28" customWidth="1"/>
    <col min="4" max="4" width="42.140625" style="28" customWidth="1"/>
    <col min="5" max="5" width="93.42578125" style="28" customWidth="1"/>
    <col min="6" max="6" width="7.42578125" style="28" bestFit="1" customWidth="1"/>
    <col min="7" max="7" width="8.85546875" style="28"/>
    <col min="8" max="26" width="20" style="28" customWidth="1"/>
    <col min="27" max="16384" width="8.85546875" style="28"/>
  </cols>
  <sheetData>
    <row r="1" spans="1:26" ht="105" x14ac:dyDescent="0.25">
      <c r="A1" s="108" t="s">
        <v>850</v>
      </c>
      <c r="B1" s="108" t="s">
        <v>464</v>
      </c>
      <c r="C1" s="108" t="s">
        <v>851</v>
      </c>
      <c r="D1" s="108" t="s">
        <v>852</v>
      </c>
      <c r="E1" s="108" t="s">
        <v>853</v>
      </c>
      <c r="F1" s="108" t="s">
        <v>499</v>
      </c>
      <c r="G1" s="108" t="s">
        <v>165</v>
      </c>
      <c r="H1" s="108" t="s">
        <v>303</v>
      </c>
      <c r="I1" s="108" t="s">
        <v>304</v>
      </c>
      <c r="J1" s="108" t="s">
        <v>305</v>
      </c>
      <c r="K1" s="108" t="s">
        <v>306</v>
      </c>
      <c r="L1" s="108" t="s">
        <v>307</v>
      </c>
      <c r="M1" s="108" t="s">
        <v>308</v>
      </c>
      <c r="N1" s="108" t="s">
        <v>309</v>
      </c>
      <c r="O1" s="108" t="s">
        <v>310</v>
      </c>
      <c r="P1" s="108" t="s">
        <v>311</v>
      </c>
      <c r="Q1" s="108" t="s">
        <v>312</v>
      </c>
      <c r="R1" s="108" t="s">
        <v>313</v>
      </c>
      <c r="S1" s="108" t="s">
        <v>314</v>
      </c>
      <c r="T1" s="108" t="s">
        <v>315</v>
      </c>
      <c r="U1" s="108" t="s">
        <v>316</v>
      </c>
      <c r="V1" s="108" t="s">
        <v>317</v>
      </c>
      <c r="W1" s="108" t="s">
        <v>318</v>
      </c>
      <c r="X1" s="108" t="s">
        <v>319</v>
      </c>
      <c r="Y1" s="108" t="s">
        <v>320</v>
      </c>
      <c r="Z1" s="108" t="s">
        <v>321</v>
      </c>
    </row>
    <row r="2" spans="1:26" s="242" customFormat="1" x14ac:dyDescent="0.25">
      <c r="A2" s="88">
        <v>1</v>
      </c>
      <c r="B2" s="88" t="s">
        <v>232</v>
      </c>
      <c r="C2" s="88" t="s">
        <v>257</v>
      </c>
      <c r="D2" s="88" t="s">
        <v>69</v>
      </c>
      <c r="E2" s="88" t="s">
        <v>854</v>
      </c>
      <c r="F2" s="88">
        <v>1</v>
      </c>
      <c r="G2" s="88" t="s">
        <v>855</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25">
      <c r="A3" s="88">
        <v>2</v>
      </c>
      <c r="B3" s="88" t="s">
        <v>232</v>
      </c>
      <c r="C3" s="88" t="s">
        <v>257</v>
      </c>
      <c r="D3" s="88" t="s">
        <v>71</v>
      </c>
      <c r="E3" s="88" t="s">
        <v>854</v>
      </c>
      <c r="F3" s="88">
        <v>1</v>
      </c>
      <c r="G3" s="88" t="s">
        <v>855</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25">
      <c r="A4" s="88">
        <v>3</v>
      </c>
      <c r="B4" s="88" t="s">
        <v>232</v>
      </c>
      <c r="C4" s="88" t="s">
        <v>257</v>
      </c>
      <c r="D4" s="88" t="s">
        <v>74</v>
      </c>
      <c r="E4" s="88" t="s">
        <v>854</v>
      </c>
      <c r="F4" s="88">
        <v>1</v>
      </c>
      <c r="G4" s="88" t="s">
        <v>855</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25">
      <c r="A5" s="88">
        <v>4</v>
      </c>
      <c r="B5" s="88" t="s">
        <v>232</v>
      </c>
      <c r="C5" s="88" t="s">
        <v>257</v>
      </c>
      <c r="D5" s="88" t="s">
        <v>75</v>
      </c>
      <c r="E5" s="88" t="s">
        <v>854</v>
      </c>
      <c r="F5" s="88">
        <v>1</v>
      </c>
      <c r="G5" s="88" t="s">
        <v>855</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25">
      <c r="A6" s="88">
        <v>5</v>
      </c>
      <c r="B6" s="88" t="s">
        <v>232</v>
      </c>
      <c r="C6" s="88" t="s">
        <v>257</v>
      </c>
      <c r="D6" s="88" t="s">
        <v>78</v>
      </c>
      <c r="E6" s="88" t="s">
        <v>854</v>
      </c>
      <c r="F6" s="88">
        <v>1</v>
      </c>
      <c r="G6" s="88" t="s">
        <v>855</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25">
      <c r="A7" s="88">
        <v>6</v>
      </c>
      <c r="B7" s="88" t="s">
        <v>232</v>
      </c>
      <c r="C7" s="88" t="s">
        <v>257</v>
      </c>
      <c r="D7" s="88" t="s">
        <v>79</v>
      </c>
      <c r="E7" s="88" t="s">
        <v>854</v>
      </c>
      <c r="F7" s="88">
        <v>1</v>
      </c>
      <c r="G7" s="88" t="s">
        <v>855</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25">
      <c r="A8" s="88">
        <v>7</v>
      </c>
      <c r="B8" s="88" t="s">
        <v>232</v>
      </c>
      <c r="C8" s="88" t="s">
        <v>257</v>
      </c>
      <c r="D8" s="88" t="s">
        <v>80</v>
      </c>
      <c r="E8" s="88" t="s">
        <v>856</v>
      </c>
      <c r="F8" s="88">
        <v>1</v>
      </c>
      <c r="G8" s="88" t="s">
        <v>855</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25">
      <c r="A9" s="88">
        <v>8</v>
      </c>
      <c r="B9" s="88" t="s">
        <v>232</v>
      </c>
      <c r="C9" s="88" t="s">
        <v>257</v>
      </c>
      <c r="D9" s="88" t="s">
        <v>84</v>
      </c>
      <c r="E9" s="88" t="s">
        <v>856</v>
      </c>
      <c r="F9" s="88">
        <v>1</v>
      </c>
      <c r="G9" s="88" t="s">
        <v>855</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25">
      <c r="A10" s="88">
        <v>9</v>
      </c>
      <c r="B10" s="88" t="s">
        <v>232</v>
      </c>
      <c r="C10" s="88" t="s">
        <v>257</v>
      </c>
      <c r="D10" s="88" t="s">
        <v>85</v>
      </c>
      <c r="E10" s="88" t="s">
        <v>856</v>
      </c>
      <c r="F10" s="88">
        <v>1</v>
      </c>
      <c r="G10" s="88" t="s">
        <v>855</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25">
      <c r="A11" s="88">
        <v>10</v>
      </c>
      <c r="B11" s="88" t="s">
        <v>86</v>
      </c>
      <c r="C11" s="88" t="s">
        <v>257</v>
      </c>
      <c r="D11" s="88" t="s">
        <v>627</v>
      </c>
      <c r="E11" s="88"/>
      <c r="F11" s="88">
        <v>1</v>
      </c>
      <c r="G11" s="88" t="s">
        <v>855</v>
      </c>
      <c r="H11" s="260"/>
      <c r="I11" s="260"/>
      <c r="J11" s="260"/>
      <c r="K11" s="260"/>
      <c r="L11" s="260"/>
      <c r="M11" s="260"/>
      <c r="N11" s="260"/>
      <c r="O11" s="260"/>
      <c r="P11" s="260"/>
      <c r="Q11" s="260"/>
      <c r="R11" s="260"/>
      <c r="S11" s="260"/>
      <c r="T11" s="260"/>
      <c r="U11" s="260"/>
      <c r="V11" s="260"/>
      <c r="W11" s="260"/>
      <c r="X11" s="260"/>
      <c r="Y11" s="260"/>
      <c r="Z11" s="260"/>
    </row>
    <row r="12" spans="1:26" x14ac:dyDescent="0.25">
      <c r="A12" s="88">
        <v>11</v>
      </c>
      <c r="B12" s="88" t="s">
        <v>86</v>
      </c>
      <c r="C12" s="88" t="s">
        <v>257</v>
      </c>
      <c r="D12" s="88" t="s">
        <v>87</v>
      </c>
      <c r="E12" s="88" t="s">
        <v>857</v>
      </c>
      <c r="F12" s="88">
        <v>1</v>
      </c>
      <c r="G12" s="88" t="s">
        <v>855</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25">
      <c r="A13" s="88">
        <v>12</v>
      </c>
      <c r="B13" s="88" t="s">
        <v>86</v>
      </c>
      <c r="C13" s="88" t="s">
        <v>257</v>
      </c>
      <c r="D13" s="88" t="s">
        <v>626</v>
      </c>
      <c r="E13" s="88" t="s">
        <v>858</v>
      </c>
      <c r="F13" s="88">
        <v>1</v>
      </c>
      <c r="G13" s="88" t="s">
        <v>855</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25">
      <c r="A14" s="88">
        <v>13</v>
      </c>
      <c r="B14" s="88" t="s">
        <v>86</v>
      </c>
      <c r="C14" s="88" t="s">
        <v>257</v>
      </c>
      <c r="D14" s="88" t="s">
        <v>91</v>
      </c>
      <c r="E14" s="88" t="s">
        <v>859</v>
      </c>
      <c r="F14" s="88">
        <v>1</v>
      </c>
      <c r="G14" s="88" t="s">
        <v>855</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25">
      <c r="A15" s="88">
        <v>14</v>
      </c>
      <c r="B15" s="88" t="s">
        <v>90</v>
      </c>
      <c r="C15" s="88" t="s">
        <v>257</v>
      </c>
      <c r="D15" s="88" t="s">
        <v>627</v>
      </c>
      <c r="E15" s="88"/>
      <c r="F15" s="88">
        <v>1</v>
      </c>
      <c r="G15" s="88" t="s">
        <v>855</v>
      </c>
      <c r="H15" s="260"/>
      <c r="I15" s="260"/>
      <c r="J15" s="260"/>
      <c r="K15" s="260"/>
      <c r="L15" s="260"/>
      <c r="M15" s="260"/>
      <c r="N15" s="260"/>
      <c r="O15" s="260"/>
      <c r="P15" s="260"/>
      <c r="Q15" s="260"/>
      <c r="R15" s="260"/>
      <c r="S15" s="260"/>
      <c r="T15" s="260"/>
      <c r="U15" s="260"/>
      <c r="V15" s="260"/>
      <c r="W15" s="260"/>
      <c r="X15" s="260"/>
      <c r="Y15" s="260"/>
      <c r="Z15" s="260"/>
    </row>
    <row r="16" spans="1:26" x14ac:dyDescent="0.25">
      <c r="A16" s="88">
        <v>15</v>
      </c>
      <c r="B16" s="88" t="s">
        <v>90</v>
      </c>
      <c r="C16" s="88" t="s">
        <v>257</v>
      </c>
      <c r="D16" s="88" t="s">
        <v>87</v>
      </c>
      <c r="E16" s="88" t="s">
        <v>857</v>
      </c>
      <c r="F16" s="88">
        <v>1</v>
      </c>
      <c r="G16" s="88" t="s">
        <v>855</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25">
      <c r="A17" s="88">
        <v>16</v>
      </c>
      <c r="B17" s="88" t="s">
        <v>90</v>
      </c>
      <c r="C17" s="88" t="s">
        <v>257</v>
      </c>
      <c r="D17" s="88" t="s">
        <v>626</v>
      </c>
      <c r="E17" s="88" t="s">
        <v>860</v>
      </c>
      <c r="F17" s="88">
        <v>1</v>
      </c>
      <c r="G17" s="88" t="s">
        <v>855</v>
      </c>
      <c r="H17" s="260"/>
      <c r="I17" s="260"/>
      <c r="J17" s="260"/>
      <c r="K17" s="260"/>
      <c r="L17" s="260"/>
      <c r="M17" s="260"/>
      <c r="N17" s="260"/>
      <c r="O17" s="260"/>
      <c r="P17" s="260"/>
      <c r="Q17" s="260"/>
      <c r="R17" s="262"/>
      <c r="S17" s="262"/>
      <c r="T17" s="260"/>
      <c r="U17" s="260"/>
      <c r="V17" s="262"/>
      <c r="W17" s="262"/>
      <c r="X17" s="262"/>
      <c r="Y17" s="260"/>
      <c r="Z17" s="260"/>
    </row>
    <row r="18" spans="1:27" x14ac:dyDescent="0.25">
      <c r="A18" s="88">
        <v>17</v>
      </c>
      <c r="B18" s="88" t="s">
        <v>90</v>
      </c>
      <c r="C18" s="88" t="s">
        <v>257</v>
      </c>
      <c r="D18" s="88" t="s">
        <v>91</v>
      </c>
      <c r="E18" s="88" t="s">
        <v>859</v>
      </c>
      <c r="F18" s="88">
        <v>1</v>
      </c>
      <c r="G18" s="88" t="s">
        <v>855</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25">
      <c r="A19" s="88">
        <v>18</v>
      </c>
      <c r="B19" s="88" t="s">
        <v>63</v>
      </c>
      <c r="C19" s="88" t="s">
        <v>257</v>
      </c>
      <c r="D19" s="88" t="s">
        <v>64</v>
      </c>
      <c r="E19" s="88" t="s">
        <v>861</v>
      </c>
      <c r="F19" s="88">
        <v>1</v>
      </c>
      <c r="G19" s="88" t="s">
        <v>855</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25">
      <c r="A20" s="88">
        <v>19</v>
      </c>
      <c r="B20" s="88" t="s">
        <v>63</v>
      </c>
      <c r="C20" s="88" t="s">
        <v>257</v>
      </c>
      <c r="D20" s="88" t="s">
        <v>625</v>
      </c>
      <c r="E20" s="88" t="s">
        <v>861</v>
      </c>
      <c r="F20" s="88">
        <v>1</v>
      </c>
      <c r="G20" s="88" t="s">
        <v>855</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25">
      <c r="A21" s="88">
        <v>20</v>
      </c>
      <c r="B21" s="88" t="s">
        <v>326</v>
      </c>
      <c r="C21" s="88" t="s">
        <v>257</v>
      </c>
      <c r="D21" s="88" t="s">
        <v>65</v>
      </c>
      <c r="E21" s="88" t="s">
        <v>862</v>
      </c>
      <c r="F21" s="88">
        <v>1</v>
      </c>
      <c r="G21" s="88" t="s">
        <v>855</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25">
      <c r="A22" s="88">
        <v>21</v>
      </c>
      <c r="B22" s="88" t="s">
        <v>100</v>
      </c>
      <c r="C22" s="88" t="s">
        <v>257</v>
      </c>
      <c r="D22" s="88" t="s">
        <v>630</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25">
      <c r="A23" s="88">
        <v>22</v>
      </c>
      <c r="B23" s="88" t="s">
        <v>100</v>
      </c>
      <c r="C23" s="88" t="s">
        <v>257</v>
      </c>
      <c r="D23" s="88" t="s">
        <v>631</v>
      </c>
      <c r="E23" s="88" t="s">
        <v>863</v>
      </c>
      <c r="F23" s="88">
        <v>1</v>
      </c>
      <c r="G23" s="88" t="s">
        <v>855</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25">
      <c r="A24" s="88">
        <v>23</v>
      </c>
      <c r="B24" s="88" t="s">
        <v>100</v>
      </c>
      <c r="C24" s="88" t="s">
        <v>257</v>
      </c>
      <c r="D24" s="88" t="s">
        <v>105</v>
      </c>
      <c r="E24" s="88" t="s">
        <v>864</v>
      </c>
      <c r="F24" s="88">
        <v>1</v>
      </c>
      <c r="G24" s="88" t="s">
        <v>855</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25">
      <c r="A25" s="88">
        <v>24</v>
      </c>
      <c r="B25" s="88" t="s">
        <v>100</v>
      </c>
      <c r="C25" s="88" t="s">
        <v>257</v>
      </c>
      <c r="D25" s="88" t="s">
        <v>101</v>
      </c>
      <c r="E25" s="88" t="s">
        <v>865</v>
      </c>
      <c r="F25" s="88">
        <v>1</v>
      </c>
      <c r="G25" s="88" t="s">
        <v>855</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25">
      <c r="A26" s="88">
        <v>25</v>
      </c>
      <c r="B26" s="88" t="s">
        <v>104</v>
      </c>
      <c r="C26" s="88" t="s">
        <v>257</v>
      </c>
      <c r="D26" s="88" t="s">
        <v>630</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25">
      <c r="A27" s="88">
        <v>26</v>
      </c>
      <c r="B27" s="88" t="s">
        <v>104</v>
      </c>
      <c r="C27" s="88" t="s">
        <v>257</v>
      </c>
      <c r="D27" s="88" t="s">
        <v>631</v>
      </c>
      <c r="E27" s="88" t="s">
        <v>863</v>
      </c>
      <c r="F27" s="88">
        <v>1</v>
      </c>
      <c r="G27" s="88" t="s">
        <v>855</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25">
      <c r="A28" s="88">
        <v>27</v>
      </c>
      <c r="B28" s="88" t="s">
        <v>104</v>
      </c>
      <c r="C28" s="88" t="s">
        <v>257</v>
      </c>
      <c r="D28" s="88" t="s">
        <v>105</v>
      </c>
      <c r="E28" s="88" t="s">
        <v>864</v>
      </c>
      <c r="F28" s="88">
        <v>1</v>
      </c>
      <c r="G28" s="88" t="s">
        <v>855</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25">
      <c r="A29" s="88">
        <v>28</v>
      </c>
      <c r="B29" s="88" t="s">
        <v>104</v>
      </c>
      <c r="C29" s="88" t="s">
        <v>257</v>
      </c>
      <c r="D29" s="88" t="s">
        <v>101</v>
      </c>
      <c r="E29" s="88" t="s">
        <v>865</v>
      </c>
      <c r="F29" s="88">
        <v>1</v>
      </c>
      <c r="G29" s="88" t="s">
        <v>855</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25">
      <c r="A30" s="88">
        <v>29</v>
      </c>
      <c r="B30" s="88" t="s">
        <v>106</v>
      </c>
      <c r="C30" s="88" t="s">
        <v>257</v>
      </c>
      <c r="D30" s="88" t="s">
        <v>630</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25">
      <c r="A31" s="88">
        <v>30</v>
      </c>
      <c r="B31" s="88" t="s">
        <v>106</v>
      </c>
      <c r="C31" s="88" t="s">
        <v>257</v>
      </c>
      <c r="D31" s="88" t="s">
        <v>866</v>
      </c>
      <c r="E31" s="88" t="s">
        <v>863</v>
      </c>
      <c r="F31" s="88">
        <v>1</v>
      </c>
      <c r="G31" s="88" t="s">
        <v>855</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25">
      <c r="A32" s="88">
        <v>31</v>
      </c>
      <c r="B32" s="88" t="s">
        <v>106</v>
      </c>
      <c r="C32" s="88" t="s">
        <v>257</v>
      </c>
      <c r="D32" s="88" t="s">
        <v>631</v>
      </c>
      <c r="E32" s="88" t="s">
        <v>863</v>
      </c>
      <c r="F32" s="88">
        <v>1</v>
      </c>
      <c r="G32" s="88" t="s">
        <v>855</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25">
      <c r="A33" s="88">
        <v>32</v>
      </c>
      <c r="B33" s="88" t="s">
        <v>106</v>
      </c>
      <c r="C33" s="88" t="s">
        <v>257</v>
      </c>
      <c r="D33" s="88" t="s">
        <v>105</v>
      </c>
      <c r="E33" s="88" t="s">
        <v>864</v>
      </c>
      <c r="F33" s="88">
        <v>1</v>
      </c>
      <c r="G33" s="88" t="s">
        <v>855</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25">
      <c r="A34" s="88">
        <v>33</v>
      </c>
      <c r="B34" s="88" t="s">
        <v>106</v>
      </c>
      <c r="C34" s="88" t="s">
        <v>257</v>
      </c>
      <c r="D34" s="88" t="s">
        <v>101</v>
      </c>
      <c r="E34" s="88" t="s">
        <v>865</v>
      </c>
      <c r="F34" s="88">
        <v>1</v>
      </c>
      <c r="G34" s="88" t="s">
        <v>855</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25">
      <c r="A35" s="88">
        <v>34</v>
      </c>
      <c r="B35" s="88" t="s">
        <v>94</v>
      </c>
      <c r="C35" s="88" t="s">
        <v>257</v>
      </c>
      <c r="D35" s="88" t="s">
        <v>629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25">
      <c r="A36" s="88">
        <v>35</v>
      </c>
      <c r="B36" s="88" t="s">
        <v>94</v>
      </c>
      <c r="C36" s="88" t="s">
        <v>257</v>
      </c>
      <c r="D36" s="88" t="s">
        <v>95</v>
      </c>
      <c r="E36" s="88" t="s">
        <v>867</v>
      </c>
      <c r="F36" s="88">
        <v>1</v>
      </c>
      <c r="G36" s="88" t="s">
        <v>855</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25">
      <c r="A37" s="88">
        <v>36</v>
      </c>
      <c r="B37" s="88" t="s">
        <v>94</v>
      </c>
      <c r="C37" s="88" t="s">
        <v>257</v>
      </c>
      <c r="D37" s="88" t="s">
        <v>99</v>
      </c>
      <c r="E37" s="88" t="s">
        <v>868</v>
      </c>
      <c r="F37" s="88">
        <v>1</v>
      </c>
      <c r="G37" s="88" t="s">
        <v>855</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25">
      <c r="A38" s="88">
        <v>37</v>
      </c>
      <c r="B38" s="88" t="s">
        <v>94</v>
      </c>
      <c r="C38" s="88" t="s">
        <v>257</v>
      </c>
      <c r="D38" s="88" t="s">
        <v>632</v>
      </c>
      <c r="E38" s="88" t="s">
        <v>869</v>
      </c>
      <c r="F38" s="88">
        <v>1</v>
      </c>
      <c r="G38" s="88" t="s">
        <v>855</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25">
      <c r="A39" s="88">
        <v>38</v>
      </c>
      <c r="B39" s="88" t="s">
        <v>98</v>
      </c>
      <c r="C39" s="88" t="s">
        <v>257</v>
      </c>
      <c r="D39" s="88" t="s">
        <v>629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25">
      <c r="A40" s="88">
        <v>39</v>
      </c>
      <c r="B40" s="88" t="s">
        <v>98</v>
      </c>
      <c r="C40" s="88" t="s">
        <v>257</v>
      </c>
      <c r="D40" s="88" t="s">
        <v>95</v>
      </c>
      <c r="E40" s="88" t="s">
        <v>870</v>
      </c>
      <c r="F40" s="88">
        <v>1</v>
      </c>
      <c r="G40" s="88" t="s">
        <v>855</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25">
      <c r="A41" s="88">
        <v>40</v>
      </c>
      <c r="B41" s="88" t="s">
        <v>98</v>
      </c>
      <c r="C41" s="88" t="s">
        <v>257</v>
      </c>
      <c r="D41" s="88" t="s">
        <v>99</v>
      </c>
      <c r="E41" s="88" t="s">
        <v>868</v>
      </c>
      <c r="F41" s="88">
        <v>1</v>
      </c>
      <c r="G41" s="88" t="s">
        <v>855</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25">
      <c r="A42" s="88">
        <v>41</v>
      </c>
      <c r="B42" s="88" t="s">
        <v>98</v>
      </c>
      <c r="C42" s="88" t="s">
        <v>257</v>
      </c>
      <c r="D42" s="88" t="s">
        <v>632</v>
      </c>
      <c r="E42" s="88" t="s">
        <v>869</v>
      </c>
      <c r="F42" s="88">
        <v>1</v>
      </c>
      <c r="G42" s="88" t="s">
        <v>855</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25">
      <c r="A43" s="88">
        <v>42</v>
      </c>
      <c r="B43" s="88" t="s">
        <v>527</v>
      </c>
      <c r="C43" s="88" t="s">
        <v>257</v>
      </c>
      <c r="D43" s="88" t="s">
        <v>26</v>
      </c>
      <c r="E43" s="88" t="s">
        <v>871</v>
      </c>
      <c r="F43" s="88">
        <v>1</v>
      </c>
      <c r="G43" s="88" t="s">
        <v>605</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25">
      <c r="A44" s="88">
        <v>43</v>
      </c>
      <c r="B44" s="266" t="s">
        <v>527</v>
      </c>
      <c r="C44" s="88" t="s">
        <v>257</v>
      </c>
      <c r="D44" s="88" t="s">
        <v>39</v>
      </c>
      <c r="E44" s="88" t="s">
        <v>872</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25">
      <c r="A45" s="88">
        <v>44</v>
      </c>
      <c r="B45" s="88" t="s">
        <v>585</v>
      </c>
      <c r="C45" s="88" t="s">
        <v>257</v>
      </c>
      <c r="D45" s="88" t="s">
        <v>39</v>
      </c>
      <c r="E45" s="88" t="s">
        <v>873</v>
      </c>
      <c r="F45" s="88">
        <v>1</v>
      </c>
      <c r="G45" s="88" t="s">
        <v>608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25">
      <c r="A46" s="88">
        <v>45</v>
      </c>
      <c r="B46" s="88" t="s">
        <v>585</v>
      </c>
      <c r="C46" s="88" t="s">
        <v>257</v>
      </c>
      <c r="D46" s="88" t="s">
        <v>89</v>
      </c>
      <c r="E46" s="88" t="s">
        <v>874</v>
      </c>
      <c r="F46" s="88">
        <v>1</v>
      </c>
      <c r="G46" s="88" t="s">
        <v>608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25">
      <c r="A47" s="88">
        <v>46</v>
      </c>
      <c r="B47" s="88" t="s">
        <v>585</v>
      </c>
      <c r="C47" s="88" t="s">
        <v>257</v>
      </c>
      <c r="D47" s="88" t="s">
        <v>875</v>
      </c>
      <c r="E47" s="88" t="s">
        <v>876</v>
      </c>
      <c r="F47" s="88">
        <v>1</v>
      </c>
      <c r="G47" s="88" t="s">
        <v>608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25">
      <c r="A48" s="88">
        <v>47</v>
      </c>
      <c r="B48" s="88" t="s">
        <v>585</v>
      </c>
      <c r="C48" s="88" t="s">
        <v>257</v>
      </c>
      <c r="D48" s="88" t="s">
        <v>877</v>
      </c>
      <c r="E48" s="88" t="s">
        <v>878</v>
      </c>
      <c r="F48" s="88">
        <v>1</v>
      </c>
      <c r="G48" s="88" t="s">
        <v>608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25">
      <c r="A49" s="88">
        <v>48</v>
      </c>
      <c r="B49" s="88" t="s">
        <v>585</v>
      </c>
      <c r="C49" s="88" t="s">
        <v>257</v>
      </c>
      <c r="D49" s="88" t="s">
        <v>97</v>
      </c>
      <c r="E49" s="88" t="s">
        <v>879</v>
      </c>
      <c r="F49" s="88">
        <v>1</v>
      </c>
      <c r="G49" s="88" t="s">
        <v>608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25">
      <c r="A50" s="88">
        <v>49</v>
      </c>
      <c r="B50" s="88" t="s">
        <v>585</v>
      </c>
      <c r="C50" s="88" t="s">
        <v>257</v>
      </c>
      <c r="D50" s="88" t="s">
        <v>880</v>
      </c>
      <c r="E50" s="88" t="s">
        <v>881</v>
      </c>
      <c r="F50" s="88">
        <v>1</v>
      </c>
      <c r="G50" s="88" t="s">
        <v>608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25">
      <c r="A51" s="88">
        <v>50</v>
      </c>
      <c r="B51" s="88" t="s">
        <v>585</v>
      </c>
      <c r="C51" s="88" t="s">
        <v>257</v>
      </c>
      <c r="D51" s="88" t="s">
        <v>83</v>
      </c>
      <c r="E51" s="88" t="s">
        <v>882</v>
      </c>
      <c r="F51" s="88">
        <v>1</v>
      </c>
      <c r="G51" s="88" t="s">
        <v>605</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25">
      <c r="A52" s="88">
        <v>51</v>
      </c>
      <c r="B52" s="88" t="s">
        <v>585</v>
      </c>
      <c r="C52" s="88" t="s">
        <v>257</v>
      </c>
      <c r="D52" s="88" t="s">
        <v>883</v>
      </c>
      <c r="E52" s="88" t="s">
        <v>884</v>
      </c>
      <c r="F52" s="88">
        <v>1</v>
      </c>
      <c r="G52" s="88" t="s">
        <v>605</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25">
      <c r="A53" s="88">
        <v>52</v>
      </c>
      <c r="B53" s="88" t="s">
        <v>585</v>
      </c>
      <c r="C53" s="88" t="s">
        <v>257</v>
      </c>
      <c r="D53" s="88" t="s">
        <v>30</v>
      </c>
      <c r="E53" s="88"/>
      <c r="F53" s="88">
        <v>1</v>
      </c>
      <c r="G53" s="88" t="s">
        <v>605</v>
      </c>
      <c r="H53" s="265"/>
      <c r="I53" s="265"/>
      <c r="J53" s="265"/>
      <c r="K53" s="265"/>
      <c r="L53" s="265"/>
      <c r="M53" s="265"/>
      <c r="N53" s="265"/>
      <c r="O53" s="265"/>
      <c r="P53" s="265"/>
      <c r="Q53" s="265"/>
      <c r="R53" s="265"/>
      <c r="S53" s="265"/>
      <c r="T53" s="265"/>
      <c r="U53" s="265"/>
      <c r="V53" s="265"/>
      <c r="W53" s="265"/>
      <c r="X53" s="265"/>
      <c r="Y53" s="265"/>
      <c r="Z53" s="265"/>
    </row>
    <row r="54" spans="1:26" x14ac:dyDescent="0.25">
      <c r="A54" s="88">
        <v>53</v>
      </c>
      <c r="B54" s="88" t="s">
        <v>67</v>
      </c>
      <c r="C54" s="88" t="s">
        <v>258</v>
      </c>
      <c r="D54" s="88" t="s">
        <v>77</v>
      </c>
      <c r="E54" s="88" t="s">
        <v>885</v>
      </c>
      <c r="F54" s="88">
        <v>1</v>
      </c>
      <c r="G54" s="88" t="s">
        <v>886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25">
      <c r="A55" s="88">
        <v>54</v>
      </c>
      <c r="B55" s="88" t="s">
        <v>67</v>
      </c>
      <c r="C55" s="88" t="s">
        <v>258</v>
      </c>
      <c r="D55" s="88" t="s">
        <v>68</v>
      </c>
      <c r="E55" s="88" t="s">
        <v>887</v>
      </c>
      <c r="F55" s="88">
        <v>1</v>
      </c>
      <c r="G55" s="88" t="s">
        <v>886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45" customHeight="1" x14ac:dyDescent="0.25">
      <c r="A56" s="88">
        <v>55</v>
      </c>
      <c r="B56" s="88" t="s">
        <v>67</v>
      </c>
      <c r="C56" s="88" t="s">
        <v>258</v>
      </c>
      <c r="D56" s="88" t="s">
        <v>89</v>
      </c>
      <c r="E56" s="88" t="s">
        <v>888</v>
      </c>
      <c r="F56" s="88">
        <v>1</v>
      </c>
      <c r="G56" s="88" t="s">
        <v>886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ht="30" x14ac:dyDescent="0.25">
      <c r="A57" s="88">
        <v>56</v>
      </c>
      <c r="B57" s="88" t="s">
        <v>67</v>
      </c>
      <c r="C57" s="88" t="s">
        <v>258</v>
      </c>
      <c r="D57" s="88" t="s">
        <v>875</v>
      </c>
      <c r="E57" s="88" t="s">
        <v>889</v>
      </c>
      <c r="F57" s="88">
        <v>1</v>
      </c>
      <c r="G57" s="88" t="s">
        <v>886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ht="30" x14ac:dyDescent="0.25">
      <c r="A58" s="88">
        <v>57</v>
      </c>
      <c r="B58" s="88" t="s">
        <v>67</v>
      </c>
      <c r="C58" s="88" t="s">
        <v>258</v>
      </c>
      <c r="D58" s="88" t="s">
        <v>877</v>
      </c>
      <c r="E58" s="88" t="s">
        <v>890</v>
      </c>
      <c r="F58" s="88">
        <v>1</v>
      </c>
      <c r="G58" s="88" t="s">
        <v>886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ht="30" x14ac:dyDescent="0.25">
      <c r="A59" s="88">
        <v>58</v>
      </c>
      <c r="B59" s="88" t="s">
        <v>67</v>
      </c>
      <c r="C59" s="88" t="s">
        <v>258</v>
      </c>
      <c r="D59" s="88" t="s">
        <v>97</v>
      </c>
      <c r="E59" s="88" t="s">
        <v>891</v>
      </c>
      <c r="F59" s="88">
        <v>1</v>
      </c>
      <c r="G59" s="88" t="s">
        <v>886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25">
      <c r="A60" s="88">
        <v>59</v>
      </c>
      <c r="B60" s="88" t="s">
        <v>67</v>
      </c>
      <c r="C60" s="88" t="s">
        <v>258</v>
      </c>
      <c r="D60" s="88" t="s">
        <v>880</v>
      </c>
      <c r="E60" s="88" t="s">
        <v>892</v>
      </c>
      <c r="F60" s="88">
        <v>1</v>
      </c>
      <c r="G60" s="88" t="s">
        <v>886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30" x14ac:dyDescent="0.25">
      <c r="A61" s="88">
        <v>60</v>
      </c>
      <c r="B61" s="88" t="s">
        <v>67</v>
      </c>
      <c r="C61" s="88" t="s">
        <v>258</v>
      </c>
      <c r="D61" s="88" t="s">
        <v>83</v>
      </c>
      <c r="E61" s="88" t="s">
        <v>893</v>
      </c>
      <c r="F61" s="88">
        <v>1</v>
      </c>
      <c r="G61" s="88" t="s">
        <v>605</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30" x14ac:dyDescent="0.25">
      <c r="A62" s="88">
        <v>61</v>
      </c>
      <c r="B62" s="88" t="s">
        <v>67</v>
      </c>
      <c r="C62" s="88" t="s">
        <v>258</v>
      </c>
      <c r="D62" s="88" t="s">
        <v>883</v>
      </c>
      <c r="E62" s="88" t="s">
        <v>894</v>
      </c>
      <c r="F62" s="88">
        <v>1</v>
      </c>
      <c r="G62" s="88" t="s">
        <v>605</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25">
      <c r="A63" s="88">
        <v>62</v>
      </c>
      <c r="B63" s="88" t="s">
        <v>67</v>
      </c>
      <c r="C63" s="88" t="s">
        <v>258</v>
      </c>
      <c r="D63" s="88" t="s">
        <v>30</v>
      </c>
      <c r="E63" s="88"/>
      <c r="F63" s="88">
        <v>1</v>
      </c>
      <c r="G63" s="88" t="s">
        <v>886</v>
      </c>
      <c r="H63" s="265"/>
      <c r="I63" s="265"/>
      <c r="J63" s="265"/>
      <c r="K63" s="265"/>
      <c r="L63" s="265"/>
      <c r="M63" s="265"/>
      <c r="N63" s="265"/>
      <c r="O63" s="265"/>
      <c r="P63" s="265"/>
      <c r="Q63" s="265"/>
      <c r="R63" s="265"/>
      <c r="S63" s="265"/>
      <c r="T63" s="265"/>
      <c r="U63" s="265"/>
      <c r="V63" s="265"/>
      <c r="W63" s="265"/>
      <c r="X63" s="265"/>
      <c r="Y63" s="265"/>
      <c r="Z63" s="265"/>
    </row>
    <row r="64" spans="1:26" x14ac:dyDescent="0.25">
      <c r="A64" s="88">
        <v>63</v>
      </c>
      <c r="B64" s="88" t="s">
        <v>103</v>
      </c>
      <c r="C64" s="88" t="s">
        <v>258</v>
      </c>
      <c r="D64" s="88" t="s">
        <v>39</v>
      </c>
      <c r="E64" s="28" t="s">
        <v>895</v>
      </c>
      <c r="F64" s="88">
        <v>1</v>
      </c>
      <c r="G64" s="88" t="s">
        <v>886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ht="30" x14ac:dyDescent="0.25">
      <c r="A65" s="88">
        <v>64</v>
      </c>
      <c r="B65" s="88" t="s">
        <v>896</v>
      </c>
      <c r="C65" s="88" t="s">
        <v>258</v>
      </c>
      <c r="D65" s="88" t="s">
        <v>39</v>
      </c>
      <c r="E65" s="88" t="s">
        <v>897</v>
      </c>
      <c r="F65" s="88">
        <v>1</v>
      </c>
      <c r="G65" s="88" t="s">
        <v>886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25">
      <c r="A66" s="88">
        <v>65</v>
      </c>
      <c r="B66" s="88" t="s">
        <v>72</v>
      </c>
      <c r="C66" s="88" t="s">
        <v>258</v>
      </c>
      <c r="D66" s="88" t="s">
        <v>898</v>
      </c>
      <c r="E66" s="88" t="s">
        <v>899</v>
      </c>
      <c r="F66" s="88">
        <v>1</v>
      </c>
      <c r="G66" s="88" t="s">
        <v>886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25">
      <c r="A67" s="88">
        <v>66</v>
      </c>
      <c r="B67" s="88" t="s">
        <v>30</v>
      </c>
      <c r="C67" s="88"/>
      <c r="D67" s="88" t="s">
        <v>30</v>
      </c>
      <c r="E67" s="88" t="s">
        <v>30</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25">
      <c r="A68" s="88">
        <v>67</v>
      </c>
      <c r="B68" s="88" t="s">
        <v>82</v>
      </c>
      <c r="C68" s="88" t="s">
        <v>258</v>
      </c>
      <c r="D68" s="88" t="s">
        <v>39</v>
      </c>
      <c r="E68" s="88" t="s">
        <v>900</v>
      </c>
      <c r="F68" s="88">
        <v>1</v>
      </c>
      <c r="G68" s="88" t="s">
        <v>886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25">
      <c r="A69" s="88">
        <v>68</v>
      </c>
      <c r="B69" s="88" t="s">
        <v>82</v>
      </c>
      <c r="C69" s="88" t="s">
        <v>258</v>
      </c>
      <c r="D69" s="88" t="s">
        <v>83</v>
      </c>
      <c r="E69" s="88" t="s">
        <v>901</v>
      </c>
      <c r="F69" s="88">
        <v>1</v>
      </c>
      <c r="G69" s="88" t="s">
        <v>886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ht="30" x14ac:dyDescent="0.25">
      <c r="A70" s="88">
        <v>69</v>
      </c>
      <c r="B70" s="88" t="s">
        <v>23</v>
      </c>
      <c r="C70" s="88" t="s">
        <v>261</v>
      </c>
      <c r="D70" s="88" t="s">
        <v>902</v>
      </c>
      <c r="E70" s="88" t="s">
        <v>903</v>
      </c>
      <c r="F70" s="88">
        <v>1</v>
      </c>
      <c r="G70" s="88" t="s">
        <v>660</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ht="30" x14ac:dyDescent="0.25">
      <c r="A71" s="88">
        <v>70</v>
      </c>
      <c r="B71" s="88" t="s">
        <v>23</v>
      </c>
      <c r="C71" s="88" t="s">
        <v>261</v>
      </c>
      <c r="D71" s="267" t="s">
        <v>24</v>
      </c>
      <c r="E71" s="88" t="s">
        <v>904</v>
      </c>
      <c r="F71" s="88">
        <v>1</v>
      </c>
      <c r="G71" s="88" t="s">
        <v>660</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ht="30" x14ac:dyDescent="0.25">
      <c r="A72" s="88">
        <v>71</v>
      </c>
      <c r="B72" s="88" t="s">
        <v>23</v>
      </c>
      <c r="C72" s="88" t="s">
        <v>261</v>
      </c>
      <c r="D72" s="88" t="s">
        <v>905</v>
      </c>
      <c r="E72" s="88" t="s">
        <v>906</v>
      </c>
      <c r="F72" s="88">
        <v>1</v>
      </c>
      <c r="G72" s="88" t="s">
        <v>660</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ht="30" x14ac:dyDescent="0.25">
      <c r="A73" s="88">
        <v>72</v>
      </c>
      <c r="B73" s="88" t="s">
        <v>23</v>
      </c>
      <c r="C73" s="88" t="s">
        <v>261</v>
      </c>
      <c r="D73" s="88" t="s">
        <v>26</v>
      </c>
      <c r="E73" s="88" t="s">
        <v>871</v>
      </c>
      <c r="F73" s="88">
        <v>1</v>
      </c>
      <c r="G73" s="88" t="s">
        <v>605</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ht="30" x14ac:dyDescent="0.25">
      <c r="A74" s="88">
        <v>73</v>
      </c>
      <c r="B74" s="88" t="s">
        <v>23</v>
      </c>
      <c r="C74" s="88" t="s">
        <v>261</v>
      </c>
      <c r="D74" s="88" t="s">
        <v>907</v>
      </c>
      <c r="E74" s="88" t="s">
        <v>908</v>
      </c>
      <c r="F74" s="88">
        <v>1</v>
      </c>
      <c r="G74" s="88" t="s">
        <v>605</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ht="30" x14ac:dyDescent="0.25">
      <c r="A75" s="88">
        <v>74</v>
      </c>
      <c r="B75" s="88" t="s">
        <v>23</v>
      </c>
      <c r="C75" s="88" t="s">
        <v>261</v>
      </c>
      <c r="D75" s="88" t="s">
        <v>909</v>
      </c>
      <c r="E75" s="88" t="s">
        <v>910</v>
      </c>
      <c r="F75" s="88">
        <v>1</v>
      </c>
      <c r="G75" s="88" t="s">
        <v>608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ht="30" x14ac:dyDescent="0.25">
      <c r="A76" s="88">
        <v>75</v>
      </c>
      <c r="B76" s="88" t="s">
        <v>25</v>
      </c>
      <c r="C76" s="88" t="s">
        <v>261</v>
      </c>
      <c r="D76" s="88" t="s">
        <v>902</v>
      </c>
      <c r="E76" s="88" t="s">
        <v>903</v>
      </c>
      <c r="F76" s="88">
        <v>1</v>
      </c>
      <c r="G76" s="88" t="s">
        <v>660</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ht="30" x14ac:dyDescent="0.25">
      <c r="A77" s="88">
        <v>76</v>
      </c>
      <c r="B77" s="88" t="s">
        <v>25</v>
      </c>
      <c r="C77" s="88" t="s">
        <v>261</v>
      </c>
      <c r="D77" s="88" t="s">
        <v>24</v>
      </c>
      <c r="E77" s="88" t="s">
        <v>904</v>
      </c>
      <c r="F77" s="88">
        <v>1</v>
      </c>
      <c r="G77" s="88" t="s">
        <v>660</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ht="30" x14ac:dyDescent="0.25">
      <c r="A78" s="88">
        <v>77</v>
      </c>
      <c r="B78" s="88" t="s">
        <v>25</v>
      </c>
      <c r="C78" s="88" t="s">
        <v>261</v>
      </c>
      <c r="D78" s="88" t="s">
        <v>905</v>
      </c>
      <c r="E78" s="88" t="s">
        <v>906</v>
      </c>
      <c r="F78" s="88">
        <v>1</v>
      </c>
      <c r="G78" s="88" t="s">
        <v>660</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ht="30" x14ac:dyDescent="0.25">
      <c r="A79" s="88">
        <v>78</v>
      </c>
      <c r="B79" s="88" t="s">
        <v>25</v>
      </c>
      <c r="C79" s="88" t="s">
        <v>261</v>
      </c>
      <c r="D79" s="88" t="s">
        <v>26</v>
      </c>
      <c r="E79" s="88" t="s">
        <v>911</v>
      </c>
      <c r="F79" s="88">
        <v>1</v>
      </c>
      <c r="G79" s="88" t="s">
        <v>605</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ht="30" x14ac:dyDescent="0.25">
      <c r="A80" s="88">
        <v>79</v>
      </c>
      <c r="B80" s="88" t="s">
        <v>25</v>
      </c>
      <c r="C80" s="88" t="s">
        <v>261</v>
      </c>
      <c r="D80" s="88" t="s">
        <v>907</v>
      </c>
      <c r="E80" s="88" t="s">
        <v>912</v>
      </c>
      <c r="F80" s="88">
        <v>1</v>
      </c>
      <c r="G80" s="88" t="s">
        <v>605</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ht="30" x14ac:dyDescent="0.25">
      <c r="A81" s="88">
        <v>80</v>
      </c>
      <c r="B81" s="88" t="s">
        <v>25</v>
      </c>
      <c r="C81" s="88" t="s">
        <v>261</v>
      </c>
      <c r="D81" s="88" t="s">
        <v>909</v>
      </c>
      <c r="E81" s="88" t="s">
        <v>910</v>
      </c>
      <c r="F81" s="88">
        <v>1</v>
      </c>
      <c r="G81" s="88" t="s">
        <v>608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ht="30" x14ac:dyDescent="0.25">
      <c r="A82" s="88">
        <v>81</v>
      </c>
      <c r="B82" s="88" t="s">
        <v>25</v>
      </c>
      <c r="C82" s="88" t="s">
        <v>261</v>
      </c>
      <c r="D82" s="88" t="s">
        <v>30</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25">
      <c r="A83" s="88">
        <v>82</v>
      </c>
      <c r="B83" s="88" t="s">
        <v>913</v>
      </c>
      <c r="C83" s="88" t="s">
        <v>261</v>
      </c>
      <c r="D83" s="88" t="s">
        <v>26</v>
      </c>
      <c r="E83" s="88" t="s">
        <v>882</v>
      </c>
      <c r="F83" s="88">
        <v>1</v>
      </c>
      <c r="G83" s="88" t="s">
        <v>605</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25">
      <c r="A84" s="88">
        <v>83</v>
      </c>
      <c r="B84" s="88" t="s">
        <v>913</v>
      </c>
      <c r="C84" s="88" t="s">
        <v>261</v>
      </c>
      <c r="D84" s="88" t="s">
        <v>907</v>
      </c>
      <c r="E84" s="88" t="s">
        <v>884</v>
      </c>
      <c r="F84" s="88">
        <v>1</v>
      </c>
      <c r="G84" s="88" t="s">
        <v>605</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25">
      <c r="A85" s="88">
        <v>84</v>
      </c>
      <c r="B85" s="88" t="s">
        <v>913</v>
      </c>
      <c r="C85" s="88" t="s">
        <v>261</v>
      </c>
      <c r="D85" s="88" t="s">
        <v>30</v>
      </c>
      <c r="E85" s="88" t="s">
        <v>914</v>
      </c>
      <c r="F85" s="88"/>
      <c r="G85" s="88"/>
      <c r="H85" s="260"/>
      <c r="I85" s="260"/>
      <c r="J85" s="260"/>
      <c r="K85" s="260"/>
      <c r="L85" s="260"/>
      <c r="M85" s="260"/>
      <c r="N85" s="260"/>
      <c r="O85" s="262"/>
      <c r="P85" s="260"/>
      <c r="Q85" s="260"/>
      <c r="R85" s="262"/>
      <c r="S85" s="262"/>
      <c r="T85" s="260"/>
      <c r="U85" s="260"/>
      <c r="V85" s="262"/>
      <c r="W85" s="262"/>
      <c r="X85" s="262"/>
      <c r="Y85" s="260"/>
      <c r="Z85" s="260"/>
    </row>
    <row r="86" spans="1:26" ht="30" x14ac:dyDescent="0.25">
      <c r="A86" s="88">
        <v>85</v>
      </c>
      <c r="B86" s="88" t="s">
        <v>25</v>
      </c>
      <c r="C86" s="88" t="s">
        <v>261</v>
      </c>
      <c r="D86" s="88" t="s">
        <v>30</v>
      </c>
      <c r="E86" s="88" t="s">
        <v>914</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25">
      <c r="A87" s="88">
        <v>86</v>
      </c>
      <c r="B87" s="88" t="s">
        <v>461</v>
      </c>
      <c r="C87" s="88"/>
      <c r="D87" s="88" t="s">
        <v>30</v>
      </c>
      <c r="E87" s="88" t="s">
        <v>914</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25">
      <c r="A88" s="88">
        <v>87</v>
      </c>
      <c r="B88" s="88" t="s">
        <v>731</v>
      </c>
      <c r="C88" s="88" t="s">
        <v>263</v>
      </c>
      <c r="D88" s="88"/>
      <c r="E88" s="88" t="s">
        <v>914</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25">
      <c r="A89" s="88">
        <v>88</v>
      </c>
      <c r="B89" s="88" t="s">
        <v>739</v>
      </c>
      <c r="C89" s="88" t="s">
        <v>263</v>
      </c>
      <c r="D89" s="88" t="s">
        <v>39</v>
      </c>
      <c r="E89" s="88" t="s">
        <v>915</v>
      </c>
      <c r="F89" s="88">
        <v>1</v>
      </c>
      <c r="G89" s="88" t="s">
        <v>608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25">
      <c r="A90" s="88">
        <v>89</v>
      </c>
      <c r="B90" s="88" t="s">
        <v>739</v>
      </c>
      <c r="C90" s="88" t="s">
        <v>263</v>
      </c>
      <c r="D90" s="88" t="s">
        <v>89</v>
      </c>
      <c r="E90" s="88" t="s">
        <v>874</v>
      </c>
      <c r="F90" s="88">
        <v>1</v>
      </c>
      <c r="G90" s="88" t="s">
        <v>608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25">
      <c r="A91" s="88">
        <v>90</v>
      </c>
      <c r="B91" s="88" t="s">
        <v>739</v>
      </c>
      <c r="C91" s="88" t="s">
        <v>263</v>
      </c>
      <c r="D91" s="88" t="s">
        <v>875</v>
      </c>
      <c r="E91" s="88" t="s">
        <v>876</v>
      </c>
      <c r="F91" s="88">
        <v>1</v>
      </c>
      <c r="G91" s="88" t="s">
        <v>608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25">
      <c r="A92" s="88">
        <v>91</v>
      </c>
      <c r="B92" s="88" t="s">
        <v>739</v>
      </c>
      <c r="C92" s="88" t="s">
        <v>263</v>
      </c>
      <c r="D92" s="88" t="s">
        <v>877</v>
      </c>
      <c r="E92" s="88" t="s">
        <v>878</v>
      </c>
      <c r="F92" s="88">
        <v>1</v>
      </c>
      <c r="G92" s="88" t="s">
        <v>608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25">
      <c r="A93" s="88">
        <v>92</v>
      </c>
      <c r="B93" s="88" t="s">
        <v>739</v>
      </c>
      <c r="C93" s="88" t="s">
        <v>263</v>
      </c>
      <c r="D93" s="88" t="s">
        <v>97</v>
      </c>
      <c r="E93" s="88" t="s">
        <v>879</v>
      </c>
      <c r="F93" s="88">
        <v>1</v>
      </c>
      <c r="G93" s="88" t="s">
        <v>608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25">
      <c r="A94" s="88">
        <v>93</v>
      </c>
      <c r="B94" s="88" t="s">
        <v>739</v>
      </c>
      <c r="C94" s="88" t="s">
        <v>263</v>
      </c>
      <c r="D94" s="88" t="s">
        <v>880</v>
      </c>
      <c r="E94" s="88" t="s">
        <v>881</v>
      </c>
      <c r="F94" s="88">
        <v>1</v>
      </c>
      <c r="G94" s="88" t="s">
        <v>608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25">
      <c r="A95" s="88">
        <v>94</v>
      </c>
      <c r="B95" s="88" t="s">
        <v>739</v>
      </c>
      <c r="C95" s="88" t="s">
        <v>263</v>
      </c>
      <c r="D95" s="88" t="s">
        <v>83</v>
      </c>
      <c r="E95" s="88" t="s">
        <v>916</v>
      </c>
      <c r="F95" s="88">
        <v>1</v>
      </c>
      <c r="G95" s="88" t="s">
        <v>605</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25">
      <c r="A96" s="88">
        <v>95</v>
      </c>
      <c r="B96" s="88" t="s">
        <v>739</v>
      </c>
      <c r="C96" s="88" t="s">
        <v>263</v>
      </c>
      <c r="D96" s="88" t="s">
        <v>883</v>
      </c>
      <c r="E96" s="88" t="s">
        <v>912</v>
      </c>
      <c r="F96" s="88">
        <v>1</v>
      </c>
      <c r="G96" s="88" t="s">
        <v>605</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25">
      <c r="A97" s="88">
        <v>96</v>
      </c>
      <c r="B97" s="88" t="s">
        <v>739</v>
      </c>
      <c r="C97" s="88" t="s">
        <v>263</v>
      </c>
      <c r="D97" s="88" t="s">
        <v>30</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25">
      <c r="A98" s="88">
        <v>97</v>
      </c>
      <c r="B98" s="88" t="s">
        <v>783</v>
      </c>
      <c r="C98" s="88" t="s">
        <v>295</v>
      </c>
      <c r="D98" s="88" t="s">
        <v>39</v>
      </c>
      <c r="E98" s="88" t="s">
        <v>915</v>
      </c>
      <c r="F98" s="88">
        <v>1</v>
      </c>
      <c r="G98" s="88" t="s">
        <v>608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25">
      <c r="A99" s="88">
        <v>98</v>
      </c>
      <c r="B99" s="88" t="s">
        <v>783</v>
      </c>
      <c r="C99" s="88" t="s">
        <v>295</v>
      </c>
      <c r="D99" s="88" t="s">
        <v>89</v>
      </c>
      <c r="E99" s="88" t="s">
        <v>874</v>
      </c>
      <c r="F99" s="88">
        <v>1</v>
      </c>
      <c r="G99" s="88" t="s">
        <v>608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25">
      <c r="A100" s="88">
        <v>99</v>
      </c>
      <c r="B100" s="88" t="s">
        <v>783</v>
      </c>
      <c r="C100" s="88" t="s">
        <v>295</v>
      </c>
      <c r="D100" s="88" t="s">
        <v>875</v>
      </c>
      <c r="E100" s="88" t="s">
        <v>876</v>
      </c>
      <c r="F100" s="88">
        <v>1</v>
      </c>
      <c r="G100" s="88" t="s">
        <v>608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25">
      <c r="A101" s="88">
        <v>100</v>
      </c>
      <c r="B101" s="88" t="s">
        <v>783</v>
      </c>
      <c r="C101" s="88" t="s">
        <v>295</v>
      </c>
      <c r="D101" s="88" t="s">
        <v>877</v>
      </c>
      <c r="E101" s="88" t="s">
        <v>878</v>
      </c>
      <c r="F101" s="88">
        <v>1</v>
      </c>
      <c r="G101" s="88" t="s">
        <v>608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25">
      <c r="A102" s="88">
        <v>101</v>
      </c>
      <c r="B102" s="88" t="s">
        <v>783</v>
      </c>
      <c r="C102" s="88" t="s">
        <v>295</v>
      </c>
      <c r="D102" s="88" t="s">
        <v>97</v>
      </c>
      <c r="E102" s="88" t="s">
        <v>879</v>
      </c>
      <c r="F102" s="88">
        <v>1</v>
      </c>
      <c r="G102" s="88" t="s">
        <v>608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25">
      <c r="A103" s="88">
        <v>102</v>
      </c>
      <c r="B103" s="88" t="s">
        <v>783</v>
      </c>
      <c r="C103" s="88" t="s">
        <v>295</v>
      </c>
      <c r="D103" s="88" t="s">
        <v>880</v>
      </c>
      <c r="E103" s="88" t="s">
        <v>881</v>
      </c>
      <c r="F103" s="88">
        <v>1</v>
      </c>
      <c r="G103" s="88" t="s">
        <v>608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25">
      <c r="A104" s="88">
        <v>103</v>
      </c>
      <c r="B104" s="88" t="s">
        <v>783</v>
      </c>
      <c r="C104" s="88" t="s">
        <v>295</v>
      </c>
      <c r="D104" s="88" t="s">
        <v>83</v>
      </c>
      <c r="E104" s="88" t="s">
        <v>916</v>
      </c>
      <c r="F104" s="88">
        <v>1</v>
      </c>
      <c r="G104" s="88" t="s">
        <v>605</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25">
      <c r="A105" s="88">
        <v>104</v>
      </c>
      <c r="B105" s="88" t="s">
        <v>783</v>
      </c>
      <c r="C105" s="88" t="s">
        <v>295</v>
      </c>
      <c r="D105" s="88" t="s">
        <v>883</v>
      </c>
      <c r="E105" s="88" t="s">
        <v>912</v>
      </c>
      <c r="F105" s="88">
        <v>1</v>
      </c>
      <c r="G105" s="88" t="s">
        <v>605</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25">
      <c r="A106" s="88">
        <v>105</v>
      </c>
      <c r="B106" s="88" t="s">
        <v>783</v>
      </c>
      <c r="C106" s="88" t="s">
        <v>295</v>
      </c>
      <c r="D106" s="88" t="s">
        <v>30</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25">
      <c r="A107" s="88">
        <v>106</v>
      </c>
      <c r="B107" s="88" t="s">
        <v>467</v>
      </c>
      <c r="C107" s="88" t="s">
        <v>294</v>
      </c>
      <c r="D107" s="88" t="s">
        <v>39</v>
      </c>
      <c r="E107" s="88" t="s">
        <v>915</v>
      </c>
      <c r="F107" s="88">
        <v>1</v>
      </c>
      <c r="G107" s="88" t="s">
        <v>608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25">
      <c r="A108" s="88">
        <v>107</v>
      </c>
      <c r="B108" s="88" t="s">
        <v>467</v>
      </c>
      <c r="C108" s="88" t="s">
        <v>294</v>
      </c>
      <c r="D108" s="88" t="s">
        <v>89</v>
      </c>
      <c r="E108" s="88" t="s">
        <v>874</v>
      </c>
      <c r="F108" s="88">
        <v>1</v>
      </c>
      <c r="G108" s="88" t="s">
        <v>608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25">
      <c r="A109" s="88">
        <v>108</v>
      </c>
      <c r="B109" s="88" t="s">
        <v>467</v>
      </c>
      <c r="C109" s="88" t="s">
        <v>294</v>
      </c>
      <c r="D109" s="88" t="s">
        <v>875</v>
      </c>
      <c r="E109" s="88" t="s">
        <v>876</v>
      </c>
      <c r="F109" s="88">
        <v>1</v>
      </c>
      <c r="G109" s="88" t="s">
        <v>608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25">
      <c r="A110" s="88">
        <v>109</v>
      </c>
      <c r="B110" s="88" t="s">
        <v>467</v>
      </c>
      <c r="C110" s="88" t="s">
        <v>294</v>
      </c>
      <c r="D110" s="88" t="s">
        <v>877</v>
      </c>
      <c r="E110" s="88" t="s">
        <v>878</v>
      </c>
      <c r="F110" s="88">
        <v>1</v>
      </c>
      <c r="G110" s="88" t="s">
        <v>608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25">
      <c r="A111" s="88">
        <v>110</v>
      </c>
      <c r="B111" s="88" t="s">
        <v>467</v>
      </c>
      <c r="C111" s="88" t="s">
        <v>294</v>
      </c>
      <c r="D111" s="88" t="s">
        <v>97</v>
      </c>
      <c r="E111" s="88" t="s">
        <v>879</v>
      </c>
      <c r="F111" s="88">
        <v>1</v>
      </c>
      <c r="G111" s="88" t="s">
        <v>608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25">
      <c r="A112" s="88">
        <v>111</v>
      </c>
      <c r="B112" s="88" t="s">
        <v>467</v>
      </c>
      <c r="C112" s="88" t="s">
        <v>294</v>
      </c>
      <c r="D112" s="88" t="s">
        <v>880</v>
      </c>
      <c r="E112" s="88" t="s">
        <v>881</v>
      </c>
      <c r="F112" s="88">
        <v>1</v>
      </c>
      <c r="G112" s="88" t="s">
        <v>608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25">
      <c r="A113" s="88">
        <v>112</v>
      </c>
      <c r="B113" s="88" t="s">
        <v>467</v>
      </c>
      <c r="C113" s="88" t="s">
        <v>294</v>
      </c>
      <c r="D113" s="88" t="s">
        <v>83</v>
      </c>
      <c r="E113" s="88" t="s">
        <v>916</v>
      </c>
      <c r="F113" s="88">
        <v>1</v>
      </c>
      <c r="G113" s="88" t="s">
        <v>605</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25">
      <c r="A114" s="88">
        <v>113</v>
      </c>
      <c r="B114" s="88" t="s">
        <v>467</v>
      </c>
      <c r="C114" s="88" t="s">
        <v>294</v>
      </c>
      <c r="D114" s="88" t="s">
        <v>883</v>
      </c>
      <c r="E114" s="88" t="s">
        <v>884</v>
      </c>
      <c r="F114" s="88">
        <v>1</v>
      </c>
      <c r="G114" s="88" t="s">
        <v>605</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25">
      <c r="A115" s="88">
        <v>114</v>
      </c>
      <c r="B115" s="88" t="s">
        <v>467</v>
      </c>
      <c r="C115" s="88" t="s">
        <v>294</v>
      </c>
      <c r="D115" s="88" t="s">
        <v>30</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25">
      <c r="A116" s="88">
        <v>115</v>
      </c>
      <c r="B116" s="39" t="s">
        <v>471</v>
      </c>
      <c r="C116" s="88" t="s">
        <v>294</v>
      </c>
      <c r="D116" s="88" t="s">
        <v>39</v>
      </c>
      <c r="E116" s="88" t="s">
        <v>915</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25">
      <c r="A117" s="88">
        <v>116</v>
      </c>
      <c r="B117" s="39" t="s">
        <v>471</v>
      </c>
      <c r="C117" s="88" t="s">
        <v>294</v>
      </c>
      <c r="D117" s="88" t="s">
        <v>89</v>
      </c>
      <c r="E117" s="88" t="s">
        <v>874</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25">
      <c r="A118" s="88">
        <v>117</v>
      </c>
      <c r="B118" s="39" t="s">
        <v>471</v>
      </c>
      <c r="C118" s="88" t="s">
        <v>294</v>
      </c>
      <c r="D118" s="88" t="s">
        <v>875</v>
      </c>
      <c r="E118" s="88" t="s">
        <v>876</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25">
      <c r="A119" s="88">
        <v>118</v>
      </c>
      <c r="B119" s="39" t="s">
        <v>471</v>
      </c>
      <c r="C119" s="88" t="s">
        <v>294</v>
      </c>
      <c r="D119" s="88" t="s">
        <v>877</v>
      </c>
      <c r="E119" s="88" t="s">
        <v>878</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25">
      <c r="A120" s="88">
        <v>119</v>
      </c>
      <c r="B120" s="39" t="s">
        <v>471</v>
      </c>
      <c r="C120" s="88" t="s">
        <v>294</v>
      </c>
      <c r="D120" s="88" t="s">
        <v>97</v>
      </c>
      <c r="E120" s="88" t="s">
        <v>879</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25">
      <c r="A121" s="88">
        <v>120</v>
      </c>
      <c r="B121" s="39" t="s">
        <v>471</v>
      </c>
      <c r="C121" s="88" t="s">
        <v>294</v>
      </c>
      <c r="D121" s="88" t="s">
        <v>880</v>
      </c>
      <c r="E121" s="88" t="s">
        <v>881</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25">
      <c r="A122" s="88">
        <v>121</v>
      </c>
      <c r="B122" s="39" t="s">
        <v>471</v>
      </c>
      <c r="C122" s="88" t="s">
        <v>294</v>
      </c>
      <c r="D122" s="88" t="s">
        <v>83</v>
      </c>
      <c r="E122" s="88" t="s">
        <v>917</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25">
      <c r="A123" s="88">
        <v>122</v>
      </c>
      <c r="B123" s="39" t="s">
        <v>471</v>
      </c>
      <c r="C123" s="88" t="s">
        <v>294</v>
      </c>
      <c r="D123" s="88" t="s">
        <v>883</v>
      </c>
      <c r="E123" s="88" t="s">
        <v>912</v>
      </c>
      <c r="F123" s="88">
        <v>1</v>
      </c>
      <c r="G123" s="88" t="s">
        <v>605</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25">
      <c r="A124" s="88">
        <v>123</v>
      </c>
      <c r="B124" s="39" t="s">
        <v>471</v>
      </c>
      <c r="C124" s="88" t="s">
        <v>294</v>
      </c>
      <c r="D124" s="88" t="s">
        <v>30</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25">
      <c r="A125" s="88">
        <v>124</v>
      </c>
      <c r="B125" s="88" t="s">
        <v>455</v>
      </c>
      <c r="C125" s="88" t="s">
        <v>294</v>
      </c>
      <c r="D125" s="88" t="s">
        <v>30</v>
      </c>
      <c r="E125" s="88" t="s">
        <v>914</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25">
      <c r="A126" s="88">
        <v>125</v>
      </c>
      <c r="B126" s="88" t="s">
        <v>456</v>
      </c>
      <c r="C126" s="88" t="s">
        <v>294</v>
      </c>
      <c r="D126" s="88" t="s">
        <v>30</v>
      </c>
      <c r="E126" s="88" t="s">
        <v>914</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25">
      <c r="A127" s="88">
        <v>126</v>
      </c>
      <c r="B127" s="88" t="s">
        <v>459</v>
      </c>
      <c r="C127" s="88" t="s">
        <v>294</v>
      </c>
      <c r="D127" s="88" t="s">
        <v>30</v>
      </c>
      <c r="E127" s="88" t="s">
        <v>914</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25">
      <c r="A128" s="88">
        <v>127</v>
      </c>
      <c r="B128" s="88" t="s">
        <v>460</v>
      </c>
      <c r="C128" s="88" t="s">
        <v>294</v>
      </c>
      <c r="D128" s="88" t="s">
        <v>30</v>
      </c>
      <c r="E128" s="88" t="s">
        <v>914</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25">
      <c r="A129" s="88">
        <v>128</v>
      </c>
      <c r="B129" s="88" t="s">
        <v>459</v>
      </c>
      <c r="C129" s="88" t="s">
        <v>294</v>
      </c>
      <c r="D129" s="88" t="s">
        <v>30</v>
      </c>
      <c r="E129" s="88" t="s">
        <v>914</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25">
      <c r="A130" s="88">
        <v>129</v>
      </c>
      <c r="B130" s="88" t="s">
        <v>118</v>
      </c>
      <c r="C130" s="88" t="s">
        <v>263</v>
      </c>
      <c r="D130" s="88" t="s">
        <v>30</v>
      </c>
      <c r="E130" s="88" t="s">
        <v>914</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2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2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2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2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2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2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2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5" x14ac:dyDescent="0.25"/>
  <cols>
    <col min="1" max="1" width="50.28515625" customWidth="1"/>
    <col min="2" max="2" width="14.140625" customWidth="1"/>
    <col min="4" max="4" width="21.85546875" customWidth="1"/>
    <col min="5" max="5" width="19.140625" bestFit="1" customWidth="1"/>
    <col min="6" max="6" width="21.7109375" customWidth="1"/>
    <col min="7" max="7" width="24.140625" customWidth="1"/>
    <col min="8" max="8" width="35.42578125" customWidth="1"/>
    <col min="9" max="9" width="19.28515625" customWidth="1"/>
    <col min="10" max="10" width="23.5703125" customWidth="1"/>
    <col min="11" max="11" width="20.5703125" customWidth="1"/>
    <col min="12" max="12" width="23.85546875" customWidth="1"/>
    <col min="13" max="13" width="21.140625" bestFit="1" customWidth="1"/>
    <col min="14" max="14" width="23.42578125" customWidth="1"/>
    <col min="15" max="15" width="25.7109375" customWidth="1"/>
    <col min="16" max="16" width="24.140625" customWidth="1"/>
    <col min="17" max="17" width="22.85546875" customWidth="1"/>
    <col min="18" max="18" width="24.140625" customWidth="1"/>
    <col min="19" max="20" width="25.42578125" customWidth="1"/>
    <col min="21" max="21" width="28.28515625" customWidth="1"/>
    <col min="22" max="22" width="26.7109375" customWidth="1"/>
    <col min="23" max="23" width="25.85546875" customWidth="1"/>
  </cols>
  <sheetData>
    <row r="1" spans="1:8" ht="18.75" x14ac:dyDescent="0.3">
      <c r="A1" s="72" t="s">
        <v>918</v>
      </c>
    </row>
    <row r="3" spans="1:8" ht="18.75" x14ac:dyDescent="0.3">
      <c r="A3" s="72" t="s">
        <v>919</v>
      </c>
    </row>
    <row r="5" spans="1:8" ht="18.75" x14ac:dyDescent="0.3">
      <c r="A5" s="72" t="s">
        <v>920</v>
      </c>
    </row>
    <row r="7" spans="1:8" ht="18.75" x14ac:dyDescent="0.3">
      <c r="A7" s="72" t="s">
        <v>921</v>
      </c>
    </row>
    <row r="8" spans="1:8" ht="18.75" x14ac:dyDescent="0.3">
      <c r="A8" s="72"/>
    </row>
    <row r="9" spans="1:8" ht="18.75" x14ac:dyDescent="0.3">
      <c r="A9" s="72" t="s">
        <v>922</v>
      </c>
    </row>
    <row r="10" spans="1:8" ht="18.75" x14ac:dyDescent="0.3">
      <c r="A10" s="72"/>
    </row>
    <row r="11" spans="1:8" ht="18.75" x14ac:dyDescent="0.3">
      <c r="A11" s="72" t="s">
        <v>923</v>
      </c>
    </row>
    <row r="12" spans="1:8" ht="18.75" x14ac:dyDescent="0.3">
      <c r="A12" s="72"/>
    </row>
    <row r="13" spans="1:8" ht="18.75" x14ac:dyDescent="0.3">
      <c r="A13" s="72" t="s">
        <v>924</v>
      </c>
    </row>
    <row r="14" spans="1:8" ht="18.75" x14ac:dyDescent="0.3">
      <c r="A14" s="72"/>
    </row>
    <row r="16" spans="1:8" ht="15.75" x14ac:dyDescent="0.25">
      <c r="A16" s="81" t="s">
        <v>925</v>
      </c>
      <c r="H16" s="81" t="s">
        <v>926</v>
      </c>
    </row>
    <row r="17" spans="1:12" ht="18.75" x14ac:dyDescent="0.3">
      <c r="A17" s="72"/>
      <c r="H17" s="72"/>
    </row>
    <row r="18" spans="1:12" ht="15.75" x14ac:dyDescent="0.25">
      <c r="A18" s="307" t="s">
        <v>927</v>
      </c>
      <c r="B18" s="62" t="s">
        <v>499</v>
      </c>
      <c r="C18" s="62" t="s">
        <v>165</v>
      </c>
      <c r="H18" s="307" t="s">
        <v>927</v>
      </c>
      <c r="I18" s="62" t="s">
        <v>499</v>
      </c>
      <c r="J18" s="62" t="s">
        <v>165</v>
      </c>
    </row>
    <row r="19" spans="1:12" x14ac:dyDescent="0.25">
      <c r="A19" s="1" t="s">
        <v>928</v>
      </c>
      <c r="B19" s="96">
        <v>4.5863800000000003E-2</v>
      </c>
      <c r="C19" s="1" t="s">
        <v>929</v>
      </c>
      <c r="H19" s="1" t="s">
        <v>930</v>
      </c>
      <c r="I19" s="96">
        <v>-2.2165834196891199E-5</v>
      </c>
      <c r="J19" s="1" t="s">
        <v>929</v>
      </c>
    </row>
    <row r="20" spans="1:12" x14ac:dyDescent="0.25">
      <c r="A20" s="1" t="s">
        <v>931</v>
      </c>
      <c r="B20" s="96">
        <v>3.1800000000000002E-7</v>
      </c>
      <c r="C20" s="1" t="s">
        <v>932</v>
      </c>
      <c r="H20" s="1" t="s">
        <v>933</v>
      </c>
      <c r="I20" s="96">
        <v>3.6646053999999997E-2</v>
      </c>
      <c r="J20" s="1" t="s">
        <v>929</v>
      </c>
    </row>
    <row r="21" spans="1:12" x14ac:dyDescent="0.25">
      <c r="A21" s="1" t="s">
        <v>934</v>
      </c>
      <c r="B21" s="96">
        <v>3.1800000000000002E-7</v>
      </c>
      <c r="C21" s="1" t="s">
        <v>932</v>
      </c>
      <c r="H21" s="1" t="s">
        <v>935</v>
      </c>
      <c r="I21" s="96">
        <v>3.2000000000000001E-7</v>
      </c>
      <c r="J21" s="1" t="s">
        <v>932</v>
      </c>
    </row>
    <row r="22" spans="1:12" x14ac:dyDescent="0.25">
      <c r="A22" s="1" t="s">
        <v>936</v>
      </c>
      <c r="B22" s="96">
        <v>1.99E-3</v>
      </c>
      <c r="C22" s="1" t="s">
        <v>937</v>
      </c>
      <c r="H22" s="1" t="s">
        <v>938</v>
      </c>
      <c r="I22" s="96">
        <v>3.2000000000000001E-7</v>
      </c>
      <c r="J22" s="1" t="s">
        <v>932</v>
      </c>
    </row>
    <row r="23" spans="1:12" x14ac:dyDescent="0.25">
      <c r="A23" s="1" t="s">
        <v>939</v>
      </c>
      <c r="B23" s="96">
        <v>3.1800000000000002E-7</v>
      </c>
      <c r="C23" s="1" t="s">
        <v>937</v>
      </c>
      <c r="H23" s="1" t="s">
        <v>940</v>
      </c>
      <c r="I23" s="96">
        <v>1.0499999999999999E-3</v>
      </c>
      <c r="J23" s="1" t="s">
        <v>937</v>
      </c>
    </row>
    <row r="24" spans="1:12" x14ac:dyDescent="0.25">
      <c r="H24" s="1" t="s">
        <v>941</v>
      </c>
      <c r="I24" s="96">
        <v>2.2318502041788099E-4</v>
      </c>
      <c r="J24" s="1" t="s">
        <v>937</v>
      </c>
    </row>
    <row r="25" spans="1:12" x14ac:dyDescent="0.25">
      <c r="H25" s="1" t="s">
        <v>942</v>
      </c>
      <c r="I25" s="96">
        <v>-1.9084974093264199E-5</v>
      </c>
      <c r="J25" s="1" t="s">
        <v>929</v>
      </c>
    </row>
    <row r="26" spans="1:12" x14ac:dyDescent="0.25">
      <c r="H26" s="1" t="s">
        <v>943</v>
      </c>
      <c r="I26" s="96">
        <v>-2.1961352331606199E-4</v>
      </c>
      <c r="J26" s="1" t="s">
        <v>929</v>
      </c>
    </row>
    <row r="29" spans="1:12" ht="15.75" x14ac:dyDescent="0.25">
      <c r="A29" s="307" t="s">
        <v>944</v>
      </c>
      <c r="B29" s="62" t="s">
        <v>499</v>
      </c>
      <c r="C29" s="62" t="s">
        <v>165</v>
      </c>
      <c r="D29" s="62" t="s">
        <v>945</v>
      </c>
      <c r="E29" s="62" t="s">
        <v>946</v>
      </c>
      <c r="H29" s="307" t="s">
        <v>944</v>
      </c>
      <c r="I29" s="62" t="s">
        <v>499</v>
      </c>
      <c r="J29" s="62" t="s">
        <v>165</v>
      </c>
      <c r="K29" s="62" t="s">
        <v>945</v>
      </c>
      <c r="L29" s="62" t="s">
        <v>946</v>
      </c>
    </row>
    <row r="30" spans="1:12" x14ac:dyDescent="0.25">
      <c r="A30" s="1" t="s">
        <v>947</v>
      </c>
      <c r="B30" s="96">
        <v>3.9387999999999998E-7</v>
      </c>
      <c r="C30" s="1" t="s">
        <v>929</v>
      </c>
      <c r="D30" s="1" t="s">
        <v>948</v>
      </c>
      <c r="E30" s="154">
        <f>B30/$B$19</f>
        <v>8.5880367522970181E-6</v>
      </c>
      <c r="H30" s="1" t="s">
        <v>949</v>
      </c>
      <c r="I30" s="96">
        <v>1.50635E-7</v>
      </c>
      <c r="J30" s="1" t="s">
        <v>929</v>
      </c>
      <c r="K30" s="1" t="s">
        <v>948</v>
      </c>
      <c r="L30" s="154">
        <f>I30/$I$20</f>
        <v>4.1105380677548529E-6</v>
      </c>
    </row>
    <row r="31" spans="1:12" x14ac:dyDescent="0.25">
      <c r="A31" s="1" t="s">
        <v>950</v>
      </c>
      <c r="B31" s="96">
        <v>8.6000000000000002E-7</v>
      </c>
      <c r="C31" s="1" t="s">
        <v>929</v>
      </c>
      <c r="D31" s="1" t="s">
        <v>948</v>
      </c>
      <c r="E31" s="154">
        <f t="shared" ref="E31:E62" si="0">B31/$B$19</f>
        <v>1.8751171948246766E-5</v>
      </c>
      <c r="H31" s="1" t="s">
        <v>951</v>
      </c>
      <c r="I31" s="96">
        <v>5.8342299999999997E-8</v>
      </c>
      <c r="J31" s="1" t="s">
        <v>929</v>
      </c>
      <c r="K31" s="1" t="s">
        <v>948</v>
      </c>
      <c r="L31" s="154">
        <f t="shared" ref="L31:L63" si="1">I31/$I$20</f>
        <v>1.5920486282097385E-6</v>
      </c>
    </row>
    <row r="32" spans="1:12" x14ac:dyDescent="0.25">
      <c r="A32" s="1" t="s">
        <v>952</v>
      </c>
      <c r="B32" s="96">
        <v>2.002424E-7</v>
      </c>
      <c r="C32" s="1" t="s">
        <v>929</v>
      </c>
      <c r="D32" s="1" t="s">
        <v>948</v>
      </c>
      <c r="E32" s="154">
        <f t="shared" si="0"/>
        <v>4.3660228764297767E-6</v>
      </c>
      <c r="H32" s="1" t="s">
        <v>950</v>
      </c>
      <c r="I32" s="96">
        <v>5.1845699999999997E-7</v>
      </c>
      <c r="J32" s="1" t="s">
        <v>929</v>
      </c>
      <c r="K32" s="1" t="s">
        <v>948</v>
      </c>
      <c r="L32" s="154">
        <f t="shared" si="1"/>
        <v>1.4147689680313194E-5</v>
      </c>
    </row>
    <row r="33" spans="1:12" x14ac:dyDescent="0.25">
      <c r="A33" s="1" t="s">
        <v>953</v>
      </c>
      <c r="B33" s="96">
        <v>7.2411999999999998E-10</v>
      </c>
      <c r="C33" s="1" t="s">
        <v>929</v>
      </c>
      <c r="D33" s="1" t="s">
        <v>948</v>
      </c>
      <c r="E33" s="154">
        <f t="shared" si="0"/>
        <v>1.5788486780423773E-8</v>
      </c>
      <c r="H33" s="1" t="s">
        <v>954</v>
      </c>
      <c r="I33" s="96">
        <v>3.6646099999999997E-12</v>
      </c>
      <c r="J33" s="1" t="s">
        <v>929</v>
      </c>
      <c r="K33" s="1" t="s">
        <v>948</v>
      </c>
      <c r="L33" s="154">
        <f t="shared" si="1"/>
        <v>1.0000012552511111E-10</v>
      </c>
    </row>
    <row r="34" spans="1:12" x14ac:dyDescent="0.25">
      <c r="A34" s="1" t="s">
        <v>955</v>
      </c>
      <c r="B34" s="96">
        <v>6.8270240000000001E-3</v>
      </c>
      <c r="C34" s="1" t="s">
        <v>929</v>
      </c>
      <c r="D34" s="1" t="s">
        <v>948</v>
      </c>
      <c r="E34" s="154">
        <f t="shared" si="0"/>
        <v>0.14885430339396211</v>
      </c>
      <c r="H34" s="1" t="s">
        <v>956</v>
      </c>
      <c r="I34" s="96">
        <v>4.5157599999999998E-8</v>
      </c>
      <c r="J34" s="1" t="s">
        <v>929</v>
      </c>
      <c r="K34" s="1" t="s">
        <v>948</v>
      </c>
      <c r="L34" s="154">
        <f t="shared" si="1"/>
        <v>1.2322636429013613E-6</v>
      </c>
    </row>
    <row r="35" spans="1:12" x14ac:dyDescent="0.25">
      <c r="A35" s="1" t="s">
        <v>957</v>
      </c>
      <c r="B35" s="96">
        <v>0.12288712</v>
      </c>
      <c r="C35" s="1" t="s">
        <v>929</v>
      </c>
      <c r="D35" s="1" t="s">
        <v>948</v>
      </c>
      <c r="E35" s="154">
        <f t="shared" si="0"/>
        <v>2.6793924620288765</v>
      </c>
      <c r="H35" s="1" t="s">
        <v>952</v>
      </c>
      <c r="I35" s="96">
        <v>2.3073199999999998E-9</v>
      </c>
      <c r="J35" s="1" t="s">
        <v>929</v>
      </c>
      <c r="K35" s="1" t="s">
        <v>948</v>
      </c>
      <c r="L35" s="154">
        <f t="shared" si="1"/>
        <v>6.2962304208796939E-8</v>
      </c>
    </row>
    <row r="36" spans="1:12" x14ac:dyDescent="0.25">
      <c r="A36" s="1" t="s">
        <v>958</v>
      </c>
      <c r="B36" s="96">
        <v>8.5886480000000007E-6</v>
      </c>
      <c r="C36" s="1" t="s">
        <v>929</v>
      </c>
      <c r="D36" s="1" t="s">
        <v>948</v>
      </c>
      <c r="E36" s="154">
        <f t="shared" si="0"/>
        <v>1.8726420401275079E-4</v>
      </c>
      <c r="H36" s="1" t="s">
        <v>959</v>
      </c>
      <c r="I36" s="96">
        <v>4.9442599999999996E-9</v>
      </c>
      <c r="J36" s="1" t="s">
        <v>929</v>
      </c>
      <c r="K36" s="1" t="s">
        <v>948</v>
      </c>
      <c r="L36" s="154">
        <f t="shared" si="1"/>
        <v>1.3491930127047239E-7</v>
      </c>
    </row>
    <row r="37" spans="1:12" x14ac:dyDescent="0.25">
      <c r="A37" s="1" t="s">
        <v>960</v>
      </c>
      <c r="B37" s="96">
        <v>1.5459531999999999E-4</v>
      </c>
      <c r="C37" s="1" t="s">
        <v>929</v>
      </c>
      <c r="D37" s="1" t="s">
        <v>948</v>
      </c>
      <c r="E37" s="154">
        <f t="shared" si="0"/>
        <v>3.3707481717607343E-3</v>
      </c>
      <c r="H37" s="1" t="s">
        <v>953</v>
      </c>
      <c r="I37" s="96">
        <v>3.18821E-10</v>
      </c>
      <c r="J37" s="1" t="s">
        <v>929</v>
      </c>
      <c r="K37" s="1" t="s">
        <v>948</v>
      </c>
      <c r="L37" s="154">
        <f t="shared" si="1"/>
        <v>8.7000090105199322E-9</v>
      </c>
    </row>
    <row r="38" spans="1:12" x14ac:dyDescent="0.25">
      <c r="A38" s="1" t="s">
        <v>961</v>
      </c>
      <c r="B38" s="96">
        <v>6.5188000000000003E-9</v>
      </c>
      <c r="C38" s="1" t="s">
        <v>929</v>
      </c>
      <c r="D38" s="1" t="s">
        <v>948</v>
      </c>
      <c r="E38" s="154">
        <f t="shared" si="0"/>
        <v>1.4213388336771047E-7</v>
      </c>
      <c r="H38" s="1" t="s">
        <v>955</v>
      </c>
      <c r="I38" s="96">
        <v>0.114797235</v>
      </c>
      <c r="J38" s="1" t="s">
        <v>929</v>
      </c>
      <c r="K38" s="1" t="s">
        <v>948</v>
      </c>
      <c r="L38" s="154">
        <f t="shared" si="1"/>
        <v>3.1325947126531006</v>
      </c>
    </row>
    <row r="39" spans="1:12" x14ac:dyDescent="0.25">
      <c r="A39" s="1" t="s">
        <v>962</v>
      </c>
      <c r="B39" s="96">
        <v>1.0853200000000001E-8</v>
      </c>
      <c r="C39" s="1" t="s">
        <v>929</v>
      </c>
      <c r="D39" s="1" t="s">
        <v>948</v>
      </c>
      <c r="E39" s="154">
        <f t="shared" si="0"/>
        <v>2.3663978998687418E-7</v>
      </c>
      <c r="H39" s="1" t="s">
        <v>958</v>
      </c>
      <c r="I39" s="96">
        <v>1.12649E-4</v>
      </c>
      <c r="J39" s="1" t="s">
        <v>929</v>
      </c>
      <c r="K39" s="1" t="s">
        <v>948</v>
      </c>
      <c r="L39" s="154">
        <f t="shared" si="1"/>
        <v>3.0739735306835494E-3</v>
      </c>
    </row>
    <row r="40" spans="1:12" x14ac:dyDescent="0.25">
      <c r="A40" s="1" t="s">
        <v>963</v>
      </c>
      <c r="B40" s="96">
        <v>1.2106220000000001E-6</v>
      </c>
      <c r="C40" s="1" t="s">
        <v>929</v>
      </c>
      <c r="D40" s="1" t="s">
        <v>948</v>
      </c>
      <c r="E40" s="154">
        <f t="shared" si="0"/>
        <v>2.6396024751546972E-5</v>
      </c>
      <c r="H40" s="1" t="s">
        <v>961</v>
      </c>
      <c r="I40" s="96">
        <v>1.09938E-9</v>
      </c>
      <c r="J40" s="1" t="s">
        <v>929</v>
      </c>
      <c r="K40" s="1" t="s">
        <v>948</v>
      </c>
      <c r="L40" s="154">
        <f t="shared" si="1"/>
        <v>2.9999955793330436E-8</v>
      </c>
    </row>
    <row r="41" spans="1:12" x14ac:dyDescent="0.25">
      <c r="A41" s="1" t="s">
        <v>964</v>
      </c>
      <c r="B41" s="96">
        <v>3.6119999999999999E-9</v>
      </c>
      <c r="C41" s="1" t="s">
        <v>929</v>
      </c>
      <c r="D41" s="1" t="s">
        <v>948</v>
      </c>
      <c r="E41" s="154">
        <f t="shared" si="0"/>
        <v>7.8754922182636411E-8</v>
      </c>
      <c r="H41" s="1" t="s">
        <v>965</v>
      </c>
      <c r="I41" s="96">
        <v>2.1987599999999998E-12</v>
      </c>
      <c r="J41" s="1" t="s">
        <v>929</v>
      </c>
      <c r="K41" s="1" t="s">
        <v>948</v>
      </c>
      <c r="L41" s="154">
        <f t="shared" si="1"/>
        <v>5.9999911586660873E-11</v>
      </c>
    </row>
    <row r="42" spans="1:12" x14ac:dyDescent="0.25">
      <c r="A42" s="1" t="s">
        <v>966</v>
      </c>
      <c r="B42" s="96">
        <v>3.64554E-8</v>
      </c>
      <c r="C42" s="1" t="s">
        <v>929</v>
      </c>
      <c r="D42" s="1" t="s">
        <v>948</v>
      </c>
      <c r="E42" s="154">
        <f t="shared" si="0"/>
        <v>7.9486217888618029E-7</v>
      </c>
      <c r="H42" s="1" t="s">
        <v>962</v>
      </c>
      <c r="I42" s="96">
        <v>7.7689600000000004E-10</v>
      </c>
      <c r="J42" s="1" t="s">
        <v>929</v>
      </c>
      <c r="K42" s="1" t="s">
        <v>948</v>
      </c>
      <c r="L42" s="154">
        <f t="shared" si="1"/>
        <v>2.1199990591074283E-8</v>
      </c>
    </row>
    <row r="43" spans="1:12" x14ac:dyDescent="0.25">
      <c r="A43" s="1" t="s">
        <v>967</v>
      </c>
      <c r="B43" s="96">
        <v>6.5619719999999997E-7</v>
      </c>
      <c r="C43" s="1" t="s">
        <v>929</v>
      </c>
      <c r="D43" s="1" t="s">
        <v>948</v>
      </c>
      <c r="E43" s="154">
        <f t="shared" si="0"/>
        <v>1.4307519219951244E-5</v>
      </c>
      <c r="H43" s="1" t="s">
        <v>963</v>
      </c>
      <c r="I43" s="96">
        <v>6.1386900000000003E-6</v>
      </c>
      <c r="J43" s="1" t="s">
        <v>929</v>
      </c>
      <c r="K43" s="1" t="s">
        <v>948</v>
      </c>
      <c r="L43" s="154">
        <f t="shared" si="1"/>
        <v>1.6751298789222983E-4</v>
      </c>
    </row>
    <row r="44" spans="1:12" x14ac:dyDescent="0.25">
      <c r="A44" s="1" t="s">
        <v>968</v>
      </c>
      <c r="B44" s="96">
        <v>2.7980959999999999E-5</v>
      </c>
      <c r="C44" s="1" t="s">
        <v>929</v>
      </c>
      <c r="D44" s="1" t="s">
        <v>948</v>
      </c>
      <c r="E44" s="154">
        <f t="shared" si="0"/>
        <v>6.1008813050815675E-4</v>
      </c>
      <c r="H44" s="1" t="s">
        <v>969</v>
      </c>
      <c r="I44" s="96">
        <v>9.8885199999999997E-10</v>
      </c>
      <c r="J44" s="1" t="s">
        <v>929</v>
      </c>
      <c r="K44" s="1" t="s">
        <v>948</v>
      </c>
      <c r="L44" s="154">
        <f t="shared" si="1"/>
        <v>2.6983860254094479E-8</v>
      </c>
    </row>
    <row r="45" spans="1:12" x14ac:dyDescent="0.25">
      <c r="A45" s="1" t="s">
        <v>970</v>
      </c>
      <c r="B45" s="96">
        <v>5.7964000000000004E-9</v>
      </c>
      <c r="C45" s="1" t="s">
        <v>929</v>
      </c>
      <c r="D45" s="1" t="s">
        <v>948</v>
      </c>
      <c r="E45" s="154">
        <f t="shared" si="0"/>
        <v>1.2638289893118321E-7</v>
      </c>
      <c r="H45" s="1" t="s">
        <v>971</v>
      </c>
      <c r="I45" s="96">
        <v>2.76879E-7</v>
      </c>
      <c r="J45" s="1" t="s">
        <v>929</v>
      </c>
      <c r="K45" s="1" t="s">
        <v>948</v>
      </c>
      <c r="L45" s="154">
        <f t="shared" si="1"/>
        <v>7.5554928778962128E-6</v>
      </c>
    </row>
    <row r="46" spans="1:12" x14ac:dyDescent="0.25">
      <c r="A46" s="1" t="s">
        <v>972</v>
      </c>
      <c r="B46" s="96">
        <v>1.2026928000000001E-3</v>
      </c>
      <c r="C46" s="1" t="s">
        <v>929</v>
      </c>
      <c r="D46" s="1" t="s">
        <v>948</v>
      </c>
      <c r="E46" s="154">
        <f t="shared" si="0"/>
        <v>2.6223138946184135E-2</v>
      </c>
      <c r="H46" s="1" t="s">
        <v>973</v>
      </c>
      <c r="I46" s="96">
        <v>9.8885199999999993E-9</v>
      </c>
      <c r="J46" s="1" t="s">
        <v>929</v>
      </c>
      <c r="K46" s="1" t="s">
        <v>948</v>
      </c>
      <c r="L46" s="154">
        <f t="shared" si="1"/>
        <v>2.6983860254094478E-7</v>
      </c>
    </row>
    <row r="47" spans="1:12" x14ac:dyDescent="0.25">
      <c r="A47" s="1" t="s">
        <v>974</v>
      </c>
      <c r="B47" s="96">
        <v>2.3039399999999998E-5</v>
      </c>
      <c r="C47" s="1" t="s">
        <v>929</v>
      </c>
      <c r="D47" s="1" t="s">
        <v>948</v>
      </c>
      <c r="E47" s="154">
        <f t="shared" si="0"/>
        <v>5.0234389649353082E-4</v>
      </c>
      <c r="H47" s="1" t="s">
        <v>964</v>
      </c>
      <c r="I47" s="96">
        <v>1.9092600000000001E-9</v>
      </c>
      <c r="J47" s="1" t="s">
        <v>929</v>
      </c>
      <c r="K47" s="1" t="s">
        <v>948</v>
      </c>
      <c r="L47" s="154">
        <f t="shared" si="1"/>
        <v>5.2100016007180479E-8</v>
      </c>
    </row>
    <row r="48" spans="1:12" x14ac:dyDescent="0.25">
      <c r="A48" s="1" t="s">
        <v>975</v>
      </c>
      <c r="B48" s="96">
        <v>7.3607400000000003E-5</v>
      </c>
      <c r="C48" s="1" t="s">
        <v>929</v>
      </c>
      <c r="D48" s="1" t="s">
        <v>948</v>
      </c>
      <c r="E48" s="154">
        <f t="shared" si="0"/>
        <v>1.6049128070504406E-3</v>
      </c>
      <c r="H48" s="1" t="s">
        <v>976</v>
      </c>
      <c r="I48" s="96">
        <v>1.9422400000000001E-10</v>
      </c>
      <c r="J48" s="1" t="s">
        <v>929</v>
      </c>
      <c r="K48" s="1" t="s">
        <v>948</v>
      </c>
      <c r="L48" s="154">
        <f t="shared" si="1"/>
        <v>5.2999976477685707E-9</v>
      </c>
    </row>
    <row r="49" spans="1:12" x14ac:dyDescent="0.25">
      <c r="A49" s="1" t="s">
        <v>977</v>
      </c>
      <c r="B49" s="96">
        <v>1.3669184000000001E-5</v>
      </c>
      <c r="C49" s="1" t="s">
        <v>929</v>
      </c>
      <c r="D49" s="1" t="s">
        <v>948</v>
      </c>
      <c r="E49" s="154">
        <f t="shared" si="0"/>
        <v>2.9803862741421339E-4</v>
      </c>
      <c r="H49" s="1" t="s">
        <v>966</v>
      </c>
      <c r="I49" s="96">
        <v>8.1053500000000005E-8</v>
      </c>
      <c r="J49" s="1" t="s">
        <v>929</v>
      </c>
      <c r="K49" s="1" t="s">
        <v>948</v>
      </c>
      <c r="L49" s="154">
        <f t="shared" si="1"/>
        <v>2.2117933898149035E-6</v>
      </c>
    </row>
    <row r="50" spans="1:12" x14ac:dyDescent="0.25">
      <c r="A50" s="1" t="s">
        <v>978</v>
      </c>
      <c r="B50" s="96">
        <v>5.8136000000000001E-7</v>
      </c>
      <c r="C50" s="1" t="s">
        <v>929</v>
      </c>
      <c r="D50" s="1" t="s">
        <v>948</v>
      </c>
      <c r="E50" s="154">
        <f t="shared" si="0"/>
        <v>1.2675792237014812E-5</v>
      </c>
      <c r="H50" s="1" t="s">
        <v>968</v>
      </c>
      <c r="I50" s="96">
        <v>2.6774800000000001E-6</v>
      </c>
      <c r="J50" s="1" t="s">
        <v>929</v>
      </c>
      <c r="K50" s="1" t="s">
        <v>948</v>
      </c>
      <c r="L50" s="154">
        <f t="shared" si="1"/>
        <v>7.3063255323479036E-5</v>
      </c>
    </row>
    <row r="51" spans="1:12" x14ac:dyDescent="0.25">
      <c r="A51" s="1" t="s">
        <v>953</v>
      </c>
      <c r="B51" s="96">
        <v>1.7888000000000001E-9</v>
      </c>
      <c r="C51" s="1" t="s">
        <v>929</v>
      </c>
      <c r="D51" s="1" t="s">
        <v>979</v>
      </c>
      <c r="E51" s="154">
        <f t="shared" si="0"/>
        <v>3.9002437652353268E-8</v>
      </c>
      <c r="H51" s="1" t="s">
        <v>970</v>
      </c>
      <c r="I51" s="96">
        <v>3.22485E-10</v>
      </c>
      <c r="J51" s="1" t="s">
        <v>929</v>
      </c>
      <c r="K51" s="1" t="s">
        <v>948</v>
      </c>
      <c r="L51" s="154">
        <f t="shared" si="1"/>
        <v>8.7999924903237887E-9</v>
      </c>
    </row>
    <row r="52" spans="1:12" x14ac:dyDescent="0.25">
      <c r="A52" s="1" t="s">
        <v>961</v>
      </c>
      <c r="B52" s="96">
        <v>1.6099200000000002E-8</v>
      </c>
      <c r="C52" s="1" t="s">
        <v>929</v>
      </c>
      <c r="D52" s="1" t="s">
        <v>979</v>
      </c>
      <c r="E52" s="154">
        <f t="shared" si="0"/>
        <v>3.5102193887117944E-7</v>
      </c>
      <c r="H52" s="1" t="s">
        <v>972</v>
      </c>
      <c r="I52" s="96">
        <v>5.2243200000000002E-5</v>
      </c>
      <c r="J52" s="1" t="s">
        <v>929</v>
      </c>
      <c r="K52" s="1" t="s">
        <v>948</v>
      </c>
      <c r="L52" s="154">
        <f t="shared" si="1"/>
        <v>1.425615974915062E-3</v>
      </c>
    </row>
    <row r="53" spans="1:12" x14ac:dyDescent="0.25">
      <c r="A53" s="1" t="s">
        <v>962</v>
      </c>
      <c r="B53" s="96">
        <v>2.6832000000000002E-8</v>
      </c>
      <c r="C53" s="1" t="s">
        <v>929</v>
      </c>
      <c r="D53" s="1" t="s">
        <v>979</v>
      </c>
      <c r="E53" s="154">
        <f t="shared" si="0"/>
        <v>5.8503656478529905E-7</v>
      </c>
      <c r="H53" s="1" t="s">
        <v>980</v>
      </c>
      <c r="I53" s="96">
        <v>2.8657199999999999E-9</v>
      </c>
      <c r="J53" s="1" t="s">
        <v>929</v>
      </c>
      <c r="K53" s="1" t="s">
        <v>948</v>
      </c>
      <c r="L53" s="154">
        <f t="shared" si="1"/>
        <v>7.8199961174537375E-8</v>
      </c>
    </row>
    <row r="54" spans="1:12" x14ac:dyDescent="0.25">
      <c r="A54" s="1" t="s">
        <v>964</v>
      </c>
      <c r="B54" s="96">
        <v>8.9440000000000005E-9</v>
      </c>
      <c r="C54" s="1" t="s">
        <v>929</v>
      </c>
      <c r="D54" s="1" t="s">
        <v>979</v>
      </c>
      <c r="E54" s="154">
        <f t="shared" si="0"/>
        <v>1.9501218826176637E-7</v>
      </c>
      <c r="H54" s="1" t="s">
        <v>974</v>
      </c>
      <c r="I54" s="96">
        <v>4.9409999999999996E-7</v>
      </c>
      <c r="J54" s="1" t="s">
        <v>929</v>
      </c>
      <c r="K54" s="1" t="s">
        <v>948</v>
      </c>
      <c r="L54" s="154">
        <f t="shared" si="1"/>
        <v>1.348303421699919E-5</v>
      </c>
    </row>
    <row r="55" spans="1:12" x14ac:dyDescent="0.25">
      <c r="A55" s="1" t="s">
        <v>970</v>
      </c>
      <c r="B55" s="96">
        <v>1.4310400000000001E-8</v>
      </c>
      <c r="C55" s="1" t="s">
        <v>929</v>
      </c>
      <c r="D55" s="1" t="s">
        <v>979</v>
      </c>
      <c r="E55" s="154">
        <f t="shared" si="0"/>
        <v>3.1201950121882614E-7</v>
      </c>
      <c r="H55" s="1" t="s">
        <v>981</v>
      </c>
      <c r="I55" s="96">
        <v>1.9776999999999999E-9</v>
      </c>
      <c r="J55" s="1" t="s">
        <v>929</v>
      </c>
      <c r="K55" s="1" t="s">
        <v>948</v>
      </c>
      <c r="L55" s="154">
        <f t="shared" si="1"/>
        <v>5.3967611355918429E-8</v>
      </c>
    </row>
    <row r="56" spans="1:12" x14ac:dyDescent="0.25">
      <c r="A56" s="1" t="s">
        <v>978</v>
      </c>
      <c r="B56" s="96">
        <v>1.4361999999999999E-6</v>
      </c>
      <c r="C56" s="1" t="s">
        <v>929</v>
      </c>
      <c r="D56" s="1" t="s">
        <v>979</v>
      </c>
      <c r="E56" s="154">
        <f t="shared" si="0"/>
        <v>3.1314457153572097E-5</v>
      </c>
      <c r="H56" s="1" t="s">
        <v>902</v>
      </c>
      <c r="I56" s="96">
        <v>3.2961699999999998E-9</v>
      </c>
      <c r="J56" s="1" t="s">
        <v>929</v>
      </c>
      <c r="K56" s="1" t="s">
        <v>948</v>
      </c>
      <c r="L56" s="154">
        <f t="shared" si="1"/>
        <v>8.9946109886756161E-8</v>
      </c>
    </row>
    <row r="57" spans="1:12" x14ac:dyDescent="0.25">
      <c r="A57" s="1" t="s">
        <v>953</v>
      </c>
      <c r="B57" s="96">
        <v>1.7888000000000001E-9</v>
      </c>
      <c r="C57" s="1" t="s">
        <v>929</v>
      </c>
      <c r="D57" s="1" t="s">
        <v>982</v>
      </c>
      <c r="E57" s="154">
        <f t="shared" si="0"/>
        <v>3.9002437652353268E-8</v>
      </c>
      <c r="H57" s="1" t="s">
        <v>983</v>
      </c>
      <c r="I57" s="96">
        <v>3.6646099999999997E-12</v>
      </c>
      <c r="J57" s="1" t="s">
        <v>929</v>
      </c>
      <c r="K57" s="1" t="s">
        <v>948</v>
      </c>
      <c r="L57" s="154">
        <f t="shared" si="1"/>
        <v>1.0000012552511111E-10</v>
      </c>
    </row>
    <row r="58" spans="1:12" x14ac:dyDescent="0.25">
      <c r="A58" s="1" t="s">
        <v>961</v>
      </c>
      <c r="B58" s="96">
        <v>1.6099200000000002E-8</v>
      </c>
      <c r="C58" s="1" t="s">
        <v>929</v>
      </c>
      <c r="D58" s="1" t="s">
        <v>982</v>
      </c>
      <c r="E58" s="154">
        <f t="shared" si="0"/>
        <v>3.5102193887117944E-7</v>
      </c>
      <c r="H58" s="1" t="s">
        <v>984</v>
      </c>
      <c r="I58" s="96">
        <v>1.8458600000000002E-8</v>
      </c>
      <c r="J58" s="1" t="s">
        <v>929</v>
      </c>
      <c r="K58" s="1" t="s">
        <v>948</v>
      </c>
      <c r="L58" s="154">
        <f t="shared" si="1"/>
        <v>5.0369952519308086E-7</v>
      </c>
    </row>
    <row r="59" spans="1:12" x14ac:dyDescent="0.25">
      <c r="A59" s="1" t="s">
        <v>962</v>
      </c>
      <c r="B59" s="96">
        <v>2.6832000000000002E-8</v>
      </c>
      <c r="C59" s="1" t="s">
        <v>929</v>
      </c>
      <c r="D59" s="1" t="s">
        <v>982</v>
      </c>
      <c r="E59" s="154">
        <f t="shared" si="0"/>
        <v>5.8503656478529905E-7</v>
      </c>
      <c r="H59" s="1" t="s">
        <v>985</v>
      </c>
      <c r="I59" s="96">
        <v>5.6666799999999998E-7</v>
      </c>
      <c r="J59" s="1" t="s">
        <v>929</v>
      </c>
      <c r="K59" s="1" t="s">
        <v>948</v>
      </c>
      <c r="L59" s="154">
        <f t="shared" si="1"/>
        <v>1.5463274708922277E-5</v>
      </c>
    </row>
    <row r="60" spans="1:12" x14ac:dyDescent="0.25">
      <c r="A60" s="1" t="s">
        <v>964</v>
      </c>
      <c r="B60" s="96">
        <v>8.9440000000000005E-9</v>
      </c>
      <c r="C60" s="1" t="s">
        <v>929</v>
      </c>
      <c r="D60" s="1" t="s">
        <v>982</v>
      </c>
      <c r="E60" s="154">
        <f t="shared" si="0"/>
        <v>1.9501218826176637E-7</v>
      </c>
      <c r="H60" s="1" t="s">
        <v>986</v>
      </c>
      <c r="I60" s="96">
        <v>3.2961700000000002E-10</v>
      </c>
      <c r="J60" s="1" t="s">
        <v>929</v>
      </c>
      <c r="K60" s="1" t="s">
        <v>948</v>
      </c>
      <c r="L60" s="154">
        <f t="shared" si="1"/>
        <v>8.9946109886756167E-9</v>
      </c>
    </row>
    <row r="61" spans="1:12" x14ac:dyDescent="0.25">
      <c r="A61" s="1" t="s">
        <v>970</v>
      </c>
      <c r="B61" s="96">
        <v>1.4310400000000001E-8</v>
      </c>
      <c r="C61" s="1" t="s">
        <v>929</v>
      </c>
      <c r="D61" s="1" t="s">
        <v>982</v>
      </c>
      <c r="E61" s="154">
        <f t="shared" si="0"/>
        <v>3.1201950121882614E-7</v>
      </c>
      <c r="H61" s="1" t="s">
        <v>978</v>
      </c>
      <c r="I61" s="96">
        <v>6.36908E-8</v>
      </c>
      <c r="J61" s="1" t="s">
        <v>929</v>
      </c>
      <c r="K61" s="1" t="s">
        <v>948</v>
      </c>
      <c r="L61" s="154">
        <f t="shared" si="1"/>
        <v>1.7379988579397935E-6</v>
      </c>
    </row>
    <row r="62" spans="1:12" x14ac:dyDescent="0.25">
      <c r="A62" s="1" t="s">
        <v>978</v>
      </c>
      <c r="B62" s="96">
        <v>1.4361999999999999E-6</v>
      </c>
      <c r="C62" s="1" t="s">
        <v>929</v>
      </c>
      <c r="D62" s="1" t="s">
        <v>982</v>
      </c>
      <c r="E62" s="154">
        <f t="shared" si="0"/>
        <v>3.1314457153572097E-5</v>
      </c>
      <c r="H62" s="1" t="s">
        <v>987</v>
      </c>
      <c r="I62" s="96">
        <v>3.2302500000000001E-8</v>
      </c>
      <c r="J62" s="1" t="s">
        <v>929</v>
      </c>
      <c r="K62" s="1" t="s">
        <v>948</v>
      </c>
      <c r="L62" s="154">
        <f t="shared" si="1"/>
        <v>8.8147280468450995E-7</v>
      </c>
    </row>
    <row r="63" spans="1:12" x14ac:dyDescent="0.25">
      <c r="H63" s="1" t="s">
        <v>988</v>
      </c>
      <c r="I63" s="96">
        <v>1.3184700000000001E-8</v>
      </c>
      <c r="J63" s="1" t="s">
        <v>929</v>
      </c>
      <c r="K63" s="1" t="s">
        <v>948</v>
      </c>
      <c r="L63" s="154">
        <f t="shared" si="1"/>
        <v>3.5978498530837731E-7</v>
      </c>
    </row>
    <row r="64" spans="1:12" x14ac:dyDescent="0.25">
      <c r="A64" s="11"/>
    </row>
    <row r="66" spans="1:23" ht="90" x14ac:dyDescent="0.25">
      <c r="A66" s="104" t="s">
        <v>463</v>
      </c>
      <c r="B66" s="102" t="s">
        <v>989</v>
      </c>
      <c r="C66" s="302" t="s">
        <v>499</v>
      </c>
      <c r="D66" s="302" t="s">
        <v>165</v>
      </c>
      <c r="E66" s="302" t="s">
        <v>303</v>
      </c>
      <c r="F66" s="302" t="s">
        <v>304</v>
      </c>
      <c r="G66" s="302" t="s">
        <v>305</v>
      </c>
      <c r="H66" s="302" t="s">
        <v>306</v>
      </c>
      <c r="I66" s="302" t="s">
        <v>307</v>
      </c>
      <c r="J66" s="302" t="s">
        <v>308</v>
      </c>
      <c r="K66" s="302" t="s">
        <v>309</v>
      </c>
      <c r="L66" s="302" t="s">
        <v>310</v>
      </c>
      <c r="M66" s="302" t="s">
        <v>311</v>
      </c>
      <c r="N66" s="302" t="s">
        <v>312</v>
      </c>
      <c r="O66" s="302" t="s">
        <v>313</v>
      </c>
      <c r="P66" s="302" t="s">
        <v>314</v>
      </c>
      <c r="Q66" s="302" t="s">
        <v>315</v>
      </c>
      <c r="R66" s="302" t="s">
        <v>316</v>
      </c>
      <c r="S66" s="302" t="s">
        <v>317</v>
      </c>
      <c r="T66" s="302" t="s">
        <v>318</v>
      </c>
      <c r="U66" s="302" t="s">
        <v>319</v>
      </c>
      <c r="V66" s="302" t="s">
        <v>320</v>
      </c>
      <c r="W66" s="302" t="s">
        <v>321</v>
      </c>
    </row>
    <row r="67" spans="1:23" x14ac:dyDescent="0.25">
      <c r="A67" s="1" t="s">
        <v>990</v>
      </c>
      <c r="B67" s="7"/>
      <c r="C67" s="1">
        <v>1</v>
      </c>
      <c r="D67" s="141" t="s">
        <v>608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25">
      <c r="A68" s="1" t="s">
        <v>991</v>
      </c>
      <c r="B68" s="7"/>
      <c r="C68" s="1">
        <v>1</v>
      </c>
      <c r="D68" s="141" t="s">
        <v>608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25">
      <c r="A69" s="1" t="s">
        <v>992</v>
      </c>
      <c r="B69" s="1"/>
      <c r="C69" s="1">
        <v>1</v>
      </c>
      <c r="D69" s="1" t="s">
        <v>605</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25">
      <c r="A70" s="1" t="s">
        <v>993</v>
      </c>
      <c r="B70" s="1"/>
      <c r="C70" s="1">
        <v>1</v>
      </c>
      <c r="D70" s="1" t="s">
        <v>605</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90" x14ac:dyDescent="0.25">
      <c r="A73" s="104" t="s">
        <v>463</v>
      </c>
      <c r="B73" s="102" t="s">
        <v>989</v>
      </c>
      <c r="C73" s="302" t="s">
        <v>499</v>
      </c>
      <c r="D73" s="302" t="s">
        <v>165</v>
      </c>
      <c r="E73" s="302" t="s">
        <v>303</v>
      </c>
      <c r="F73" s="302" t="s">
        <v>304</v>
      </c>
      <c r="G73" s="302" t="s">
        <v>305</v>
      </c>
      <c r="H73" s="302" t="s">
        <v>306</v>
      </c>
      <c r="I73" s="302" t="s">
        <v>307</v>
      </c>
      <c r="J73" s="302" t="s">
        <v>308</v>
      </c>
      <c r="K73" s="302" t="s">
        <v>309</v>
      </c>
      <c r="L73" s="302" t="s">
        <v>310</v>
      </c>
      <c r="M73" s="302" t="s">
        <v>311</v>
      </c>
      <c r="N73" s="302" t="s">
        <v>312</v>
      </c>
      <c r="O73" s="302" t="s">
        <v>313</v>
      </c>
      <c r="P73" s="302" t="s">
        <v>314</v>
      </c>
      <c r="Q73" s="302" t="s">
        <v>315</v>
      </c>
      <c r="R73" s="302" t="s">
        <v>316</v>
      </c>
      <c r="S73" s="302" t="s">
        <v>317</v>
      </c>
      <c r="T73" s="302" t="s">
        <v>318</v>
      </c>
      <c r="U73" s="302" t="s">
        <v>319</v>
      </c>
      <c r="V73" s="302" t="s">
        <v>320</v>
      </c>
      <c r="W73" s="302" t="s">
        <v>321</v>
      </c>
    </row>
    <row r="74" spans="1:23" x14ac:dyDescent="0.25">
      <c r="A74" s="6" t="s">
        <v>39</v>
      </c>
      <c r="B74" s="73"/>
      <c r="C74" s="125">
        <v>1</v>
      </c>
      <c r="D74" s="125" t="s">
        <v>608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25">
      <c r="A75" s="1" t="s">
        <v>89</v>
      </c>
      <c r="B75" s="1"/>
      <c r="C75" s="1">
        <v>1</v>
      </c>
      <c r="D75" s="1" t="s">
        <v>608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25">
      <c r="A76" s="1" t="s">
        <v>875</v>
      </c>
      <c r="B76" s="1"/>
      <c r="C76" s="1">
        <v>1</v>
      </c>
      <c r="D76" s="1" t="s">
        <v>608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25">
      <c r="A77" s="1" t="s">
        <v>877</v>
      </c>
      <c r="B77" s="1"/>
      <c r="C77" s="1">
        <v>1</v>
      </c>
      <c r="D77" s="1" t="s">
        <v>608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25">
      <c r="A78" s="1" t="s">
        <v>97</v>
      </c>
      <c r="B78" s="1"/>
      <c r="C78" s="1">
        <v>1</v>
      </c>
      <c r="D78" s="1" t="s">
        <v>608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25">
      <c r="A79" s="1" t="s">
        <v>880</v>
      </c>
      <c r="B79" s="1"/>
      <c r="C79" s="1">
        <v>1</v>
      </c>
      <c r="D79" s="1" t="s">
        <v>608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25">
      <c r="A80" s="1" t="s">
        <v>83</v>
      </c>
      <c r="B80" s="1"/>
      <c r="C80" s="1">
        <v>1</v>
      </c>
      <c r="D80" s="1" t="s">
        <v>605</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25">
      <c r="A81" s="1" t="s">
        <v>883</v>
      </c>
      <c r="B81" s="1"/>
      <c r="C81" s="1">
        <v>1</v>
      </c>
      <c r="D81" s="1" t="s">
        <v>605</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25">
      <c r="A83" s="32" t="s">
        <v>994</v>
      </c>
    </row>
    <row r="85" spans="1:23" ht="90" x14ac:dyDescent="0.25">
      <c r="A85" s="104" t="s">
        <v>463</v>
      </c>
      <c r="B85" s="102" t="s">
        <v>989</v>
      </c>
      <c r="C85" s="302" t="s">
        <v>499</v>
      </c>
      <c r="D85" s="302" t="s">
        <v>165</v>
      </c>
      <c r="E85" s="302" t="s">
        <v>303</v>
      </c>
      <c r="F85" s="302" t="s">
        <v>304</v>
      </c>
      <c r="G85" s="302" t="s">
        <v>305</v>
      </c>
      <c r="H85" s="302" t="s">
        <v>306</v>
      </c>
      <c r="I85" s="302" t="s">
        <v>307</v>
      </c>
      <c r="J85" s="302" t="s">
        <v>308</v>
      </c>
      <c r="K85" s="302" t="s">
        <v>309</v>
      </c>
      <c r="L85" s="302" t="s">
        <v>310</v>
      </c>
      <c r="M85" s="302" t="s">
        <v>311</v>
      </c>
      <c r="N85" s="302" t="s">
        <v>312</v>
      </c>
      <c r="O85" s="302" t="s">
        <v>313</v>
      </c>
      <c r="P85" s="302" t="s">
        <v>314</v>
      </c>
      <c r="Q85" s="302" t="s">
        <v>315</v>
      </c>
      <c r="R85" s="302" t="s">
        <v>316</v>
      </c>
      <c r="S85" s="302" t="s">
        <v>317</v>
      </c>
      <c r="T85" s="302" t="s">
        <v>318</v>
      </c>
      <c r="U85" s="302" t="s">
        <v>319</v>
      </c>
      <c r="V85" s="302" t="s">
        <v>320</v>
      </c>
      <c r="W85" s="302" t="s">
        <v>321</v>
      </c>
    </row>
    <row r="86" spans="1:23" ht="60" x14ac:dyDescent="0.25">
      <c r="A86" s="53" t="s">
        <v>995</v>
      </c>
      <c r="B86" s="1"/>
      <c r="C86" s="1">
        <v>1</v>
      </c>
      <c r="D86" s="1" t="s">
        <v>996</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45" x14ac:dyDescent="0.25">
      <c r="A87" s="53" t="s">
        <v>997</v>
      </c>
      <c r="B87" s="1"/>
      <c r="C87" s="1">
        <v>1</v>
      </c>
      <c r="D87" s="1" t="s">
        <v>996</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25">
      <c r="A88" s="1" t="s">
        <v>998</v>
      </c>
      <c r="B88" s="1"/>
      <c r="C88" s="1">
        <v>1</v>
      </c>
      <c r="D88" s="1" t="s">
        <v>999</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25">
      <c r="A89" s="1" t="s">
        <v>1000</v>
      </c>
      <c r="B89" s="1"/>
      <c r="C89" s="1">
        <v>1</v>
      </c>
      <c r="D89" s="1" t="s">
        <v>999</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25">
      <c r="G90" s="87"/>
      <c r="I90" s="87"/>
      <c r="L90" s="87"/>
      <c r="M90" s="87"/>
      <c r="O90" s="87"/>
      <c r="P90" s="87"/>
      <c r="S90" s="87"/>
      <c r="T90" s="87"/>
      <c r="U90" s="87"/>
    </row>
    <row r="92" spans="1:23" ht="90" x14ac:dyDescent="0.25">
      <c r="A92" s="104" t="s">
        <v>463</v>
      </c>
      <c r="B92" s="102" t="s">
        <v>989</v>
      </c>
      <c r="C92" s="302" t="s">
        <v>499</v>
      </c>
      <c r="D92" s="302" t="s">
        <v>165</v>
      </c>
      <c r="E92" s="302" t="s">
        <v>303</v>
      </c>
      <c r="F92" s="302" t="s">
        <v>304</v>
      </c>
      <c r="G92" s="302" t="s">
        <v>305</v>
      </c>
      <c r="H92" s="302" t="s">
        <v>306</v>
      </c>
      <c r="I92" s="302" t="s">
        <v>307</v>
      </c>
      <c r="J92" s="302" t="s">
        <v>308</v>
      </c>
      <c r="K92" s="302" t="s">
        <v>309</v>
      </c>
      <c r="L92" s="302" t="s">
        <v>310</v>
      </c>
      <c r="M92" s="302" t="s">
        <v>311</v>
      </c>
      <c r="N92" s="302" t="s">
        <v>312</v>
      </c>
      <c r="O92" s="302" t="s">
        <v>313</v>
      </c>
      <c r="P92" s="302" t="s">
        <v>314</v>
      </c>
      <c r="Q92" s="302" t="s">
        <v>315</v>
      </c>
      <c r="R92" s="302" t="s">
        <v>316</v>
      </c>
      <c r="S92" s="302" t="s">
        <v>317</v>
      </c>
      <c r="T92" s="302" t="s">
        <v>318</v>
      </c>
      <c r="U92" s="302" t="s">
        <v>319</v>
      </c>
      <c r="V92" s="302" t="s">
        <v>320</v>
      </c>
      <c r="W92" s="302" t="s">
        <v>321</v>
      </c>
    </row>
    <row r="93" spans="1:23" x14ac:dyDescent="0.25">
      <c r="A93" s="6" t="s">
        <v>39</v>
      </c>
      <c r="B93" s="1"/>
      <c r="C93" s="1">
        <v>1</v>
      </c>
      <c r="D93" s="1" t="s">
        <v>996</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25">
      <c r="A94" s="1" t="s">
        <v>89</v>
      </c>
      <c r="B94" s="1"/>
      <c r="C94" s="1">
        <v>1</v>
      </c>
      <c r="D94" s="1" t="s">
        <v>996</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25">
      <c r="A95" s="1" t="s">
        <v>875</v>
      </c>
      <c r="B95" s="1"/>
      <c r="C95" s="1">
        <v>1</v>
      </c>
      <c r="D95" s="1" t="s">
        <v>996</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25">
      <c r="A96" s="1" t="s">
        <v>877</v>
      </c>
      <c r="B96" s="1"/>
      <c r="C96" s="1">
        <v>1</v>
      </c>
      <c r="D96" s="1" t="s">
        <v>996</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25">
      <c r="A97" s="1" t="s">
        <v>97</v>
      </c>
      <c r="B97" s="1"/>
      <c r="C97" s="1">
        <v>1</v>
      </c>
      <c r="D97" s="1" t="s">
        <v>996</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25">
      <c r="A98" s="1" t="s">
        <v>880</v>
      </c>
      <c r="B98" s="1"/>
      <c r="C98" s="1">
        <v>1</v>
      </c>
      <c r="D98" s="1" t="s">
        <v>996</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25">
      <c r="A99" s="1" t="s">
        <v>1001</v>
      </c>
      <c r="B99" s="1"/>
      <c r="C99" s="1">
        <v>1</v>
      </c>
      <c r="D99" s="1" t="s">
        <v>999</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25">
      <c r="A100" s="1" t="s">
        <v>1002</v>
      </c>
      <c r="B100" s="1"/>
      <c r="C100" s="1">
        <v>1</v>
      </c>
      <c r="D100" s="1" t="s">
        <v>999</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25">
      <c r="A103" s="32" t="s">
        <v>1003</v>
      </c>
    </row>
    <row r="105" spans="1:23" ht="90" x14ac:dyDescent="0.25">
      <c r="A105" s="104" t="s">
        <v>463</v>
      </c>
      <c r="B105" s="102" t="s">
        <v>989</v>
      </c>
      <c r="C105" s="302" t="s">
        <v>499</v>
      </c>
      <c r="D105" s="302" t="s">
        <v>165</v>
      </c>
      <c r="E105" s="302" t="s">
        <v>303</v>
      </c>
      <c r="F105" s="302" t="s">
        <v>304</v>
      </c>
      <c r="G105" s="302" t="s">
        <v>305</v>
      </c>
      <c r="H105" s="302" t="s">
        <v>306</v>
      </c>
      <c r="I105" s="302" t="s">
        <v>307</v>
      </c>
      <c r="J105" s="302" t="s">
        <v>308</v>
      </c>
      <c r="K105" s="302" t="s">
        <v>309</v>
      </c>
      <c r="L105" s="302" t="s">
        <v>310</v>
      </c>
      <c r="M105" s="302" t="s">
        <v>311</v>
      </c>
      <c r="N105" s="302" t="s">
        <v>312</v>
      </c>
      <c r="O105" s="302" t="s">
        <v>313</v>
      </c>
      <c r="P105" s="302" t="s">
        <v>314</v>
      </c>
      <c r="Q105" s="302" t="s">
        <v>315</v>
      </c>
      <c r="R105" s="302" t="s">
        <v>316</v>
      </c>
      <c r="S105" s="302" t="s">
        <v>317</v>
      </c>
      <c r="T105" s="302" t="s">
        <v>318</v>
      </c>
      <c r="U105" s="302" t="s">
        <v>319</v>
      </c>
      <c r="V105" s="302" t="s">
        <v>320</v>
      </c>
      <c r="W105" s="302" t="s">
        <v>321</v>
      </c>
    </row>
    <row r="106" spans="1:23" ht="60" x14ac:dyDescent="0.25">
      <c r="A106" s="53" t="s">
        <v>995</v>
      </c>
      <c r="B106" s="1"/>
      <c r="C106" s="1">
        <v>1</v>
      </c>
      <c r="D106" s="1" t="s">
        <v>996</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5" x14ac:dyDescent="0.25">
      <c r="A107" s="53" t="s">
        <v>1004</v>
      </c>
      <c r="B107" s="1"/>
      <c r="C107" s="1">
        <v>1</v>
      </c>
      <c r="D107" s="1" t="s">
        <v>996</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25">
      <c r="A108" s="1" t="s">
        <v>998</v>
      </c>
      <c r="B108" s="1"/>
      <c r="C108" s="1">
        <v>1</v>
      </c>
      <c r="D108" s="1" t="s">
        <v>999</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25">
      <c r="A109" s="1" t="s">
        <v>1000</v>
      </c>
      <c r="B109" s="1"/>
      <c r="C109" s="1">
        <v>1</v>
      </c>
      <c r="D109" s="1" t="s">
        <v>999</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90" x14ac:dyDescent="0.25">
      <c r="A112" s="104" t="s">
        <v>463</v>
      </c>
      <c r="B112" s="102" t="s">
        <v>989</v>
      </c>
      <c r="C112" s="302" t="s">
        <v>499</v>
      </c>
      <c r="D112" s="302" t="s">
        <v>165</v>
      </c>
      <c r="E112" s="302" t="s">
        <v>303</v>
      </c>
      <c r="F112" s="302" t="s">
        <v>304</v>
      </c>
      <c r="G112" s="302" t="s">
        <v>305</v>
      </c>
      <c r="H112" s="302" t="s">
        <v>306</v>
      </c>
      <c r="I112" s="302" t="s">
        <v>307</v>
      </c>
      <c r="J112" s="302" t="s">
        <v>308</v>
      </c>
      <c r="K112" s="302" t="s">
        <v>309</v>
      </c>
      <c r="L112" s="302" t="s">
        <v>310</v>
      </c>
      <c r="M112" s="302" t="s">
        <v>311</v>
      </c>
      <c r="N112" s="302" t="s">
        <v>312</v>
      </c>
      <c r="O112" s="302" t="s">
        <v>313</v>
      </c>
      <c r="P112" s="302" t="s">
        <v>314</v>
      </c>
      <c r="Q112" s="302" t="s">
        <v>315</v>
      </c>
      <c r="R112" s="302" t="s">
        <v>316</v>
      </c>
      <c r="S112" s="302" t="s">
        <v>317</v>
      </c>
      <c r="T112" s="302" t="s">
        <v>318</v>
      </c>
      <c r="U112" s="302" t="s">
        <v>319</v>
      </c>
      <c r="V112" s="302" t="s">
        <v>320</v>
      </c>
      <c r="W112" s="302" t="s">
        <v>321</v>
      </c>
    </row>
    <row r="113" spans="1:23" x14ac:dyDescent="0.25">
      <c r="A113" s="6" t="s">
        <v>39</v>
      </c>
      <c r="B113" s="1"/>
      <c r="C113" s="1">
        <v>1</v>
      </c>
      <c r="D113" s="1" t="s">
        <v>996</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25">
      <c r="A114" s="1" t="s">
        <v>89</v>
      </c>
      <c r="B114" s="1"/>
      <c r="C114" s="1">
        <v>1</v>
      </c>
      <c r="D114" s="1" t="s">
        <v>996</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25">
      <c r="A115" s="1" t="s">
        <v>875</v>
      </c>
      <c r="B115" s="1"/>
      <c r="C115" s="1">
        <v>1</v>
      </c>
      <c r="D115" s="1" t="s">
        <v>996</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25">
      <c r="A116" s="1" t="s">
        <v>877</v>
      </c>
      <c r="B116" s="1"/>
      <c r="C116" s="1">
        <v>1</v>
      </c>
      <c r="D116" s="1" t="s">
        <v>996</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25">
      <c r="A117" s="1" t="s">
        <v>97</v>
      </c>
      <c r="B117" s="1"/>
      <c r="C117" s="1">
        <v>1</v>
      </c>
      <c r="D117" s="1" t="s">
        <v>996</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25">
      <c r="A118" s="1" t="s">
        <v>880</v>
      </c>
      <c r="B118" s="1"/>
      <c r="C118" s="1">
        <v>1</v>
      </c>
      <c r="D118" s="1" t="s">
        <v>996</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25">
      <c r="A119" s="1" t="s">
        <v>1001</v>
      </c>
      <c r="B119" s="1"/>
      <c r="C119" s="1">
        <v>1</v>
      </c>
      <c r="D119" s="1" t="s">
        <v>999</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0"/>
  <sheetViews>
    <sheetView showGridLines="0" zoomScale="90" zoomScaleNormal="90" workbookViewId="0"/>
  </sheetViews>
  <sheetFormatPr defaultRowHeight="15" x14ac:dyDescent="0.25"/>
  <cols>
    <col min="1" max="1" width="67.85546875" bestFit="1" customWidth="1"/>
    <col min="2" max="2" width="54.28515625" customWidth="1"/>
    <col min="3" max="3" width="58.85546875" customWidth="1"/>
    <col min="4" max="4" width="61.85546875" customWidth="1"/>
    <col min="5" max="5" width="57.7109375" customWidth="1"/>
    <col min="6" max="6" width="60.85546875" customWidth="1"/>
    <col min="7" max="7" width="60" customWidth="1"/>
    <col min="8" max="9" width="59.28515625" customWidth="1"/>
    <col min="10" max="10" width="12.85546875" customWidth="1"/>
    <col min="12" max="12" width="21.7109375" customWidth="1"/>
    <col min="13" max="13" width="21.5703125" customWidth="1"/>
    <col min="14" max="14" width="19.140625" customWidth="1"/>
    <col min="15" max="15" width="18.42578125" customWidth="1"/>
    <col min="16" max="16" width="19.85546875" customWidth="1"/>
    <col min="17" max="17" width="18.42578125" customWidth="1"/>
    <col min="18" max="18" width="26.7109375" customWidth="1"/>
    <col min="19" max="19" width="18.42578125" customWidth="1"/>
    <col min="20" max="20" width="20.140625" customWidth="1"/>
    <col min="21" max="21" width="18.140625" customWidth="1"/>
  </cols>
  <sheetData>
    <row r="1" spans="1:10" ht="15.75" x14ac:dyDescent="0.25">
      <c r="A1" s="134" t="s">
        <v>1005</v>
      </c>
    </row>
    <row r="3" spans="1:10" ht="24" x14ac:dyDescent="0.4">
      <c r="A3" s="132" t="s">
        <v>1006</v>
      </c>
    </row>
    <row r="4" spans="1:10" x14ac:dyDescent="0.25">
      <c r="A4" s="133" t="s">
        <v>1007</v>
      </c>
      <c r="B4" s="133" t="s">
        <v>30</v>
      </c>
      <c r="C4" s="133" t="s">
        <v>67</v>
      </c>
      <c r="D4" s="133" t="s">
        <v>103</v>
      </c>
      <c r="E4" s="133" t="s">
        <v>896</v>
      </c>
      <c r="F4" s="133" t="s">
        <v>72</v>
      </c>
      <c r="G4" s="133" t="s">
        <v>82</v>
      </c>
      <c r="I4" s="3"/>
      <c r="J4" s="3"/>
    </row>
    <row r="5" spans="1:10" x14ac:dyDescent="0.25">
      <c r="A5" s="98" t="s">
        <v>30</v>
      </c>
      <c r="B5" s="98" t="s">
        <v>30</v>
      </c>
      <c r="C5" s="98" t="s">
        <v>77</v>
      </c>
      <c r="D5" s="98" t="s">
        <v>39</v>
      </c>
      <c r="E5" s="98" t="s">
        <v>39</v>
      </c>
      <c r="F5" s="98" t="s">
        <v>73</v>
      </c>
      <c r="G5" s="98" t="s">
        <v>39</v>
      </c>
    </row>
    <row r="6" spans="1:10" x14ac:dyDescent="0.25">
      <c r="A6" s="98" t="s">
        <v>67</v>
      </c>
      <c r="C6" s="98" t="s">
        <v>68</v>
      </c>
      <c r="G6" s="98" t="s">
        <v>83</v>
      </c>
    </row>
    <row r="7" spans="1:10" x14ac:dyDescent="0.25">
      <c r="A7" s="98" t="s">
        <v>103</v>
      </c>
      <c r="C7" s="98" t="s">
        <v>89</v>
      </c>
    </row>
    <row r="8" spans="1:10" x14ac:dyDescent="0.25">
      <c r="A8" s="98" t="s">
        <v>896</v>
      </c>
      <c r="C8" s="98" t="s">
        <v>875</v>
      </c>
    </row>
    <row r="9" spans="1:10" x14ac:dyDescent="0.25">
      <c r="A9" s="98" t="s">
        <v>72</v>
      </c>
      <c r="C9" s="98" t="s">
        <v>877</v>
      </c>
    </row>
    <row r="10" spans="1:10" x14ac:dyDescent="0.25">
      <c r="A10" s="98" t="s">
        <v>82</v>
      </c>
      <c r="C10" s="98" t="s">
        <v>97</v>
      </c>
    </row>
    <row r="11" spans="1:10" x14ac:dyDescent="0.25">
      <c r="C11" s="98" t="s">
        <v>880</v>
      </c>
    </row>
    <row r="12" spans="1:10" x14ac:dyDescent="0.25">
      <c r="C12" s="98" t="s">
        <v>83</v>
      </c>
    </row>
    <row r="13" spans="1:10" x14ac:dyDescent="0.25">
      <c r="C13" s="98" t="s">
        <v>883</v>
      </c>
    </row>
    <row r="15" spans="1:10" ht="24" x14ac:dyDescent="0.4">
      <c r="A15" s="132" t="s">
        <v>1008</v>
      </c>
      <c r="I15" s="3"/>
    </row>
    <row r="16" spans="1:10" x14ac:dyDescent="0.25">
      <c r="A16" s="133" t="s">
        <v>1009</v>
      </c>
      <c r="B16" s="133" t="s">
        <v>461</v>
      </c>
      <c r="C16" s="133" t="s">
        <v>38</v>
      </c>
      <c r="D16" s="3"/>
    </row>
    <row r="17" spans="1:3" x14ac:dyDescent="0.25">
      <c r="A17" s="98" t="s">
        <v>461</v>
      </c>
      <c r="B17" s="98" t="s">
        <v>30</v>
      </c>
      <c r="C17" s="98" t="s">
        <v>39</v>
      </c>
    </row>
    <row r="18" spans="1:3" x14ac:dyDescent="0.25">
      <c r="A18" s="98" t="s">
        <v>38</v>
      </c>
      <c r="C18" s="98" t="s">
        <v>89</v>
      </c>
    </row>
    <row r="19" spans="1:3" x14ac:dyDescent="0.25">
      <c r="C19" s="98" t="s">
        <v>875</v>
      </c>
    </row>
    <row r="20" spans="1:3" x14ac:dyDescent="0.25">
      <c r="C20" s="98" t="s">
        <v>877</v>
      </c>
    </row>
    <row r="21" spans="1:3" x14ac:dyDescent="0.25">
      <c r="C21" s="98" t="s">
        <v>97</v>
      </c>
    </row>
    <row r="22" spans="1:3" x14ac:dyDescent="0.25">
      <c r="C22" s="98" t="s">
        <v>880</v>
      </c>
    </row>
    <row r="23" spans="1:3" x14ac:dyDescent="0.25">
      <c r="C23" s="98" t="s">
        <v>83</v>
      </c>
    </row>
    <row r="24" spans="1:3" x14ac:dyDescent="0.25">
      <c r="C24" s="98" t="s">
        <v>883</v>
      </c>
    </row>
    <row r="27" spans="1:3" x14ac:dyDescent="0.25">
      <c r="A27" s="133" t="s">
        <v>1010</v>
      </c>
      <c r="B27" s="133" t="s">
        <v>461</v>
      </c>
      <c r="C27" s="133" t="s">
        <v>360</v>
      </c>
    </row>
    <row r="28" spans="1:3" x14ac:dyDescent="0.25">
      <c r="A28" s="98" t="s">
        <v>461</v>
      </c>
      <c r="B28" s="98" t="s">
        <v>30</v>
      </c>
      <c r="C28" s="98" t="s">
        <v>39</v>
      </c>
    </row>
    <row r="29" spans="1:3" x14ac:dyDescent="0.25">
      <c r="A29" s="98" t="s">
        <v>360</v>
      </c>
      <c r="C29" s="98" t="s">
        <v>89</v>
      </c>
    </row>
    <row r="30" spans="1:3" x14ac:dyDescent="0.25">
      <c r="C30" s="98" t="s">
        <v>875</v>
      </c>
    </row>
    <row r="31" spans="1:3" x14ac:dyDescent="0.25">
      <c r="C31" s="98" t="s">
        <v>877</v>
      </c>
    </row>
    <row r="32" spans="1:3" x14ac:dyDescent="0.25">
      <c r="C32" s="98" t="s">
        <v>97</v>
      </c>
    </row>
    <row r="33" spans="1:4" x14ac:dyDescent="0.25">
      <c r="C33" s="98" t="s">
        <v>880</v>
      </c>
    </row>
    <row r="34" spans="1:4" x14ac:dyDescent="0.25">
      <c r="C34" s="98" t="s">
        <v>83</v>
      </c>
    </row>
    <row r="35" spans="1:4" x14ac:dyDescent="0.25">
      <c r="C35" s="98" t="s">
        <v>883</v>
      </c>
    </row>
    <row r="37" spans="1:4" x14ac:dyDescent="0.25">
      <c r="A37" s="133" t="s">
        <v>1011</v>
      </c>
      <c r="B37" s="133" t="s">
        <v>461</v>
      </c>
      <c r="C37" s="133" t="s">
        <v>368</v>
      </c>
    </row>
    <row r="38" spans="1:4" x14ac:dyDescent="0.25">
      <c r="A38" s="98" t="s">
        <v>461</v>
      </c>
      <c r="B38" s="98" t="s">
        <v>30</v>
      </c>
      <c r="C38" s="98" t="s">
        <v>39</v>
      </c>
    </row>
    <row r="39" spans="1:4" x14ac:dyDescent="0.25">
      <c r="A39" s="98" t="s">
        <v>368</v>
      </c>
      <c r="C39" s="98" t="s">
        <v>89</v>
      </c>
    </row>
    <row r="40" spans="1:4" x14ac:dyDescent="0.25">
      <c r="C40" s="98" t="s">
        <v>875</v>
      </c>
    </row>
    <row r="41" spans="1:4" x14ac:dyDescent="0.25">
      <c r="C41" s="98" t="s">
        <v>877</v>
      </c>
    </row>
    <row r="42" spans="1:4" x14ac:dyDescent="0.25">
      <c r="C42" s="98" t="s">
        <v>97</v>
      </c>
    </row>
    <row r="43" spans="1:4" x14ac:dyDescent="0.25">
      <c r="C43" s="98" t="s">
        <v>880</v>
      </c>
    </row>
    <row r="44" spans="1:4" x14ac:dyDescent="0.25">
      <c r="C44" s="98" t="s">
        <v>83</v>
      </c>
    </row>
    <row r="45" spans="1:4" x14ac:dyDescent="0.25">
      <c r="C45" s="98" t="s">
        <v>883</v>
      </c>
    </row>
    <row r="46" spans="1:4" ht="24" x14ac:dyDescent="0.4">
      <c r="A46" s="132" t="s">
        <v>1012</v>
      </c>
    </row>
    <row r="47" spans="1:4" x14ac:dyDescent="0.25">
      <c r="A47" s="133" t="s">
        <v>1013</v>
      </c>
      <c r="B47" s="133" t="s">
        <v>455</v>
      </c>
      <c r="C47" s="133" t="s">
        <v>358</v>
      </c>
      <c r="D47" s="3"/>
    </row>
    <row r="48" spans="1:4" x14ac:dyDescent="0.25">
      <c r="A48" s="98" t="s">
        <v>455</v>
      </c>
      <c r="B48" s="98" t="s">
        <v>30</v>
      </c>
      <c r="C48" s="98" t="s">
        <v>39</v>
      </c>
    </row>
    <row r="49" spans="1:3" x14ac:dyDescent="0.25">
      <c r="A49" s="98" t="s">
        <v>358</v>
      </c>
      <c r="C49" s="98" t="s">
        <v>89</v>
      </c>
    </row>
    <row r="50" spans="1:3" x14ac:dyDescent="0.25">
      <c r="C50" s="98" t="s">
        <v>875</v>
      </c>
    </row>
    <row r="51" spans="1:3" x14ac:dyDescent="0.25">
      <c r="C51" s="98" t="s">
        <v>877</v>
      </c>
    </row>
    <row r="52" spans="1:3" x14ac:dyDescent="0.25">
      <c r="C52" s="98" t="s">
        <v>97</v>
      </c>
    </row>
    <row r="53" spans="1:3" x14ac:dyDescent="0.25">
      <c r="C53" s="98" t="s">
        <v>880</v>
      </c>
    </row>
    <row r="54" spans="1:3" x14ac:dyDescent="0.25">
      <c r="C54" s="98" t="s">
        <v>83</v>
      </c>
    </row>
    <row r="55" spans="1:3" x14ac:dyDescent="0.25">
      <c r="C55" s="98" t="s">
        <v>883</v>
      </c>
    </row>
    <row r="57" spans="1:3" x14ac:dyDescent="0.25">
      <c r="A57" s="133" t="s">
        <v>1014</v>
      </c>
      <c r="B57" s="133" t="s">
        <v>456</v>
      </c>
      <c r="C57" s="133" t="s">
        <v>367</v>
      </c>
    </row>
    <row r="58" spans="1:3" x14ac:dyDescent="0.25">
      <c r="A58" s="98" t="s">
        <v>456</v>
      </c>
      <c r="B58" s="98" t="s">
        <v>30</v>
      </c>
      <c r="C58" s="98" t="s">
        <v>39</v>
      </c>
    </row>
    <row r="59" spans="1:3" x14ac:dyDescent="0.25">
      <c r="A59" s="98" t="s">
        <v>367</v>
      </c>
      <c r="C59" s="98" t="s">
        <v>89</v>
      </c>
    </row>
    <row r="60" spans="1:3" x14ac:dyDescent="0.25">
      <c r="C60" s="98" t="s">
        <v>875</v>
      </c>
    </row>
    <row r="61" spans="1:3" x14ac:dyDescent="0.25">
      <c r="C61" s="98" t="s">
        <v>877</v>
      </c>
    </row>
    <row r="62" spans="1:3" x14ac:dyDescent="0.25">
      <c r="C62" s="98" t="s">
        <v>97</v>
      </c>
    </row>
    <row r="63" spans="1:3" x14ac:dyDescent="0.25">
      <c r="C63" s="98" t="s">
        <v>880</v>
      </c>
    </row>
    <row r="64" spans="1:3" x14ac:dyDescent="0.25">
      <c r="C64" s="98" t="s">
        <v>83</v>
      </c>
    </row>
    <row r="65" spans="1:4" x14ac:dyDescent="0.25">
      <c r="C65" s="98" t="s">
        <v>883</v>
      </c>
    </row>
    <row r="66" spans="1:4" ht="24" x14ac:dyDescent="0.4">
      <c r="A66" s="132" t="s">
        <v>1015</v>
      </c>
    </row>
    <row r="67" spans="1:4" x14ac:dyDescent="0.25">
      <c r="A67" s="133" t="s">
        <v>1016</v>
      </c>
      <c r="B67" s="133" t="s">
        <v>457</v>
      </c>
      <c r="C67" s="133" t="s">
        <v>362</v>
      </c>
      <c r="D67" s="3"/>
    </row>
    <row r="68" spans="1:4" x14ac:dyDescent="0.25">
      <c r="A68" s="98" t="s">
        <v>457</v>
      </c>
      <c r="B68" s="98" t="s">
        <v>30</v>
      </c>
      <c r="C68" s="98" t="s">
        <v>39</v>
      </c>
    </row>
    <row r="69" spans="1:4" x14ac:dyDescent="0.25">
      <c r="A69" s="98" t="s">
        <v>362</v>
      </c>
      <c r="C69" s="98" t="s">
        <v>89</v>
      </c>
    </row>
    <row r="70" spans="1:4" x14ac:dyDescent="0.25">
      <c r="C70" s="98" t="s">
        <v>875</v>
      </c>
    </row>
    <row r="71" spans="1:4" x14ac:dyDescent="0.25">
      <c r="C71" s="98" t="s">
        <v>877</v>
      </c>
    </row>
    <row r="72" spans="1:4" x14ac:dyDescent="0.25">
      <c r="C72" s="98" t="s">
        <v>97</v>
      </c>
    </row>
    <row r="73" spans="1:4" x14ac:dyDescent="0.25">
      <c r="C73" s="98" t="s">
        <v>880</v>
      </c>
    </row>
    <row r="74" spans="1:4" x14ac:dyDescent="0.25">
      <c r="C74" s="98" t="s">
        <v>83</v>
      </c>
    </row>
    <row r="75" spans="1:4" x14ac:dyDescent="0.25">
      <c r="C75" s="98" t="s">
        <v>883</v>
      </c>
    </row>
    <row r="79" spans="1:4" x14ac:dyDescent="0.25">
      <c r="A79" s="133" t="s">
        <v>1017</v>
      </c>
      <c r="B79" s="133" t="s">
        <v>458</v>
      </c>
      <c r="C79" s="133" t="s">
        <v>369</v>
      </c>
      <c r="D79" s="3"/>
    </row>
    <row r="80" spans="1:4" x14ac:dyDescent="0.25">
      <c r="A80" s="98" t="s">
        <v>458</v>
      </c>
      <c r="B80" s="98" t="s">
        <v>30</v>
      </c>
      <c r="C80" s="98" t="s">
        <v>39</v>
      </c>
    </row>
    <row r="81" spans="1:4" x14ac:dyDescent="0.25">
      <c r="A81" s="98" t="s">
        <v>369</v>
      </c>
      <c r="C81" s="98" t="s">
        <v>89</v>
      </c>
    </row>
    <row r="82" spans="1:4" x14ac:dyDescent="0.25">
      <c r="C82" s="98" t="s">
        <v>875</v>
      </c>
    </row>
    <row r="83" spans="1:4" x14ac:dyDescent="0.25">
      <c r="C83" s="98" t="s">
        <v>877</v>
      </c>
    </row>
    <row r="84" spans="1:4" x14ac:dyDescent="0.25">
      <c r="C84" s="98" t="s">
        <v>97</v>
      </c>
    </row>
    <row r="85" spans="1:4" x14ac:dyDescent="0.25">
      <c r="C85" s="98" t="s">
        <v>880</v>
      </c>
    </row>
    <row r="86" spans="1:4" x14ac:dyDescent="0.25">
      <c r="C86" s="98" t="s">
        <v>83</v>
      </c>
    </row>
    <row r="87" spans="1:4" x14ac:dyDescent="0.25">
      <c r="C87" s="98" t="s">
        <v>883</v>
      </c>
    </row>
    <row r="89" spans="1:4" ht="24" x14ac:dyDescent="0.4">
      <c r="A89" s="132" t="s">
        <v>1018</v>
      </c>
    </row>
    <row r="90" spans="1:4" x14ac:dyDescent="0.25">
      <c r="A90" s="133" t="s">
        <v>1019</v>
      </c>
      <c r="B90" s="133" t="s">
        <v>459</v>
      </c>
      <c r="C90" s="133" t="s">
        <v>364</v>
      </c>
      <c r="D90" s="3"/>
    </row>
    <row r="91" spans="1:4" x14ac:dyDescent="0.25">
      <c r="A91" s="98" t="s">
        <v>459</v>
      </c>
      <c r="B91" s="98" t="s">
        <v>30</v>
      </c>
      <c r="C91" s="98" t="s">
        <v>39</v>
      </c>
    </row>
    <row r="92" spans="1:4" x14ac:dyDescent="0.25">
      <c r="A92" s="98" t="s">
        <v>364</v>
      </c>
      <c r="C92" s="98" t="s">
        <v>89</v>
      </c>
    </row>
    <row r="93" spans="1:4" x14ac:dyDescent="0.25">
      <c r="C93" s="98" t="s">
        <v>875</v>
      </c>
    </row>
    <row r="94" spans="1:4" x14ac:dyDescent="0.25">
      <c r="C94" s="98" t="s">
        <v>877</v>
      </c>
    </row>
    <row r="95" spans="1:4" x14ac:dyDescent="0.25">
      <c r="C95" s="98" t="s">
        <v>97</v>
      </c>
    </row>
    <row r="96" spans="1:4" x14ac:dyDescent="0.25">
      <c r="C96" s="98" t="s">
        <v>880</v>
      </c>
    </row>
    <row r="97" spans="1:8" x14ac:dyDescent="0.25">
      <c r="C97" s="98" t="s">
        <v>83</v>
      </c>
    </row>
    <row r="98" spans="1:8" x14ac:dyDescent="0.25">
      <c r="C98" s="98" t="s">
        <v>883</v>
      </c>
    </row>
    <row r="100" spans="1:8" x14ac:dyDescent="0.25">
      <c r="A100" s="133" t="s">
        <v>1020</v>
      </c>
      <c r="B100" s="133" t="s">
        <v>460</v>
      </c>
      <c r="C100" s="133" t="s">
        <v>370</v>
      </c>
      <c r="D100" s="3"/>
    </row>
    <row r="101" spans="1:8" x14ac:dyDescent="0.25">
      <c r="A101" s="98" t="s">
        <v>460</v>
      </c>
      <c r="B101" s="98" t="s">
        <v>30</v>
      </c>
      <c r="C101" s="98" t="s">
        <v>39</v>
      </c>
    </row>
    <row r="102" spans="1:8" x14ac:dyDescent="0.25">
      <c r="A102" s="98" t="s">
        <v>370</v>
      </c>
      <c r="C102" s="98" t="s">
        <v>89</v>
      </c>
    </row>
    <row r="103" spans="1:8" x14ac:dyDescent="0.25">
      <c r="C103" s="98" t="s">
        <v>875</v>
      </c>
    </row>
    <row r="104" spans="1:8" x14ac:dyDescent="0.25">
      <c r="C104" s="98" t="s">
        <v>877</v>
      </c>
    </row>
    <row r="105" spans="1:8" x14ac:dyDescent="0.25">
      <c r="C105" s="98" t="s">
        <v>97</v>
      </c>
    </row>
    <row r="106" spans="1:8" x14ac:dyDescent="0.25">
      <c r="C106" s="98" t="s">
        <v>880</v>
      </c>
    </row>
    <row r="107" spans="1:8" x14ac:dyDescent="0.25">
      <c r="C107" s="98" t="s">
        <v>83</v>
      </c>
    </row>
    <row r="108" spans="1:8" x14ac:dyDescent="0.25">
      <c r="C108" s="98" t="s">
        <v>883</v>
      </c>
    </row>
    <row r="110" spans="1:8" ht="24" x14ac:dyDescent="0.4">
      <c r="A110" s="132" t="s">
        <v>1021</v>
      </c>
    </row>
    <row r="111" spans="1:8" x14ac:dyDescent="0.25">
      <c r="A111" s="133" t="s">
        <v>1022</v>
      </c>
      <c r="B111" s="133" t="s">
        <v>731</v>
      </c>
      <c r="C111" s="133" t="s">
        <v>732</v>
      </c>
      <c r="D111" s="133" t="s">
        <v>115</v>
      </c>
      <c r="E111" s="133" t="s">
        <v>733</v>
      </c>
      <c r="F111" s="3"/>
      <c r="G111" s="3"/>
      <c r="H111" s="3"/>
    </row>
    <row r="112" spans="1:8" x14ac:dyDescent="0.25">
      <c r="A112" s="98" t="s">
        <v>731</v>
      </c>
      <c r="B112" s="98" t="s">
        <v>30</v>
      </c>
      <c r="C112" s="98" t="s">
        <v>39</v>
      </c>
      <c r="D112" s="98" t="s">
        <v>39</v>
      </c>
      <c r="E112" s="98" t="s">
        <v>39</v>
      </c>
    </row>
    <row r="113" spans="1:8" x14ac:dyDescent="0.25">
      <c r="A113" s="98" t="s">
        <v>732</v>
      </c>
      <c r="C113" s="98" t="s">
        <v>89</v>
      </c>
      <c r="D113" s="98" t="s">
        <v>89</v>
      </c>
      <c r="E113" s="98" t="s">
        <v>89</v>
      </c>
    </row>
    <row r="114" spans="1:8" x14ac:dyDescent="0.25">
      <c r="A114" s="98" t="s">
        <v>115</v>
      </c>
      <c r="C114" s="98" t="s">
        <v>875</v>
      </c>
      <c r="D114" s="98" t="s">
        <v>875</v>
      </c>
      <c r="E114" s="98" t="s">
        <v>875</v>
      </c>
    </row>
    <row r="115" spans="1:8" x14ac:dyDescent="0.25">
      <c r="A115" s="98" t="s">
        <v>733</v>
      </c>
      <c r="C115" s="98" t="s">
        <v>877</v>
      </c>
      <c r="D115" s="98" t="s">
        <v>877</v>
      </c>
      <c r="E115" s="98" t="s">
        <v>877</v>
      </c>
    </row>
    <row r="116" spans="1:8" x14ac:dyDescent="0.25">
      <c r="C116" s="98" t="s">
        <v>97</v>
      </c>
      <c r="D116" s="98" t="s">
        <v>97</v>
      </c>
      <c r="E116" s="98" t="s">
        <v>97</v>
      </c>
    </row>
    <row r="117" spans="1:8" x14ac:dyDescent="0.25">
      <c r="C117" s="98" t="s">
        <v>880</v>
      </c>
      <c r="D117" s="98" t="s">
        <v>880</v>
      </c>
      <c r="E117" s="98" t="s">
        <v>880</v>
      </c>
    </row>
    <row r="118" spans="1:8" x14ac:dyDescent="0.25">
      <c r="C118" s="98" t="s">
        <v>83</v>
      </c>
      <c r="D118" s="98" t="s">
        <v>83</v>
      </c>
      <c r="E118" s="98" t="s">
        <v>83</v>
      </c>
    </row>
    <row r="119" spans="1:8" x14ac:dyDescent="0.25">
      <c r="C119" s="98" t="s">
        <v>883</v>
      </c>
      <c r="D119" s="98" t="s">
        <v>883</v>
      </c>
      <c r="E119" s="98" t="s">
        <v>883</v>
      </c>
    </row>
    <row r="121" spans="1:8" ht="24" x14ac:dyDescent="0.4">
      <c r="A121" s="132" t="s">
        <v>1023</v>
      </c>
    </row>
    <row r="122" spans="1:8" x14ac:dyDescent="0.25">
      <c r="A122" s="133" t="s">
        <v>1024</v>
      </c>
      <c r="B122" s="133" t="s">
        <v>736</v>
      </c>
      <c r="F122" s="3"/>
      <c r="G122" s="3"/>
      <c r="H122" s="3"/>
    </row>
    <row r="123" spans="1:8" x14ac:dyDescent="0.25">
      <c r="A123" s="98" t="s">
        <v>736</v>
      </c>
      <c r="B123" s="98" t="s">
        <v>30</v>
      </c>
      <c r="C123" s="133" t="s">
        <v>734</v>
      </c>
      <c r="D123" s="133" t="s">
        <v>121</v>
      </c>
      <c r="E123" s="133" t="s">
        <v>735</v>
      </c>
    </row>
    <row r="124" spans="1:8" x14ac:dyDescent="0.25">
      <c r="A124" s="98" t="s">
        <v>734</v>
      </c>
      <c r="C124" s="98" t="s">
        <v>39</v>
      </c>
      <c r="D124" s="98" t="s">
        <v>39</v>
      </c>
      <c r="E124" s="98" t="s">
        <v>39</v>
      </c>
    </row>
    <row r="125" spans="1:8" x14ac:dyDescent="0.25">
      <c r="A125" s="98" t="s">
        <v>121</v>
      </c>
      <c r="C125" s="98" t="s">
        <v>89</v>
      </c>
      <c r="D125" s="98" t="s">
        <v>89</v>
      </c>
      <c r="E125" s="98" t="s">
        <v>89</v>
      </c>
    </row>
    <row r="126" spans="1:8" x14ac:dyDescent="0.25">
      <c r="A126" s="98" t="s">
        <v>735</v>
      </c>
      <c r="C126" s="98" t="s">
        <v>875</v>
      </c>
      <c r="D126" s="98" t="s">
        <v>875</v>
      </c>
      <c r="E126" s="98" t="s">
        <v>875</v>
      </c>
    </row>
    <row r="127" spans="1:8" x14ac:dyDescent="0.25">
      <c r="C127" s="98" t="s">
        <v>877</v>
      </c>
      <c r="D127" s="98" t="s">
        <v>877</v>
      </c>
      <c r="E127" s="98" t="s">
        <v>877</v>
      </c>
    </row>
    <row r="128" spans="1:8" x14ac:dyDescent="0.25">
      <c r="C128" s="98" t="s">
        <v>97</v>
      </c>
      <c r="D128" s="98" t="s">
        <v>97</v>
      </c>
      <c r="E128" s="98" t="s">
        <v>97</v>
      </c>
    </row>
    <row r="129" spans="1:8" x14ac:dyDescent="0.25">
      <c r="C129" s="98" t="s">
        <v>880</v>
      </c>
      <c r="D129" s="98" t="s">
        <v>880</v>
      </c>
      <c r="E129" s="98" t="s">
        <v>880</v>
      </c>
    </row>
    <row r="130" spans="1:8" x14ac:dyDescent="0.25">
      <c r="C130" s="98" t="s">
        <v>83</v>
      </c>
      <c r="D130" s="98" t="s">
        <v>83</v>
      </c>
      <c r="E130" s="98" t="s">
        <v>83</v>
      </c>
    </row>
    <row r="131" spans="1:8" x14ac:dyDescent="0.25">
      <c r="C131" s="98" t="s">
        <v>883</v>
      </c>
      <c r="D131" s="98" t="s">
        <v>883</v>
      </c>
      <c r="E131" s="98" t="s">
        <v>883</v>
      </c>
    </row>
    <row r="132" spans="1:8" ht="24" x14ac:dyDescent="0.4">
      <c r="A132" s="132" t="s">
        <v>1025</v>
      </c>
    </row>
    <row r="133" spans="1:8" x14ac:dyDescent="0.25">
      <c r="A133" s="133" t="s">
        <v>1026</v>
      </c>
      <c r="B133" s="133" t="s">
        <v>127</v>
      </c>
      <c r="F133" s="3"/>
      <c r="G133" s="3"/>
      <c r="H133" s="3"/>
    </row>
    <row r="134" spans="1:8" x14ac:dyDescent="0.25">
      <c r="A134" s="98" t="s">
        <v>127</v>
      </c>
      <c r="B134" s="98" t="s">
        <v>30</v>
      </c>
      <c r="C134" s="133" t="s">
        <v>777</v>
      </c>
      <c r="D134" s="133" t="s">
        <v>778</v>
      </c>
      <c r="E134" s="133" t="s">
        <v>779</v>
      </c>
    </row>
    <row r="135" spans="1:8" x14ac:dyDescent="0.25">
      <c r="A135" s="98" t="s">
        <v>777</v>
      </c>
      <c r="C135" s="98" t="s">
        <v>39</v>
      </c>
      <c r="D135" s="98" t="s">
        <v>39</v>
      </c>
      <c r="E135" s="98" t="s">
        <v>39</v>
      </c>
    </row>
    <row r="136" spans="1:8" x14ac:dyDescent="0.25">
      <c r="A136" s="98" t="s">
        <v>778</v>
      </c>
      <c r="C136" s="98" t="s">
        <v>89</v>
      </c>
      <c r="D136" s="98" t="s">
        <v>89</v>
      </c>
      <c r="E136" s="98" t="s">
        <v>89</v>
      </c>
    </row>
    <row r="137" spans="1:8" x14ac:dyDescent="0.25">
      <c r="A137" s="98" t="s">
        <v>779</v>
      </c>
      <c r="C137" s="98" t="s">
        <v>875</v>
      </c>
      <c r="D137" s="98" t="s">
        <v>875</v>
      </c>
      <c r="E137" s="98" t="s">
        <v>875</v>
      </c>
    </row>
    <row r="138" spans="1:8" x14ac:dyDescent="0.25">
      <c r="C138" s="98" t="s">
        <v>877</v>
      </c>
      <c r="D138" s="98" t="s">
        <v>877</v>
      </c>
      <c r="E138" s="98" t="s">
        <v>877</v>
      </c>
    </row>
    <row r="139" spans="1:8" x14ac:dyDescent="0.25">
      <c r="C139" s="98" t="s">
        <v>97</v>
      </c>
      <c r="D139" s="98" t="s">
        <v>97</v>
      </c>
      <c r="E139" s="98" t="s">
        <v>97</v>
      </c>
    </row>
    <row r="140" spans="1:8" x14ac:dyDescent="0.25">
      <c r="C140" s="98" t="s">
        <v>880</v>
      </c>
      <c r="D140" s="98" t="s">
        <v>880</v>
      </c>
      <c r="E140" s="98" t="s">
        <v>880</v>
      </c>
    </row>
    <row r="141" spans="1:8" x14ac:dyDescent="0.25">
      <c r="C141" s="98" t="s">
        <v>83</v>
      </c>
      <c r="D141" s="98" t="s">
        <v>83</v>
      </c>
      <c r="E141" s="98" t="s">
        <v>83</v>
      </c>
    </row>
    <row r="142" spans="1:8" x14ac:dyDescent="0.25">
      <c r="C142" s="98" t="s">
        <v>883</v>
      </c>
      <c r="D142" s="98" t="s">
        <v>883</v>
      </c>
      <c r="E142" s="98" t="s">
        <v>883</v>
      </c>
    </row>
    <row r="143" spans="1:8" ht="24" x14ac:dyDescent="0.4">
      <c r="A143" s="132" t="s">
        <v>1027</v>
      </c>
    </row>
    <row r="144" spans="1:8" x14ac:dyDescent="0.25">
      <c r="A144" s="133" t="s">
        <v>1028</v>
      </c>
      <c r="B144" s="133" t="s">
        <v>118</v>
      </c>
    </row>
    <row r="145" spans="1:4" x14ac:dyDescent="0.25">
      <c r="A145" s="98" t="s">
        <v>118</v>
      </c>
      <c r="B145" s="98" t="s">
        <v>30</v>
      </c>
      <c r="C145" s="133" t="s">
        <v>515</v>
      </c>
      <c r="D145" s="3"/>
    </row>
    <row r="146" spans="1:4" x14ac:dyDescent="0.25">
      <c r="A146" s="98" t="s">
        <v>515</v>
      </c>
      <c r="C146" s="98" t="s">
        <v>39</v>
      </c>
    </row>
    <row r="147" spans="1:4" x14ac:dyDescent="0.25">
      <c r="C147" s="98" t="s">
        <v>89</v>
      </c>
    </row>
    <row r="148" spans="1:4" x14ac:dyDescent="0.25">
      <c r="C148" s="98" t="s">
        <v>875</v>
      </c>
    </row>
    <row r="149" spans="1:4" x14ac:dyDescent="0.25">
      <c r="C149" s="98" t="s">
        <v>877</v>
      </c>
    </row>
    <row r="150" spans="1:4" x14ac:dyDescent="0.25">
      <c r="C150" s="98" t="s">
        <v>97</v>
      </c>
    </row>
    <row r="151" spans="1:4" x14ac:dyDescent="0.25">
      <c r="C151" s="98" t="s">
        <v>880</v>
      </c>
    </row>
    <row r="152" spans="1:4" x14ac:dyDescent="0.25">
      <c r="C152" s="98" t="s">
        <v>83</v>
      </c>
    </row>
    <row r="153" spans="1:4" x14ac:dyDescent="0.25">
      <c r="C153" s="98" t="s">
        <v>883</v>
      </c>
    </row>
    <row r="154" spans="1:4" x14ac:dyDescent="0.25">
      <c r="A154" t="s">
        <v>1029</v>
      </c>
    </row>
    <row r="155" spans="1:4" x14ac:dyDescent="0.25">
      <c r="A155" s="133" t="s">
        <v>1030</v>
      </c>
      <c r="B155" s="133" t="s">
        <v>1031</v>
      </c>
    </row>
    <row r="156" spans="1:4" x14ac:dyDescent="0.25">
      <c r="A156" s="98" t="s">
        <v>1031</v>
      </c>
      <c r="B156" s="98" t="s">
        <v>30</v>
      </c>
      <c r="C156" s="133" t="s">
        <v>130</v>
      </c>
      <c r="D156" s="3"/>
    </row>
    <row r="157" spans="1:4" x14ac:dyDescent="0.25">
      <c r="A157" s="98" t="s">
        <v>130</v>
      </c>
      <c r="C157" s="98" t="s">
        <v>39</v>
      </c>
    </row>
    <row r="158" spans="1:4" x14ac:dyDescent="0.25">
      <c r="C158" s="98" t="s">
        <v>89</v>
      </c>
    </row>
    <row r="159" spans="1:4" x14ac:dyDescent="0.25">
      <c r="C159" s="98" t="s">
        <v>875</v>
      </c>
    </row>
    <row r="160" spans="1:4" x14ac:dyDescent="0.25">
      <c r="C160" s="98" t="s">
        <v>877</v>
      </c>
    </row>
    <row r="161" spans="1:3" x14ac:dyDescent="0.25">
      <c r="C161" s="98" t="s">
        <v>97</v>
      </c>
    </row>
    <row r="162" spans="1:3" x14ac:dyDescent="0.25">
      <c r="C162" s="98" t="s">
        <v>880</v>
      </c>
    </row>
    <row r="163" spans="1:3" x14ac:dyDescent="0.25">
      <c r="C163" s="98" t="s">
        <v>83</v>
      </c>
    </row>
    <row r="164" spans="1:3" x14ac:dyDescent="0.25">
      <c r="C164" s="98" t="s">
        <v>883</v>
      </c>
    </row>
    <row r="167" spans="1:3" ht="24" x14ac:dyDescent="0.4">
      <c r="A167" s="132" t="s">
        <v>913</v>
      </c>
    </row>
    <row r="168" spans="1:3" x14ac:dyDescent="0.25">
      <c r="A168" s="133" t="s">
        <v>1032</v>
      </c>
      <c r="B168" s="133" t="s">
        <v>28</v>
      </c>
    </row>
    <row r="169" spans="1:3" x14ac:dyDescent="0.25">
      <c r="A169" s="98" t="s">
        <v>28</v>
      </c>
      <c r="B169" s="98" t="s">
        <v>26</v>
      </c>
      <c r="C169" s="133" t="s">
        <v>30</v>
      </c>
    </row>
    <row r="170" spans="1:3" x14ac:dyDescent="0.25">
      <c r="A170" s="98" t="s">
        <v>30</v>
      </c>
      <c r="B170" s="98" t="s">
        <v>907</v>
      </c>
      <c r="C170" s="98" t="s">
        <v>30</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http://schemas.microsoft.com/office/2006/metadata/properties"/>
    <ds:schemaRef ds:uri="http://schemas.microsoft.com/office/infopath/2007/PartnerControls"/>
    <ds:schemaRef ds:uri="049423d5-a9ee-40f0-b7f4-5d865a34ede2"/>
    <ds:schemaRef ds:uri="7ef83a42-8f15-4401-ad91-10066a657aa4"/>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55</vt:i4>
      </vt:variant>
    </vt:vector>
  </HeadingPairs>
  <TitlesOfParts>
    <vt:vector size="72" baseType="lpstr">
      <vt:lpstr>ReadMe</vt:lpstr>
      <vt:lpstr>Input</vt:lpstr>
      <vt:lpstr>Result Dashboard</vt:lpstr>
      <vt:lpstr>Aux - Check</vt:lpstr>
      <vt:lpstr>Results</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Walter Daems</cp:lastModifiedBy>
  <cp:revision/>
  <dcterms:created xsi:type="dcterms:W3CDTF">2024-07-08T07:29:36Z</dcterms:created>
  <dcterms:modified xsi:type="dcterms:W3CDTF">2025-10-29T10:55:55Z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